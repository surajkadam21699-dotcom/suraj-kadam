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Fund Performance" sheetId="2" state="visible" r:id="rId4"/>
    <sheet name="By Benchmark" sheetId="3" state="visible" r:id="rId5"/>
    <sheet name="Action Plan" sheetId="4" state="visible" r:id="rId6"/>
  </sheets>
  <definedNames>
    <definedName function="false" hidden="true" localSheetId="1" name="_xlnm._FilterDatabase" vbProcedure="false">'Fund Performance'!$A$4:$H$15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<sst xmlns="http://schemas.openxmlformats.org/spreadsheetml/2006/main" count="131" uniqueCount="113">
  <si>
    <t xml:space="preserve">FUND PERFORMANCE REVIEW  -  YOGESH SHARAD GAVANKAR</t>
  </si>
  <si>
    <t xml:space="preserve">As on 4 September 2026.  11 fund-benchmark comparisons.</t>
  </si>
  <si>
    <t xml:space="preserve">HEADLINE</t>
  </si>
  <si>
    <t xml:space="preserve">Measure</t>
  </si>
  <si>
    <t xml:space="preserve">Value</t>
  </si>
  <si>
    <t xml:space="preserve">Comment</t>
  </si>
  <si>
    <t xml:space="preserve">Comparisons</t>
  </si>
  <si>
    <t xml:space="preserve">One fund appears twice, so 11 rows cover 10 distinct funds.</t>
  </si>
  <si>
    <t xml:space="preserve">Ahead of benchmark</t>
  </si>
  <si>
    <t xml:space="preserve">Eight of eleven rows beat the index they are measured against.</t>
  </si>
  <si>
    <t xml:space="preserve">Behind benchmark</t>
  </si>
  <si>
    <t xml:space="preserve">Focused, Flexi Cap and Consumption.</t>
  </si>
  <si>
    <t xml:space="preserve">Hit rate</t>
  </si>
  <si>
    <t xml:space="preserve">Share of rows ahead of their benchmark.</t>
  </si>
  <si>
    <t xml:space="preserve">Average fund return</t>
  </si>
  <si>
    <t xml:space="preserve">Simple average across rows - not weighted by amount invested.</t>
  </si>
  <si>
    <t xml:space="preserve">Average benchmark</t>
  </si>
  <si>
    <t xml:space="preserve">Averaged across different indices and different periods.</t>
  </si>
  <si>
    <t xml:space="preserve">Average gap</t>
  </si>
  <si>
    <t xml:space="preserve">Indicative only, for the reason above.</t>
  </si>
  <si>
    <t xml:space="preserve">Clear the 13% bar</t>
  </si>
  <si>
    <t xml:space="preserve">Small Cap, Multi Cap, HDFC Innovation, HDFC Mid Cap and Value.</t>
  </si>
  <si>
    <t xml:space="preserve">WHAT STANDS OUT</t>
  </si>
  <si>
    <t xml:space="preserve">Three funds trail their benchmark</t>
  </si>
  <si>
    <t xml:space="preserve">Focused -4.65 pts, Flexi Cap -1.52 pts, Consumption -1.09 pts.</t>
  </si>
  <si>
    <t xml:space="preserve">Focused Fund is the weakest holding</t>
  </si>
  <si>
    <t xml:space="preserve">1.14% against a benchmark that returned 5.79% - the widest shortfall and the lowest absolute return in the list.</t>
  </si>
  <si>
    <t xml:space="preserve">A wide gap is not always a good return</t>
  </si>
  <si>
    <t xml:space="preserve">Banking and Financial Services beat its index by 19.94 and 9.26 points, but returned only 9.58% and 8.06% - the index fell 10.36% and 1.20%. Large and Mid Cap is ahead by 3.99 points on 11.26%. All three sit below the 13% bar.</t>
  </si>
  <si>
    <t xml:space="preserve">Five of eleven clear 13%</t>
  </si>
  <si>
    <t xml:space="preserve">Small Cap 53.51%, Multi Cap 32.40%, HDFC Innovation 28.84%, HDFC Mid Cap 15.52% and Value 15.24%.</t>
  </si>
  <si>
    <t xml:space="preserve">The three leaders lead by a distance</t>
  </si>
  <si>
    <t xml:space="preserve">Small Cap +35.50, Multi Cap +30.37 and HDFC Innovation +21.28 points. Confirm the period before quoting these.</t>
  </si>
  <si>
    <t xml:space="preserve">BEFORE THIS GOES TO THE CLIENT</t>
  </si>
  <si>
    <t xml:space="preserve">The periods are not the same</t>
  </si>
  <si>
    <t xml:space="preserve">Nifty 500 TRI appears at 7.56%, 6.39%, 5.79% and 5.83%, and Nifty Financial Services TRI at -10.36% and -1.20%. One index over one period has one return, so each row covers its own window - most likely each fund's holding period. Compare each fund with its own benchmark; do not rank the gaps against each other.</t>
  </si>
  <si>
    <t xml:space="preserve">Banking and Financial Services appears twice</t>
  </si>
  <si>
    <t xml:space="preserve">Two rows, same fund and same benchmark, different figures (9.58% vs -10.36%, and 8.06% vs -1.20%). Two folios, or two periods - confirm which before this reaches the client.</t>
  </si>
  <si>
    <t xml:space="preserve">One fund has no data</t>
  </si>
  <si>
    <t xml:space="preserve">Mahindra Manulife Low Duration Fund is listed with no return, benchmark or gap.</t>
  </si>
  <si>
    <t xml:space="preserve">One benchmark is missing</t>
  </si>
  <si>
    <t xml:space="preserve">Mahindra Manulife Consumption Fund shows 2.87% against 3.96%, but the index it is measured against was not given.</t>
  </si>
  <si>
    <t xml:space="preserve">The underperformer list may be cut short</t>
  </si>
  <si>
    <t xml:space="preserve">The source table ends at Consumption Fund with no total, so confirm nothing below it was lost.</t>
  </si>
  <si>
    <t xml:space="preserve">FUND PERFORMANCE AGAINST BENCHMARK</t>
  </si>
  <si>
    <t xml:space="preserve">Yogesh Sharad Gavankar.  Each fund against its own benchmark over its own period - the gaps are not comparable across funds. Ordered by gap.</t>
  </si>
  <si>
    <t xml:space="preserve">#</t>
  </si>
  <si>
    <t xml:space="preserve">Fund</t>
  </si>
  <si>
    <t xml:space="preserve">Benchmark</t>
  </si>
  <si>
    <t xml:space="preserve">Fund Return</t>
  </si>
  <si>
    <t xml:space="preserve">Benchmark Return</t>
  </si>
  <si>
    <t xml:space="preserve">Gap</t>
  </si>
  <si>
    <t xml:space="preserve">Against benchmark</t>
  </si>
  <si>
    <t xml:space="preserve">Clears 13%?</t>
  </si>
  <si>
    <t xml:space="preserve">Mahindra Manulife Small Cap Fund - Regular Plan - Growth</t>
  </si>
  <si>
    <t xml:space="preserve">Nifty Smallcap 250 TRI</t>
  </si>
  <si>
    <t xml:space="preserve">Mahindra Manulife Multi Cap Fund - Regular Plan - Growth</t>
  </si>
  <si>
    <t xml:space="preserve">Nifty500 Multicap 50:25:25 TRI</t>
  </si>
  <si>
    <t xml:space="preserve">HDFC Innovation Fund - Regular Plan - Growth</t>
  </si>
  <si>
    <t xml:space="preserve">Nifty 500 TRI</t>
  </si>
  <si>
    <t xml:space="preserve">Mahindra Manulife Banking and Financial Services Fund - Regular Plan - Growth</t>
  </si>
  <si>
    <t xml:space="preserve">Nifty Financial Services TRI</t>
  </si>
  <si>
    <t xml:space="preserve">Mahindra Manulife Value Fund - Regular Plan - Growth</t>
  </si>
  <si>
    <t xml:space="preserve">HDFC Mid Cap Fund - Regular Plan - Growth</t>
  </si>
  <si>
    <t xml:space="preserve">Nifty Midcap 150 TRI</t>
  </si>
  <si>
    <t xml:space="preserve">Mahindra Manulife Large and Mid Cap Fund - Regular Plan - Growth</t>
  </si>
  <si>
    <t xml:space="preserve">NIFTY LargeMidcap 250 TRI</t>
  </si>
  <si>
    <t xml:space="preserve">Mahindra Manulife Consumption Fund - Regular Plan - Growth</t>
  </si>
  <si>
    <t xml:space="preserve">(not stated)</t>
  </si>
  <si>
    <t xml:space="preserve">Mahindra Manulife Flexi Cap Fund - Regular Plan - Growth</t>
  </si>
  <si>
    <t xml:space="preserve">Mahindra Manulife Focused Fund - Regular Plan - Growth</t>
  </si>
  <si>
    <t xml:space="preserve">AVERAGE  (11 comparisons)</t>
  </si>
  <si>
    <t xml:space="preserve">LISTED BUT NOT MEASURED</t>
  </si>
  <si>
    <t xml:space="preserve">Mahindra Manulife Low Duration Fund - Regular Plan - Growth</t>
  </si>
  <si>
    <t xml:space="preserve">No return, benchmark or gap was supplied for this fund.</t>
  </si>
  <si>
    <t xml:space="preserve">BY BENCHMARK</t>
  </si>
  <si>
    <t xml:space="preserve">Where one index shows more than one return, the rows under it cover different periods. This is the evidence for the reading note.</t>
  </si>
  <si>
    <t xml:space="preserve">Funds</t>
  </si>
  <si>
    <t xml:space="preserve">Index returns seen</t>
  </si>
  <si>
    <t xml:space="preserve">Same period?</t>
  </si>
  <si>
    <t xml:space="preserve">+7.56%,  +6.39%,  +5.83%,  +5.79%</t>
  </si>
  <si>
    <t xml:space="preserve">No - 4 periods</t>
  </si>
  <si>
    <t xml:space="preserve">-1.20%,  -10.36%</t>
  </si>
  <si>
    <t xml:space="preserve">No - 2 periods</t>
  </si>
  <si>
    <t xml:space="preserve">+18.01%</t>
  </si>
  <si>
    <t xml:space="preserve">Yes</t>
  </si>
  <si>
    <t xml:space="preserve">+2.03%</t>
  </si>
  <si>
    <t xml:space="preserve">+8.62%</t>
  </si>
  <si>
    <t xml:space="preserve">+7.27%</t>
  </si>
  <si>
    <t xml:space="preserve">+3.96%</t>
  </si>
  <si>
    <t xml:space="preserve">An index cannot post two different returns over one period. Nifty 500 TRI appears four times with four different values and Nifty Financial Services TRI twice, so the rows beneath them were measured over different windows. Each fund-versus-benchmark pair is still a fair comparison; the gaps between funds are not.</t>
  </si>
  <si>
    <t xml:space="preserve">ACTION PLAN</t>
  </si>
  <si>
    <t xml:space="preserve">Owner and Done are yours to fill in.</t>
  </si>
  <si>
    <t xml:space="preserve">When</t>
  </si>
  <si>
    <t xml:space="preserve">Step</t>
  </si>
  <si>
    <t xml:space="preserve">What happens</t>
  </si>
  <si>
    <t xml:space="preserve">Owner</t>
  </si>
  <si>
    <t xml:space="preserve">Done</t>
  </si>
  <si>
    <t xml:space="preserve">Before sending</t>
  </si>
  <si>
    <t xml:space="preserve">Fix the data</t>
  </si>
  <si>
    <t xml:space="preserve">Resolve the duplicated Banking and Financial Services row, add the missing Consumption benchmark and the Low Duration figures, and state the period each return covers.</t>
  </si>
  <si>
    <t xml:space="preserve">Week 1</t>
  </si>
  <si>
    <t xml:space="preserve">Review the three laggards</t>
  </si>
  <si>
    <t xml:space="preserve">Focused (-4.65 pts), Flexi Cap (-1.52 pts) and Consumption (-1.09 pts) trail their benchmarks. Focused is the one to act on: 1.14% absolute.</t>
  </si>
  <si>
    <t xml:space="preserve">Look past the gap</t>
  </si>
  <si>
    <t xml:space="preserve">Banking and Financial Services beat a falling index on both rows but returned 9.58% and 8.06%. Beating a benchmark that fell is not the same as making money.</t>
  </si>
  <si>
    <t xml:space="preserve">Week 2</t>
  </si>
  <si>
    <t xml:space="preserve">Confirm the winners</t>
  </si>
  <si>
    <t xml:space="preserve">Small Cap (+35.50 pts), Multi Cap (+30.37 pts) and HDFC Innovation (+21.28 pts) lead by a wide margin. Check the period before quoting these to the client.</t>
  </si>
  <si>
    <t xml:space="preserve">Ongoing</t>
  </si>
  <si>
    <t xml:space="preserve">Standardise</t>
  </si>
  <si>
    <t xml:space="preserve">Pull all funds over one common period - 1Y, 3Y and 5Y - so the next review compares like with like.</t>
  </si>
  <si>
    <t xml:space="preserve">Past performance is not indicative of future returns. This review compares each fund with its stated benchmark only and does not account for the amount invested in each. Mutual fund investments are subject to market risks; read all scheme-related documents carefully.</t>
  </si>
</sst>
</file>

<file path=xl/styles.xml><?xml version="1.0" encoding="utf-8"?>
<styleSheet xmlns="http://schemas.openxmlformats.org/spreadsheetml/2006/main">
  <numFmts count="4">
    <numFmt numFmtId="164" formatCode="General"/>
    <numFmt numFmtId="165" formatCode="#,##0;\(#,##0\);\-"/>
    <numFmt numFmtId="166" formatCode="0.00%;\(0.00%\);\-"/>
    <numFmt numFmtId="167" formatCode="\+0.00&quot;  pts&quot;;\-0.00&quot;  pts&quot;;\-"/>
  </numFmts>
  <fonts count="15">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404040"/>
      <name val="Arial"/>
      <family val="0"/>
      <charset val="1"/>
    </font>
    <font>
      <b val="true"/>
      <sz val="11"/>
      <color rgb="FF1F3864"/>
      <name val="Arial"/>
      <family val="0"/>
      <charset val="1"/>
    </font>
    <font>
      <b val="true"/>
      <sz val="10"/>
      <color rgb="FFFFFFFF"/>
      <name val="Arial"/>
      <family val="0"/>
      <charset val="1"/>
    </font>
    <font>
      <b val="true"/>
      <sz val="10"/>
      <name val="Arial"/>
      <family val="0"/>
      <charset val="1"/>
    </font>
    <font>
      <sz val="10"/>
      <color rgb="FF000000"/>
      <name val="Arial"/>
      <family val="0"/>
      <charset val="1"/>
    </font>
    <font>
      <sz val="10"/>
      <name val="Arial"/>
      <family val="0"/>
      <charset val="1"/>
    </font>
    <font>
      <sz val="10"/>
      <color rgb="FF0000FF"/>
      <name val="Arial"/>
      <family val="0"/>
      <charset val="1"/>
    </font>
    <font>
      <sz val="10"/>
      <color rgb="FF006100"/>
      <name val="Arial"/>
      <family val="0"/>
      <charset val="1"/>
    </font>
    <font>
      <sz val="10"/>
      <color rgb="FF9C5700"/>
      <name val="Arial"/>
      <family val="0"/>
      <charset val="1"/>
    </font>
    <font>
      <sz val="10"/>
      <color rgb="FF9C0006"/>
      <name val="Arial"/>
      <family val="0"/>
      <charset val="1"/>
    </font>
  </fonts>
  <fills count="9">
    <fill>
      <patternFill patternType="none"/>
    </fill>
    <fill>
      <patternFill patternType="gray125"/>
    </fill>
    <fill>
      <patternFill patternType="solid">
        <fgColor rgb="FF1F3864"/>
        <bgColor rgb="FF333399"/>
      </patternFill>
    </fill>
    <fill>
      <patternFill patternType="solid">
        <fgColor rgb="FFF2F2F2"/>
        <bgColor rgb="FFFFFFFF"/>
      </patternFill>
    </fill>
    <fill>
      <patternFill patternType="solid">
        <fgColor rgb="FF2E75B6"/>
        <bgColor rgb="FF0066CC"/>
      </patternFill>
    </fill>
    <fill>
      <patternFill patternType="solid">
        <fgColor rgb="FFFFF2CC"/>
        <bgColor rgb="FFF2F2F2"/>
      </patternFill>
    </fill>
    <fill>
      <patternFill patternType="solid">
        <fgColor rgb="FFC6EFCE"/>
        <bgColor rgb="FFCCFFFF"/>
      </patternFill>
    </fill>
    <fill>
      <patternFill patternType="solid">
        <fgColor rgb="FFFFEB9C"/>
        <bgColor rgb="FFFFF2CC"/>
      </patternFill>
    </fill>
    <fill>
      <patternFill patternType="solid">
        <fgColor rgb="FFFFC7CE"/>
        <bgColor rgb="FFFFEB9C"/>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9" fillId="3" borderId="2"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6" fontId="9" fillId="3" borderId="2" xfId="0" applyFont="true" applyBorder="true" applyAlignment="true" applyProtection="false">
      <alignment horizontal="center" vertical="center" textRotation="0" wrapText="false" indent="0" shrinkToFit="false"/>
      <protection locked="true" hidden="false"/>
    </xf>
    <xf numFmtId="167" fontId="9" fillId="3" borderId="2"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10" fillId="0" borderId="2"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10" fillId="5" borderId="2" xfId="0" applyFont="true" applyBorder="true" applyAlignment="true" applyProtection="false">
      <alignment horizontal="general"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7" fontId="9" fillId="6"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false" applyProtection="false">
      <alignment horizontal="general" vertical="bottom" textRotation="0" wrapText="false" indent="0" shrinkToFit="false"/>
      <protection locked="true" hidden="false"/>
    </xf>
    <xf numFmtId="167" fontId="9" fillId="8"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6" fontId="7" fillId="2" borderId="1" xfId="0" applyFont="true" applyBorder="true" applyAlignment="true" applyProtection="false">
      <alignment horizontal="center" vertical="center" textRotation="0" wrapText="false" indent="0" shrinkToFit="false"/>
      <protection locked="true" hidden="false"/>
    </xf>
    <xf numFmtId="167" fontId="7" fillId="2"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3" fillId="7" borderId="2"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4" fillId="8" borderId="1" xfId="0" applyFont="true" applyBorder="true" applyAlignment="true" applyProtection="false">
      <alignment horizontal="center" vertical="center" textRotation="0" wrapText="false" indent="0" shrinkToFit="false"/>
      <protection locked="true" hidden="false"/>
    </xf>
    <xf numFmtId="164" fontId="13" fillId="5" borderId="3"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E75B6"/>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FFEB9C"/>
          <bgColor rgb="FF000000"/>
        </patternFill>
      </fill>
    </dxf>
    <dxf>
      <fill>
        <patternFill patternType="solid">
          <fgColor rgb="FF9C570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0000"/>
          <bgColor rgb="FF000000"/>
        </patternFill>
      </fill>
    </dxf>
    <dxf>
      <fill>
        <patternFill patternType="solid">
          <fgColor rgb="FF006100"/>
          <bgColor rgb="FF000000"/>
        </patternFill>
      </fill>
    </dxf>
    <dxf>
      <fill>
        <patternFill patternType="solid">
          <fgColor rgb="FF9C0006"/>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4" min="2" style="0" width="15"/>
    <col collapsed="false" customWidth="true" hidden="false" outlineLevel="0" max="5" min="5" style="0" width="62"/>
  </cols>
  <sheetData>
    <row r="1" customFormat="false" ht="27.75" hidden="false" customHeight="true" outlineLevel="0" collapsed="false">
      <c r="A1" s="1" t="s">
        <v>0</v>
      </c>
      <c r="B1" s="1"/>
      <c r="C1" s="1"/>
      <c r="D1" s="1"/>
      <c r="E1" s="1"/>
    </row>
    <row r="2" customFormat="false" ht="16.5" hidden="false" customHeight="true" outlineLevel="0" collapsed="false">
      <c r="A2" s="2" t="s">
        <v>1</v>
      </c>
      <c r="B2" s="2"/>
      <c r="C2" s="2"/>
      <c r="D2" s="2"/>
      <c r="E2" s="2"/>
    </row>
    <row r="4" customFormat="false" ht="15" hidden="false" customHeight="false" outlineLevel="0" collapsed="false">
      <c r="A4" s="3" t="s">
        <v>2</v>
      </c>
    </row>
    <row r="5" customFormat="false" ht="30" hidden="false" customHeight="true" outlineLevel="0" collapsed="false">
      <c r="A5" s="4" t="s">
        <v>3</v>
      </c>
      <c r="B5" s="5" t="s">
        <v>4</v>
      </c>
      <c r="C5" s="5"/>
      <c r="D5" s="5"/>
      <c r="E5" s="4" t="s">
        <v>5</v>
      </c>
    </row>
    <row r="6" customFormat="false" ht="24" hidden="false" customHeight="true" outlineLevel="0" collapsed="false">
      <c r="A6" s="6" t="s">
        <v>6</v>
      </c>
      <c r="B6" s="7" t="n">
        <f aca="false">COUNTA('Fund Performance'!$B$5:$B$15)</f>
        <v>11</v>
      </c>
      <c r="C6" s="7"/>
      <c r="D6" s="7"/>
      <c r="E6" s="8" t="s">
        <v>7</v>
      </c>
    </row>
    <row r="7" customFormat="false" ht="24" hidden="false" customHeight="true" outlineLevel="0" collapsed="false">
      <c r="A7" s="6" t="s">
        <v>8</v>
      </c>
      <c r="B7" s="7" t="n">
        <f aca="false">COUNTIF('Fund Performance'!$G$5:$G$15,"Ahead of benchmark")</f>
        <v>8</v>
      </c>
      <c r="C7" s="7"/>
      <c r="D7" s="7"/>
      <c r="E7" s="8" t="s">
        <v>9</v>
      </c>
    </row>
    <row r="8" customFormat="false" ht="24" hidden="false" customHeight="true" outlineLevel="0" collapsed="false">
      <c r="A8" s="6" t="s">
        <v>10</v>
      </c>
      <c r="B8" s="7" t="n">
        <f aca="false">COUNTIF('Fund Performance'!$G$5:$G$15,"Behind benchmark")</f>
        <v>3</v>
      </c>
      <c r="C8" s="7"/>
      <c r="D8" s="7"/>
      <c r="E8" s="8" t="s">
        <v>11</v>
      </c>
    </row>
    <row r="9" customFormat="false" ht="24" hidden="false" customHeight="true" outlineLevel="0" collapsed="false">
      <c r="A9" s="6" t="s">
        <v>12</v>
      </c>
      <c r="B9" s="9" t="n">
        <f aca="false">COUNTIF('Fund Performance'!$G$5:$G$15,"Ahead of benchmark")/COUNTA('Fund Performance'!$G$5:$G$15)</f>
        <v>0.727272727272727</v>
      </c>
      <c r="C9" s="9"/>
      <c r="D9" s="9"/>
      <c r="E9" s="8" t="s">
        <v>13</v>
      </c>
    </row>
    <row r="10" customFormat="false" ht="24" hidden="false" customHeight="true" outlineLevel="0" collapsed="false">
      <c r="A10" s="6" t="s">
        <v>14</v>
      </c>
      <c r="B10" s="9" t="n">
        <f aca="false">AVERAGE('Fund Performance'!$D$5:$D$15)</f>
        <v>0.166118181818182</v>
      </c>
      <c r="C10" s="9"/>
      <c r="D10" s="9"/>
      <c r="E10" s="8" t="s">
        <v>15</v>
      </c>
    </row>
    <row r="11" customFormat="false" ht="24" hidden="false" customHeight="true" outlineLevel="0" collapsed="false">
      <c r="A11" s="6" t="s">
        <v>16</v>
      </c>
      <c r="B11" s="9" t="n">
        <f aca="false">AVERAGE('Fund Performance'!$E$5:$E$15)</f>
        <v>0.049</v>
      </c>
      <c r="C11" s="9"/>
      <c r="D11" s="9"/>
      <c r="E11" s="8" t="s">
        <v>17</v>
      </c>
    </row>
    <row r="12" customFormat="false" ht="24" hidden="false" customHeight="true" outlineLevel="0" collapsed="false">
      <c r="A12" s="6" t="s">
        <v>18</v>
      </c>
      <c r="B12" s="10" t="n">
        <f aca="false">(AVERAGE('Fund Performance'!$D$5:$D$15)-AVERAGE('Fund Performance'!$E$5:$E$15))*100</f>
        <v>11.7118181818182</v>
      </c>
      <c r="C12" s="10"/>
      <c r="D12" s="10"/>
      <c r="E12" s="8" t="s">
        <v>19</v>
      </c>
    </row>
    <row r="13" customFormat="false" ht="24" hidden="false" customHeight="true" outlineLevel="0" collapsed="false">
      <c r="A13" s="6" t="s">
        <v>20</v>
      </c>
      <c r="B13" s="7" t="n">
        <f aca="false">COUNTIF('Fund Performance'!$D$5:$D$15,"&gt;="&amp;0.13)</f>
        <v>5</v>
      </c>
      <c r="C13" s="7"/>
      <c r="D13" s="7"/>
      <c r="E13" s="8" t="s">
        <v>21</v>
      </c>
    </row>
    <row r="15" customFormat="false" ht="15" hidden="false" customHeight="false" outlineLevel="0" collapsed="false">
      <c r="A15" s="3" t="s">
        <v>22</v>
      </c>
    </row>
    <row r="16" customFormat="false" ht="30" hidden="false" customHeight="true" outlineLevel="0" collapsed="false">
      <c r="A16" s="11" t="s">
        <v>23</v>
      </c>
      <c r="B16" s="12" t="s">
        <v>24</v>
      </c>
      <c r="C16" s="12"/>
      <c r="D16" s="12"/>
      <c r="E16" s="12"/>
    </row>
    <row r="17" customFormat="false" ht="30" hidden="false" customHeight="true" outlineLevel="0" collapsed="false">
      <c r="A17" s="11" t="s">
        <v>25</v>
      </c>
      <c r="B17" s="12" t="s">
        <v>26</v>
      </c>
      <c r="C17" s="12"/>
      <c r="D17" s="12"/>
      <c r="E17" s="12"/>
    </row>
    <row r="18" customFormat="false" ht="30" hidden="false" customHeight="true" outlineLevel="0" collapsed="false">
      <c r="A18" s="11" t="s">
        <v>27</v>
      </c>
      <c r="B18" s="12" t="s">
        <v>28</v>
      </c>
      <c r="C18" s="12"/>
      <c r="D18" s="12"/>
      <c r="E18" s="12"/>
    </row>
    <row r="19" customFormat="false" ht="30" hidden="false" customHeight="true" outlineLevel="0" collapsed="false">
      <c r="A19" s="11" t="s">
        <v>29</v>
      </c>
      <c r="B19" s="12" t="s">
        <v>30</v>
      </c>
      <c r="C19" s="12"/>
      <c r="D19" s="12"/>
      <c r="E19" s="12"/>
    </row>
    <row r="20" customFormat="false" ht="30" hidden="false" customHeight="true" outlineLevel="0" collapsed="false">
      <c r="A20" s="11" t="s">
        <v>31</v>
      </c>
      <c r="B20" s="12" t="s">
        <v>32</v>
      </c>
      <c r="C20" s="12"/>
      <c r="D20" s="12"/>
      <c r="E20" s="12"/>
    </row>
    <row r="22" customFormat="false" ht="15" hidden="false" customHeight="false" outlineLevel="0" collapsed="false">
      <c r="A22" s="3" t="s">
        <v>33</v>
      </c>
    </row>
    <row r="23" customFormat="false" ht="33.75" hidden="false" customHeight="true" outlineLevel="0" collapsed="false">
      <c r="A23" s="13" t="s">
        <v>34</v>
      </c>
      <c r="B23" s="14" t="s">
        <v>35</v>
      </c>
      <c r="C23" s="14"/>
      <c r="D23" s="14"/>
      <c r="E23" s="14"/>
    </row>
    <row r="24" customFormat="false" ht="33.75" hidden="false" customHeight="true" outlineLevel="0" collapsed="false">
      <c r="A24" s="13" t="s">
        <v>36</v>
      </c>
      <c r="B24" s="14" t="s">
        <v>37</v>
      </c>
      <c r="C24" s="14"/>
      <c r="D24" s="14"/>
      <c r="E24" s="14"/>
    </row>
    <row r="25" customFormat="false" ht="33.75" hidden="false" customHeight="true" outlineLevel="0" collapsed="false">
      <c r="A25" s="13" t="s">
        <v>38</v>
      </c>
      <c r="B25" s="14" t="s">
        <v>39</v>
      </c>
      <c r="C25" s="14"/>
      <c r="D25" s="14"/>
      <c r="E25" s="14"/>
    </row>
    <row r="26" customFormat="false" ht="33.75" hidden="false" customHeight="true" outlineLevel="0" collapsed="false">
      <c r="A26" s="13" t="s">
        <v>40</v>
      </c>
      <c r="B26" s="14" t="s">
        <v>41</v>
      </c>
      <c r="C26" s="14"/>
      <c r="D26" s="14"/>
      <c r="E26" s="14"/>
    </row>
    <row r="27" customFormat="false" ht="33.75" hidden="false" customHeight="true" outlineLevel="0" collapsed="false">
      <c r="A27" s="13" t="s">
        <v>42</v>
      </c>
      <c r="B27" s="14" t="s">
        <v>43</v>
      </c>
      <c r="C27" s="14"/>
      <c r="D27" s="14"/>
      <c r="E27" s="14"/>
    </row>
  </sheetData>
  <mergeCells count="20">
    <mergeCell ref="A1:E1"/>
    <mergeCell ref="A2:E2"/>
    <mergeCell ref="B6:D6"/>
    <mergeCell ref="B7:D7"/>
    <mergeCell ref="B8:D8"/>
    <mergeCell ref="B9:D9"/>
    <mergeCell ref="B10:D10"/>
    <mergeCell ref="B11:D11"/>
    <mergeCell ref="B12:D12"/>
    <mergeCell ref="B13:D13"/>
    <mergeCell ref="B16:E16"/>
    <mergeCell ref="B17:E17"/>
    <mergeCell ref="B18:E18"/>
    <mergeCell ref="B19:E19"/>
    <mergeCell ref="B20:E20"/>
    <mergeCell ref="B23:E23"/>
    <mergeCell ref="B24:E24"/>
    <mergeCell ref="B25:E25"/>
    <mergeCell ref="B26:E26"/>
    <mergeCell ref="B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54"/>
    <col collapsed="false" customWidth="true" hidden="false" outlineLevel="0" max="3" min="3" style="0" width="30"/>
    <col collapsed="false" customWidth="true" hidden="false" outlineLevel="0" max="4" min="4" style="0" width="13"/>
    <col collapsed="false" customWidth="true" hidden="false" outlineLevel="0" max="5" min="5" style="0" width="15"/>
    <col collapsed="false" customWidth="true" hidden="false" outlineLevel="0" max="6" min="6" style="0" width="13"/>
    <col collapsed="false" customWidth="true" hidden="false" outlineLevel="0" max="7" min="7" style="0" width="21"/>
    <col collapsed="false" customWidth="true" hidden="false" outlineLevel="0" max="8" min="8" style="0" width="12"/>
  </cols>
  <sheetData>
    <row r="1" customFormat="false" ht="27.75" hidden="false" customHeight="true" outlineLevel="0" collapsed="false">
      <c r="A1" s="1" t="s">
        <v>44</v>
      </c>
      <c r="B1" s="1"/>
      <c r="C1" s="1"/>
      <c r="D1" s="1"/>
      <c r="E1" s="1"/>
      <c r="F1" s="1"/>
      <c r="G1" s="1"/>
      <c r="H1" s="1"/>
    </row>
    <row r="2" customFormat="false" ht="16.5" hidden="false" customHeight="true" outlineLevel="0" collapsed="false">
      <c r="A2" s="2" t="s">
        <v>45</v>
      </c>
      <c r="B2" s="2"/>
      <c r="C2" s="2"/>
      <c r="D2" s="2"/>
      <c r="E2" s="2"/>
      <c r="F2" s="2"/>
      <c r="G2" s="2"/>
      <c r="H2" s="2"/>
    </row>
    <row r="4" customFormat="false" ht="30" hidden="false" customHeight="true" outlineLevel="0" collapsed="false">
      <c r="A4" s="5" t="s">
        <v>46</v>
      </c>
      <c r="B4" s="4" t="s">
        <v>47</v>
      </c>
      <c r="C4" s="4" t="s">
        <v>48</v>
      </c>
      <c r="D4" s="5" t="s">
        <v>49</v>
      </c>
      <c r="E4" s="5" t="s">
        <v>50</v>
      </c>
      <c r="F4" s="5" t="s">
        <v>51</v>
      </c>
      <c r="G4" s="4" t="s">
        <v>52</v>
      </c>
      <c r="H4" s="5" t="s">
        <v>53</v>
      </c>
    </row>
    <row r="5" customFormat="false" ht="15" hidden="false" customHeight="false" outlineLevel="0" collapsed="false">
      <c r="A5" s="15" t="n">
        <v>1</v>
      </c>
      <c r="B5" s="16" t="s">
        <v>54</v>
      </c>
      <c r="C5" s="16" t="s">
        <v>55</v>
      </c>
      <c r="D5" s="17" t="n">
        <v>0.5351</v>
      </c>
      <c r="E5" s="17" t="n">
        <v>0.1801</v>
      </c>
      <c r="F5" s="18" t="n">
        <f aca="false">($D5-$E5)*100</f>
        <v>35.5</v>
      </c>
      <c r="G5" s="19" t="str">
        <f aca="false">IF($D5&gt;$E5,"Ahead of benchmark","Behind benchmark")</f>
        <v>Ahead of benchmark</v>
      </c>
      <c r="H5" s="20" t="str">
        <f aca="false">IF($D5&gt;=0.13,"Yes","No")</f>
        <v>Yes</v>
      </c>
    </row>
    <row r="6" customFormat="false" ht="15" hidden="false" customHeight="false" outlineLevel="0" collapsed="false">
      <c r="A6" s="15" t="n">
        <v>2</v>
      </c>
      <c r="B6" s="16" t="s">
        <v>56</v>
      </c>
      <c r="C6" s="16" t="s">
        <v>57</v>
      </c>
      <c r="D6" s="17" t="n">
        <v>0.324</v>
      </c>
      <c r="E6" s="17" t="n">
        <v>0.0203</v>
      </c>
      <c r="F6" s="18" t="n">
        <f aca="false">($D6-$E6)*100</f>
        <v>30.37</v>
      </c>
      <c r="G6" s="19" t="str">
        <f aca="false">IF($D6&gt;$E6,"Ahead of benchmark","Behind benchmark")</f>
        <v>Ahead of benchmark</v>
      </c>
      <c r="H6" s="20" t="str">
        <f aca="false">IF($D6&gt;=0.13,"Yes","No")</f>
        <v>Yes</v>
      </c>
    </row>
    <row r="7" customFormat="false" ht="15" hidden="false" customHeight="false" outlineLevel="0" collapsed="false">
      <c r="A7" s="15" t="n">
        <v>3</v>
      </c>
      <c r="B7" s="16" t="s">
        <v>58</v>
      </c>
      <c r="C7" s="16" t="s">
        <v>59</v>
      </c>
      <c r="D7" s="17" t="n">
        <v>0.2884</v>
      </c>
      <c r="E7" s="17" t="n">
        <v>0.0756</v>
      </c>
      <c r="F7" s="18" t="n">
        <f aca="false">($D7-$E7)*100</f>
        <v>21.28</v>
      </c>
      <c r="G7" s="19" t="str">
        <f aca="false">IF($D7&gt;$E7,"Ahead of benchmark","Behind benchmark")</f>
        <v>Ahead of benchmark</v>
      </c>
      <c r="H7" s="20" t="str">
        <f aca="false">IF($D7&gt;=0.13,"Yes","No")</f>
        <v>Yes</v>
      </c>
    </row>
    <row r="8" customFormat="false" ht="15" hidden="false" customHeight="false" outlineLevel="0" collapsed="false">
      <c r="A8" s="15" t="n">
        <v>4</v>
      </c>
      <c r="B8" s="16" t="s">
        <v>60</v>
      </c>
      <c r="C8" s="16" t="s">
        <v>61</v>
      </c>
      <c r="D8" s="17" t="n">
        <v>0.0958</v>
      </c>
      <c r="E8" s="17" t="n">
        <v>-0.1036</v>
      </c>
      <c r="F8" s="18" t="n">
        <f aca="false">($D8-$E8)*100</f>
        <v>19.94</v>
      </c>
      <c r="G8" s="19" t="str">
        <f aca="false">IF($D8&gt;$E8,"Ahead of benchmark","Behind benchmark")</f>
        <v>Ahead of benchmark</v>
      </c>
      <c r="H8" s="21" t="str">
        <f aca="false">IF($D8&gt;=0.13,"Yes","No")</f>
        <v>No</v>
      </c>
    </row>
    <row r="9" customFormat="false" ht="15" hidden="false" customHeight="false" outlineLevel="0" collapsed="false">
      <c r="A9" s="15" t="n">
        <v>5</v>
      </c>
      <c r="B9" s="16" t="s">
        <v>60</v>
      </c>
      <c r="C9" s="16" t="s">
        <v>61</v>
      </c>
      <c r="D9" s="17" t="n">
        <v>0.0806</v>
      </c>
      <c r="E9" s="17" t="n">
        <v>-0.012</v>
      </c>
      <c r="F9" s="18" t="n">
        <f aca="false">($D9-$E9)*100</f>
        <v>9.26</v>
      </c>
      <c r="G9" s="19" t="str">
        <f aca="false">IF($D9&gt;$E9,"Ahead of benchmark","Behind benchmark")</f>
        <v>Ahead of benchmark</v>
      </c>
      <c r="H9" s="21" t="str">
        <f aca="false">IF($D9&gt;=0.13,"Yes","No")</f>
        <v>No</v>
      </c>
    </row>
    <row r="10" customFormat="false" ht="15" hidden="false" customHeight="false" outlineLevel="0" collapsed="false">
      <c r="A10" s="15" t="n">
        <v>6</v>
      </c>
      <c r="B10" s="16" t="s">
        <v>62</v>
      </c>
      <c r="C10" s="16" t="s">
        <v>59</v>
      </c>
      <c r="D10" s="17" t="n">
        <v>0.1524</v>
      </c>
      <c r="E10" s="17" t="n">
        <v>0.0639</v>
      </c>
      <c r="F10" s="18" t="n">
        <f aca="false">($D10-$E10)*100</f>
        <v>8.85</v>
      </c>
      <c r="G10" s="19" t="str">
        <f aca="false">IF($D10&gt;$E10,"Ahead of benchmark","Behind benchmark")</f>
        <v>Ahead of benchmark</v>
      </c>
      <c r="H10" s="20" t="str">
        <f aca="false">IF($D10&gt;=0.13,"Yes","No")</f>
        <v>Yes</v>
      </c>
    </row>
    <row r="11" customFormat="false" ht="15" hidden="false" customHeight="false" outlineLevel="0" collapsed="false">
      <c r="A11" s="15" t="n">
        <v>7</v>
      </c>
      <c r="B11" s="16" t="s">
        <v>63</v>
      </c>
      <c r="C11" s="16" t="s">
        <v>64</v>
      </c>
      <c r="D11" s="17" t="n">
        <v>0.1552</v>
      </c>
      <c r="E11" s="17" t="n">
        <v>0.0862</v>
      </c>
      <c r="F11" s="18" t="n">
        <f aca="false">($D11-$E11)*100</f>
        <v>6.9</v>
      </c>
      <c r="G11" s="19" t="str">
        <f aca="false">IF($D11&gt;$E11,"Ahead of benchmark","Behind benchmark")</f>
        <v>Ahead of benchmark</v>
      </c>
      <c r="H11" s="20" t="str">
        <f aca="false">IF($D11&gt;=0.13,"Yes","No")</f>
        <v>Yes</v>
      </c>
    </row>
    <row r="12" customFormat="false" ht="15" hidden="false" customHeight="false" outlineLevel="0" collapsed="false">
      <c r="A12" s="15" t="n">
        <v>8</v>
      </c>
      <c r="B12" s="16" t="s">
        <v>65</v>
      </c>
      <c r="C12" s="16" t="s">
        <v>66</v>
      </c>
      <c r="D12" s="17" t="n">
        <v>0.1126</v>
      </c>
      <c r="E12" s="17" t="n">
        <v>0.0727</v>
      </c>
      <c r="F12" s="18" t="n">
        <f aca="false">($D12-$E12)*100</f>
        <v>3.99</v>
      </c>
      <c r="G12" s="19" t="str">
        <f aca="false">IF($D12&gt;$E12,"Ahead of benchmark","Behind benchmark")</f>
        <v>Ahead of benchmark</v>
      </c>
      <c r="H12" s="21" t="str">
        <f aca="false">IF($D12&gt;=0.13,"Yes","No")</f>
        <v>No</v>
      </c>
    </row>
    <row r="13" customFormat="false" ht="15" hidden="false" customHeight="false" outlineLevel="0" collapsed="false">
      <c r="A13" s="15" t="n">
        <v>9</v>
      </c>
      <c r="B13" s="16" t="s">
        <v>67</v>
      </c>
      <c r="C13" s="22" t="s">
        <v>68</v>
      </c>
      <c r="D13" s="17" t="n">
        <v>0.0287</v>
      </c>
      <c r="E13" s="17" t="n">
        <v>0.0396</v>
      </c>
      <c r="F13" s="23" t="n">
        <f aca="false">($D13-$E13)*100</f>
        <v>-1.09</v>
      </c>
      <c r="G13" s="24" t="str">
        <f aca="false">IF($D13&gt;$E13,"Ahead of benchmark","Behind benchmark")</f>
        <v>Behind benchmark</v>
      </c>
      <c r="H13" s="21" t="str">
        <f aca="false">IF($D13&gt;=0.13,"Yes","No")</f>
        <v>No</v>
      </c>
    </row>
    <row r="14" customFormat="false" ht="15" hidden="false" customHeight="false" outlineLevel="0" collapsed="false">
      <c r="A14" s="15" t="n">
        <v>10</v>
      </c>
      <c r="B14" s="16" t="s">
        <v>69</v>
      </c>
      <c r="C14" s="16" t="s">
        <v>59</v>
      </c>
      <c r="D14" s="17" t="n">
        <v>0.0431</v>
      </c>
      <c r="E14" s="17" t="n">
        <v>0.0583</v>
      </c>
      <c r="F14" s="23" t="n">
        <f aca="false">($D14-$E14)*100</f>
        <v>-1.52</v>
      </c>
      <c r="G14" s="24" t="str">
        <f aca="false">IF($D14&gt;$E14,"Ahead of benchmark","Behind benchmark")</f>
        <v>Behind benchmark</v>
      </c>
      <c r="H14" s="21" t="str">
        <f aca="false">IF($D14&gt;=0.13,"Yes","No")</f>
        <v>No</v>
      </c>
    </row>
    <row r="15" customFormat="false" ht="15" hidden="false" customHeight="false" outlineLevel="0" collapsed="false">
      <c r="A15" s="15" t="n">
        <v>11</v>
      </c>
      <c r="B15" s="16" t="s">
        <v>70</v>
      </c>
      <c r="C15" s="16" t="s">
        <v>59</v>
      </c>
      <c r="D15" s="17" t="n">
        <v>0.0114</v>
      </c>
      <c r="E15" s="17" t="n">
        <v>0.0579</v>
      </c>
      <c r="F15" s="23" t="n">
        <f aca="false">($D15-$E15)*100</f>
        <v>-4.65</v>
      </c>
      <c r="G15" s="24" t="str">
        <f aca="false">IF($D15&gt;$E15,"Ahead of benchmark","Behind benchmark")</f>
        <v>Behind benchmark</v>
      </c>
      <c r="H15" s="21" t="str">
        <f aca="false">IF($D15&gt;=0.13,"Yes","No")</f>
        <v>No</v>
      </c>
    </row>
    <row r="16" customFormat="false" ht="15" hidden="false" customHeight="false" outlineLevel="0" collapsed="false">
      <c r="A16" s="25"/>
      <c r="B16" s="26" t="s">
        <v>71</v>
      </c>
      <c r="C16" s="25"/>
      <c r="D16" s="27" t="n">
        <f aca="false">AVERAGE(D5:D15)</f>
        <v>0.166118181818182</v>
      </c>
      <c r="E16" s="27" t="n">
        <f aca="false">AVERAGE(E5:E15)</f>
        <v>0.049</v>
      </c>
      <c r="F16" s="28" t="n">
        <f aca="false">($D16-$E16)*100</f>
        <v>11.7118181818182</v>
      </c>
      <c r="G16" s="26" t="str">
        <f aca="false">COUNTIF(G5:G15,"Ahead of benchmark")&amp;" ahead / "&amp;COUNTIF(G5:G15,"Behind benchmark")&amp;" behind"</f>
        <v>8 ahead / 3 behind</v>
      </c>
      <c r="H16" s="29" t="str">
        <f aca="false">COUNTIF(H5:H15,"Yes")&amp;" of "&amp;COUNTA(H5:H15)</f>
        <v>5 of 11</v>
      </c>
    </row>
    <row r="18" customFormat="false" ht="15" hidden="false" customHeight="false" outlineLevel="0" collapsed="false">
      <c r="A18" s="3" t="s">
        <v>72</v>
      </c>
    </row>
    <row r="19" customFormat="false" ht="15" hidden="false" customHeight="true" outlineLevel="0" collapsed="false">
      <c r="A19" s="30"/>
      <c r="B19" s="16" t="s">
        <v>73</v>
      </c>
      <c r="C19" s="31" t="s">
        <v>74</v>
      </c>
      <c r="D19" s="31"/>
      <c r="E19" s="31"/>
      <c r="F19" s="31"/>
      <c r="G19" s="31"/>
      <c r="H19" s="31"/>
    </row>
  </sheetData>
  <autoFilter ref="A4:H15"/>
  <mergeCells count="3">
    <mergeCell ref="A1:H1"/>
    <mergeCell ref="A2:H2"/>
    <mergeCell ref="C19:H19"/>
  </mergeCells>
  <conditionalFormatting sqref="D5:D15">
    <cfRule type="dataBar" priority="2">
      <dataBar showValue="1" minLength="10" maxLength="90">
        <cfvo type="num" val="0"/>
        <cfvo type="num" val="0.56"/>
        <color rgb="FF1F4E5F"/>
      </dataBar>
      <extLst>
        <ext xmlns:x14="http://schemas.microsoft.com/office/spreadsheetml/2009/9/main" uri="{B025F937-C7B1-47D3-B67F-A62EFF666E3E}">
          <x14:id>{A0ED8BEB-4490-41CB-80B1-1DB371FBD8F8}</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A0ED8BEB-4490-41CB-80B1-1DB371FBD8F8}">
            <x14:dataBar minLength="10" maxLength="90" axisPosition="none" gradient="true">
              <x14:cfvo type="num">
                <xm:f>0</xm:f>
              </x14:cfvo>
              <x14:cfvo type="num">
                <xm:f>0.56</xm:f>
              </x14:cfvo>
              <x14:negativeFillColor rgb="FF1F4E5F"/>
              <x14:axisColor rgb="FF000000"/>
            </x14:dataBar>
          </x14:cfRule>
          <xm:sqref>D5:D15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2" min="2" style="0" width="9"/>
    <col collapsed="false" customWidth="true" hidden="false" outlineLevel="0" max="3" min="3" style="0" width="34"/>
    <col collapsed="false" customWidth="true" hidden="false" outlineLevel="0" max="4" min="4" style="0" width="20"/>
    <col collapsed="false" customWidth="true" hidden="false" outlineLevel="0" max="5" min="5" style="0" width="2"/>
  </cols>
  <sheetData>
    <row r="1" customFormat="false" ht="27.75" hidden="false" customHeight="true" outlineLevel="0" collapsed="false">
      <c r="A1" s="1" t="s">
        <v>75</v>
      </c>
      <c r="B1" s="1"/>
      <c r="C1" s="1"/>
      <c r="D1" s="1"/>
      <c r="E1" s="1"/>
    </row>
    <row r="2" customFormat="false" ht="16.5" hidden="false" customHeight="true" outlineLevel="0" collapsed="false">
      <c r="A2" s="2" t="s">
        <v>76</v>
      </c>
      <c r="B2" s="2"/>
      <c r="C2" s="2"/>
      <c r="D2" s="2"/>
      <c r="E2" s="2"/>
    </row>
    <row r="4" customFormat="false" ht="30" hidden="false" customHeight="true" outlineLevel="0" collapsed="false">
      <c r="A4" s="4" t="s">
        <v>48</v>
      </c>
      <c r="B4" s="5" t="s">
        <v>77</v>
      </c>
      <c r="C4" s="4" t="s">
        <v>78</v>
      </c>
      <c r="D4" s="4" t="s">
        <v>79</v>
      </c>
      <c r="E4" s="5"/>
    </row>
    <row r="5" customFormat="false" ht="15" hidden="false" customHeight="false" outlineLevel="0" collapsed="false">
      <c r="A5" s="30" t="s">
        <v>59</v>
      </c>
      <c r="B5" s="15" t="n">
        <v>4</v>
      </c>
      <c r="C5" s="32" t="s">
        <v>80</v>
      </c>
      <c r="D5" s="33" t="s">
        <v>81</v>
      </c>
    </row>
    <row r="6" customFormat="false" ht="15" hidden="false" customHeight="false" outlineLevel="0" collapsed="false">
      <c r="A6" s="30" t="s">
        <v>61</v>
      </c>
      <c r="B6" s="15" t="n">
        <v>2</v>
      </c>
      <c r="C6" s="32" t="s">
        <v>82</v>
      </c>
      <c r="D6" s="33" t="s">
        <v>83</v>
      </c>
    </row>
    <row r="7" customFormat="false" ht="15" hidden="false" customHeight="false" outlineLevel="0" collapsed="false">
      <c r="A7" s="30" t="s">
        <v>55</v>
      </c>
      <c r="B7" s="15" t="n">
        <v>1</v>
      </c>
      <c r="C7" s="32" t="s">
        <v>84</v>
      </c>
      <c r="D7" s="20" t="s">
        <v>85</v>
      </c>
    </row>
    <row r="8" customFormat="false" ht="15" hidden="false" customHeight="false" outlineLevel="0" collapsed="false">
      <c r="A8" s="30" t="s">
        <v>57</v>
      </c>
      <c r="B8" s="15" t="n">
        <v>1</v>
      </c>
      <c r="C8" s="32" t="s">
        <v>86</v>
      </c>
      <c r="D8" s="20" t="s">
        <v>85</v>
      </c>
    </row>
    <row r="9" customFormat="false" ht="15" hidden="false" customHeight="false" outlineLevel="0" collapsed="false">
      <c r="A9" s="30" t="s">
        <v>64</v>
      </c>
      <c r="B9" s="15" t="n">
        <v>1</v>
      </c>
      <c r="C9" s="32" t="s">
        <v>87</v>
      </c>
      <c r="D9" s="20" t="s">
        <v>85</v>
      </c>
    </row>
    <row r="10" customFormat="false" ht="15" hidden="false" customHeight="false" outlineLevel="0" collapsed="false">
      <c r="A10" s="30" t="s">
        <v>66</v>
      </c>
      <c r="B10" s="15" t="n">
        <v>1</v>
      </c>
      <c r="C10" s="32" t="s">
        <v>88</v>
      </c>
      <c r="D10" s="20" t="s">
        <v>85</v>
      </c>
    </row>
    <row r="11" customFormat="false" ht="15" hidden="false" customHeight="false" outlineLevel="0" collapsed="false">
      <c r="A11" s="30" t="s">
        <v>68</v>
      </c>
      <c r="B11" s="15" t="n">
        <v>1</v>
      </c>
      <c r="C11" s="32" t="s">
        <v>89</v>
      </c>
      <c r="D11" s="20" t="s">
        <v>85</v>
      </c>
    </row>
    <row r="13" customFormat="false" ht="15" hidden="false" customHeight="true" outlineLevel="0" collapsed="false">
      <c r="A13" s="34" t="s">
        <v>90</v>
      </c>
      <c r="B13" s="34"/>
      <c r="C13" s="34"/>
      <c r="D13" s="34"/>
    </row>
    <row r="14" customFormat="false" ht="15" hidden="false" customHeight="false" outlineLevel="0" collapsed="false">
      <c r="A14" s="34"/>
      <c r="B14" s="34"/>
      <c r="C14" s="34"/>
      <c r="D14" s="34"/>
    </row>
    <row r="15" customFormat="false" ht="15" hidden="false" customHeight="false" outlineLevel="0" collapsed="false">
      <c r="A15" s="34"/>
      <c r="B15" s="34"/>
      <c r="C15" s="34"/>
      <c r="D15" s="34"/>
    </row>
  </sheetData>
  <mergeCells count="3">
    <mergeCell ref="A1:E1"/>
    <mergeCell ref="A2:E2"/>
    <mergeCell ref="A13: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3" min="3" style="0" width="58"/>
    <col collapsed="false" customWidth="true" hidden="false" outlineLevel="0" max="4" min="4" style="0" width="18"/>
    <col collapsed="false" customWidth="true" hidden="false" outlineLevel="0" max="5" min="5" style="0" width="10"/>
  </cols>
  <sheetData>
    <row r="1" customFormat="false" ht="27.75" hidden="false" customHeight="true" outlineLevel="0" collapsed="false">
      <c r="A1" s="1" t="s">
        <v>91</v>
      </c>
      <c r="B1" s="1"/>
      <c r="C1" s="1"/>
      <c r="D1" s="1"/>
      <c r="E1" s="1"/>
    </row>
    <row r="2" customFormat="false" ht="16.5" hidden="false" customHeight="true" outlineLevel="0" collapsed="false">
      <c r="A2" s="2" t="s">
        <v>92</v>
      </c>
      <c r="B2" s="2"/>
      <c r="C2" s="2"/>
      <c r="D2" s="2"/>
      <c r="E2" s="2"/>
    </row>
    <row r="4" customFormat="false" ht="30" hidden="false" customHeight="true" outlineLevel="0" collapsed="false">
      <c r="A4" s="5" t="s">
        <v>93</v>
      </c>
      <c r="B4" s="4" t="s">
        <v>94</v>
      </c>
      <c r="C4" s="4" t="s">
        <v>95</v>
      </c>
      <c r="D4" s="5" t="s">
        <v>96</v>
      </c>
      <c r="E4" s="5" t="s">
        <v>97</v>
      </c>
    </row>
    <row r="5" customFormat="false" ht="39.75" hidden="false" customHeight="true" outlineLevel="0" collapsed="false">
      <c r="A5" s="35" t="s">
        <v>98</v>
      </c>
      <c r="B5" s="11" t="s">
        <v>99</v>
      </c>
      <c r="C5" s="8" t="s">
        <v>100</v>
      </c>
      <c r="D5" s="16"/>
      <c r="E5" s="36"/>
    </row>
    <row r="6" customFormat="false" ht="39.75" hidden="false" customHeight="true" outlineLevel="0" collapsed="false">
      <c r="A6" s="35" t="s">
        <v>101</v>
      </c>
      <c r="B6" s="11" t="s">
        <v>102</v>
      </c>
      <c r="C6" s="8" t="s">
        <v>103</v>
      </c>
      <c r="D6" s="16"/>
      <c r="E6" s="36"/>
    </row>
    <row r="7" customFormat="false" ht="39.75" hidden="false" customHeight="true" outlineLevel="0" collapsed="false">
      <c r="A7" s="35" t="s">
        <v>101</v>
      </c>
      <c r="B7" s="11" t="s">
        <v>104</v>
      </c>
      <c r="C7" s="8" t="s">
        <v>105</v>
      </c>
      <c r="D7" s="16"/>
      <c r="E7" s="36"/>
    </row>
    <row r="8" customFormat="false" ht="39.75" hidden="false" customHeight="true" outlineLevel="0" collapsed="false">
      <c r="A8" s="35" t="s">
        <v>106</v>
      </c>
      <c r="B8" s="11" t="s">
        <v>107</v>
      </c>
      <c r="C8" s="8" t="s">
        <v>108</v>
      </c>
      <c r="D8" s="16"/>
      <c r="E8" s="36"/>
    </row>
    <row r="9" customFormat="false" ht="39.75" hidden="false" customHeight="true" outlineLevel="0" collapsed="false">
      <c r="A9" s="35" t="s">
        <v>109</v>
      </c>
      <c r="B9" s="11" t="s">
        <v>110</v>
      </c>
      <c r="C9" s="8" t="s">
        <v>111</v>
      </c>
      <c r="D9" s="16"/>
      <c r="E9" s="36"/>
    </row>
    <row r="11" customFormat="false" ht="15" hidden="false" customHeight="true" outlineLevel="0" collapsed="false">
      <c r="A11" s="37" t="s">
        <v>112</v>
      </c>
      <c r="B11" s="37"/>
      <c r="C11" s="37"/>
      <c r="D11" s="37"/>
      <c r="E11" s="37"/>
    </row>
    <row r="12" customFormat="false" ht="15" hidden="false" customHeight="false" outlineLevel="0" collapsed="false">
      <c r="A12" s="37"/>
      <c r="B12" s="37"/>
      <c r="C12" s="37"/>
      <c r="D12" s="37"/>
      <c r="E12" s="37"/>
    </row>
  </sheetData>
  <mergeCells count="3">
    <mergeCell ref="A1:E1"/>
    <mergeCell ref="A2:E2"/>
    <mergeCell ref="A11:E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2026-09-04T07:04:53Z</dcterms:created>
  <dc:creator>openpyxl</dc:creator>
  <dc:description/>
  <dc:language>en-US</dc:language>
  <cp:lastModifiedBy/>
  <dcterms:modified xsi:type="dcterms:W3CDTF">2026-09-04T07:04:53Z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