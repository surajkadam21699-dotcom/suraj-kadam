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ldings" sheetId="2" state="visible" r:id="rId2"/>
    <sheet name="Withdrawal" sheetId="3" state="visible" r:id="rId3"/>
    <sheet name="XIRR" sheetId="4" state="visible" r:id="rId4"/>
    <sheet name="Client Message" sheetId="5" state="visible" r:id="rId5"/>
    <sheet name="Action Plan" sheetId="6" state="visible" r:id="rId6"/>
  </sheets>
  <definedNames>
    <definedName name="_xlnm._FilterDatabase" localSheetId="1" hidden="1">'Holdings'!$A$4:$J$12</definedName>
  </definedNames>
  <calcPr calcId="124519" fullCalcOnLoad="1"/>
</workbook>
</file>

<file path=xl/styles.xml><?xml version="1.0" encoding="utf-8"?>
<styleSheet xmlns="http://schemas.openxmlformats.org/spreadsheetml/2006/main">
  <numFmts count="3">
    <numFmt numFmtId="164" formatCode="#,##0.0000;(#,##0.0000);-"/>
    <numFmt numFmtId="165" formatCode="[&gt;=10000000]₹ ##\,##\,##\,##0.00;[&gt;=100000]₹ ##\,##\,##0.00;₹ #,##0.00"/>
    <numFmt numFmtId="166" formatCode="0.00%;(0.00%);-"/>
  </numFmts>
  <fonts count="12">
    <font>
      <name val="Calibri"/>
      <family val="2"/>
      <color theme="1"/>
      <sz val="11"/>
      <scheme val="minor"/>
    </font>
    <font>
      <name val="Arial"/>
      <b val="1"/>
      <color rgb="00FFFFFF"/>
      <sz val="13"/>
    </font>
    <font>
      <name val="Arial"/>
      <i val="1"/>
      <color rgb="00404040"/>
      <sz val="9"/>
    </font>
    <font>
      <name val="Arial"/>
      <b val="1"/>
      <color rgb="00FFFFFF"/>
      <sz val="10"/>
    </font>
    <font>
      <name val="Arial"/>
      <sz val="10"/>
    </font>
    <font>
      <name val="Arial"/>
      <color rgb="000000FF"/>
      <sz val="10"/>
    </font>
    <font>
      <name val="Arial"/>
      <color rgb="00006100"/>
      <sz val="10"/>
    </font>
    <font>
      <name val="Arial"/>
      <color rgb="00000000"/>
      <sz val="10"/>
    </font>
    <font>
      <name val="Arial"/>
      <color rgb="009C5700"/>
      <sz val="10"/>
    </font>
    <font>
      <name val="Arial"/>
      <color rgb="009C0006"/>
      <sz val="10"/>
    </font>
    <font>
      <name val="Arial"/>
      <b val="1"/>
      <sz val="10"/>
    </font>
    <font>
      <name val="Arial"/>
      <b val="1"/>
      <color rgb="001F3864"/>
      <sz val="11"/>
    </font>
  </fonts>
  <fills count="9">
    <fill>
      <patternFill/>
    </fill>
    <fill>
      <patternFill patternType="gray125"/>
    </fill>
    <fill>
      <patternFill patternType="solid">
        <fgColor rgb="001F3864"/>
      </patternFill>
    </fill>
    <fill>
      <patternFill patternType="solid">
        <fgColor rgb="00F2F2F2"/>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11" fillId="0" borderId="0" pivotButton="0" quotePrefix="0" xfId="0"/>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10" fillId="0" borderId="1" pivotButton="0" quotePrefix="0" xfId="0"/>
    <xf numFmtId="165" fontId="7" fillId="5" borderId="1" applyAlignment="1" pivotButton="0" quotePrefix="0" xfId="0">
      <alignment horizontal="center" vertical="center"/>
    </xf>
    <xf numFmtId="0" fontId="4" fillId="0" borderId="1" applyAlignment="1" pivotButton="0" quotePrefix="0" xfId="0">
      <alignment vertical="center" wrapText="1"/>
    </xf>
    <xf numFmtId="165" fontId="7" fillId="6" borderId="1" applyAlignment="1" pivotButton="0" quotePrefix="0" xfId="0">
      <alignment horizontal="center" vertical="center"/>
    </xf>
    <xf numFmtId="165" fontId="7" fillId="7" borderId="1" applyAlignment="1" pivotButton="0" quotePrefix="0" xfId="0">
      <alignment horizontal="center" vertical="center"/>
    </xf>
    <xf numFmtId="165" fontId="7" fillId="3" borderId="1" applyAlignment="1" pivotButton="0" quotePrefix="0" xfId="0">
      <alignment horizontal="center" vertical="center"/>
    </xf>
    <xf numFmtId="166" fontId="5" fillId="5" borderId="1" applyAlignment="1" pivotButton="0" quotePrefix="0" xfId="0">
      <alignment horizontal="center" vertical="center"/>
    </xf>
    <xf numFmtId="0" fontId="4" fillId="0" borderId="1" pivotButton="0" quotePrefix="0" xfId="0"/>
    <xf numFmtId="166" fontId="5" fillId="0" borderId="1" applyAlignment="1" pivotButton="0" quotePrefix="0" xfId="0">
      <alignment horizontal="center" vertical="center"/>
    </xf>
    <xf numFmtId="166" fontId="9" fillId="0" borderId="1" applyAlignment="1" pivotButton="0" quotePrefix="0" xfId="0">
      <alignment horizontal="center" vertical="center"/>
    </xf>
    <xf numFmtId="0" fontId="10" fillId="8" borderId="1" pivotButton="0" quotePrefix="0" xfId="0"/>
    <xf numFmtId="166" fontId="7" fillId="8" borderId="1" applyAlignment="1" pivotButton="0" quotePrefix="0" xfId="0">
      <alignment horizontal="center" vertical="center"/>
    </xf>
    <xf numFmtId="0" fontId="4" fillId="8" borderId="1" applyAlignment="1" pivotButton="0" quotePrefix="0" xfId="0">
      <alignment vertical="center" wrapText="1"/>
    </xf>
    <xf numFmtId="0" fontId="10" fillId="0" borderId="1" applyAlignment="1" pivotButton="0" quotePrefix="0" xfId="0">
      <alignment vertical="center" wrapText="1"/>
    </xf>
    <xf numFmtId="0" fontId="5" fillId="0" borderId="1" applyAlignment="1" pivotButton="0" quotePrefix="0" xfId="0">
      <alignment horizontal="center" vertical="center"/>
    </xf>
    <xf numFmtId="0" fontId="5" fillId="0" borderId="1" pivotButton="0" quotePrefix="0" xfId="0"/>
    <xf numFmtId="0" fontId="6" fillId="5" borderId="1" applyAlignment="1" pivotButton="0" quotePrefix="0" xfId="0">
      <alignment horizontal="center" vertical="center"/>
    </xf>
    <xf numFmtId="164" fontId="5" fillId="0" borderId="1" pivotButton="0" quotePrefix="0" xfId="0"/>
    <xf numFmtId="165" fontId="5" fillId="0" borderId="1" pivotButton="0" quotePrefix="0" xfId="0"/>
    <xf numFmtId="165" fontId="7" fillId="0" borderId="1" pivotButton="0" quotePrefix="0" xfId="0"/>
    <xf numFmtId="166" fontId="7" fillId="0"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4" fillId="2" borderId="1" pivotButton="0" quotePrefix="0" xfId="0"/>
    <xf numFmtId="0" fontId="3" fillId="2" borderId="1" pivotButton="0" quotePrefix="0" xfId="0"/>
    <xf numFmtId="165" fontId="3" fillId="2" borderId="1" pivotButton="0" quotePrefix="0" xfId="0"/>
    <xf numFmtId="166" fontId="3" fillId="2" borderId="1" applyAlignment="1" pivotButton="0" quotePrefix="0" xfId="0">
      <alignment horizontal="center" vertical="center"/>
    </xf>
    <xf numFmtId="0" fontId="3" fillId="2" borderId="1" applyAlignment="1" pivotButton="0" quotePrefix="0" xfId="0">
      <alignment horizontal="center" vertical="center"/>
    </xf>
    <xf numFmtId="0" fontId="8" fillId="8" borderId="1" applyAlignment="1" pivotButton="0" quotePrefix="0" xfId="0">
      <alignment vertical="center" wrapText="1"/>
    </xf>
    <xf numFmtId="0" fontId="6" fillId="5" borderId="1" pivotButton="0" quotePrefix="0" xfId="0"/>
    <xf numFmtId="165" fontId="10" fillId="5" borderId="1" pivotButton="0" quotePrefix="0" xfId="0"/>
    <xf numFmtId="0" fontId="8" fillId="6" borderId="1" pivotButton="0" quotePrefix="0" xfId="0"/>
    <xf numFmtId="165" fontId="10" fillId="6" borderId="1" pivotButton="0" quotePrefix="0" xfId="0"/>
    <xf numFmtId="0" fontId="9" fillId="7" borderId="1" pivotButton="0" quotePrefix="0" xfId="0"/>
    <xf numFmtId="165" fontId="10" fillId="7" borderId="1" pivotButton="0" quotePrefix="0" xfId="0"/>
    <xf numFmtId="0" fontId="5" fillId="0" borderId="0" applyAlignment="1" pivotButton="0" quotePrefix="0" xfId="0">
      <alignment vertical="center" wrapText="1"/>
    </xf>
    <xf numFmtId="0" fontId="10" fillId="0" borderId="0" pivotButton="0" quotePrefix="0" xfId="0"/>
    <xf numFmtId="0" fontId="5" fillId="8" borderId="1" applyAlignment="1" pivotButton="0" quotePrefix="0" xfId="0">
      <alignment vertical="center" wrapText="1"/>
    </xf>
    <xf numFmtId="0" fontId="10" fillId="0" borderId="1" applyAlignment="1" pivotButton="0" quotePrefix="0" xfId="0">
      <alignment horizontal="center" vertical="center"/>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34" customWidth="1" min="1" max="1"/>
    <col width="18" customWidth="1" min="2" max="2"/>
    <col width="14" customWidth="1" min="3" max="3"/>
    <col width="14" customWidth="1" min="4" max="4"/>
    <col width="60" customWidth="1" min="5" max="5"/>
  </cols>
  <sheetData>
    <row r="1" ht="28" customHeight="1">
      <c r="A1" s="1" t="inlineStr">
        <is>
          <t>WITHDRAWAL &amp; RETURNS REVIEW  -  PRAMOD NIKALJE FAMILY</t>
        </is>
      </c>
    </row>
    <row r="2" ht="17" customHeight="1">
      <c r="A2" s="2" t="inlineStr">
        <is>
          <t>As on 30 September 2026.  Opulencia Capital Private Limited  -  AMFI Registered Mutual Fund Distributor (ARN-207036)</t>
        </is>
      </c>
    </row>
    <row r="4">
      <c r="A4" s="3" t="inlineStr">
        <is>
          <t>HOW MUCH CAN BE WITHDRAWN</t>
        </is>
      </c>
    </row>
    <row r="5" ht="30" customHeight="1">
      <c r="A5" s="4" t="inlineStr"/>
      <c r="B5" s="5" t="inlineStr">
        <is>
          <t>Amount</t>
        </is>
      </c>
      <c r="C5" s="5" t="inlineStr"/>
      <c r="D5" s="5" t="inlineStr"/>
      <c r="E5" s="4" t="inlineStr">
        <is>
          <t>Explanation</t>
        </is>
      </c>
    </row>
    <row r="6" ht="26" customHeight="1">
      <c r="A6" s="6" t="inlineStr">
        <is>
          <t>Available today, no charge</t>
        </is>
      </c>
      <c r="B6" s="7">
        <f>Withdrawal!$D$5</f>
        <v/>
      </c>
      <c r="E6" s="8" t="inlineStr">
        <is>
          <t>Load-free units across both holders. No exit load, no lock-in.</t>
        </is>
      </c>
    </row>
    <row r="7" ht="26" customHeight="1">
      <c r="A7" s="6" t="inlineStr">
        <is>
          <t>Maximum if exit load is paid</t>
        </is>
      </c>
      <c r="B7" s="9">
        <f>Withdrawal!$D$5+Withdrawal!$D$6</f>
        <v/>
      </c>
      <c r="E7" s="8" t="inlineStr">
        <is>
          <t>Adds Rs 1,15,026.64 of load-applicable units - both at a loss today.</t>
        </is>
      </c>
    </row>
    <row r="8" ht="26" customHeight="1">
      <c r="A8" s="6" t="inlineStr">
        <is>
          <t>Locked and unavailable</t>
        </is>
      </c>
      <c r="B8" s="10">
        <f>Withdrawal!$D$7</f>
        <v/>
      </c>
      <c r="E8" s="8" t="inlineStr">
        <is>
          <t>Two ELSS funds inside the statutory three-year lock-in.</t>
        </is>
      </c>
    </row>
    <row r="9" ht="26" customHeight="1">
      <c r="A9" s="6" t="inlineStr">
        <is>
          <t>Total portfolio</t>
        </is>
      </c>
      <c r="B9" s="11">
        <f>Withdrawal!$D$8</f>
        <v/>
      </c>
      <c r="E9" s="8" t="inlineStr">
        <is>
          <t>Pramod Rs 10,97,208.99 and Amita Rs 1,02,934.78.</t>
        </is>
      </c>
    </row>
    <row r="11">
      <c r="A11" s="3" t="inlineStr">
        <is>
          <t>WHAT XIRR HE GOT</t>
        </is>
      </c>
    </row>
    <row r="12" ht="24" customHeight="1">
      <c r="A12" s="6" t="inlineStr">
        <is>
          <t>Load-free money (Pramod)</t>
        </is>
      </c>
      <c r="B12" s="12" t="n">
        <v>0.1374</v>
      </c>
      <c r="E12" s="8" t="inlineStr">
        <is>
          <t>Rs 4,24,984 invested, now Rs 7,11,289.45. This is the headline number - and it covers only that bucket.</t>
        </is>
      </c>
    </row>
    <row r="13" ht="24" customHeight="1">
      <c r="A13" s="13" t="inlineStr">
        <is>
          <t xml:space="preserve">  of which HDFC Retirement Equity Plan</t>
        </is>
      </c>
      <c r="B13" s="12" t="n">
        <v>0.1608</v>
      </c>
      <c r="E13" s="8" t="inlineStr">
        <is>
          <t>172.60% absolute over roughly 6.7 years. Rs 1,59,997 is now Rs 4,36,157.</t>
        </is>
      </c>
    </row>
    <row r="14" ht="24" customHeight="1">
      <c r="A14" s="13" t="inlineStr">
        <is>
          <t xml:space="preserve">  of which Union Retirement Fund</t>
        </is>
      </c>
      <c r="B14" s="14" t="n">
        <v>0.0451</v>
      </c>
      <c r="E14" s="8" t="inlineStr">
        <is>
          <t>Rs 1,59,992 is now Rs 1,70,851.</t>
        </is>
      </c>
    </row>
    <row r="15" ht="24" customHeight="1">
      <c r="A15" s="13" t="inlineStr">
        <is>
          <t xml:space="preserve">  of which HDFC Retirement Hybrid</t>
        </is>
      </c>
      <c r="B15" s="15" t="n">
        <v>-0.0034</v>
      </c>
      <c r="E15" s="8" t="inlineStr">
        <is>
          <t>Rs 1,04,995 is now Rs 1,04,281.</t>
        </is>
      </c>
    </row>
    <row r="16" ht="24" customHeight="1">
      <c r="A16" s="6" t="inlineStr">
        <is>
          <t>Load-applicable money (Pramod)</t>
        </is>
      </c>
      <c r="B16" s="15" t="n">
        <v>-0.1038</v>
      </c>
      <c r="E16" s="8" t="inlineStr">
        <is>
          <t>HDFC Retirement Hybrid Equity Plan.</t>
        </is>
      </c>
    </row>
    <row r="17" ht="24" customHeight="1">
      <c r="A17" s="6" t="inlineStr">
        <is>
          <t>Lock-in money (Pramod)</t>
        </is>
      </c>
      <c r="B17" s="15" t="n">
        <v>-0.0014</v>
      </c>
      <c r="E17" s="8" t="inlineStr">
        <is>
          <t>The two ELSS funds, close to flat.</t>
        </is>
      </c>
    </row>
    <row r="18" ht="24" customHeight="1">
      <c r="A18" s="6" t="inlineStr">
        <is>
          <t>Load-free money (Amita)</t>
        </is>
      </c>
      <c r="B18" s="15" t="n">
        <v>-0.0078</v>
      </c>
      <c r="E18" s="8" t="inlineStr">
        <is>
          <t>Nippon India Flexi Cap.</t>
        </is>
      </c>
    </row>
    <row r="19" ht="24" customHeight="1">
      <c r="A19" s="6" t="inlineStr">
        <is>
          <t>Load-applicable money (Amita)</t>
        </is>
      </c>
      <c r="B19" s="15" t="n">
        <v>-0.0522</v>
      </c>
      <c r="E19" s="8" t="inlineStr">
        <is>
          <t>Nippon India Flexi Cap.</t>
        </is>
      </c>
    </row>
    <row r="20" ht="30" customHeight="1">
      <c r="A20" s="16" t="inlineStr">
        <is>
          <t>Whole family, absolute return</t>
        </is>
      </c>
      <c r="B20" s="17">
        <f>Holdings!$I$13</f>
        <v/>
      </c>
      <c r="E20" s="18" t="inlineStr">
        <is>
          <t>Rs 9,19,960 invested is now Rs 12,00,143.77. There is no single portfolio XIRR on the report, and bucket XIRRs cannot be averaged.</t>
        </is>
      </c>
    </row>
    <row r="22">
      <c r="A22" s="3" t="inlineStr">
        <is>
          <t>WHAT THIS ACTUALLY SAYS</t>
        </is>
      </c>
    </row>
    <row r="23" ht="32" customHeight="1">
      <c r="A23" s="19" t="inlineStr">
        <is>
          <t>One fund carries the portfolio</t>
        </is>
      </c>
      <c r="B23" s="8" t="inlineStr">
        <is>
          <t>HDFC Retirement Equity Plan has turned Rs 1,59,997 into Rs 4,36,157. That single holding is Rs 2,76,160 of the family's Rs 2,80,184 total gain. Without it the rest of the portfolio is roughly flat.</t>
        </is>
      </c>
    </row>
    <row r="24" ht="32" customHeight="1">
      <c r="A24" s="19" t="inlineStr">
        <is>
          <t>Five of eight holdings are below cost</t>
        </is>
      </c>
      <c r="B24" s="8" t="inlineStr">
        <is>
          <t>Both ELSS funds, both HDFC Hybrid positions and Nippon Flexi Cap.</t>
        </is>
      </c>
    </row>
    <row r="25" ht="32" customHeight="1">
      <c r="A25" s="19" t="inlineStr">
        <is>
          <t>The load-applicable money is the worst of both</t>
        </is>
      </c>
      <c r="B25" s="8" t="inlineStr">
        <is>
          <t>Rs 1,15,026.64 that would be charged to exit and is already at a loss. Wait for the load period unless the money is needed.</t>
        </is>
      </c>
    </row>
    <row r="26" ht="32" customHeight="1">
      <c r="A26" s="19" t="inlineStr">
        <is>
          <t>Tax, not exit load, is the real cost</t>
        </is>
      </c>
      <c r="B26" s="8" t="inlineStr">
        <is>
          <t>Rs 2.86 lakh of gain sits in the load-free bucket. The tax on redeeming it will dwarf any exit load elsewhere.</t>
        </is>
      </c>
    </row>
  </sheetData>
  <mergeCells count="19">
    <mergeCell ref="B14:D14"/>
    <mergeCell ref="B8:D8"/>
    <mergeCell ref="B17:D17"/>
    <mergeCell ref="B13:D13"/>
    <mergeCell ref="A1:E1"/>
    <mergeCell ref="B24:E24"/>
    <mergeCell ref="B26:E26"/>
    <mergeCell ref="B19:D19"/>
    <mergeCell ref="B9:D9"/>
    <mergeCell ref="B25:E25"/>
    <mergeCell ref="B15:D15"/>
    <mergeCell ref="B6:D6"/>
    <mergeCell ref="B20:D20"/>
    <mergeCell ref="A2:E2"/>
    <mergeCell ref="B7:D7"/>
    <mergeCell ref="B16:D16"/>
    <mergeCell ref="B23:E23"/>
    <mergeCell ref="B18:D18"/>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15" customWidth="1" min="2" max="2"/>
    <col width="48" customWidth="1" min="3" max="3"/>
    <col width="17" customWidth="1" min="4" max="4"/>
    <col width="13" customWidth="1" min="5" max="5"/>
    <col width="15" customWidth="1" min="6" max="6"/>
    <col width="16" customWidth="1" min="7" max="7"/>
    <col width="15" customWidth="1" min="8" max="8"/>
    <col width="11" customWidth="1" min="9" max="9"/>
    <col width="10" customWidth="1" min="10" max="10"/>
  </cols>
  <sheetData>
    <row r="1" ht="28" customHeight="1">
      <c r="A1" s="1" t="inlineStr">
        <is>
          <t>HOLDINGS BY EXIT-LOAD STATUS  -  PRAMOD NIKALJE FAMILY</t>
        </is>
      </c>
    </row>
    <row r="2" ht="17" customHeight="1">
      <c r="A2" s="2" t="inlineStr">
        <is>
          <t>As on 30 September 2026. A scheme can appear twice - units bought at different times carry different load status. Gain, absolute return and totals are computed.</t>
        </is>
      </c>
    </row>
    <row r="4" ht="30" customHeight="1">
      <c r="A4" s="4" t="inlineStr">
        <is>
          <t>Holder</t>
        </is>
      </c>
      <c r="B4" s="5" t="inlineStr">
        <is>
          <t>Folio</t>
        </is>
      </c>
      <c r="C4" s="4" t="inlineStr">
        <is>
          <t>Scheme</t>
        </is>
      </c>
      <c r="D4" s="5" t="inlineStr">
        <is>
          <t>Bucket</t>
        </is>
      </c>
      <c r="E4" s="5" t="inlineStr">
        <is>
          <t>Units</t>
        </is>
      </c>
      <c r="F4" s="5" t="inlineStr">
        <is>
          <t>Invested</t>
        </is>
      </c>
      <c r="G4" s="5" t="inlineStr">
        <is>
          <t>Current Value</t>
        </is>
      </c>
      <c r="H4" s="5" t="inlineStr">
        <is>
          <t>Gain / Loss</t>
        </is>
      </c>
      <c r="I4" s="5" t="inlineStr">
        <is>
          <t>Abs. Rtn.</t>
        </is>
      </c>
      <c r="J4" s="5" t="inlineStr">
        <is>
          <t>XIRR</t>
        </is>
      </c>
    </row>
    <row r="5">
      <c r="A5" s="13" t="inlineStr">
        <is>
          <t>Pramod Nikalje</t>
        </is>
      </c>
      <c r="B5" s="20" t="inlineStr">
        <is>
          <t>9713877/79</t>
        </is>
      </c>
      <c r="C5" s="21" t="inlineStr">
        <is>
          <t>HDFC Retirement Fund - Equity Plan - Regular Plan</t>
        </is>
      </c>
      <c r="D5" s="22" t="inlineStr">
        <is>
          <t>Load Free</t>
        </is>
      </c>
      <c r="E5" s="23" t="n">
        <v>9398.933000000001</v>
      </c>
      <c r="F5" s="24" t="n">
        <v>159997.25</v>
      </c>
      <c r="G5" s="24" t="n">
        <v>436157.49</v>
      </c>
      <c r="H5" s="25">
        <f>$G5-$F5</f>
        <v/>
      </c>
      <c r="I5" s="26">
        <f>IF($F5=0,"",$H5/$F5)</f>
        <v/>
      </c>
      <c r="J5" s="14" t="n">
        <v>0.1608</v>
      </c>
    </row>
    <row r="6">
      <c r="A6" s="13" t="inlineStr">
        <is>
          <t>Pramod Nikalje</t>
        </is>
      </c>
      <c r="B6" s="20" t="inlineStr">
        <is>
          <t>10868589</t>
        </is>
      </c>
      <c r="C6" s="21" t="inlineStr">
        <is>
          <t>Union Retirement Fund - Regular Plan</t>
        </is>
      </c>
      <c r="D6" s="22" t="inlineStr">
        <is>
          <t>Load Free</t>
        </is>
      </c>
      <c r="E6" s="23" t="n">
        <v>10772.438</v>
      </c>
      <c r="F6" s="24" t="n">
        <v>159992</v>
      </c>
      <c r="G6" s="24" t="n">
        <v>170850.87</v>
      </c>
      <c r="H6" s="25">
        <f>$G6-$F6</f>
        <v/>
      </c>
      <c r="I6" s="26">
        <f>IF($F6=0,"",$H6/$F6)</f>
        <v/>
      </c>
      <c r="J6" s="14" t="n">
        <v>0.0451</v>
      </c>
    </row>
    <row r="7">
      <c r="A7" s="13" t="inlineStr">
        <is>
          <t>Pramod Nikalje</t>
        </is>
      </c>
      <c r="B7" s="20" t="inlineStr">
        <is>
          <t>9713877/79</t>
        </is>
      </c>
      <c r="C7" s="21" t="inlineStr">
        <is>
          <t>HDFC Retirement Fund - Hybrid Equity Plan - Regular Plan</t>
        </is>
      </c>
      <c r="D7" s="22" t="inlineStr">
        <is>
          <t>Load Free</t>
        </is>
      </c>
      <c r="E7" s="23" t="n">
        <v>2921.694</v>
      </c>
      <c r="F7" s="24" t="n">
        <v>104994.75</v>
      </c>
      <c r="G7" s="24" t="n">
        <v>104281.1</v>
      </c>
      <c r="H7" s="25">
        <f>$G7-$F7</f>
        <v/>
      </c>
      <c r="I7" s="26">
        <f>IF($F7=0,"",$H7/$F7)</f>
        <v/>
      </c>
      <c r="J7" s="14" t="n">
        <v>-0.0034</v>
      </c>
    </row>
    <row r="8">
      <c r="A8" s="13" t="inlineStr">
        <is>
          <t>Amita Pramod Nikalje</t>
        </is>
      </c>
      <c r="B8" s="20" t="inlineStr">
        <is>
          <t>499249672482</t>
        </is>
      </c>
      <c r="C8" s="21" t="inlineStr">
        <is>
          <t>Nippon India Flexi Cap Fund - Regular Plan</t>
        </is>
      </c>
      <c r="D8" s="22" t="inlineStr">
        <is>
          <t>Load Free</t>
        </is>
      </c>
      <c r="E8" s="23" t="n">
        <v>2779.927</v>
      </c>
      <c r="F8" s="24" t="n">
        <v>44998</v>
      </c>
      <c r="G8" s="24" t="n">
        <v>44507.19</v>
      </c>
      <c r="H8" s="25">
        <f>$G8-$F8</f>
        <v/>
      </c>
      <c r="I8" s="26">
        <f>IF($F8=0,"",$H8/$F8)</f>
        <v/>
      </c>
      <c r="J8" s="14" t="n">
        <v>-0.0078</v>
      </c>
    </row>
    <row r="9">
      <c r="A9" s="13" t="inlineStr">
        <is>
          <t>Amita Pramod Nikalje</t>
        </is>
      </c>
      <c r="B9" s="20" t="inlineStr">
        <is>
          <t>499249672482</t>
        </is>
      </c>
      <c r="C9" s="21" t="inlineStr">
        <is>
          <t>Nippon India Flexi Cap Fund - Regular Plan</t>
        </is>
      </c>
      <c r="D9" s="27" t="inlineStr">
        <is>
          <t>Load Applicable</t>
        </is>
      </c>
      <c r="E9" s="23" t="n">
        <v>3649.398</v>
      </c>
      <c r="F9" s="24" t="n">
        <v>59997</v>
      </c>
      <c r="G9" s="24" t="n">
        <v>58427.59</v>
      </c>
      <c r="H9" s="25">
        <f>$G9-$F9</f>
        <v/>
      </c>
      <c r="I9" s="26">
        <f>IF($F9=0,"",$H9/$F9)</f>
        <v/>
      </c>
      <c r="J9" s="14" t="n">
        <v>-0.0522</v>
      </c>
    </row>
    <row r="10">
      <c r="A10" s="13" t="inlineStr">
        <is>
          <t>Pramod Nikalje</t>
        </is>
      </c>
      <c r="B10" s="20" t="inlineStr">
        <is>
          <t>9713877/79</t>
        </is>
      </c>
      <c r="C10" s="21" t="inlineStr">
        <is>
          <t>HDFC Retirement Fund - Hybrid Equity Plan - Regular Plan</t>
        </is>
      </c>
      <c r="D10" s="27" t="inlineStr">
        <is>
          <t>Load Applicable</t>
        </is>
      </c>
      <c r="E10" s="23" t="n">
        <v>1585.763</v>
      </c>
      <c r="F10" s="24" t="n">
        <v>59997</v>
      </c>
      <c r="G10" s="24" t="n">
        <v>56599.05</v>
      </c>
      <c r="H10" s="25">
        <f>$G10-$F10</f>
        <v/>
      </c>
      <c r="I10" s="26">
        <f>IF($F10=0,"",$H10/$F10)</f>
        <v/>
      </c>
      <c r="J10" s="14" t="n">
        <v>-0.1038</v>
      </c>
    </row>
    <row r="11">
      <c r="A11" s="13" t="inlineStr">
        <is>
          <t>Pramod Nikalje</t>
        </is>
      </c>
      <c r="B11" s="20" t="inlineStr">
        <is>
          <t>4710370</t>
        </is>
      </c>
      <c r="C11" s="21" t="inlineStr">
        <is>
          <t>Kotak ELSS Tax Saver Fund - Regular Plan</t>
        </is>
      </c>
      <c r="D11" s="28" t="inlineStr">
        <is>
          <t>Lock In</t>
        </is>
      </c>
      <c r="E11" s="23" t="n">
        <v>1502.628</v>
      </c>
      <c r="F11" s="24" t="n">
        <v>164992</v>
      </c>
      <c r="G11" s="24" t="n">
        <v>169712.82</v>
      </c>
      <c r="H11" s="25">
        <f>$G11-$F11</f>
        <v/>
      </c>
      <c r="I11" s="26">
        <f>IF($F11=0,"",$H11/$F11)</f>
        <v/>
      </c>
      <c r="J11" s="14" t="n">
        <v>0.0191</v>
      </c>
    </row>
    <row r="12">
      <c r="A12" s="13" t="inlineStr">
        <is>
          <t>Pramod Nikalje</t>
        </is>
      </c>
      <c r="B12" s="20" t="inlineStr">
        <is>
          <t>1000075469</t>
        </is>
      </c>
      <c r="C12" s="21" t="inlineStr">
        <is>
          <t>Mahindra Manulife ELSS Tax Saver Fund - Regular Plan</t>
        </is>
      </c>
      <c r="D12" s="28" t="inlineStr">
        <is>
          <t>Lock In</t>
        </is>
      </c>
      <c r="E12" s="23" t="n">
        <v>6138.662</v>
      </c>
      <c r="F12" s="24" t="n">
        <v>164992</v>
      </c>
      <c r="G12" s="24" t="n">
        <v>159607.67</v>
      </c>
      <c r="H12" s="25">
        <f>$G12-$F12</f>
        <v/>
      </c>
      <c r="I12" s="26">
        <f>IF($F12=0,"",$H12/$F12)</f>
        <v/>
      </c>
      <c r="J12" s="14" t="n">
        <v>-0.0222</v>
      </c>
    </row>
    <row r="13">
      <c r="A13" s="29" t="inlineStr"/>
      <c r="B13" s="29" t="inlineStr"/>
      <c r="C13" s="30" t="inlineStr">
        <is>
          <t>FAMILY TOTAL</t>
        </is>
      </c>
      <c r="D13" s="29" t="inlineStr"/>
      <c r="E13" s="29" t="inlineStr"/>
      <c r="F13" s="31">
        <f>SUM(F5:F12)</f>
        <v/>
      </c>
      <c r="G13" s="31">
        <f>SUM(G5:G12)</f>
        <v/>
      </c>
      <c r="H13" s="31">
        <f>SUM(H5:H12)</f>
        <v/>
      </c>
      <c r="I13" s="32">
        <f>$H13/$F13</f>
        <v/>
      </c>
      <c r="J13" s="33" t="inlineStr">
        <is>
          <t>see note</t>
        </is>
      </c>
    </row>
    <row r="15">
      <c r="A15" s="34" t="inlineStr">
        <is>
          <t>XIRR is printed per bucket on the source report and is shown per scheme above. It is a money-weighted rate and cannot be averaged or summed across rows, so no single portfolio XIRR is stated here. The one whole-portfolio figure that is sound is the absolute return in the total row.</t>
        </is>
      </c>
    </row>
    <row r="16"/>
  </sheetData>
  <autoFilter ref="A4:J12"/>
  <mergeCells count="3">
    <mergeCell ref="A1:J1"/>
    <mergeCell ref="A15:J16"/>
    <mergeCell ref="A2:J2"/>
  </mergeCells>
  <conditionalFormatting sqref="G5:G12">
    <cfRule type="dataBar" priority="1">
      <dataBar showValue="1">
        <cfvo type="num" val="0"/>
        <cfvo type="num" val="450000"/>
        <color rgb="001F4E5F"/>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2" customWidth="1" min="1" max="1"/>
    <col width="16" customWidth="1" min="2" max="2"/>
    <col width="18" customWidth="1" min="3" max="3"/>
    <col width="18" customWidth="1" min="4" max="4"/>
    <col width="62" customWidth="1" min="5" max="5"/>
  </cols>
  <sheetData>
    <row r="1" ht="28" customHeight="1">
      <c r="A1" s="1" t="inlineStr">
        <is>
          <t>WHAT CAN BE WITHDRAWN</t>
        </is>
      </c>
    </row>
    <row r="2" ht="17" customHeight="1">
      <c r="A2" s="2" t="inlineStr">
        <is>
          <t>As on 30 September 2026. Every figure sums the Holdings sheet.</t>
        </is>
      </c>
    </row>
    <row r="4" ht="30" customHeight="1">
      <c r="A4" s="4" t="inlineStr">
        <is>
          <t>Bucket</t>
        </is>
      </c>
      <c r="B4" s="5" t="inlineStr">
        <is>
          <t>Pramod</t>
        </is>
      </c>
      <c r="C4" s="5" t="inlineStr">
        <is>
          <t>Amita</t>
        </is>
      </c>
      <c r="D4" s="5" t="inlineStr">
        <is>
          <t>Family</t>
        </is>
      </c>
      <c r="E4" s="4" t="inlineStr">
        <is>
          <t>What it means</t>
        </is>
      </c>
    </row>
    <row r="5" ht="34" customHeight="1">
      <c r="A5" s="35" t="inlineStr">
        <is>
          <t>Load Free</t>
        </is>
      </c>
      <c r="B5" s="25">
        <f>SUMIFS(Holdings!$G$5:$G$12,Holdings!$D$5:$D$12,$A5,Holdings!$A$5:$A$12,"Pramod Nikalje")</f>
        <v/>
      </c>
      <c r="C5" s="25">
        <f>SUMIFS(Holdings!$G$5:$G$12,Holdings!$D$5:$D$12,$A5,Holdings!$A$5:$A$12,"Amita Pramod Nikalje")</f>
        <v/>
      </c>
      <c r="D5" s="36">
        <f>$B5+$C5</f>
        <v/>
      </c>
      <c r="E5" s="8" t="inlineStr">
        <is>
          <t>Withdraw today. No exit load, no lock-in. Capital gains tax still applies.</t>
        </is>
      </c>
    </row>
    <row r="6" ht="34" customHeight="1">
      <c r="A6" s="37" t="inlineStr">
        <is>
          <t>Load Applicable</t>
        </is>
      </c>
      <c r="B6" s="25">
        <f>SUMIFS(Holdings!$G$5:$G$12,Holdings!$D$5:$D$12,$A6,Holdings!$A$5:$A$12,"Pramod Nikalje")</f>
        <v/>
      </c>
      <c r="C6" s="25">
        <f>SUMIFS(Holdings!$G$5:$G$12,Holdings!$D$5:$D$12,$A6,Holdings!$A$5:$A$12,"Amita Pramod Nikalje")</f>
        <v/>
      </c>
      <c r="D6" s="38">
        <f>$B6+$C6</f>
        <v/>
      </c>
      <c r="E6" s="8" t="inlineStr">
        <is>
          <t>Can be withdrawn, but an exit load is charged. Both holdings here are at a loss, so exiting now means paying a charge to book a loss.</t>
        </is>
      </c>
    </row>
    <row r="7" ht="34" customHeight="1">
      <c r="A7" s="39" t="inlineStr">
        <is>
          <t>Lock In</t>
        </is>
      </c>
      <c r="B7" s="25">
        <f>SUMIFS(Holdings!$G$5:$G$12,Holdings!$D$5:$D$12,$A7,Holdings!$A$5:$A$12,"Pramod Nikalje")</f>
        <v/>
      </c>
      <c r="C7" s="25">
        <f>SUMIFS(Holdings!$G$5:$G$12,Holdings!$D$5:$D$12,$A7,Holdings!$A$5:$A$12,"Amita Pramod Nikalje")</f>
        <v/>
      </c>
      <c r="D7" s="40">
        <f>$B7+$C7</f>
        <v/>
      </c>
      <c r="E7" s="8" t="inlineStr">
        <is>
          <t>Cannot be withdrawn. Both are ELSS funds inside the statutory three-year lock-in. No fee will release them early.</t>
        </is>
      </c>
    </row>
    <row r="8">
      <c r="A8" s="30" t="inlineStr">
        <is>
          <t>PORTFOLIO</t>
        </is>
      </c>
      <c r="B8" s="31">
        <f>SUM(B5:B7)</f>
        <v/>
      </c>
      <c r="C8" s="31">
        <f>SUM(C5:C7)</f>
        <v/>
      </c>
      <c r="D8" s="31">
        <f>SUM(D5:D7)</f>
        <v/>
      </c>
      <c r="E8" s="29" t="inlineStr"/>
    </row>
    <row r="10">
      <c r="A10" s="3" t="inlineStr">
        <is>
          <t>THE ANSWER</t>
        </is>
      </c>
    </row>
    <row r="11" ht="26" customHeight="1">
      <c r="A11" s="6" t="inlineStr">
        <is>
          <t>Withdraw today, no charge</t>
        </is>
      </c>
      <c r="B11" s="11">
        <f>$D5</f>
        <v/>
      </c>
      <c r="D11" s="13" t="inlineStr"/>
      <c r="E11" s="8" t="inlineStr">
        <is>
          <t>Load-free value. This is the figure to quote.</t>
        </is>
      </c>
    </row>
    <row r="12" ht="26" customHeight="1">
      <c r="A12" s="6" t="inlineStr">
        <is>
          <t>Maximum withdrawable today</t>
        </is>
      </c>
      <c r="B12" s="11">
        <f>$D5+$D6</f>
        <v/>
      </c>
      <c r="D12" s="13" t="inlineStr"/>
      <c r="E12" s="8" t="inlineStr">
        <is>
          <t>Adds the load-applicable money. An exit load is charged on that part.</t>
        </is>
      </c>
    </row>
    <row r="13" ht="26" customHeight="1">
      <c r="A13" s="6" t="inlineStr">
        <is>
          <t>Cannot be withdrawn</t>
        </is>
      </c>
      <c r="B13" s="11">
        <f>$D7</f>
        <v/>
      </c>
      <c r="D13" s="13" t="inlineStr"/>
      <c r="E13" s="8" t="inlineStr">
        <is>
          <t>ELSS lock-in. No fee releases it early.</t>
        </is>
      </c>
    </row>
    <row r="14" ht="26" customHeight="1">
      <c r="A14" s="6" t="inlineStr">
        <is>
          <t>Gain sitting in the load-free money</t>
        </is>
      </c>
      <c r="B14" s="11">
        <f>SUMIFS(Holdings!$H$5:$H$12,Holdings!$D$5:$D$12,"Load Free")</f>
        <v/>
      </c>
      <c r="D14" s="13" t="inlineStr"/>
      <c r="E14" s="8" t="inlineStr">
        <is>
          <t>Capital gains tax applies on withdrawal - confirm the rates with the CA.</t>
        </is>
      </c>
    </row>
  </sheetData>
  <mergeCells count="6">
    <mergeCell ref="B13:C13"/>
    <mergeCell ref="A2:E2"/>
    <mergeCell ref="B11:C11"/>
    <mergeCell ref="A1:E1"/>
    <mergeCell ref="B14:C14"/>
    <mergeCell ref="B12:C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2" customWidth="1" min="1" max="1"/>
    <col width="18" customWidth="1" min="2" max="2"/>
    <col width="16" customWidth="1" min="3" max="3"/>
    <col width="16" customWidth="1" min="4" max="4"/>
    <col width="16" customWidth="1" min="5" max="5"/>
    <col width="12" customWidth="1" min="6" max="6"/>
  </cols>
  <sheetData>
    <row r="1" ht="28" customHeight="1">
      <c r="A1" s="1" t="inlineStr">
        <is>
          <t>RETURNS BY BUCKET</t>
        </is>
      </c>
    </row>
    <row r="2" ht="17" customHeight="1">
      <c r="A2" s="2" t="inlineStr">
        <is>
          <t>XIRR exactly as printed on the source report. It is money-weighted, so these cannot be averaged into one number.</t>
        </is>
      </c>
    </row>
    <row r="4" ht="30" customHeight="1">
      <c r="A4" s="4" t="inlineStr">
        <is>
          <t>Holder</t>
        </is>
      </c>
      <c r="B4" s="4" t="inlineStr">
        <is>
          <t>Bucket</t>
        </is>
      </c>
      <c r="C4" s="5" t="inlineStr">
        <is>
          <t>Invested</t>
        </is>
      </c>
      <c r="D4" s="5" t="inlineStr">
        <is>
          <t>Current Value</t>
        </is>
      </c>
      <c r="E4" s="5" t="inlineStr">
        <is>
          <t>Gain / Loss</t>
        </is>
      </c>
      <c r="F4" s="5" t="inlineStr">
        <is>
          <t>XIRR</t>
        </is>
      </c>
    </row>
    <row r="5">
      <c r="A5" s="13" t="inlineStr">
        <is>
          <t>Pramod Nikalje</t>
        </is>
      </c>
      <c r="B5" s="22" t="inlineStr">
        <is>
          <t>Load Free</t>
        </is>
      </c>
      <c r="C5" s="25">
        <f>SUMIFS(Holdings!$F$5:$F$12,Holdings!$D$5:$D$12,$B5,Holdings!$A$5:$A$12,$A5)</f>
        <v/>
      </c>
      <c r="D5" s="25">
        <f>SUMIFS(Holdings!$G$5:$G$12,Holdings!$D$5:$D$12,$B5,Holdings!$A$5:$A$12,$A5)</f>
        <v/>
      </c>
      <c r="E5" s="25">
        <f>SUMIFS(Holdings!$H$5:$H$12,Holdings!$D$5:$D$12,$B5,Holdings!$A$5:$A$12,$A5)</f>
        <v/>
      </c>
      <c r="F5" s="12" t="n">
        <v>0.1374</v>
      </c>
    </row>
    <row r="6">
      <c r="A6" s="13" t="inlineStr">
        <is>
          <t>Pramod Nikalje</t>
        </is>
      </c>
      <c r="B6" s="27" t="inlineStr">
        <is>
          <t>Load Applicable</t>
        </is>
      </c>
      <c r="C6" s="25">
        <f>SUMIFS(Holdings!$F$5:$F$12,Holdings!$D$5:$D$12,$B6,Holdings!$A$5:$A$12,$A6)</f>
        <v/>
      </c>
      <c r="D6" s="25">
        <f>SUMIFS(Holdings!$G$5:$G$12,Holdings!$D$5:$D$12,$B6,Holdings!$A$5:$A$12,$A6)</f>
        <v/>
      </c>
      <c r="E6" s="25">
        <f>SUMIFS(Holdings!$H$5:$H$12,Holdings!$D$5:$D$12,$B6,Holdings!$A$5:$A$12,$A6)</f>
        <v/>
      </c>
      <c r="F6" s="15" t="n">
        <v>-0.1038</v>
      </c>
    </row>
    <row r="7">
      <c r="A7" s="13" t="inlineStr">
        <is>
          <t>Pramod Nikalje</t>
        </is>
      </c>
      <c r="B7" s="28" t="inlineStr">
        <is>
          <t>Lock In</t>
        </is>
      </c>
      <c r="C7" s="25">
        <f>SUMIFS(Holdings!$F$5:$F$12,Holdings!$D$5:$D$12,$B7,Holdings!$A$5:$A$12,$A7)</f>
        <v/>
      </c>
      <c r="D7" s="25">
        <f>SUMIFS(Holdings!$G$5:$G$12,Holdings!$D$5:$D$12,$B7,Holdings!$A$5:$A$12,$A7)</f>
        <v/>
      </c>
      <c r="E7" s="25">
        <f>SUMIFS(Holdings!$H$5:$H$12,Holdings!$D$5:$D$12,$B7,Holdings!$A$5:$A$12,$A7)</f>
        <v/>
      </c>
      <c r="F7" s="15" t="n">
        <v>-0.0014</v>
      </c>
    </row>
    <row r="8">
      <c r="A8" s="13" t="inlineStr">
        <is>
          <t>Amita Pramod Nikalje</t>
        </is>
      </c>
      <c r="B8" s="22" t="inlineStr">
        <is>
          <t>Load Free</t>
        </is>
      </c>
      <c r="C8" s="25">
        <f>SUMIFS(Holdings!$F$5:$F$12,Holdings!$D$5:$D$12,$B8,Holdings!$A$5:$A$12,$A8)</f>
        <v/>
      </c>
      <c r="D8" s="25">
        <f>SUMIFS(Holdings!$G$5:$G$12,Holdings!$D$5:$D$12,$B8,Holdings!$A$5:$A$12,$A8)</f>
        <v/>
      </c>
      <c r="E8" s="25">
        <f>SUMIFS(Holdings!$H$5:$H$12,Holdings!$D$5:$D$12,$B8,Holdings!$A$5:$A$12,$A8)</f>
        <v/>
      </c>
      <c r="F8" s="15" t="n">
        <v>-0.0078</v>
      </c>
    </row>
    <row r="9">
      <c r="A9" s="13" t="inlineStr">
        <is>
          <t>Amita Pramod Nikalje</t>
        </is>
      </c>
      <c r="B9" s="27" t="inlineStr">
        <is>
          <t>Load Applicable</t>
        </is>
      </c>
      <c r="C9" s="25">
        <f>SUMIFS(Holdings!$F$5:$F$12,Holdings!$D$5:$D$12,$B9,Holdings!$A$5:$A$12,$A9)</f>
        <v/>
      </c>
      <c r="D9" s="25">
        <f>SUMIFS(Holdings!$G$5:$G$12,Holdings!$D$5:$D$12,$B9,Holdings!$A$5:$A$12,$A9)</f>
        <v/>
      </c>
      <c r="E9" s="25">
        <f>SUMIFS(Holdings!$H$5:$H$12,Holdings!$D$5:$D$12,$B9,Holdings!$A$5:$A$12,$A9)</f>
        <v/>
      </c>
      <c r="F9" s="15" t="n">
        <v>-0.0522</v>
      </c>
    </row>
    <row r="10">
      <c r="A10" s="30" t="inlineStr">
        <is>
          <t>FAMILY</t>
        </is>
      </c>
      <c r="B10" s="29" t="inlineStr"/>
      <c r="C10" s="31">
        <f>SUM(C5:C9)</f>
        <v/>
      </c>
      <c r="D10" s="31">
        <f>SUM(D5:D9)</f>
        <v/>
      </c>
      <c r="E10" s="31">
        <f>SUM(E5:E9)</f>
        <v/>
      </c>
      <c r="F10" s="33" t="inlineStr">
        <is>
          <t>not additive</t>
        </is>
      </c>
    </row>
    <row r="12">
      <c r="A12" s="34" t="inlineStr">
        <is>
          <t>The 13.74% is the XIRR on Pramod's load-free money only - Rs 4,24,984 invested, now Rs 7,11,289.45. It is not the family's return. Almost all of it comes from one holding: HDFC Retirement Fund - Equity Plan, up 172.60% in absolute terms at 16.08% XIRR, which alone accounts for Rs 2,76,160 of the family's Rs 2,80,184 total gain. Five of the eight holdings are below cost.</t>
        </is>
      </c>
    </row>
    <row r="13"/>
    <row r="14"/>
  </sheetData>
  <mergeCells count="3">
    <mergeCell ref="A2:F2"/>
    <mergeCell ref="A12:F14"/>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showGridLines="0" workbookViewId="0">
      <selection activeCell="A1" sqref="A1"/>
    </sheetView>
  </sheetViews>
  <sheetFormatPr baseColWidth="8" defaultRowHeight="15"/>
  <cols>
    <col width="26" customWidth="1" min="1" max="1"/>
    <col width="104" customWidth="1" min="2" max="2"/>
  </cols>
  <sheetData>
    <row r="1" ht="28" customHeight="1">
      <c r="A1" s="1" t="inlineStr">
        <is>
          <t>DRAFT MESSAGE TO THE CLIENT</t>
        </is>
      </c>
    </row>
    <row r="2" ht="17" customHeight="1">
      <c r="A2" s="2" t="inlineStr">
        <is>
          <t>Ready to copy into email. A short WhatsApp version is at the bottom.</t>
        </is>
      </c>
    </row>
    <row r="4" ht="15" customHeight="1">
      <c r="A4" s="3" t="inlineStr">
        <is>
          <t>Subject</t>
        </is>
      </c>
      <c r="B4" s="41" t="inlineStr">
        <is>
          <t>Your portfolio - what is available to withdraw, as on 30 September 2026</t>
        </is>
      </c>
    </row>
    <row r="6" ht="15" customHeight="1">
      <c r="B6" s="41" t="inlineStr">
        <is>
          <t>Dear Dr. Nikalje,</t>
        </is>
      </c>
    </row>
    <row r="8" ht="15" customHeight="1">
      <c r="B8" s="41" t="inlineStr">
        <is>
          <t>Here is where your family portfolio stands as on 30 September 2026.</t>
        </is>
      </c>
    </row>
    <row r="10">
      <c r="A10" s="42" t="inlineStr">
        <is>
          <t>WHAT YOU CAN WITHDRAW</t>
        </is>
      </c>
    </row>
    <row r="11" ht="15" customHeight="1">
      <c r="B11" s="41" t="inlineStr">
        <is>
          <t>The family portfolio is worth Rs 12,00,143.77. It sits in three parts:</t>
        </is>
      </c>
    </row>
    <row r="12" ht="15" customHeight="1">
      <c r="B12" s="41" t="inlineStr">
        <is>
          <t xml:space="preserve">  -  Rs 7,55,796.64  can be withdrawn immediately, with no exit load.</t>
        </is>
      </c>
    </row>
    <row r="13" ht="15" customHeight="1">
      <c r="B13" s="41" t="inlineStr">
        <is>
          <t xml:space="preserve">  -  Rs 1,15,026.64  can be withdrawn, but an exit load will be charged.</t>
        </is>
      </c>
    </row>
    <row r="14" ht="15" customHeight="1">
      <c r="B14" s="41" t="inlineStr">
        <is>
          <t xml:space="preserve">  -  Rs 3,29,320.48  is in ELSS funds and is locked under the statutory three-year rule.</t>
        </is>
      </c>
    </row>
    <row r="16" ht="28" customHeight="1">
      <c r="B16" s="41" t="inlineStr">
        <is>
          <t>So the amount freely available to you today is Rs 7,55,796.64 - Rs 7,11,289.45 in your name and Rs 44,507.19 in Mrs. Nikalje's.</t>
        </is>
      </c>
    </row>
    <row r="18">
      <c r="A18" s="42" t="inlineStr">
        <is>
          <t>HOW THE MONEY HAS DONE</t>
        </is>
      </c>
    </row>
    <row r="19" ht="28" customHeight="1">
      <c r="B19" s="41" t="inlineStr">
        <is>
          <t>The load-free portion has earned an XIRR of 13.74%. Rs 4,24,984 invested is now Rs 7,11,289.45.</t>
        </is>
      </c>
    </row>
    <row r="21" ht="41" customHeight="1">
      <c r="B21" s="41" t="inlineStr">
        <is>
          <t>This is led by HDFC Retirement Fund - Equity Plan, which has grown from Rs 1,59,997 to Rs 4,36,157 - 172.60% in absolute terms, 16.08% XIRR, over roughly six and a half years. It has been the standout holding.</t>
        </is>
      </c>
    </row>
    <row r="23" ht="28" customHeight="1">
      <c r="B23" s="41" t="inlineStr">
        <is>
          <t>Across the whole family portfolio, Rs 9,19,960 invested is now worth Rs 12,00,143.77, an absolute gain of 30.46%.</t>
        </is>
      </c>
    </row>
    <row r="25">
      <c r="A25" s="42" t="inlineStr">
        <is>
          <t>TWO POINTS BEFORE YOU WITHDRAW</t>
        </is>
      </c>
    </row>
    <row r="26" ht="41" customHeight="1">
      <c r="B26" s="41" t="inlineStr">
        <is>
          <t>1.  Withdrawing is not tax-free. The load-free holdings carry gains of about Rs 2.86 lakh and capital gains tax will apply. Please tell me before you redeem and I will work the tax out with your CA so we can plan the timing.</t>
        </is>
      </c>
    </row>
    <row r="28" ht="41" customHeight="1">
      <c r="B28" s="41" t="inlineStr">
        <is>
          <t>2.  The Rs 1,15,026.64 in the load-applicable part is at a small loss today. Exiting now means paying a charge to book a loss, so unless the money is needed urgently I would suggest waiting for the load period to end.</t>
        </is>
      </c>
    </row>
    <row r="30" ht="15" customHeight="1">
      <c r="B30" s="41" t="inlineStr">
        <is>
          <t>Happy to take you through any of this on a call.</t>
        </is>
      </c>
    </row>
    <row r="32" ht="15" customHeight="1">
      <c r="B32" s="41" t="inlineStr">
        <is>
          <t>Warm regards,</t>
        </is>
      </c>
    </row>
    <row r="33" ht="15" customHeight="1">
      <c r="B33" s="41" t="inlineStr">
        <is>
          <t>Opulencia Capital Private Limited</t>
        </is>
      </c>
    </row>
    <row r="34" ht="15" customHeight="1">
      <c r="B34" s="41" t="inlineStr">
        <is>
          <t>AMFI Registered Mutual Fund Distributor - ARN-207036</t>
        </is>
      </c>
    </row>
    <row r="35" ht="15" customHeight="1">
      <c r="B35" s="41" t="inlineStr">
        <is>
          <t>9850099777  |  info@opulencemoney.com</t>
        </is>
      </c>
    </row>
    <row r="37">
      <c r="A37" s="3" t="inlineStr">
        <is>
          <t>SHORT / WHATSAPP</t>
        </is>
      </c>
    </row>
    <row r="38">
      <c r="A38" s="43" t="inlineStr">
        <is>
          <t>Dear Dr. Nikalje, your family portfolio as on 30 Sep 2026 is Rs 12,00,143.77. Rs 7,55,796.64 can be withdrawn today with no exit load; Rs 1,15,026.64 would attract an exit load; Rs 3,29,320.48 is in ELSS and locked in. The load-free part has earned 13.74% XIRR, led by HDFC Retirement Equity Plan at 16.08%. Do note that withdrawing attracts capital gains tax - please check with me before redeeming so we can plan it with your CA. - Opulencia Capital</t>
        </is>
      </c>
    </row>
    <row r="39"/>
    <row r="40"/>
    <row r="41"/>
  </sheetData>
  <mergeCells count="3">
    <mergeCell ref="A38:B41"/>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16" customWidth="1" min="1" max="1"/>
    <col width="30" customWidth="1" min="2" max="2"/>
    <col width="58" customWidth="1" min="3" max="3"/>
    <col width="18" customWidth="1" min="4" max="4"/>
    <col width="10" customWidth="1" min="5" max="5"/>
  </cols>
  <sheetData>
    <row r="1" ht="28" customHeight="1">
      <c r="A1" s="1" t="inlineStr">
        <is>
          <t>ACTION PLAN</t>
        </is>
      </c>
    </row>
    <row r="2" ht="17" customHeight="1">
      <c r="A2" s="2" t="inlineStr">
        <is>
          <t>Owner and Done are yours to fill in.</t>
        </is>
      </c>
    </row>
    <row r="4" ht="30" customHeight="1">
      <c r="A4" s="5" t="inlineStr">
        <is>
          <t>When</t>
        </is>
      </c>
      <c r="B4" s="4" t="inlineStr">
        <is>
          <t>Step</t>
        </is>
      </c>
      <c r="C4" s="4" t="inlineStr">
        <is>
          <t>What happens</t>
        </is>
      </c>
      <c r="D4" s="5" t="inlineStr">
        <is>
          <t>Owner</t>
        </is>
      </c>
      <c r="E4" s="5" t="inlineStr">
        <is>
          <t>Done</t>
        </is>
      </c>
    </row>
    <row r="5" ht="42" customHeight="1">
      <c r="A5" s="44" t="inlineStr">
        <is>
          <t>Before the call</t>
        </is>
      </c>
      <c r="B5" s="19" t="inlineStr">
        <is>
          <t>Confirm the need</t>
        </is>
      </c>
      <c r="C5" s="8" t="inlineStr">
        <is>
          <t>Ask how much is actually needed and by when. Rs 7,55,796.64 is available without charge; anything beyond that costs an exit load or is locked.</t>
        </is>
      </c>
      <c r="D5" s="21" t="n"/>
      <c r="E5" s="20" t="n"/>
    </row>
    <row r="6" ht="42" customHeight="1">
      <c r="A6" s="44" t="inlineStr">
        <is>
          <t>Before the call</t>
        </is>
      </c>
      <c r="B6" s="19" t="inlineStr">
        <is>
          <t>Get the tax number</t>
        </is>
      </c>
      <c r="C6" s="8" t="inlineStr">
        <is>
          <t>Work the capital gains on the load-free holdings out with the CA - about Rs 2.86 lakh of gain sits there. Confirm the rates in force.</t>
        </is>
      </c>
      <c r="D6" s="21" t="n"/>
      <c r="E6" s="20" t="n"/>
    </row>
    <row r="7" ht="42" customHeight="1">
      <c r="A7" s="44" t="inlineStr">
        <is>
          <t>At the call</t>
        </is>
      </c>
      <c r="B7" s="19" t="inlineStr">
        <is>
          <t>Set the order of withdrawal</t>
        </is>
      </c>
      <c r="C7" s="8" t="inlineStr">
        <is>
          <t>Take from the load-free bucket first. Leave the load-applicable money alone - both holdings are at a loss and would also be charged to exit.</t>
        </is>
      </c>
      <c r="D7" s="21" t="n"/>
      <c r="E7" s="20" t="n"/>
    </row>
    <row r="8" ht="42" customHeight="1">
      <c r="A8" s="44" t="inlineStr">
        <is>
          <t>At the call</t>
        </is>
      </c>
      <c r="B8" s="19" t="inlineStr">
        <is>
          <t>Flag the concentration</t>
        </is>
      </c>
      <c r="C8" s="8" t="inlineStr">
        <is>
          <t>HDFC Retirement Equity Plan is Rs 4,36,157 of a Rs 12,00,144 portfolio and carries nearly the whole gain. Redeeming it first realises the largest tax bill; leaving it keeps the portfolio dependent on one fund.</t>
        </is>
      </c>
      <c r="D8" s="21" t="n"/>
      <c r="E8" s="20" t="n"/>
    </row>
    <row r="9" ht="42" customHeight="1">
      <c r="A9" s="44" t="inlineStr">
        <is>
          <t>After</t>
        </is>
      </c>
      <c r="B9" s="19" t="inlineStr">
        <is>
          <t>Diarise the ELSS</t>
        </is>
      </c>
      <c r="C9" s="8" t="inlineStr">
        <is>
          <t>Note when each ELSS tranche leaves its three-year lock-in so the Rs 3,29,320.48 can be planned rather than waited on.</t>
        </is>
      </c>
      <c r="D9" s="21" t="n"/>
      <c r="E9" s="20" t="n"/>
    </row>
    <row r="10" ht="42" customHeight="1">
      <c r="A10" s="44" t="inlineStr">
        <is>
          <t>Ongoing</t>
        </is>
      </c>
      <c r="B10" s="19" t="inlineStr">
        <is>
          <t>Review</t>
        </is>
      </c>
      <c r="C10" s="8" t="inlineStr">
        <is>
          <t>Five of the eight holdings are below cost. Schedule a performance review separate from this withdrawal question.</t>
        </is>
      </c>
      <c r="D10" s="21" t="n"/>
      <c r="E10" s="20" t="n"/>
    </row>
    <row r="12">
      <c r="A12" s="45" t="inlineStr">
        <is>
          <t>Mutual fund investments are subject to market risk. Read all scheme-related documents carefully. Capital gains tax treatment depends on the rates in force and on each investor's position - confirm with a CA before redeeming.</t>
        </is>
      </c>
    </row>
    <row r="13"/>
  </sheetData>
  <mergeCells count="3">
    <mergeCell ref="A2:E2"/>
    <mergeCell ref="A1:E1"/>
    <mergeCell ref="A12: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2026-09-30T11:49:43Z</dcterms:created>
  <dcterms:modified xsi:type="dcterms:W3CDTF">2026-09-30T11:49:43Z</dcterms:modified>
</cp:coreProperties>
</file>