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Fund Research" sheetId="2" state="visible" r:id="rId2"/>
    <sheet name="Best Funds" sheetId="3" state="visible" r:id="rId3"/>
    <sheet name="Need to Improve" sheetId="4" state="visible" r:id="rId4"/>
    <sheet name="Not Performing" sheetId="5" state="visible" r:id="rId5"/>
    <sheet name="Summary" sheetId="6" state="visible" r:id="rId6"/>
    <sheet name="Lists" sheetId="7" state="visible" r:id="rId7"/>
  </sheets>
  <definedNames>
    <definedName name="_xlnm._FilterDatabase" localSheetId="1" hidden="1">'Fund Research'!$A$5:$T$505</definedName>
    <definedName name="_xlnm._FilterDatabase" localSheetId="2" hidden="1">'Best Funds'!$A$5:$M$205</definedName>
    <definedName name="_xlnm._FilterDatabase" localSheetId="3" hidden="1">'Need to Improve'!$A$5:$M$205</definedName>
    <definedName name="_xlnm._FilterDatabase" localSheetId="4" hidden="1">'Not Performing'!$A$5:$M$205</definedName>
  </definedNames>
  <calcPr calcId="124519" fullCalcOnLoad="1"/>
</workbook>
</file>

<file path=xl/styles.xml><?xml version="1.0" encoding="utf-8"?>
<styleSheet xmlns="http://schemas.openxmlformats.org/spreadsheetml/2006/main">
  <numFmts count="5">
    <numFmt numFmtId="164" formatCode="0.00%;(0.00%);-"/>
    <numFmt numFmtId="165" formatCode="DD-MMM-YY"/>
    <numFmt numFmtId="166" formatCode="#,##0;(#,##0);-"/>
    <numFmt numFmtId="167" formatCode="[&gt;=10000000]₹ ##\,##\,##\,##0.00;[&gt;=100000]₹ ##\,##\,##0.00;₹ #,##0.00"/>
    <numFmt numFmtId="168" formatCode="0.0%;(0.0%);-"/>
  </numFmts>
  <fonts count="14">
    <font>
      <name val="Calibri"/>
      <family val="2"/>
      <color theme="1"/>
      <sz val="11"/>
      <scheme val="minor"/>
    </font>
    <font>
      <name val="Arial"/>
      <b val="1"/>
      <color rgb="00FFFFFF"/>
      <sz val="13"/>
    </font>
    <font>
      <name val="Arial"/>
      <i val="1"/>
      <color rgb="00404040"/>
      <sz val="9"/>
    </font>
    <font>
      <name val="Arial"/>
      <b val="1"/>
      <color rgb="001F3864"/>
      <sz val="11"/>
    </font>
    <font>
      <name val="Arial"/>
      <b val="1"/>
      <sz val="10"/>
    </font>
    <font>
      <name val="Arial"/>
      <sz val="10"/>
    </font>
    <font>
      <name val="Arial"/>
      <color rgb="000000FF"/>
      <sz val="10"/>
    </font>
    <font>
      <name val="Arial"/>
      <color rgb="00000000"/>
      <sz val="10"/>
    </font>
    <font>
      <name val="Arial"/>
      <b val="1"/>
      <color rgb="00FFFFFF"/>
      <sz val="10"/>
    </font>
    <font>
      <name val="Arial"/>
      <color rgb="00006100"/>
      <sz val="10"/>
    </font>
    <font>
      <name val="Arial"/>
      <color rgb="009C5700"/>
      <sz val="10"/>
    </font>
    <font>
      <name val="Arial"/>
      <color rgb="009C0006"/>
      <sz val="10"/>
    </font>
    <font>
      <name val="Arial"/>
      <color rgb="00008000"/>
      <sz val="10"/>
    </font>
    <font>
      <name val="Arial"/>
      <i val="1"/>
      <sz val="9"/>
    </font>
  </fonts>
  <fills count="10">
    <fill>
      <patternFill/>
    </fill>
    <fill>
      <patternFill patternType="gray125"/>
    </fill>
    <fill>
      <patternFill patternType="solid">
        <fgColor rgb="001F3864"/>
      </patternFill>
    </fill>
    <fill>
      <patternFill patternType="solid">
        <fgColor rgb="00F2F2F2"/>
      </patternFill>
    </fill>
    <fill>
      <patternFill patternType="solid">
        <fgColor rgb="00FFFFFF"/>
      </patternFill>
    </fill>
    <fill>
      <patternFill patternType="solid">
        <fgColor rgb="00FFF2CC"/>
      </patternFill>
    </fill>
    <fill>
      <patternFill patternType="solid">
        <fgColor rgb="002E75B6"/>
      </patternFill>
    </fill>
    <fill>
      <patternFill patternType="solid">
        <fgColor rgb="00C6EFCE"/>
      </patternFill>
    </fill>
    <fill>
      <patternFill patternType="solid">
        <fgColor rgb="00FFEB9C"/>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5">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0" borderId="0" pivotButton="0" quotePrefix="0" xfId="0"/>
    <xf numFmtId="0" fontId="4" fillId="0" borderId="0" pivotButton="0" quotePrefix="0" xfId="0"/>
    <xf numFmtId="0" fontId="5" fillId="0" borderId="0" applyAlignment="1" pivotButton="0" quotePrefix="0" xfId="0">
      <alignment vertical="center" wrapText="1"/>
    </xf>
    <xf numFmtId="0" fontId="6" fillId="4" borderId="1" pivotButton="0" quotePrefix="0" xfId="0"/>
    <xf numFmtId="0" fontId="7" fillId="3" borderId="1" pivotButton="0" quotePrefix="0" xfId="0"/>
    <xf numFmtId="0" fontId="7" fillId="5" borderId="1" pivotButton="0" quotePrefix="0" xfId="0"/>
    <xf numFmtId="0" fontId="2" fillId="0" borderId="0" applyAlignment="1" pivotButton="0" quotePrefix="0" xfId="0">
      <alignment vertical="center" wrapText="1"/>
    </xf>
    <xf numFmtId="0" fontId="8" fillId="6" borderId="1" applyAlignment="1" pivotButton="0" quotePrefix="0" xfId="0">
      <alignment horizontal="center" vertical="center"/>
    </xf>
    <xf numFmtId="0" fontId="9" fillId="7" borderId="1" pivotButton="0" quotePrefix="0" xfId="0"/>
    <xf numFmtId="0" fontId="5" fillId="0" borderId="1" pivotButton="0" quotePrefix="0" xfId="0"/>
    <xf numFmtId="164" fontId="6" fillId="5" borderId="1" applyAlignment="1" pivotButton="0" quotePrefix="0" xfId="0">
      <alignment horizontal="center" vertical="center"/>
    </xf>
    <xf numFmtId="0" fontId="10" fillId="8" borderId="1" pivotButton="0" quotePrefix="0" xfId="0"/>
    <xf numFmtId="0" fontId="11" fillId="9" borderId="1" pivotButton="0" quotePrefix="0" xfId="0"/>
    <xf numFmtId="164" fontId="7" fillId="3" borderId="1" applyAlignment="1" pivotButton="0" quotePrefix="0" xfId="0">
      <alignment horizontal="center" vertical="center"/>
    </xf>
    <xf numFmtId="165" fontId="6" fillId="5" borderId="1" applyAlignment="1" pivotButton="0" quotePrefix="0" xfId="0">
      <alignment horizontal="center" vertical="center"/>
    </xf>
    <xf numFmtId="0" fontId="6" fillId="5"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right" vertical="center"/>
    </xf>
    <xf numFmtId="166" fontId="7" fillId="3" borderId="1" applyAlignment="1" pivotButton="0" quotePrefix="0" xfId="0">
      <alignment horizontal="center" vertical="center"/>
    </xf>
    <xf numFmtId="164" fontId="12" fillId="3" borderId="1" applyAlignment="1" pivotButton="0" quotePrefix="0" xfId="0">
      <alignment horizontal="center" vertical="center"/>
    </xf>
    <xf numFmtId="0" fontId="13" fillId="0" borderId="0" pivotButton="0" quotePrefix="0" xfId="0"/>
    <xf numFmtId="0" fontId="2" fillId="3" borderId="0" pivotButton="0" quotePrefix="0" xfId="0"/>
    <xf numFmtId="0" fontId="8" fillId="6" borderId="1" applyAlignment="1" pivotButton="0" quotePrefix="0" xfId="0">
      <alignment horizontal="center" vertical="center" wrapText="1"/>
    </xf>
    <xf numFmtId="0" fontId="6" fillId="0" borderId="1" pivotButton="0" quotePrefix="0" xfId="0"/>
    <xf numFmtId="0" fontId="7" fillId="3" borderId="1" applyAlignment="1" pivotButton="0" quotePrefix="0" xfId="0">
      <alignment horizontal="center" vertical="center"/>
    </xf>
    <xf numFmtId="165" fontId="6" fillId="0" borderId="1" applyAlignment="1" pivotButton="0" quotePrefix="0" xfId="0">
      <alignment horizontal="center" vertical="center"/>
    </xf>
    <xf numFmtId="167" fontId="6" fillId="0" borderId="1" pivotButton="0" quotePrefix="0" xfId="0"/>
    <xf numFmtId="167" fontId="7" fillId="3" borderId="1" pivotButton="0" quotePrefix="0" xfId="0"/>
    <xf numFmtId="164" fontId="7" fillId="3" borderId="1" pivotButton="0" quotePrefix="0" xfId="0"/>
    <xf numFmtId="164" fontId="6" fillId="0" borderId="1" pivotButton="0" quotePrefix="0" xfId="0"/>
    <xf numFmtId="166" fontId="7" fillId="0" borderId="1" applyAlignment="1" pivotButton="0" quotePrefix="0" xfId="0">
      <alignment horizontal="center" vertical="center"/>
    </xf>
    <xf numFmtId="0" fontId="7" fillId="0" borderId="1" pivotButton="0" quotePrefix="0" xfId="0"/>
    <xf numFmtId="167" fontId="7" fillId="0" borderId="1" pivotButton="0" quotePrefix="0" xfId="0"/>
    <xf numFmtId="164" fontId="7" fillId="0" borderId="1" pivotButton="0" quotePrefix="0" xfId="0"/>
    <xf numFmtId="164" fontId="9" fillId="7" borderId="1" pivotButton="0" quotePrefix="0" xfId="0"/>
    <xf numFmtId="164" fontId="10" fillId="8" borderId="1" pivotButton="0" quotePrefix="0" xfId="0"/>
    <xf numFmtId="164" fontId="11" fillId="9" borderId="1" pivotButton="0" quotePrefix="0" xfId="0"/>
    <xf numFmtId="168" fontId="7" fillId="0" borderId="1" applyAlignment="1" pivotButton="0" quotePrefix="0" xfId="0">
      <alignment horizontal="center" vertical="center"/>
    </xf>
    <xf numFmtId="164" fontId="7" fillId="0" borderId="1" applyAlignment="1" pivotButton="0" quotePrefix="0" xfId="0">
      <alignment horizontal="center" vertical="center"/>
    </xf>
    <xf numFmtId="0" fontId="5" fillId="3" borderId="1" pivotButton="0" quotePrefix="0" xfId="0"/>
    <xf numFmtId="0" fontId="8" fillId="2" borderId="1" pivotButton="0" quotePrefix="0" xfId="0"/>
    <xf numFmtId="166" fontId="8" fillId="2" borderId="1" applyAlignment="1" pivotButton="0" quotePrefix="0" xfId="0">
      <alignment horizontal="center" vertical="center"/>
    </xf>
    <xf numFmtId="167" fontId="8" fillId="2" borderId="1" pivotButton="0" quotePrefix="0" xfId="0"/>
    <xf numFmtId="168" fontId="8" fillId="2" borderId="1" applyAlignment="1" pivotButton="0" quotePrefix="0" xfId="0">
      <alignment horizontal="center" vertical="center"/>
    </xf>
    <xf numFmtId="164" fontId="8" fillId="2" borderId="1" applyAlignment="1" pivotButton="0" quotePrefix="0" xfId="0">
      <alignment horizontal="center" vertical="center"/>
    </xf>
    <xf numFmtId="0" fontId="4" fillId="0" borderId="1" pivotButton="0" quotePrefix="0" xfId="0"/>
    <xf numFmtId="168" fontId="7" fillId="3" borderId="1" applyAlignment="1" pivotButton="0" quotePrefix="0" xfId="0">
      <alignment horizontal="center" vertical="center"/>
    </xf>
    <xf numFmtId="167" fontId="7" fillId="3" borderId="1" applyAlignment="1" pivotButton="0" quotePrefix="0" xfId="0">
      <alignment horizontal="center" vertical="center"/>
    </xf>
    <xf numFmtId="0" fontId="12" fillId="0" borderId="0" pivotButton="0" quotePrefix="0" xfId="0"/>
    <xf numFmtId="0" fontId="8" fillId="6" borderId="1" pivotButton="0" quotePrefix="0" xfId="0"/>
    <xf numFmtId="0" fontId="5" fillId="0" borderId="0" pivotButton="0" quotePrefix="0" xfId="0"/>
  </cellXfs>
  <cellStyles count="1">
    <cellStyle name="Normal" xfId="0" builtinId="0" hidden="0"/>
  </cellStyles>
  <dxfs count="3">
    <dxf>
      <font>
        <name val="Arial"/>
        <color rgb="00006100"/>
        <sz val="10"/>
      </font>
      <fill>
        <patternFill patternType="solid">
          <fgColor rgb="00C6EFCE"/>
        </patternFill>
      </fill>
    </dxf>
    <dxf>
      <font>
        <name val="Arial"/>
        <color rgb="009C5700"/>
        <sz val="10"/>
      </font>
      <fill>
        <patternFill patternType="solid">
          <fgColor rgb="00FFEB9C"/>
        </patternFill>
      </fill>
    </dxf>
    <dxf>
      <font>
        <name val="Arial"/>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Current value by verdict</a:t>
            </a:r>
          </a:p>
        </rich>
      </tx>
    </title>
    <plotArea>
      <barChart>
        <barDir val="col"/>
        <grouping val="clustered"/>
        <ser>
          <idx val="0"/>
          <order val="0"/>
          <tx>
            <strRef>
              <f>'Summary'!E5</f>
            </strRef>
          </tx>
          <spPr>
            <a:ln>
              <a:prstDash val="solid"/>
            </a:ln>
          </spPr>
          <cat>
            <strRef>
              <f>'Summary'!$B$6:$B$9</f>
            </strRef>
          </cat>
          <val>
            <numRef>
              <f>'Summary'!$E$6:$E$9</f>
            </numRef>
          </val>
        </ser>
        <gapWidth val="150"/>
        <axId val="10"/>
        <axId val="100"/>
      </barChart>
      <catAx>
        <axId val="10"/>
        <scaling>
          <orientation val="minMax"/>
        </scaling>
        <delete val="0"/>
        <axPos val="b"/>
        <majorTickMark val="out"/>
        <minorTickMark val="none"/>
        <crossAx val="100"/>
        <lblOffset val="100"/>
      </catAx>
      <valAx>
        <axId val="100"/>
        <scaling>
          <orientation val="minMax"/>
        </scaling>
        <delete val="0"/>
        <axPos val="l"/>
        <majorGridlines/>
        <title>
          <tx>
            <rich>
              <a:bodyPr/>
              <a:p>
                <a:pPr>
                  <a:defRPr/>
                </a:pPr>
                <a:r>
                  <a:t>₹</a:t>
                </a:r>
              </a:p>
            </rich>
          </tx>
        </title>
        <majorTickMark val="out"/>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504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2" customWidth="1" min="1" max="1"/>
    <col width="34" customWidth="1" min="2" max="2"/>
    <col width="16" customWidth="1" min="3" max="3"/>
    <col width="14" customWidth="1" min="4" max="4"/>
    <col width="30" customWidth="1" min="5" max="5"/>
    <col width="14" customWidth="1" min="6" max="6"/>
  </cols>
  <sheetData>
    <row r="1" ht="26" customHeight="1">
      <c r="A1" s="1" t="inlineStr">
        <is>
          <t>MUTUAL FUND RESEARCH  -  PERFORMANCE REVIEW</t>
        </is>
      </c>
    </row>
    <row r="2" ht="16" customHeight="1">
      <c r="A2" s="2" t="inlineStr">
        <is>
          <t>Enter every scheme once on Fund Research. The three verdict tabs and the Summary fill themselves in.</t>
        </is>
      </c>
    </row>
    <row r="4">
      <c r="A4" s="3" t="inlineStr">
        <is>
          <t>HOW TO USE</t>
        </is>
      </c>
    </row>
    <row r="5" ht="26" customHeight="1">
      <c r="A5" s="4" t="inlineStr">
        <is>
          <t>1.  Lists</t>
        </is>
      </c>
      <c r="B5" s="5" t="inlineStr">
        <is>
          <t>Nothing to do - it holds the Category and Action dropdowns.</t>
        </is>
      </c>
    </row>
    <row r="6" ht="26" customHeight="1">
      <c r="A6" s="4" t="inlineStr">
        <is>
          <t>2.  Fund Research</t>
        </is>
      </c>
      <c r="B6" s="5" t="inlineStr">
        <is>
          <t>The only sheet you type into. One row per scheme per client. Fill the blue columns; black columns calculate.</t>
        </is>
      </c>
    </row>
    <row r="7" ht="26" customHeight="1">
      <c r="A7" s="4" t="inlineStr">
        <is>
          <t>3.  Best Funds</t>
        </is>
      </c>
      <c r="B7" s="5" t="inlineStr">
        <is>
          <t>Read-only. Every scheme whose 3-year return clears the Best threshold, ranked best first.</t>
        </is>
      </c>
    </row>
    <row r="8" ht="26" customHeight="1">
      <c r="A8" s="4" t="inlineStr">
        <is>
          <t>4.  Need to Improve</t>
        </is>
      </c>
      <c r="B8" s="5" t="inlineStr">
        <is>
          <t>Read-only. Schemes in the middle band, worst first - this is your call-list.</t>
        </is>
      </c>
    </row>
    <row r="9" ht="26" customHeight="1">
      <c r="A9" s="4" t="inlineStr">
        <is>
          <t>5.  Not Performing</t>
        </is>
      </c>
      <c r="B9" s="5" t="inlineStr">
        <is>
          <t>Read-only. Schemes below the Improve threshold, worst first. Review these with the client.</t>
        </is>
      </c>
    </row>
    <row r="10" ht="26" customHeight="1">
      <c r="A10" s="4" t="inlineStr">
        <is>
          <t>6.  Summary</t>
        </is>
      </c>
      <c r="B10" s="5" t="inlineStr">
        <is>
          <t>Read-only dashboard: how many schemes and how much money sit in each verdict.</t>
        </is>
      </c>
    </row>
    <row r="12">
      <c r="A12" s="3" t="inlineStr">
        <is>
          <t>COLOUR LEGEND</t>
        </is>
      </c>
    </row>
    <row r="13">
      <c r="A13" s="6" t="inlineStr">
        <is>
          <t>Blue text on white</t>
        </is>
      </c>
      <c r="B13" s="5" t="inlineStr">
        <is>
          <t>You type here. These are the only cells to fill in.</t>
        </is>
      </c>
    </row>
    <row r="14">
      <c r="A14" s="7" t="inlineStr">
        <is>
          <t>Black text on grey</t>
        </is>
      </c>
      <c r="B14" s="5" t="inlineStr">
        <is>
          <t>Calculated. Do not overwrite - it will break the tabs.</t>
        </is>
      </c>
    </row>
    <row r="15">
      <c r="A15" s="8" t="inlineStr">
        <is>
          <t>Yellow fill</t>
        </is>
      </c>
      <c r="B15" s="5" t="inlineStr">
        <is>
          <t>Key setting. Safe to change - the whole workbook follows it.</t>
        </is>
      </c>
    </row>
    <row r="17">
      <c r="A17" s="3" t="inlineStr">
        <is>
          <t>RATING RULE</t>
        </is>
      </c>
      <c r="B17" s="9" t="inlineStr">
        <is>
          <t>A fund is judged on its 3-year return. Change the two yellow cells to re-cut the bands - every tab re-sorts itself.</t>
        </is>
      </c>
    </row>
    <row r="18">
      <c r="A18" s="10" t="inlineStr">
        <is>
          <t>Verdict</t>
        </is>
      </c>
      <c r="B18" s="10" t="inlineStr">
        <is>
          <t>Rule on 3-Year Return</t>
        </is>
      </c>
      <c r="D18" s="10" t="inlineStr">
        <is>
          <t>Threshold</t>
        </is>
      </c>
    </row>
    <row r="19">
      <c r="A19" s="11" t="inlineStr">
        <is>
          <t>Best Fund</t>
        </is>
      </c>
      <c r="B19" s="12" t="inlineStr">
        <is>
          <t>3-year return is greater than or equal to</t>
        </is>
      </c>
      <c r="D19" s="13" t="n">
        <v>0.13</v>
      </c>
    </row>
    <row r="20">
      <c r="A20" s="14" t="inlineStr">
        <is>
          <t>Need to Improve</t>
        </is>
      </c>
      <c r="B20" s="12" t="inlineStr">
        <is>
          <t>3-year return is greater than or equal to</t>
        </is>
      </c>
      <c r="D20" s="13" t="n">
        <v>0.1</v>
      </c>
    </row>
    <row r="21">
      <c r="A21" s="15" t="inlineStr">
        <is>
          <t>Not Performing</t>
        </is>
      </c>
      <c r="B21" s="12" t="inlineStr">
        <is>
          <t>3-year return is below</t>
        </is>
      </c>
      <c r="D21" s="16">
        <f>$D$20</f>
        <v/>
      </c>
    </row>
    <row r="23" ht="46" customHeight="1">
      <c r="A23" s="4" t="inlineStr">
        <is>
          <t>Set by</t>
        </is>
      </c>
      <c r="B23" s="5" t="inlineStr">
        <is>
          <t>The 13% Best threshold is the client's own brief: a fund returning 13% or more over 3 years is treated as best. The 10% Improve floor separates a fund that is lagging from one that is genuinely under-performing. Neither is a SEBI or AMFI standard - both are house rules, so change them when the view changes.</t>
        </is>
      </c>
    </row>
    <row r="25">
      <c r="A25" s="3" t="inlineStr">
        <is>
          <t>NOTE ON RETURNS</t>
        </is>
      </c>
    </row>
    <row r="26" ht="62" customHeight="1">
      <c r="A26" s="5" t="inlineStr">
        <is>
          <t>Enter 1Y / 3Y / 5Y returns as the scheme's published CAGR. The cells are percent-formatted, so typing 13.5 gives 13.50%. Returns are not calculated from the invested and current value in this workbook - a portfolio holding has its own cash-flow dates, and its XIRR is not the scheme's published return. Paste the scheme figure from the factsheet, AMFI or your research terminal, and note the source date in cell D3 of Fund Research.</t>
        </is>
      </c>
    </row>
  </sheetData>
  <mergeCells count="18">
    <mergeCell ref="A2:F2"/>
    <mergeCell ref="B21:C21"/>
    <mergeCell ref="B7:F7"/>
    <mergeCell ref="B6:F6"/>
    <mergeCell ref="B15:F15"/>
    <mergeCell ref="B10:F10"/>
    <mergeCell ref="A1:F1"/>
    <mergeCell ref="B19:C19"/>
    <mergeCell ref="B20:C20"/>
    <mergeCell ref="B5:F5"/>
    <mergeCell ref="B14:F14"/>
    <mergeCell ref="A26:F26"/>
    <mergeCell ref="B23:F23"/>
    <mergeCell ref="B8:F8"/>
    <mergeCell ref="B18:C1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6" customWidth="1" min="1" max="1"/>
    <col width="42" customWidth="1" min="2" max="2"/>
    <col width="30" customWidth="1" min="3" max="3"/>
    <col width="12" customWidth="1" min="4" max="4"/>
    <col width="16" customWidth="1" min="5" max="5"/>
    <col width="12" customWidth="1" min="6" max="6"/>
    <col width="16" customWidth="1" min="7" max="7"/>
    <col width="16" customWidth="1" min="8" max="8"/>
    <col width="15" customWidth="1" min="9" max="9"/>
    <col width="11" customWidth="1" min="10" max="10"/>
    <col width="11" customWidth="1" min="11" max="11"/>
    <col width="12" customWidth="1" min="12" max="12"/>
    <col width="11" customWidth="1" min="13" max="13"/>
    <col width="13" customWidth="1" min="14" max="14"/>
    <col width="12" customWidth="1" min="15" max="15"/>
    <col width="12" customWidth="1" min="16" max="16"/>
    <col width="10" customWidth="1" min="17" max="17"/>
    <col width="17" customWidth="1" min="18" max="18"/>
    <col width="26" customWidth="1" min="19" max="19"/>
    <col width="46" customWidth="1" min="20" max="20"/>
    <col hidden="1" width="3" customWidth="1" min="21" max="21"/>
    <col hidden="1" width="3" customWidth="1" min="22" max="22"/>
    <col hidden="1" width="3" customWidth="1" min="23" max="23"/>
  </cols>
  <sheetData>
    <row r="1" ht="26" customHeight="1">
      <c r="A1" s="1" t="inlineStr">
        <is>
          <t>FUND RESEARCH REGISTER</t>
        </is>
      </c>
    </row>
    <row r="2" ht="16" customHeight="1">
      <c r="A2" s="2" t="inlineStr">
        <is>
          <t>One row per scheme per client. Fill the blue columns - A to C, E to H, K to O and T. Everything else calculates.</t>
        </is>
      </c>
    </row>
    <row r="3">
      <c r="A3" s="4" t="inlineStr">
        <is>
          <t>Returns as on</t>
        </is>
      </c>
      <c r="B3" s="17" t="inlineStr"/>
      <c r="C3" s="4" t="inlineStr">
        <is>
          <t>Source of returns</t>
        </is>
      </c>
      <c r="D3" s="18" t="inlineStr"/>
      <c r="E3" s="19" t="n"/>
      <c r="F3" s="19" t="n"/>
      <c r="G3" s="20" t="n"/>
      <c r="H3" s="21" t="inlineStr">
        <is>
          <t>Schemes entered</t>
        </is>
      </c>
      <c r="I3" s="22">
        <f>COUNTA($B$6:$B$505)</f>
        <v/>
      </c>
      <c r="K3" s="21" t="inlineStr">
        <is>
          <t>Rating bands</t>
        </is>
      </c>
      <c r="L3" s="23">
        <f>Instructions!$D$19</f>
        <v/>
      </c>
      <c r="M3" s="24" t="inlineStr">
        <is>
          <t>Best</t>
        </is>
      </c>
      <c r="N3" s="23">
        <f>Instructions!$D$20</f>
        <v/>
      </c>
      <c r="O3" s="24" t="inlineStr">
        <is>
          <t>Improve floor</t>
        </is>
      </c>
    </row>
    <row r="4">
      <c r="A4" s="25" t="inlineStr">
        <is>
          <t>▼  BLUE = you type    ▼  BLACK on grey = calculated, do not overwrite</t>
        </is>
      </c>
    </row>
    <row r="5" ht="32" customHeight="1">
      <c r="A5" s="26" t="inlineStr">
        <is>
          <t>Client Name</t>
        </is>
      </c>
      <c r="B5" s="26" t="inlineStr">
        <is>
          <t>Scheme Name</t>
        </is>
      </c>
      <c r="C5" s="26" t="inlineStr">
        <is>
          <t>Category</t>
        </is>
      </c>
      <c r="D5" s="26" t="inlineStr">
        <is>
          <t>Asset Class</t>
        </is>
      </c>
      <c r="E5" s="26" t="inlineStr">
        <is>
          <t>Folio No.</t>
        </is>
      </c>
      <c r="F5" s="26" t="inlineStr">
        <is>
          <t>Inv. Since</t>
        </is>
      </c>
      <c r="G5" s="26" t="inlineStr">
        <is>
          <t>Total Invested</t>
        </is>
      </c>
      <c r="H5" s="26" t="inlineStr">
        <is>
          <t>Current Value
(Live)</t>
        </is>
      </c>
      <c r="I5" s="26" t="inlineStr">
        <is>
          <t>Gain / Loss</t>
        </is>
      </c>
      <c r="J5" s="26" t="inlineStr">
        <is>
          <t>Abs. Rtn.</t>
        </is>
      </c>
      <c r="K5" s="26" t="inlineStr">
        <is>
          <t>1Y Return</t>
        </is>
      </c>
      <c r="L5" s="26" t="inlineStr">
        <is>
          <t>3Y Return
(CAGR)</t>
        </is>
      </c>
      <c r="M5" s="26" t="inlineStr">
        <is>
          <t>5Y Return</t>
        </is>
      </c>
      <c r="N5" s="26" t="inlineStr">
        <is>
          <t>Category Avg
3Y</t>
        </is>
      </c>
      <c r="O5" s="26" t="inlineStr">
        <is>
          <t>Benchmark
3Y</t>
        </is>
      </c>
      <c r="P5" s="26" t="inlineStr">
        <is>
          <t>vs Category
(3Y)</t>
        </is>
      </c>
      <c r="Q5" s="26" t="inlineStr">
        <is>
          <t>Status</t>
        </is>
      </c>
      <c r="R5" s="26" t="inlineStr">
        <is>
          <t>Verdict</t>
        </is>
      </c>
      <c r="S5" s="26" t="inlineStr">
        <is>
          <t>Suggested Action</t>
        </is>
      </c>
      <c r="T5" s="26" t="inlineStr">
        <is>
          <t>Remark</t>
        </is>
      </c>
      <c r="U5" s="26" t="inlineStr">
        <is>
          <t>_best</t>
        </is>
      </c>
      <c r="V5" s="26" t="inlineStr">
        <is>
          <t>_improve</t>
        </is>
      </c>
      <c r="W5" s="26" t="inlineStr">
        <is>
          <t>_poor</t>
        </is>
      </c>
    </row>
    <row r="6" ht="15" customHeight="1">
      <c r="A6" s="27" t="inlineStr">
        <is>
          <t>Sample Client (EXAMPLE)</t>
        </is>
      </c>
      <c r="B6" s="27" t="inlineStr">
        <is>
          <t>Bluechip Flexi Cap Fund - Growth</t>
        </is>
      </c>
      <c r="C6" s="27" t="inlineStr">
        <is>
          <t>Equity - Flexi Cap Fund</t>
        </is>
      </c>
      <c r="D6" s="28">
        <f>IF($C6="","",IFERROR(TRIM(LEFT($C6,FIND("-",$C6)-1)),""))</f>
        <v/>
      </c>
      <c r="E6" s="27" t="inlineStr">
        <is>
          <t>1910625/49</t>
        </is>
      </c>
      <c r="F6" s="29" t="n">
        <v>44348</v>
      </c>
      <c r="G6" s="30" t="n">
        <v>190000</v>
      </c>
      <c r="H6" s="30" t="n">
        <v>265430</v>
      </c>
      <c r="I6" s="31">
        <f>IF($B6="","",$H6-$G6)</f>
        <v/>
      </c>
      <c r="J6" s="32">
        <f>IF(OR($B6="",$G6=0,$G6=""),"",$I6/$G6)</f>
        <v/>
      </c>
      <c r="K6" s="33" t="n">
        <v>0.184</v>
      </c>
      <c r="L6" s="33" t="n">
        <v>0.1512</v>
      </c>
      <c r="M6" s="33" t="n">
        <v>0.1725</v>
      </c>
      <c r="N6" s="33" t="n">
        <v>0.141</v>
      </c>
      <c r="O6" s="33" t="n">
        <v>0.1365</v>
      </c>
      <c r="P6" s="32">
        <f>IF(OR($L6="",$N6=""),"",$L6-$N6)</f>
        <v/>
      </c>
      <c r="Q6" s="28">
        <f>IF($B6="","",IF(N($H6)&gt;0,"Live","Exited"))</f>
        <v/>
      </c>
      <c r="R6" s="28">
        <f>IF($B6="","",IF($L6="","Data Pending",IF($L6&gt;=Instructions!$D$19,"Best Fund",IF($L6&gt;=Instructions!$D$20,"Need to Improve","Not Performing"))))</f>
        <v/>
      </c>
      <c r="S6" s="7">
        <f>IF($R6="","",IF($R6="Data Pending","Enter the 3Y return",IF($R6="Best Fund","Hold / consider top-up",IF($R6="Need to Improve","Watch 2 quarters, then decide","Review with client - switch or exit"))))</f>
        <v/>
      </c>
      <c r="T6" s="27" t="inlineStr">
        <is>
          <t>EXAMPLE ROW - delete it before you start. Returns are the scheme's published CAGR, not this holding's XIRR.</t>
        </is>
      </c>
      <c r="U6" s="7">
        <f>IF($R6&lt;&gt;"Best Fund","",COUNTIFS($R$6:$R$505,"Best Fund",$L$6:$L$505,"&gt;"&amp;$L6)+COUNTIFS($R$6:$R6,"Best Fund",$L$6:$L6,$L6))</f>
        <v/>
      </c>
      <c r="V6" s="7">
        <f>IF($R6&lt;&gt;"Need to Improve","",COUNTIFS($R$6:$R$505,"Need to Improve",$L$6:$L$505,"&lt;"&amp;$L6)+COUNTIFS($R$6:$R6,"Need to Improve",$L$6:$L6,$L6))</f>
        <v/>
      </c>
      <c r="W6" s="7">
        <f>IF($R6&lt;&gt;"Not Performing","",COUNTIFS($R$6:$R$505,"Not Performing",$L$6:$L$505,"&lt;"&amp;$L6)+COUNTIFS($R$6:$R6,"Not Performing",$L$6:$L6,$L6))</f>
        <v/>
      </c>
    </row>
    <row r="7" ht="15" customHeight="1">
      <c r="A7" s="27" t="n"/>
      <c r="B7" s="27" t="n"/>
      <c r="C7" s="27" t="n"/>
      <c r="D7" s="28">
        <f>IF($C7="","",IFERROR(TRIM(LEFT($C7,FIND("-",$C7)-1)),""))</f>
        <v/>
      </c>
      <c r="E7" s="27" t="n"/>
      <c r="F7" s="29" t="n"/>
      <c r="G7" s="30" t="n"/>
      <c r="H7" s="30" t="n"/>
      <c r="I7" s="31">
        <f>IF($B7="","",$H7-$G7)</f>
        <v/>
      </c>
      <c r="J7" s="32">
        <f>IF(OR($B7="",$G7=0,$G7=""),"",$I7/$G7)</f>
        <v/>
      </c>
      <c r="K7" s="33" t="n"/>
      <c r="L7" s="33" t="n"/>
      <c r="M7" s="33" t="n"/>
      <c r="N7" s="33" t="n"/>
      <c r="O7" s="33" t="n"/>
      <c r="P7" s="32">
        <f>IF(OR($L7="",$N7=""),"",$L7-$N7)</f>
        <v/>
      </c>
      <c r="Q7" s="28">
        <f>IF($B7="","",IF(N($H7)&gt;0,"Live","Exited"))</f>
        <v/>
      </c>
      <c r="R7" s="28">
        <f>IF($B7="","",IF($L7="","Data Pending",IF($L7&gt;=Instructions!$D$19,"Best Fund",IF($L7&gt;=Instructions!$D$20,"Need to Improve","Not Performing"))))</f>
        <v/>
      </c>
      <c r="S7" s="7">
        <f>IF($R7="","",IF($R7="Data Pending","Enter the 3Y return",IF($R7="Best Fund","Hold / consider top-up",IF($R7="Need to Improve","Watch 2 quarters, then decide","Review with client - switch or exit"))))</f>
        <v/>
      </c>
      <c r="T7" s="27" t="n"/>
      <c r="U7" s="7">
        <f>IF($R7&lt;&gt;"Best Fund","",COUNTIFS($R$6:$R$505,"Best Fund",$L$6:$L$505,"&gt;"&amp;$L7)+COUNTIFS($R$6:$R7,"Best Fund",$L$6:$L7,$L7))</f>
        <v/>
      </c>
      <c r="V7" s="7">
        <f>IF($R7&lt;&gt;"Need to Improve","",COUNTIFS($R$6:$R$505,"Need to Improve",$L$6:$L$505,"&lt;"&amp;$L7)+COUNTIFS($R$6:$R7,"Need to Improve",$L$6:$L7,$L7))</f>
        <v/>
      </c>
      <c r="W7" s="7">
        <f>IF($R7&lt;&gt;"Not Performing","",COUNTIFS($R$6:$R$505,"Not Performing",$L$6:$L$505,"&lt;"&amp;$L7)+COUNTIFS($R$6:$R7,"Not Performing",$L$6:$L7,$L7))</f>
        <v/>
      </c>
    </row>
    <row r="8" ht="15" customHeight="1">
      <c r="A8" s="27" t="n"/>
      <c r="B8" s="27" t="n"/>
      <c r="C8" s="27" t="n"/>
      <c r="D8" s="28">
        <f>IF($C8="","",IFERROR(TRIM(LEFT($C8,FIND("-",$C8)-1)),""))</f>
        <v/>
      </c>
      <c r="E8" s="27" t="n"/>
      <c r="F8" s="29" t="n"/>
      <c r="G8" s="30" t="n"/>
      <c r="H8" s="30" t="n"/>
      <c r="I8" s="31">
        <f>IF($B8="","",$H8-$G8)</f>
        <v/>
      </c>
      <c r="J8" s="32">
        <f>IF(OR($B8="",$G8=0,$G8=""),"",$I8/$G8)</f>
        <v/>
      </c>
      <c r="K8" s="33" t="n"/>
      <c r="L8" s="33" t="n"/>
      <c r="M8" s="33" t="n"/>
      <c r="N8" s="33" t="n"/>
      <c r="O8" s="33" t="n"/>
      <c r="P8" s="32">
        <f>IF(OR($L8="",$N8=""),"",$L8-$N8)</f>
        <v/>
      </c>
      <c r="Q8" s="28">
        <f>IF($B8="","",IF(N($H8)&gt;0,"Live","Exited"))</f>
        <v/>
      </c>
      <c r="R8" s="28">
        <f>IF($B8="","",IF($L8="","Data Pending",IF($L8&gt;=Instructions!$D$19,"Best Fund",IF($L8&gt;=Instructions!$D$20,"Need to Improve","Not Performing"))))</f>
        <v/>
      </c>
      <c r="S8" s="7">
        <f>IF($R8="","",IF($R8="Data Pending","Enter the 3Y return",IF($R8="Best Fund","Hold / consider top-up",IF($R8="Need to Improve","Watch 2 quarters, then decide","Review with client - switch or exit"))))</f>
        <v/>
      </c>
      <c r="T8" s="27" t="n"/>
      <c r="U8" s="7">
        <f>IF($R8&lt;&gt;"Best Fund","",COUNTIFS($R$6:$R$505,"Best Fund",$L$6:$L$505,"&gt;"&amp;$L8)+COUNTIFS($R$6:$R8,"Best Fund",$L$6:$L8,$L8))</f>
        <v/>
      </c>
      <c r="V8" s="7">
        <f>IF($R8&lt;&gt;"Need to Improve","",COUNTIFS($R$6:$R$505,"Need to Improve",$L$6:$L$505,"&lt;"&amp;$L8)+COUNTIFS($R$6:$R8,"Need to Improve",$L$6:$L8,$L8))</f>
        <v/>
      </c>
      <c r="W8" s="7">
        <f>IF($R8&lt;&gt;"Not Performing","",COUNTIFS($R$6:$R$505,"Not Performing",$L$6:$L$505,"&lt;"&amp;$L8)+COUNTIFS($R$6:$R8,"Not Performing",$L$6:$L8,$L8))</f>
        <v/>
      </c>
    </row>
    <row r="9" ht="15" customHeight="1">
      <c r="A9" s="27" t="n"/>
      <c r="B9" s="27" t="n"/>
      <c r="C9" s="27" t="n"/>
      <c r="D9" s="28">
        <f>IF($C9="","",IFERROR(TRIM(LEFT($C9,FIND("-",$C9)-1)),""))</f>
        <v/>
      </c>
      <c r="E9" s="27" t="n"/>
      <c r="F9" s="29" t="n"/>
      <c r="G9" s="30" t="n"/>
      <c r="H9" s="30" t="n"/>
      <c r="I9" s="31">
        <f>IF($B9="","",$H9-$G9)</f>
        <v/>
      </c>
      <c r="J9" s="32">
        <f>IF(OR($B9="",$G9=0,$G9=""),"",$I9/$G9)</f>
        <v/>
      </c>
      <c r="K9" s="33" t="n"/>
      <c r="L9" s="33" t="n"/>
      <c r="M9" s="33" t="n"/>
      <c r="N9" s="33" t="n"/>
      <c r="O9" s="33" t="n"/>
      <c r="P9" s="32">
        <f>IF(OR($L9="",$N9=""),"",$L9-$N9)</f>
        <v/>
      </c>
      <c r="Q9" s="28">
        <f>IF($B9="","",IF(N($H9)&gt;0,"Live","Exited"))</f>
        <v/>
      </c>
      <c r="R9" s="28">
        <f>IF($B9="","",IF($L9="","Data Pending",IF($L9&gt;=Instructions!$D$19,"Best Fund",IF($L9&gt;=Instructions!$D$20,"Need to Improve","Not Performing"))))</f>
        <v/>
      </c>
      <c r="S9" s="7">
        <f>IF($R9="","",IF($R9="Data Pending","Enter the 3Y return",IF($R9="Best Fund","Hold / consider top-up",IF($R9="Need to Improve","Watch 2 quarters, then decide","Review with client - switch or exit"))))</f>
        <v/>
      </c>
      <c r="T9" s="27" t="n"/>
      <c r="U9" s="7">
        <f>IF($R9&lt;&gt;"Best Fund","",COUNTIFS($R$6:$R$505,"Best Fund",$L$6:$L$505,"&gt;"&amp;$L9)+COUNTIFS($R$6:$R9,"Best Fund",$L$6:$L9,$L9))</f>
        <v/>
      </c>
      <c r="V9" s="7">
        <f>IF($R9&lt;&gt;"Need to Improve","",COUNTIFS($R$6:$R$505,"Need to Improve",$L$6:$L$505,"&lt;"&amp;$L9)+COUNTIFS($R$6:$R9,"Need to Improve",$L$6:$L9,$L9))</f>
        <v/>
      </c>
      <c r="W9" s="7">
        <f>IF($R9&lt;&gt;"Not Performing","",COUNTIFS($R$6:$R$505,"Not Performing",$L$6:$L$505,"&lt;"&amp;$L9)+COUNTIFS($R$6:$R9,"Not Performing",$L$6:$L9,$L9))</f>
        <v/>
      </c>
    </row>
    <row r="10" ht="15" customHeight="1">
      <c r="A10" s="27" t="n"/>
      <c r="B10" s="27" t="n"/>
      <c r="C10" s="27" t="n"/>
      <c r="D10" s="28">
        <f>IF($C10="","",IFERROR(TRIM(LEFT($C10,FIND("-",$C10)-1)),""))</f>
        <v/>
      </c>
      <c r="E10" s="27" t="n"/>
      <c r="F10" s="29" t="n"/>
      <c r="G10" s="30" t="n"/>
      <c r="H10" s="30" t="n"/>
      <c r="I10" s="31">
        <f>IF($B10="","",$H10-$G10)</f>
        <v/>
      </c>
      <c r="J10" s="32">
        <f>IF(OR($B10="",$G10=0,$G10=""),"",$I10/$G10)</f>
        <v/>
      </c>
      <c r="K10" s="33" t="n"/>
      <c r="L10" s="33" t="n"/>
      <c r="M10" s="33" t="n"/>
      <c r="N10" s="33" t="n"/>
      <c r="O10" s="33" t="n"/>
      <c r="P10" s="32">
        <f>IF(OR($L10="",$N10=""),"",$L10-$N10)</f>
        <v/>
      </c>
      <c r="Q10" s="28">
        <f>IF($B10="","",IF(N($H10)&gt;0,"Live","Exited"))</f>
        <v/>
      </c>
      <c r="R10" s="28">
        <f>IF($B10="","",IF($L10="","Data Pending",IF($L10&gt;=Instructions!$D$19,"Best Fund",IF($L10&gt;=Instructions!$D$20,"Need to Improve","Not Performing"))))</f>
        <v/>
      </c>
      <c r="S10" s="7">
        <f>IF($R10="","",IF($R10="Data Pending","Enter the 3Y return",IF($R10="Best Fund","Hold / consider top-up",IF($R10="Need to Improve","Watch 2 quarters, then decide","Review with client - switch or exit"))))</f>
        <v/>
      </c>
      <c r="T10" s="27" t="n"/>
      <c r="U10" s="7">
        <f>IF($R10&lt;&gt;"Best Fund","",COUNTIFS($R$6:$R$505,"Best Fund",$L$6:$L$505,"&gt;"&amp;$L10)+COUNTIFS($R$6:$R10,"Best Fund",$L$6:$L10,$L10))</f>
        <v/>
      </c>
      <c r="V10" s="7">
        <f>IF($R10&lt;&gt;"Need to Improve","",COUNTIFS($R$6:$R$505,"Need to Improve",$L$6:$L$505,"&lt;"&amp;$L10)+COUNTIFS($R$6:$R10,"Need to Improve",$L$6:$L10,$L10))</f>
        <v/>
      </c>
      <c r="W10" s="7">
        <f>IF($R10&lt;&gt;"Not Performing","",COUNTIFS($R$6:$R$505,"Not Performing",$L$6:$L$505,"&lt;"&amp;$L10)+COUNTIFS($R$6:$R10,"Not Performing",$L$6:$L10,$L10))</f>
        <v/>
      </c>
    </row>
    <row r="11" ht="15" customHeight="1">
      <c r="A11" s="27" t="n"/>
      <c r="B11" s="27" t="n"/>
      <c r="C11" s="27" t="n"/>
      <c r="D11" s="28">
        <f>IF($C11="","",IFERROR(TRIM(LEFT($C11,FIND("-",$C11)-1)),""))</f>
        <v/>
      </c>
      <c r="E11" s="27" t="n"/>
      <c r="F11" s="29" t="n"/>
      <c r="G11" s="30" t="n"/>
      <c r="H11" s="30" t="n"/>
      <c r="I11" s="31">
        <f>IF($B11="","",$H11-$G11)</f>
        <v/>
      </c>
      <c r="J11" s="32">
        <f>IF(OR($B11="",$G11=0,$G11=""),"",$I11/$G11)</f>
        <v/>
      </c>
      <c r="K11" s="33" t="n"/>
      <c r="L11" s="33" t="n"/>
      <c r="M11" s="33" t="n"/>
      <c r="N11" s="33" t="n"/>
      <c r="O11" s="33" t="n"/>
      <c r="P11" s="32">
        <f>IF(OR($L11="",$N11=""),"",$L11-$N11)</f>
        <v/>
      </c>
      <c r="Q11" s="28">
        <f>IF($B11="","",IF(N($H11)&gt;0,"Live","Exited"))</f>
        <v/>
      </c>
      <c r="R11" s="28">
        <f>IF($B11="","",IF($L11="","Data Pending",IF($L11&gt;=Instructions!$D$19,"Best Fund",IF($L11&gt;=Instructions!$D$20,"Need to Improve","Not Performing"))))</f>
        <v/>
      </c>
      <c r="S11" s="7">
        <f>IF($R11="","",IF($R11="Data Pending","Enter the 3Y return",IF($R11="Best Fund","Hold / consider top-up",IF($R11="Need to Improve","Watch 2 quarters, then decide","Review with client - switch or exit"))))</f>
        <v/>
      </c>
      <c r="T11" s="27" t="n"/>
      <c r="U11" s="7">
        <f>IF($R11&lt;&gt;"Best Fund","",COUNTIFS($R$6:$R$505,"Best Fund",$L$6:$L$505,"&gt;"&amp;$L11)+COUNTIFS($R$6:$R11,"Best Fund",$L$6:$L11,$L11))</f>
        <v/>
      </c>
      <c r="V11" s="7">
        <f>IF($R11&lt;&gt;"Need to Improve","",COUNTIFS($R$6:$R$505,"Need to Improve",$L$6:$L$505,"&lt;"&amp;$L11)+COUNTIFS($R$6:$R11,"Need to Improve",$L$6:$L11,$L11))</f>
        <v/>
      </c>
      <c r="W11" s="7">
        <f>IF($R11&lt;&gt;"Not Performing","",COUNTIFS($R$6:$R$505,"Not Performing",$L$6:$L$505,"&lt;"&amp;$L11)+COUNTIFS($R$6:$R11,"Not Performing",$L$6:$L11,$L11))</f>
        <v/>
      </c>
    </row>
    <row r="12" ht="15" customHeight="1">
      <c r="A12" s="27" t="n"/>
      <c r="B12" s="27" t="n"/>
      <c r="C12" s="27" t="n"/>
      <c r="D12" s="28">
        <f>IF($C12="","",IFERROR(TRIM(LEFT($C12,FIND("-",$C12)-1)),""))</f>
        <v/>
      </c>
      <c r="E12" s="27" t="n"/>
      <c r="F12" s="29" t="n"/>
      <c r="G12" s="30" t="n"/>
      <c r="H12" s="30" t="n"/>
      <c r="I12" s="31">
        <f>IF($B12="","",$H12-$G12)</f>
        <v/>
      </c>
      <c r="J12" s="32">
        <f>IF(OR($B12="",$G12=0,$G12=""),"",$I12/$G12)</f>
        <v/>
      </c>
      <c r="K12" s="33" t="n"/>
      <c r="L12" s="33" t="n"/>
      <c r="M12" s="33" t="n"/>
      <c r="N12" s="33" t="n"/>
      <c r="O12" s="33" t="n"/>
      <c r="P12" s="32">
        <f>IF(OR($L12="",$N12=""),"",$L12-$N12)</f>
        <v/>
      </c>
      <c r="Q12" s="28">
        <f>IF($B12="","",IF(N($H12)&gt;0,"Live","Exited"))</f>
        <v/>
      </c>
      <c r="R12" s="28">
        <f>IF($B12="","",IF($L12="","Data Pending",IF($L12&gt;=Instructions!$D$19,"Best Fund",IF($L12&gt;=Instructions!$D$20,"Need to Improve","Not Performing"))))</f>
        <v/>
      </c>
      <c r="S12" s="7">
        <f>IF($R12="","",IF($R12="Data Pending","Enter the 3Y return",IF($R12="Best Fund","Hold / consider top-up",IF($R12="Need to Improve","Watch 2 quarters, then decide","Review with client - switch or exit"))))</f>
        <v/>
      </c>
      <c r="T12" s="27" t="n"/>
      <c r="U12" s="7">
        <f>IF($R12&lt;&gt;"Best Fund","",COUNTIFS($R$6:$R$505,"Best Fund",$L$6:$L$505,"&gt;"&amp;$L12)+COUNTIFS($R$6:$R12,"Best Fund",$L$6:$L12,$L12))</f>
        <v/>
      </c>
      <c r="V12" s="7">
        <f>IF($R12&lt;&gt;"Need to Improve","",COUNTIFS($R$6:$R$505,"Need to Improve",$L$6:$L$505,"&lt;"&amp;$L12)+COUNTIFS($R$6:$R12,"Need to Improve",$L$6:$L12,$L12))</f>
        <v/>
      </c>
      <c r="W12" s="7">
        <f>IF($R12&lt;&gt;"Not Performing","",COUNTIFS($R$6:$R$505,"Not Performing",$L$6:$L$505,"&lt;"&amp;$L12)+COUNTIFS($R$6:$R12,"Not Performing",$L$6:$L12,$L12))</f>
        <v/>
      </c>
    </row>
    <row r="13" ht="15" customHeight="1">
      <c r="A13" s="27" t="n"/>
      <c r="B13" s="27" t="n"/>
      <c r="C13" s="27" t="n"/>
      <c r="D13" s="28">
        <f>IF($C13="","",IFERROR(TRIM(LEFT($C13,FIND("-",$C13)-1)),""))</f>
        <v/>
      </c>
      <c r="E13" s="27" t="n"/>
      <c r="F13" s="29" t="n"/>
      <c r="G13" s="30" t="n"/>
      <c r="H13" s="30" t="n"/>
      <c r="I13" s="31">
        <f>IF($B13="","",$H13-$G13)</f>
        <v/>
      </c>
      <c r="J13" s="32">
        <f>IF(OR($B13="",$G13=0,$G13=""),"",$I13/$G13)</f>
        <v/>
      </c>
      <c r="K13" s="33" t="n"/>
      <c r="L13" s="33" t="n"/>
      <c r="M13" s="33" t="n"/>
      <c r="N13" s="33" t="n"/>
      <c r="O13" s="33" t="n"/>
      <c r="P13" s="32">
        <f>IF(OR($L13="",$N13=""),"",$L13-$N13)</f>
        <v/>
      </c>
      <c r="Q13" s="28">
        <f>IF($B13="","",IF(N($H13)&gt;0,"Live","Exited"))</f>
        <v/>
      </c>
      <c r="R13" s="28">
        <f>IF($B13="","",IF($L13="","Data Pending",IF($L13&gt;=Instructions!$D$19,"Best Fund",IF($L13&gt;=Instructions!$D$20,"Need to Improve","Not Performing"))))</f>
        <v/>
      </c>
      <c r="S13" s="7">
        <f>IF($R13="","",IF($R13="Data Pending","Enter the 3Y return",IF($R13="Best Fund","Hold / consider top-up",IF($R13="Need to Improve","Watch 2 quarters, then decide","Review with client - switch or exit"))))</f>
        <v/>
      </c>
      <c r="T13" s="27" t="n"/>
      <c r="U13" s="7">
        <f>IF($R13&lt;&gt;"Best Fund","",COUNTIFS($R$6:$R$505,"Best Fund",$L$6:$L$505,"&gt;"&amp;$L13)+COUNTIFS($R$6:$R13,"Best Fund",$L$6:$L13,$L13))</f>
        <v/>
      </c>
      <c r="V13" s="7">
        <f>IF($R13&lt;&gt;"Need to Improve","",COUNTIFS($R$6:$R$505,"Need to Improve",$L$6:$L$505,"&lt;"&amp;$L13)+COUNTIFS($R$6:$R13,"Need to Improve",$L$6:$L13,$L13))</f>
        <v/>
      </c>
      <c r="W13" s="7">
        <f>IF($R13&lt;&gt;"Not Performing","",COUNTIFS($R$6:$R$505,"Not Performing",$L$6:$L$505,"&lt;"&amp;$L13)+COUNTIFS($R$6:$R13,"Not Performing",$L$6:$L13,$L13))</f>
        <v/>
      </c>
    </row>
    <row r="14" ht="15" customHeight="1">
      <c r="A14" s="27" t="n"/>
      <c r="B14" s="27" t="n"/>
      <c r="C14" s="27" t="n"/>
      <c r="D14" s="28">
        <f>IF($C14="","",IFERROR(TRIM(LEFT($C14,FIND("-",$C14)-1)),""))</f>
        <v/>
      </c>
      <c r="E14" s="27" t="n"/>
      <c r="F14" s="29" t="n"/>
      <c r="G14" s="30" t="n"/>
      <c r="H14" s="30" t="n"/>
      <c r="I14" s="31">
        <f>IF($B14="","",$H14-$G14)</f>
        <v/>
      </c>
      <c r="J14" s="32">
        <f>IF(OR($B14="",$G14=0,$G14=""),"",$I14/$G14)</f>
        <v/>
      </c>
      <c r="K14" s="33" t="n"/>
      <c r="L14" s="33" t="n"/>
      <c r="M14" s="33" t="n"/>
      <c r="N14" s="33" t="n"/>
      <c r="O14" s="33" t="n"/>
      <c r="P14" s="32">
        <f>IF(OR($L14="",$N14=""),"",$L14-$N14)</f>
        <v/>
      </c>
      <c r="Q14" s="28">
        <f>IF($B14="","",IF(N($H14)&gt;0,"Live","Exited"))</f>
        <v/>
      </c>
      <c r="R14" s="28">
        <f>IF($B14="","",IF($L14="","Data Pending",IF($L14&gt;=Instructions!$D$19,"Best Fund",IF($L14&gt;=Instructions!$D$20,"Need to Improve","Not Performing"))))</f>
        <v/>
      </c>
      <c r="S14" s="7">
        <f>IF($R14="","",IF($R14="Data Pending","Enter the 3Y return",IF($R14="Best Fund","Hold / consider top-up",IF($R14="Need to Improve","Watch 2 quarters, then decide","Review with client - switch or exit"))))</f>
        <v/>
      </c>
      <c r="T14" s="27" t="n"/>
      <c r="U14" s="7">
        <f>IF($R14&lt;&gt;"Best Fund","",COUNTIFS($R$6:$R$505,"Best Fund",$L$6:$L$505,"&gt;"&amp;$L14)+COUNTIFS($R$6:$R14,"Best Fund",$L$6:$L14,$L14))</f>
        <v/>
      </c>
      <c r="V14" s="7">
        <f>IF($R14&lt;&gt;"Need to Improve","",COUNTIFS($R$6:$R$505,"Need to Improve",$L$6:$L$505,"&lt;"&amp;$L14)+COUNTIFS($R$6:$R14,"Need to Improve",$L$6:$L14,$L14))</f>
        <v/>
      </c>
      <c r="W14" s="7">
        <f>IF($R14&lt;&gt;"Not Performing","",COUNTIFS($R$6:$R$505,"Not Performing",$L$6:$L$505,"&lt;"&amp;$L14)+COUNTIFS($R$6:$R14,"Not Performing",$L$6:$L14,$L14))</f>
        <v/>
      </c>
    </row>
    <row r="15" ht="15" customHeight="1">
      <c r="A15" s="27" t="n"/>
      <c r="B15" s="27" t="n"/>
      <c r="C15" s="27" t="n"/>
      <c r="D15" s="28">
        <f>IF($C15="","",IFERROR(TRIM(LEFT($C15,FIND("-",$C15)-1)),""))</f>
        <v/>
      </c>
      <c r="E15" s="27" t="n"/>
      <c r="F15" s="29" t="n"/>
      <c r="G15" s="30" t="n"/>
      <c r="H15" s="30" t="n"/>
      <c r="I15" s="31">
        <f>IF($B15="","",$H15-$G15)</f>
        <v/>
      </c>
      <c r="J15" s="32">
        <f>IF(OR($B15="",$G15=0,$G15=""),"",$I15/$G15)</f>
        <v/>
      </c>
      <c r="K15" s="33" t="n"/>
      <c r="L15" s="33" t="n"/>
      <c r="M15" s="33" t="n"/>
      <c r="N15" s="33" t="n"/>
      <c r="O15" s="33" t="n"/>
      <c r="P15" s="32">
        <f>IF(OR($L15="",$N15=""),"",$L15-$N15)</f>
        <v/>
      </c>
      <c r="Q15" s="28">
        <f>IF($B15="","",IF(N($H15)&gt;0,"Live","Exited"))</f>
        <v/>
      </c>
      <c r="R15" s="28">
        <f>IF($B15="","",IF($L15="","Data Pending",IF($L15&gt;=Instructions!$D$19,"Best Fund",IF($L15&gt;=Instructions!$D$20,"Need to Improve","Not Performing"))))</f>
        <v/>
      </c>
      <c r="S15" s="7">
        <f>IF($R15="","",IF($R15="Data Pending","Enter the 3Y return",IF($R15="Best Fund","Hold / consider top-up",IF($R15="Need to Improve","Watch 2 quarters, then decide","Review with client - switch or exit"))))</f>
        <v/>
      </c>
      <c r="T15" s="27" t="n"/>
      <c r="U15" s="7">
        <f>IF($R15&lt;&gt;"Best Fund","",COUNTIFS($R$6:$R$505,"Best Fund",$L$6:$L$505,"&gt;"&amp;$L15)+COUNTIFS($R$6:$R15,"Best Fund",$L$6:$L15,$L15))</f>
        <v/>
      </c>
      <c r="V15" s="7">
        <f>IF($R15&lt;&gt;"Need to Improve","",COUNTIFS($R$6:$R$505,"Need to Improve",$L$6:$L$505,"&lt;"&amp;$L15)+COUNTIFS($R$6:$R15,"Need to Improve",$L$6:$L15,$L15))</f>
        <v/>
      </c>
      <c r="W15" s="7">
        <f>IF($R15&lt;&gt;"Not Performing","",COUNTIFS($R$6:$R$505,"Not Performing",$L$6:$L$505,"&lt;"&amp;$L15)+COUNTIFS($R$6:$R15,"Not Performing",$L$6:$L15,$L15))</f>
        <v/>
      </c>
    </row>
    <row r="16" ht="15" customHeight="1">
      <c r="A16" s="27" t="n"/>
      <c r="B16" s="27" t="n"/>
      <c r="C16" s="27" t="n"/>
      <c r="D16" s="28">
        <f>IF($C16="","",IFERROR(TRIM(LEFT($C16,FIND("-",$C16)-1)),""))</f>
        <v/>
      </c>
      <c r="E16" s="27" t="n"/>
      <c r="F16" s="29" t="n"/>
      <c r="G16" s="30" t="n"/>
      <c r="H16" s="30" t="n"/>
      <c r="I16" s="31">
        <f>IF($B16="","",$H16-$G16)</f>
        <v/>
      </c>
      <c r="J16" s="32">
        <f>IF(OR($B16="",$G16=0,$G16=""),"",$I16/$G16)</f>
        <v/>
      </c>
      <c r="K16" s="33" t="n"/>
      <c r="L16" s="33" t="n"/>
      <c r="M16" s="33" t="n"/>
      <c r="N16" s="33" t="n"/>
      <c r="O16" s="33" t="n"/>
      <c r="P16" s="32">
        <f>IF(OR($L16="",$N16=""),"",$L16-$N16)</f>
        <v/>
      </c>
      <c r="Q16" s="28">
        <f>IF($B16="","",IF(N($H16)&gt;0,"Live","Exited"))</f>
        <v/>
      </c>
      <c r="R16" s="28">
        <f>IF($B16="","",IF($L16="","Data Pending",IF($L16&gt;=Instructions!$D$19,"Best Fund",IF($L16&gt;=Instructions!$D$20,"Need to Improve","Not Performing"))))</f>
        <v/>
      </c>
      <c r="S16" s="7">
        <f>IF($R16="","",IF($R16="Data Pending","Enter the 3Y return",IF($R16="Best Fund","Hold / consider top-up",IF($R16="Need to Improve","Watch 2 quarters, then decide","Review with client - switch or exit"))))</f>
        <v/>
      </c>
      <c r="T16" s="27" t="n"/>
      <c r="U16" s="7">
        <f>IF($R16&lt;&gt;"Best Fund","",COUNTIFS($R$6:$R$505,"Best Fund",$L$6:$L$505,"&gt;"&amp;$L16)+COUNTIFS($R$6:$R16,"Best Fund",$L$6:$L16,$L16))</f>
        <v/>
      </c>
      <c r="V16" s="7">
        <f>IF($R16&lt;&gt;"Need to Improve","",COUNTIFS($R$6:$R$505,"Need to Improve",$L$6:$L$505,"&lt;"&amp;$L16)+COUNTIFS($R$6:$R16,"Need to Improve",$L$6:$L16,$L16))</f>
        <v/>
      </c>
      <c r="W16" s="7">
        <f>IF($R16&lt;&gt;"Not Performing","",COUNTIFS($R$6:$R$505,"Not Performing",$L$6:$L$505,"&lt;"&amp;$L16)+COUNTIFS($R$6:$R16,"Not Performing",$L$6:$L16,$L16))</f>
        <v/>
      </c>
    </row>
    <row r="17" ht="15" customHeight="1">
      <c r="A17" s="27" t="n"/>
      <c r="B17" s="27" t="n"/>
      <c r="C17" s="27" t="n"/>
      <c r="D17" s="28">
        <f>IF($C17="","",IFERROR(TRIM(LEFT($C17,FIND("-",$C17)-1)),""))</f>
        <v/>
      </c>
      <c r="E17" s="27" t="n"/>
      <c r="F17" s="29" t="n"/>
      <c r="G17" s="30" t="n"/>
      <c r="H17" s="30" t="n"/>
      <c r="I17" s="31">
        <f>IF($B17="","",$H17-$G17)</f>
        <v/>
      </c>
      <c r="J17" s="32">
        <f>IF(OR($B17="",$G17=0,$G17=""),"",$I17/$G17)</f>
        <v/>
      </c>
      <c r="K17" s="33" t="n"/>
      <c r="L17" s="33" t="n"/>
      <c r="M17" s="33" t="n"/>
      <c r="N17" s="33" t="n"/>
      <c r="O17" s="33" t="n"/>
      <c r="P17" s="32">
        <f>IF(OR($L17="",$N17=""),"",$L17-$N17)</f>
        <v/>
      </c>
      <c r="Q17" s="28">
        <f>IF($B17="","",IF(N($H17)&gt;0,"Live","Exited"))</f>
        <v/>
      </c>
      <c r="R17" s="28">
        <f>IF($B17="","",IF($L17="","Data Pending",IF($L17&gt;=Instructions!$D$19,"Best Fund",IF($L17&gt;=Instructions!$D$20,"Need to Improve","Not Performing"))))</f>
        <v/>
      </c>
      <c r="S17" s="7">
        <f>IF($R17="","",IF($R17="Data Pending","Enter the 3Y return",IF($R17="Best Fund","Hold / consider top-up",IF($R17="Need to Improve","Watch 2 quarters, then decide","Review with client - switch or exit"))))</f>
        <v/>
      </c>
      <c r="T17" s="27" t="n"/>
      <c r="U17" s="7">
        <f>IF($R17&lt;&gt;"Best Fund","",COUNTIFS($R$6:$R$505,"Best Fund",$L$6:$L$505,"&gt;"&amp;$L17)+COUNTIFS($R$6:$R17,"Best Fund",$L$6:$L17,$L17))</f>
        <v/>
      </c>
      <c r="V17" s="7">
        <f>IF($R17&lt;&gt;"Need to Improve","",COUNTIFS($R$6:$R$505,"Need to Improve",$L$6:$L$505,"&lt;"&amp;$L17)+COUNTIFS($R$6:$R17,"Need to Improve",$L$6:$L17,$L17))</f>
        <v/>
      </c>
      <c r="W17" s="7">
        <f>IF($R17&lt;&gt;"Not Performing","",COUNTIFS($R$6:$R$505,"Not Performing",$L$6:$L$505,"&lt;"&amp;$L17)+COUNTIFS($R$6:$R17,"Not Performing",$L$6:$L17,$L17))</f>
        <v/>
      </c>
    </row>
    <row r="18" ht="15" customHeight="1">
      <c r="A18" s="27" t="n"/>
      <c r="B18" s="27" t="n"/>
      <c r="C18" s="27" t="n"/>
      <c r="D18" s="28">
        <f>IF($C18="","",IFERROR(TRIM(LEFT($C18,FIND("-",$C18)-1)),""))</f>
        <v/>
      </c>
      <c r="E18" s="27" t="n"/>
      <c r="F18" s="29" t="n"/>
      <c r="G18" s="30" t="n"/>
      <c r="H18" s="30" t="n"/>
      <c r="I18" s="31">
        <f>IF($B18="","",$H18-$G18)</f>
        <v/>
      </c>
      <c r="J18" s="32">
        <f>IF(OR($B18="",$G18=0,$G18=""),"",$I18/$G18)</f>
        <v/>
      </c>
      <c r="K18" s="33" t="n"/>
      <c r="L18" s="33" t="n"/>
      <c r="M18" s="33" t="n"/>
      <c r="N18" s="33" t="n"/>
      <c r="O18" s="33" t="n"/>
      <c r="P18" s="32">
        <f>IF(OR($L18="",$N18=""),"",$L18-$N18)</f>
        <v/>
      </c>
      <c r="Q18" s="28">
        <f>IF($B18="","",IF(N($H18)&gt;0,"Live","Exited"))</f>
        <v/>
      </c>
      <c r="R18" s="28">
        <f>IF($B18="","",IF($L18="","Data Pending",IF($L18&gt;=Instructions!$D$19,"Best Fund",IF($L18&gt;=Instructions!$D$20,"Need to Improve","Not Performing"))))</f>
        <v/>
      </c>
      <c r="S18" s="7">
        <f>IF($R18="","",IF($R18="Data Pending","Enter the 3Y return",IF($R18="Best Fund","Hold / consider top-up",IF($R18="Need to Improve","Watch 2 quarters, then decide","Review with client - switch or exit"))))</f>
        <v/>
      </c>
      <c r="T18" s="27" t="n"/>
      <c r="U18" s="7">
        <f>IF($R18&lt;&gt;"Best Fund","",COUNTIFS($R$6:$R$505,"Best Fund",$L$6:$L$505,"&gt;"&amp;$L18)+COUNTIFS($R$6:$R18,"Best Fund",$L$6:$L18,$L18))</f>
        <v/>
      </c>
      <c r="V18" s="7">
        <f>IF($R18&lt;&gt;"Need to Improve","",COUNTIFS($R$6:$R$505,"Need to Improve",$L$6:$L$505,"&lt;"&amp;$L18)+COUNTIFS($R$6:$R18,"Need to Improve",$L$6:$L18,$L18))</f>
        <v/>
      </c>
      <c r="W18" s="7">
        <f>IF($R18&lt;&gt;"Not Performing","",COUNTIFS($R$6:$R$505,"Not Performing",$L$6:$L$505,"&lt;"&amp;$L18)+COUNTIFS($R$6:$R18,"Not Performing",$L$6:$L18,$L18))</f>
        <v/>
      </c>
    </row>
    <row r="19" ht="15" customHeight="1">
      <c r="A19" s="27" t="n"/>
      <c r="B19" s="27" t="n"/>
      <c r="C19" s="27" t="n"/>
      <c r="D19" s="28">
        <f>IF($C19="","",IFERROR(TRIM(LEFT($C19,FIND("-",$C19)-1)),""))</f>
        <v/>
      </c>
      <c r="E19" s="27" t="n"/>
      <c r="F19" s="29" t="n"/>
      <c r="G19" s="30" t="n"/>
      <c r="H19" s="30" t="n"/>
      <c r="I19" s="31">
        <f>IF($B19="","",$H19-$G19)</f>
        <v/>
      </c>
      <c r="J19" s="32">
        <f>IF(OR($B19="",$G19=0,$G19=""),"",$I19/$G19)</f>
        <v/>
      </c>
      <c r="K19" s="33" t="n"/>
      <c r="L19" s="33" t="n"/>
      <c r="M19" s="33" t="n"/>
      <c r="N19" s="33" t="n"/>
      <c r="O19" s="33" t="n"/>
      <c r="P19" s="32">
        <f>IF(OR($L19="",$N19=""),"",$L19-$N19)</f>
        <v/>
      </c>
      <c r="Q19" s="28">
        <f>IF($B19="","",IF(N($H19)&gt;0,"Live","Exited"))</f>
        <v/>
      </c>
      <c r="R19" s="28">
        <f>IF($B19="","",IF($L19="","Data Pending",IF($L19&gt;=Instructions!$D$19,"Best Fund",IF($L19&gt;=Instructions!$D$20,"Need to Improve","Not Performing"))))</f>
        <v/>
      </c>
      <c r="S19" s="7">
        <f>IF($R19="","",IF($R19="Data Pending","Enter the 3Y return",IF($R19="Best Fund","Hold / consider top-up",IF($R19="Need to Improve","Watch 2 quarters, then decide","Review with client - switch or exit"))))</f>
        <v/>
      </c>
      <c r="T19" s="27" t="n"/>
      <c r="U19" s="7">
        <f>IF($R19&lt;&gt;"Best Fund","",COUNTIFS($R$6:$R$505,"Best Fund",$L$6:$L$505,"&gt;"&amp;$L19)+COUNTIFS($R$6:$R19,"Best Fund",$L$6:$L19,$L19))</f>
        <v/>
      </c>
      <c r="V19" s="7">
        <f>IF($R19&lt;&gt;"Need to Improve","",COUNTIFS($R$6:$R$505,"Need to Improve",$L$6:$L$505,"&lt;"&amp;$L19)+COUNTIFS($R$6:$R19,"Need to Improve",$L$6:$L19,$L19))</f>
        <v/>
      </c>
      <c r="W19" s="7">
        <f>IF($R19&lt;&gt;"Not Performing","",COUNTIFS($R$6:$R$505,"Not Performing",$L$6:$L$505,"&lt;"&amp;$L19)+COUNTIFS($R$6:$R19,"Not Performing",$L$6:$L19,$L19))</f>
        <v/>
      </c>
    </row>
    <row r="20" ht="15" customHeight="1">
      <c r="A20" s="27" t="n"/>
      <c r="B20" s="27" t="n"/>
      <c r="C20" s="27" t="n"/>
      <c r="D20" s="28">
        <f>IF($C20="","",IFERROR(TRIM(LEFT($C20,FIND("-",$C20)-1)),""))</f>
        <v/>
      </c>
      <c r="E20" s="27" t="n"/>
      <c r="F20" s="29" t="n"/>
      <c r="G20" s="30" t="n"/>
      <c r="H20" s="30" t="n"/>
      <c r="I20" s="31">
        <f>IF($B20="","",$H20-$G20)</f>
        <v/>
      </c>
      <c r="J20" s="32">
        <f>IF(OR($B20="",$G20=0,$G20=""),"",$I20/$G20)</f>
        <v/>
      </c>
      <c r="K20" s="33" t="n"/>
      <c r="L20" s="33" t="n"/>
      <c r="M20" s="33" t="n"/>
      <c r="N20" s="33" t="n"/>
      <c r="O20" s="33" t="n"/>
      <c r="P20" s="32">
        <f>IF(OR($L20="",$N20=""),"",$L20-$N20)</f>
        <v/>
      </c>
      <c r="Q20" s="28">
        <f>IF($B20="","",IF(N($H20)&gt;0,"Live","Exited"))</f>
        <v/>
      </c>
      <c r="R20" s="28">
        <f>IF($B20="","",IF($L20="","Data Pending",IF($L20&gt;=Instructions!$D$19,"Best Fund",IF($L20&gt;=Instructions!$D$20,"Need to Improve","Not Performing"))))</f>
        <v/>
      </c>
      <c r="S20" s="7">
        <f>IF($R20="","",IF($R20="Data Pending","Enter the 3Y return",IF($R20="Best Fund","Hold / consider top-up",IF($R20="Need to Improve","Watch 2 quarters, then decide","Review with client - switch or exit"))))</f>
        <v/>
      </c>
      <c r="T20" s="27" t="n"/>
      <c r="U20" s="7">
        <f>IF($R20&lt;&gt;"Best Fund","",COUNTIFS($R$6:$R$505,"Best Fund",$L$6:$L$505,"&gt;"&amp;$L20)+COUNTIFS($R$6:$R20,"Best Fund",$L$6:$L20,$L20))</f>
        <v/>
      </c>
      <c r="V20" s="7">
        <f>IF($R20&lt;&gt;"Need to Improve","",COUNTIFS($R$6:$R$505,"Need to Improve",$L$6:$L$505,"&lt;"&amp;$L20)+COUNTIFS($R$6:$R20,"Need to Improve",$L$6:$L20,$L20))</f>
        <v/>
      </c>
      <c r="W20" s="7">
        <f>IF($R20&lt;&gt;"Not Performing","",COUNTIFS($R$6:$R$505,"Not Performing",$L$6:$L$505,"&lt;"&amp;$L20)+COUNTIFS($R$6:$R20,"Not Performing",$L$6:$L20,$L20))</f>
        <v/>
      </c>
    </row>
    <row r="21" ht="15" customHeight="1">
      <c r="A21" s="27" t="n"/>
      <c r="B21" s="27" t="n"/>
      <c r="C21" s="27" t="n"/>
      <c r="D21" s="28">
        <f>IF($C21="","",IFERROR(TRIM(LEFT($C21,FIND("-",$C21)-1)),""))</f>
        <v/>
      </c>
      <c r="E21" s="27" t="n"/>
      <c r="F21" s="29" t="n"/>
      <c r="G21" s="30" t="n"/>
      <c r="H21" s="30" t="n"/>
      <c r="I21" s="31">
        <f>IF($B21="","",$H21-$G21)</f>
        <v/>
      </c>
      <c r="J21" s="32">
        <f>IF(OR($B21="",$G21=0,$G21=""),"",$I21/$G21)</f>
        <v/>
      </c>
      <c r="K21" s="33" t="n"/>
      <c r="L21" s="33" t="n"/>
      <c r="M21" s="33" t="n"/>
      <c r="N21" s="33" t="n"/>
      <c r="O21" s="33" t="n"/>
      <c r="P21" s="32">
        <f>IF(OR($L21="",$N21=""),"",$L21-$N21)</f>
        <v/>
      </c>
      <c r="Q21" s="28">
        <f>IF($B21="","",IF(N($H21)&gt;0,"Live","Exited"))</f>
        <v/>
      </c>
      <c r="R21" s="28">
        <f>IF($B21="","",IF($L21="","Data Pending",IF($L21&gt;=Instructions!$D$19,"Best Fund",IF($L21&gt;=Instructions!$D$20,"Need to Improve","Not Performing"))))</f>
        <v/>
      </c>
      <c r="S21" s="7">
        <f>IF($R21="","",IF($R21="Data Pending","Enter the 3Y return",IF($R21="Best Fund","Hold / consider top-up",IF($R21="Need to Improve","Watch 2 quarters, then decide","Review with client - switch or exit"))))</f>
        <v/>
      </c>
      <c r="T21" s="27" t="n"/>
      <c r="U21" s="7">
        <f>IF($R21&lt;&gt;"Best Fund","",COUNTIFS($R$6:$R$505,"Best Fund",$L$6:$L$505,"&gt;"&amp;$L21)+COUNTIFS($R$6:$R21,"Best Fund",$L$6:$L21,$L21))</f>
        <v/>
      </c>
      <c r="V21" s="7">
        <f>IF($R21&lt;&gt;"Need to Improve","",COUNTIFS($R$6:$R$505,"Need to Improve",$L$6:$L$505,"&lt;"&amp;$L21)+COUNTIFS($R$6:$R21,"Need to Improve",$L$6:$L21,$L21))</f>
        <v/>
      </c>
      <c r="W21" s="7">
        <f>IF($R21&lt;&gt;"Not Performing","",COUNTIFS($R$6:$R$505,"Not Performing",$L$6:$L$505,"&lt;"&amp;$L21)+COUNTIFS($R$6:$R21,"Not Performing",$L$6:$L21,$L21))</f>
        <v/>
      </c>
    </row>
    <row r="22" ht="15" customHeight="1">
      <c r="A22" s="27" t="n"/>
      <c r="B22" s="27" t="n"/>
      <c r="C22" s="27" t="n"/>
      <c r="D22" s="28">
        <f>IF($C22="","",IFERROR(TRIM(LEFT($C22,FIND("-",$C22)-1)),""))</f>
        <v/>
      </c>
      <c r="E22" s="27" t="n"/>
      <c r="F22" s="29" t="n"/>
      <c r="G22" s="30" t="n"/>
      <c r="H22" s="30" t="n"/>
      <c r="I22" s="31">
        <f>IF($B22="","",$H22-$G22)</f>
        <v/>
      </c>
      <c r="J22" s="32">
        <f>IF(OR($B22="",$G22=0,$G22=""),"",$I22/$G22)</f>
        <v/>
      </c>
      <c r="K22" s="33" t="n"/>
      <c r="L22" s="33" t="n"/>
      <c r="M22" s="33" t="n"/>
      <c r="N22" s="33" t="n"/>
      <c r="O22" s="33" t="n"/>
      <c r="P22" s="32">
        <f>IF(OR($L22="",$N22=""),"",$L22-$N22)</f>
        <v/>
      </c>
      <c r="Q22" s="28">
        <f>IF($B22="","",IF(N($H22)&gt;0,"Live","Exited"))</f>
        <v/>
      </c>
      <c r="R22" s="28">
        <f>IF($B22="","",IF($L22="","Data Pending",IF($L22&gt;=Instructions!$D$19,"Best Fund",IF($L22&gt;=Instructions!$D$20,"Need to Improve","Not Performing"))))</f>
        <v/>
      </c>
      <c r="S22" s="7">
        <f>IF($R22="","",IF($R22="Data Pending","Enter the 3Y return",IF($R22="Best Fund","Hold / consider top-up",IF($R22="Need to Improve","Watch 2 quarters, then decide","Review with client - switch or exit"))))</f>
        <v/>
      </c>
      <c r="T22" s="27" t="n"/>
      <c r="U22" s="7">
        <f>IF($R22&lt;&gt;"Best Fund","",COUNTIFS($R$6:$R$505,"Best Fund",$L$6:$L$505,"&gt;"&amp;$L22)+COUNTIFS($R$6:$R22,"Best Fund",$L$6:$L22,$L22))</f>
        <v/>
      </c>
      <c r="V22" s="7">
        <f>IF($R22&lt;&gt;"Need to Improve","",COUNTIFS($R$6:$R$505,"Need to Improve",$L$6:$L$505,"&lt;"&amp;$L22)+COUNTIFS($R$6:$R22,"Need to Improve",$L$6:$L22,$L22))</f>
        <v/>
      </c>
      <c r="W22" s="7">
        <f>IF($R22&lt;&gt;"Not Performing","",COUNTIFS($R$6:$R$505,"Not Performing",$L$6:$L$505,"&lt;"&amp;$L22)+COUNTIFS($R$6:$R22,"Not Performing",$L$6:$L22,$L22))</f>
        <v/>
      </c>
    </row>
    <row r="23" ht="15" customHeight="1">
      <c r="A23" s="27" t="n"/>
      <c r="B23" s="27" t="n"/>
      <c r="C23" s="27" t="n"/>
      <c r="D23" s="28">
        <f>IF($C23="","",IFERROR(TRIM(LEFT($C23,FIND("-",$C23)-1)),""))</f>
        <v/>
      </c>
      <c r="E23" s="27" t="n"/>
      <c r="F23" s="29" t="n"/>
      <c r="G23" s="30" t="n"/>
      <c r="H23" s="30" t="n"/>
      <c r="I23" s="31">
        <f>IF($B23="","",$H23-$G23)</f>
        <v/>
      </c>
      <c r="J23" s="32">
        <f>IF(OR($B23="",$G23=0,$G23=""),"",$I23/$G23)</f>
        <v/>
      </c>
      <c r="K23" s="33" t="n"/>
      <c r="L23" s="33" t="n"/>
      <c r="M23" s="33" t="n"/>
      <c r="N23" s="33" t="n"/>
      <c r="O23" s="33" t="n"/>
      <c r="P23" s="32">
        <f>IF(OR($L23="",$N23=""),"",$L23-$N23)</f>
        <v/>
      </c>
      <c r="Q23" s="28">
        <f>IF($B23="","",IF(N($H23)&gt;0,"Live","Exited"))</f>
        <v/>
      </c>
      <c r="R23" s="28">
        <f>IF($B23="","",IF($L23="","Data Pending",IF($L23&gt;=Instructions!$D$19,"Best Fund",IF($L23&gt;=Instructions!$D$20,"Need to Improve","Not Performing"))))</f>
        <v/>
      </c>
      <c r="S23" s="7">
        <f>IF($R23="","",IF($R23="Data Pending","Enter the 3Y return",IF($R23="Best Fund","Hold / consider top-up",IF($R23="Need to Improve","Watch 2 quarters, then decide","Review with client - switch or exit"))))</f>
        <v/>
      </c>
      <c r="T23" s="27" t="n"/>
      <c r="U23" s="7">
        <f>IF($R23&lt;&gt;"Best Fund","",COUNTIFS($R$6:$R$505,"Best Fund",$L$6:$L$505,"&gt;"&amp;$L23)+COUNTIFS($R$6:$R23,"Best Fund",$L$6:$L23,$L23))</f>
        <v/>
      </c>
      <c r="V23" s="7">
        <f>IF($R23&lt;&gt;"Need to Improve","",COUNTIFS($R$6:$R$505,"Need to Improve",$L$6:$L$505,"&lt;"&amp;$L23)+COUNTIFS($R$6:$R23,"Need to Improve",$L$6:$L23,$L23))</f>
        <v/>
      </c>
      <c r="W23" s="7">
        <f>IF($R23&lt;&gt;"Not Performing","",COUNTIFS($R$6:$R$505,"Not Performing",$L$6:$L$505,"&lt;"&amp;$L23)+COUNTIFS($R$6:$R23,"Not Performing",$L$6:$L23,$L23))</f>
        <v/>
      </c>
    </row>
    <row r="24" ht="15" customHeight="1">
      <c r="A24" s="27" t="n"/>
      <c r="B24" s="27" t="n"/>
      <c r="C24" s="27" t="n"/>
      <c r="D24" s="28">
        <f>IF($C24="","",IFERROR(TRIM(LEFT($C24,FIND("-",$C24)-1)),""))</f>
        <v/>
      </c>
      <c r="E24" s="27" t="n"/>
      <c r="F24" s="29" t="n"/>
      <c r="G24" s="30" t="n"/>
      <c r="H24" s="30" t="n"/>
      <c r="I24" s="31">
        <f>IF($B24="","",$H24-$G24)</f>
        <v/>
      </c>
      <c r="J24" s="32">
        <f>IF(OR($B24="",$G24=0,$G24=""),"",$I24/$G24)</f>
        <v/>
      </c>
      <c r="K24" s="33" t="n"/>
      <c r="L24" s="33" t="n"/>
      <c r="M24" s="33" t="n"/>
      <c r="N24" s="33" t="n"/>
      <c r="O24" s="33" t="n"/>
      <c r="P24" s="32">
        <f>IF(OR($L24="",$N24=""),"",$L24-$N24)</f>
        <v/>
      </c>
      <c r="Q24" s="28">
        <f>IF($B24="","",IF(N($H24)&gt;0,"Live","Exited"))</f>
        <v/>
      </c>
      <c r="R24" s="28">
        <f>IF($B24="","",IF($L24="","Data Pending",IF($L24&gt;=Instructions!$D$19,"Best Fund",IF($L24&gt;=Instructions!$D$20,"Need to Improve","Not Performing"))))</f>
        <v/>
      </c>
      <c r="S24" s="7">
        <f>IF($R24="","",IF($R24="Data Pending","Enter the 3Y return",IF($R24="Best Fund","Hold / consider top-up",IF($R24="Need to Improve","Watch 2 quarters, then decide","Review with client - switch or exit"))))</f>
        <v/>
      </c>
      <c r="T24" s="27" t="n"/>
      <c r="U24" s="7">
        <f>IF($R24&lt;&gt;"Best Fund","",COUNTIFS($R$6:$R$505,"Best Fund",$L$6:$L$505,"&gt;"&amp;$L24)+COUNTIFS($R$6:$R24,"Best Fund",$L$6:$L24,$L24))</f>
        <v/>
      </c>
      <c r="V24" s="7">
        <f>IF($R24&lt;&gt;"Need to Improve","",COUNTIFS($R$6:$R$505,"Need to Improve",$L$6:$L$505,"&lt;"&amp;$L24)+COUNTIFS($R$6:$R24,"Need to Improve",$L$6:$L24,$L24))</f>
        <v/>
      </c>
      <c r="W24" s="7">
        <f>IF($R24&lt;&gt;"Not Performing","",COUNTIFS($R$6:$R$505,"Not Performing",$L$6:$L$505,"&lt;"&amp;$L24)+COUNTIFS($R$6:$R24,"Not Performing",$L$6:$L24,$L24))</f>
        <v/>
      </c>
    </row>
    <row r="25" ht="15" customHeight="1">
      <c r="A25" s="27" t="n"/>
      <c r="B25" s="27" t="n"/>
      <c r="C25" s="27" t="n"/>
      <c r="D25" s="28">
        <f>IF($C25="","",IFERROR(TRIM(LEFT($C25,FIND("-",$C25)-1)),""))</f>
        <v/>
      </c>
      <c r="E25" s="27" t="n"/>
      <c r="F25" s="29" t="n"/>
      <c r="G25" s="30" t="n"/>
      <c r="H25" s="30" t="n"/>
      <c r="I25" s="31">
        <f>IF($B25="","",$H25-$G25)</f>
        <v/>
      </c>
      <c r="J25" s="32">
        <f>IF(OR($B25="",$G25=0,$G25=""),"",$I25/$G25)</f>
        <v/>
      </c>
      <c r="K25" s="33" t="n"/>
      <c r="L25" s="33" t="n"/>
      <c r="M25" s="33" t="n"/>
      <c r="N25" s="33" t="n"/>
      <c r="O25" s="33" t="n"/>
      <c r="P25" s="32">
        <f>IF(OR($L25="",$N25=""),"",$L25-$N25)</f>
        <v/>
      </c>
      <c r="Q25" s="28">
        <f>IF($B25="","",IF(N($H25)&gt;0,"Live","Exited"))</f>
        <v/>
      </c>
      <c r="R25" s="28">
        <f>IF($B25="","",IF($L25="","Data Pending",IF($L25&gt;=Instructions!$D$19,"Best Fund",IF($L25&gt;=Instructions!$D$20,"Need to Improve","Not Performing"))))</f>
        <v/>
      </c>
      <c r="S25" s="7">
        <f>IF($R25="","",IF($R25="Data Pending","Enter the 3Y return",IF($R25="Best Fund","Hold / consider top-up",IF($R25="Need to Improve","Watch 2 quarters, then decide","Review with client - switch or exit"))))</f>
        <v/>
      </c>
      <c r="T25" s="27" t="n"/>
      <c r="U25" s="7">
        <f>IF($R25&lt;&gt;"Best Fund","",COUNTIFS($R$6:$R$505,"Best Fund",$L$6:$L$505,"&gt;"&amp;$L25)+COUNTIFS($R$6:$R25,"Best Fund",$L$6:$L25,$L25))</f>
        <v/>
      </c>
      <c r="V25" s="7">
        <f>IF($R25&lt;&gt;"Need to Improve","",COUNTIFS($R$6:$R$505,"Need to Improve",$L$6:$L$505,"&lt;"&amp;$L25)+COUNTIFS($R$6:$R25,"Need to Improve",$L$6:$L25,$L25))</f>
        <v/>
      </c>
      <c r="W25" s="7">
        <f>IF($R25&lt;&gt;"Not Performing","",COUNTIFS($R$6:$R$505,"Not Performing",$L$6:$L$505,"&lt;"&amp;$L25)+COUNTIFS($R$6:$R25,"Not Performing",$L$6:$L25,$L25))</f>
        <v/>
      </c>
    </row>
    <row r="26" ht="15" customHeight="1">
      <c r="A26" s="27" t="n"/>
      <c r="B26" s="27" t="n"/>
      <c r="C26" s="27" t="n"/>
      <c r="D26" s="28">
        <f>IF($C26="","",IFERROR(TRIM(LEFT($C26,FIND("-",$C26)-1)),""))</f>
        <v/>
      </c>
      <c r="E26" s="27" t="n"/>
      <c r="F26" s="29" t="n"/>
      <c r="G26" s="30" t="n"/>
      <c r="H26" s="30" t="n"/>
      <c r="I26" s="31">
        <f>IF($B26="","",$H26-$G26)</f>
        <v/>
      </c>
      <c r="J26" s="32">
        <f>IF(OR($B26="",$G26=0,$G26=""),"",$I26/$G26)</f>
        <v/>
      </c>
      <c r="K26" s="33" t="n"/>
      <c r="L26" s="33" t="n"/>
      <c r="M26" s="33" t="n"/>
      <c r="N26" s="33" t="n"/>
      <c r="O26" s="33" t="n"/>
      <c r="P26" s="32">
        <f>IF(OR($L26="",$N26=""),"",$L26-$N26)</f>
        <v/>
      </c>
      <c r="Q26" s="28">
        <f>IF($B26="","",IF(N($H26)&gt;0,"Live","Exited"))</f>
        <v/>
      </c>
      <c r="R26" s="28">
        <f>IF($B26="","",IF($L26="","Data Pending",IF($L26&gt;=Instructions!$D$19,"Best Fund",IF($L26&gt;=Instructions!$D$20,"Need to Improve","Not Performing"))))</f>
        <v/>
      </c>
      <c r="S26" s="7">
        <f>IF($R26="","",IF($R26="Data Pending","Enter the 3Y return",IF($R26="Best Fund","Hold / consider top-up",IF($R26="Need to Improve","Watch 2 quarters, then decide","Review with client - switch or exit"))))</f>
        <v/>
      </c>
      <c r="T26" s="27" t="n"/>
      <c r="U26" s="7">
        <f>IF($R26&lt;&gt;"Best Fund","",COUNTIFS($R$6:$R$505,"Best Fund",$L$6:$L$505,"&gt;"&amp;$L26)+COUNTIFS($R$6:$R26,"Best Fund",$L$6:$L26,$L26))</f>
        <v/>
      </c>
      <c r="V26" s="7">
        <f>IF($R26&lt;&gt;"Need to Improve","",COUNTIFS($R$6:$R$505,"Need to Improve",$L$6:$L$505,"&lt;"&amp;$L26)+COUNTIFS($R$6:$R26,"Need to Improve",$L$6:$L26,$L26))</f>
        <v/>
      </c>
      <c r="W26" s="7">
        <f>IF($R26&lt;&gt;"Not Performing","",COUNTIFS($R$6:$R$505,"Not Performing",$L$6:$L$505,"&lt;"&amp;$L26)+COUNTIFS($R$6:$R26,"Not Performing",$L$6:$L26,$L26))</f>
        <v/>
      </c>
    </row>
    <row r="27" ht="15" customHeight="1">
      <c r="A27" s="27" t="n"/>
      <c r="B27" s="27" t="n"/>
      <c r="C27" s="27" t="n"/>
      <c r="D27" s="28">
        <f>IF($C27="","",IFERROR(TRIM(LEFT($C27,FIND("-",$C27)-1)),""))</f>
        <v/>
      </c>
      <c r="E27" s="27" t="n"/>
      <c r="F27" s="29" t="n"/>
      <c r="G27" s="30" t="n"/>
      <c r="H27" s="30" t="n"/>
      <c r="I27" s="31">
        <f>IF($B27="","",$H27-$G27)</f>
        <v/>
      </c>
      <c r="J27" s="32">
        <f>IF(OR($B27="",$G27=0,$G27=""),"",$I27/$G27)</f>
        <v/>
      </c>
      <c r="K27" s="33" t="n"/>
      <c r="L27" s="33" t="n"/>
      <c r="M27" s="33" t="n"/>
      <c r="N27" s="33" t="n"/>
      <c r="O27" s="33" t="n"/>
      <c r="P27" s="32">
        <f>IF(OR($L27="",$N27=""),"",$L27-$N27)</f>
        <v/>
      </c>
      <c r="Q27" s="28">
        <f>IF($B27="","",IF(N($H27)&gt;0,"Live","Exited"))</f>
        <v/>
      </c>
      <c r="R27" s="28">
        <f>IF($B27="","",IF($L27="","Data Pending",IF($L27&gt;=Instructions!$D$19,"Best Fund",IF($L27&gt;=Instructions!$D$20,"Need to Improve","Not Performing"))))</f>
        <v/>
      </c>
      <c r="S27" s="7">
        <f>IF($R27="","",IF($R27="Data Pending","Enter the 3Y return",IF($R27="Best Fund","Hold / consider top-up",IF($R27="Need to Improve","Watch 2 quarters, then decide","Review with client - switch or exit"))))</f>
        <v/>
      </c>
      <c r="T27" s="27" t="n"/>
      <c r="U27" s="7">
        <f>IF($R27&lt;&gt;"Best Fund","",COUNTIFS($R$6:$R$505,"Best Fund",$L$6:$L$505,"&gt;"&amp;$L27)+COUNTIFS($R$6:$R27,"Best Fund",$L$6:$L27,$L27))</f>
        <v/>
      </c>
      <c r="V27" s="7">
        <f>IF($R27&lt;&gt;"Need to Improve","",COUNTIFS($R$6:$R$505,"Need to Improve",$L$6:$L$505,"&lt;"&amp;$L27)+COUNTIFS($R$6:$R27,"Need to Improve",$L$6:$L27,$L27))</f>
        <v/>
      </c>
      <c r="W27" s="7">
        <f>IF($R27&lt;&gt;"Not Performing","",COUNTIFS($R$6:$R$505,"Not Performing",$L$6:$L$505,"&lt;"&amp;$L27)+COUNTIFS($R$6:$R27,"Not Performing",$L$6:$L27,$L27))</f>
        <v/>
      </c>
    </row>
    <row r="28" ht="15" customHeight="1">
      <c r="A28" s="27" t="n"/>
      <c r="B28" s="27" t="n"/>
      <c r="C28" s="27" t="n"/>
      <c r="D28" s="28">
        <f>IF($C28="","",IFERROR(TRIM(LEFT($C28,FIND("-",$C28)-1)),""))</f>
        <v/>
      </c>
      <c r="E28" s="27" t="n"/>
      <c r="F28" s="29" t="n"/>
      <c r="G28" s="30" t="n"/>
      <c r="H28" s="30" t="n"/>
      <c r="I28" s="31">
        <f>IF($B28="","",$H28-$G28)</f>
        <v/>
      </c>
      <c r="J28" s="32">
        <f>IF(OR($B28="",$G28=0,$G28=""),"",$I28/$G28)</f>
        <v/>
      </c>
      <c r="K28" s="33" t="n"/>
      <c r="L28" s="33" t="n"/>
      <c r="M28" s="33" t="n"/>
      <c r="N28" s="33" t="n"/>
      <c r="O28" s="33" t="n"/>
      <c r="P28" s="32">
        <f>IF(OR($L28="",$N28=""),"",$L28-$N28)</f>
        <v/>
      </c>
      <c r="Q28" s="28">
        <f>IF($B28="","",IF(N($H28)&gt;0,"Live","Exited"))</f>
        <v/>
      </c>
      <c r="R28" s="28">
        <f>IF($B28="","",IF($L28="","Data Pending",IF($L28&gt;=Instructions!$D$19,"Best Fund",IF($L28&gt;=Instructions!$D$20,"Need to Improve","Not Performing"))))</f>
        <v/>
      </c>
      <c r="S28" s="7">
        <f>IF($R28="","",IF($R28="Data Pending","Enter the 3Y return",IF($R28="Best Fund","Hold / consider top-up",IF($R28="Need to Improve","Watch 2 quarters, then decide","Review with client - switch or exit"))))</f>
        <v/>
      </c>
      <c r="T28" s="27" t="n"/>
      <c r="U28" s="7">
        <f>IF($R28&lt;&gt;"Best Fund","",COUNTIFS($R$6:$R$505,"Best Fund",$L$6:$L$505,"&gt;"&amp;$L28)+COUNTIFS($R$6:$R28,"Best Fund",$L$6:$L28,$L28))</f>
        <v/>
      </c>
      <c r="V28" s="7">
        <f>IF($R28&lt;&gt;"Need to Improve","",COUNTIFS($R$6:$R$505,"Need to Improve",$L$6:$L$505,"&lt;"&amp;$L28)+COUNTIFS($R$6:$R28,"Need to Improve",$L$6:$L28,$L28))</f>
        <v/>
      </c>
      <c r="W28" s="7">
        <f>IF($R28&lt;&gt;"Not Performing","",COUNTIFS($R$6:$R$505,"Not Performing",$L$6:$L$505,"&lt;"&amp;$L28)+COUNTIFS($R$6:$R28,"Not Performing",$L$6:$L28,$L28))</f>
        <v/>
      </c>
    </row>
    <row r="29" ht="15" customHeight="1">
      <c r="A29" s="27" t="n"/>
      <c r="B29" s="27" t="n"/>
      <c r="C29" s="27" t="n"/>
      <c r="D29" s="28">
        <f>IF($C29="","",IFERROR(TRIM(LEFT($C29,FIND("-",$C29)-1)),""))</f>
        <v/>
      </c>
      <c r="E29" s="27" t="n"/>
      <c r="F29" s="29" t="n"/>
      <c r="G29" s="30" t="n"/>
      <c r="H29" s="30" t="n"/>
      <c r="I29" s="31">
        <f>IF($B29="","",$H29-$G29)</f>
        <v/>
      </c>
      <c r="J29" s="32">
        <f>IF(OR($B29="",$G29=0,$G29=""),"",$I29/$G29)</f>
        <v/>
      </c>
      <c r="K29" s="33" t="n"/>
      <c r="L29" s="33" t="n"/>
      <c r="M29" s="33" t="n"/>
      <c r="N29" s="33" t="n"/>
      <c r="O29" s="33" t="n"/>
      <c r="P29" s="32">
        <f>IF(OR($L29="",$N29=""),"",$L29-$N29)</f>
        <v/>
      </c>
      <c r="Q29" s="28">
        <f>IF($B29="","",IF(N($H29)&gt;0,"Live","Exited"))</f>
        <v/>
      </c>
      <c r="R29" s="28">
        <f>IF($B29="","",IF($L29="","Data Pending",IF($L29&gt;=Instructions!$D$19,"Best Fund",IF($L29&gt;=Instructions!$D$20,"Need to Improve","Not Performing"))))</f>
        <v/>
      </c>
      <c r="S29" s="7">
        <f>IF($R29="","",IF($R29="Data Pending","Enter the 3Y return",IF($R29="Best Fund","Hold / consider top-up",IF($R29="Need to Improve","Watch 2 quarters, then decide","Review with client - switch or exit"))))</f>
        <v/>
      </c>
      <c r="T29" s="27" t="n"/>
      <c r="U29" s="7">
        <f>IF($R29&lt;&gt;"Best Fund","",COUNTIFS($R$6:$R$505,"Best Fund",$L$6:$L$505,"&gt;"&amp;$L29)+COUNTIFS($R$6:$R29,"Best Fund",$L$6:$L29,$L29))</f>
        <v/>
      </c>
      <c r="V29" s="7">
        <f>IF($R29&lt;&gt;"Need to Improve","",COUNTIFS($R$6:$R$505,"Need to Improve",$L$6:$L$505,"&lt;"&amp;$L29)+COUNTIFS($R$6:$R29,"Need to Improve",$L$6:$L29,$L29))</f>
        <v/>
      </c>
      <c r="W29" s="7">
        <f>IF($R29&lt;&gt;"Not Performing","",COUNTIFS($R$6:$R$505,"Not Performing",$L$6:$L$505,"&lt;"&amp;$L29)+COUNTIFS($R$6:$R29,"Not Performing",$L$6:$L29,$L29))</f>
        <v/>
      </c>
    </row>
    <row r="30" ht="15" customHeight="1">
      <c r="A30" s="27" t="n"/>
      <c r="B30" s="27" t="n"/>
      <c r="C30" s="27" t="n"/>
      <c r="D30" s="28">
        <f>IF($C30="","",IFERROR(TRIM(LEFT($C30,FIND("-",$C30)-1)),""))</f>
        <v/>
      </c>
      <c r="E30" s="27" t="n"/>
      <c r="F30" s="29" t="n"/>
      <c r="G30" s="30" t="n"/>
      <c r="H30" s="30" t="n"/>
      <c r="I30" s="31">
        <f>IF($B30="","",$H30-$G30)</f>
        <v/>
      </c>
      <c r="J30" s="32">
        <f>IF(OR($B30="",$G30=0,$G30=""),"",$I30/$G30)</f>
        <v/>
      </c>
      <c r="K30" s="33" t="n"/>
      <c r="L30" s="33" t="n"/>
      <c r="M30" s="33" t="n"/>
      <c r="N30" s="33" t="n"/>
      <c r="O30" s="33" t="n"/>
      <c r="P30" s="32">
        <f>IF(OR($L30="",$N30=""),"",$L30-$N30)</f>
        <v/>
      </c>
      <c r="Q30" s="28">
        <f>IF($B30="","",IF(N($H30)&gt;0,"Live","Exited"))</f>
        <v/>
      </c>
      <c r="R30" s="28">
        <f>IF($B30="","",IF($L30="","Data Pending",IF($L30&gt;=Instructions!$D$19,"Best Fund",IF($L30&gt;=Instructions!$D$20,"Need to Improve","Not Performing"))))</f>
        <v/>
      </c>
      <c r="S30" s="7">
        <f>IF($R30="","",IF($R30="Data Pending","Enter the 3Y return",IF($R30="Best Fund","Hold / consider top-up",IF($R30="Need to Improve","Watch 2 quarters, then decide","Review with client - switch or exit"))))</f>
        <v/>
      </c>
      <c r="T30" s="27" t="n"/>
      <c r="U30" s="7">
        <f>IF($R30&lt;&gt;"Best Fund","",COUNTIFS($R$6:$R$505,"Best Fund",$L$6:$L$505,"&gt;"&amp;$L30)+COUNTIFS($R$6:$R30,"Best Fund",$L$6:$L30,$L30))</f>
        <v/>
      </c>
      <c r="V30" s="7">
        <f>IF($R30&lt;&gt;"Need to Improve","",COUNTIFS($R$6:$R$505,"Need to Improve",$L$6:$L$505,"&lt;"&amp;$L30)+COUNTIFS($R$6:$R30,"Need to Improve",$L$6:$L30,$L30))</f>
        <v/>
      </c>
      <c r="W30" s="7">
        <f>IF($R30&lt;&gt;"Not Performing","",COUNTIFS($R$6:$R$505,"Not Performing",$L$6:$L$505,"&lt;"&amp;$L30)+COUNTIFS($R$6:$R30,"Not Performing",$L$6:$L30,$L30))</f>
        <v/>
      </c>
    </row>
    <row r="31" ht="15" customHeight="1">
      <c r="A31" s="27" t="n"/>
      <c r="B31" s="27" t="n"/>
      <c r="C31" s="27" t="n"/>
      <c r="D31" s="28">
        <f>IF($C31="","",IFERROR(TRIM(LEFT($C31,FIND("-",$C31)-1)),""))</f>
        <v/>
      </c>
      <c r="E31" s="27" t="n"/>
      <c r="F31" s="29" t="n"/>
      <c r="G31" s="30" t="n"/>
      <c r="H31" s="30" t="n"/>
      <c r="I31" s="31">
        <f>IF($B31="","",$H31-$G31)</f>
        <v/>
      </c>
      <c r="J31" s="32">
        <f>IF(OR($B31="",$G31=0,$G31=""),"",$I31/$G31)</f>
        <v/>
      </c>
      <c r="K31" s="33" t="n"/>
      <c r="L31" s="33" t="n"/>
      <c r="M31" s="33" t="n"/>
      <c r="N31" s="33" t="n"/>
      <c r="O31" s="33" t="n"/>
      <c r="P31" s="32">
        <f>IF(OR($L31="",$N31=""),"",$L31-$N31)</f>
        <v/>
      </c>
      <c r="Q31" s="28">
        <f>IF($B31="","",IF(N($H31)&gt;0,"Live","Exited"))</f>
        <v/>
      </c>
      <c r="R31" s="28">
        <f>IF($B31="","",IF($L31="","Data Pending",IF($L31&gt;=Instructions!$D$19,"Best Fund",IF($L31&gt;=Instructions!$D$20,"Need to Improve","Not Performing"))))</f>
        <v/>
      </c>
      <c r="S31" s="7">
        <f>IF($R31="","",IF($R31="Data Pending","Enter the 3Y return",IF($R31="Best Fund","Hold / consider top-up",IF($R31="Need to Improve","Watch 2 quarters, then decide","Review with client - switch or exit"))))</f>
        <v/>
      </c>
      <c r="T31" s="27" t="n"/>
      <c r="U31" s="7">
        <f>IF($R31&lt;&gt;"Best Fund","",COUNTIFS($R$6:$R$505,"Best Fund",$L$6:$L$505,"&gt;"&amp;$L31)+COUNTIFS($R$6:$R31,"Best Fund",$L$6:$L31,$L31))</f>
        <v/>
      </c>
      <c r="V31" s="7">
        <f>IF($R31&lt;&gt;"Need to Improve","",COUNTIFS($R$6:$R$505,"Need to Improve",$L$6:$L$505,"&lt;"&amp;$L31)+COUNTIFS($R$6:$R31,"Need to Improve",$L$6:$L31,$L31))</f>
        <v/>
      </c>
      <c r="W31" s="7">
        <f>IF($R31&lt;&gt;"Not Performing","",COUNTIFS($R$6:$R$505,"Not Performing",$L$6:$L$505,"&lt;"&amp;$L31)+COUNTIFS($R$6:$R31,"Not Performing",$L$6:$L31,$L31))</f>
        <v/>
      </c>
    </row>
    <row r="32" ht="15" customHeight="1">
      <c r="A32" s="27" t="n"/>
      <c r="B32" s="27" t="n"/>
      <c r="C32" s="27" t="n"/>
      <c r="D32" s="28">
        <f>IF($C32="","",IFERROR(TRIM(LEFT($C32,FIND("-",$C32)-1)),""))</f>
        <v/>
      </c>
      <c r="E32" s="27" t="n"/>
      <c r="F32" s="29" t="n"/>
      <c r="G32" s="30" t="n"/>
      <c r="H32" s="30" t="n"/>
      <c r="I32" s="31">
        <f>IF($B32="","",$H32-$G32)</f>
        <v/>
      </c>
      <c r="J32" s="32">
        <f>IF(OR($B32="",$G32=0,$G32=""),"",$I32/$G32)</f>
        <v/>
      </c>
      <c r="K32" s="33" t="n"/>
      <c r="L32" s="33" t="n"/>
      <c r="M32" s="33" t="n"/>
      <c r="N32" s="33" t="n"/>
      <c r="O32" s="33" t="n"/>
      <c r="P32" s="32">
        <f>IF(OR($L32="",$N32=""),"",$L32-$N32)</f>
        <v/>
      </c>
      <c r="Q32" s="28">
        <f>IF($B32="","",IF(N($H32)&gt;0,"Live","Exited"))</f>
        <v/>
      </c>
      <c r="R32" s="28">
        <f>IF($B32="","",IF($L32="","Data Pending",IF($L32&gt;=Instructions!$D$19,"Best Fund",IF($L32&gt;=Instructions!$D$20,"Need to Improve","Not Performing"))))</f>
        <v/>
      </c>
      <c r="S32" s="7">
        <f>IF($R32="","",IF($R32="Data Pending","Enter the 3Y return",IF($R32="Best Fund","Hold / consider top-up",IF($R32="Need to Improve","Watch 2 quarters, then decide","Review with client - switch or exit"))))</f>
        <v/>
      </c>
      <c r="T32" s="27" t="n"/>
      <c r="U32" s="7">
        <f>IF($R32&lt;&gt;"Best Fund","",COUNTIFS($R$6:$R$505,"Best Fund",$L$6:$L$505,"&gt;"&amp;$L32)+COUNTIFS($R$6:$R32,"Best Fund",$L$6:$L32,$L32))</f>
        <v/>
      </c>
      <c r="V32" s="7">
        <f>IF($R32&lt;&gt;"Need to Improve","",COUNTIFS($R$6:$R$505,"Need to Improve",$L$6:$L$505,"&lt;"&amp;$L32)+COUNTIFS($R$6:$R32,"Need to Improve",$L$6:$L32,$L32))</f>
        <v/>
      </c>
      <c r="W32" s="7">
        <f>IF($R32&lt;&gt;"Not Performing","",COUNTIFS($R$6:$R$505,"Not Performing",$L$6:$L$505,"&lt;"&amp;$L32)+COUNTIFS($R$6:$R32,"Not Performing",$L$6:$L32,$L32))</f>
        <v/>
      </c>
    </row>
    <row r="33" ht="15" customHeight="1">
      <c r="A33" s="27" t="n"/>
      <c r="B33" s="27" t="n"/>
      <c r="C33" s="27" t="n"/>
      <c r="D33" s="28">
        <f>IF($C33="","",IFERROR(TRIM(LEFT($C33,FIND("-",$C33)-1)),""))</f>
        <v/>
      </c>
      <c r="E33" s="27" t="n"/>
      <c r="F33" s="29" t="n"/>
      <c r="G33" s="30" t="n"/>
      <c r="H33" s="30" t="n"/>
      <c r="I33" s="31">
        <f>IF($B33="","",$H33-$G33)</f>
        <v/>
      </c>
      <c r="J33" s="32">
        <f>IF(OR($B33="",$G33=0,$G33=""),"",$I33/$G33)</f>
        <v/>
      </c>
      <c r="K33" s="33" t="n"/>
      <c r="L33" s="33" t="n"/>
      <c r="M33" s="33" t="n"/>
      <c r="N33" s="33" t="n"/>
      <c r="O33" s="33" t="n"/>
      <c r="P33" s="32">
        <f>IF(OR($L33="",$N33=""),"",$L33-$N33)</f>
        <v/>
      </c>
      <c r="Q33" s="28">
        <f>IF($B33="","",IF(N($H33)&gt;0,"Live","Exited"))</f>
        <v/>
      </c>
      <c r="R33" s="28">
        <f>IF($B33="","",IF($L33="","Data Pending",IF($L33&gt;=Instructions!$D$19,"Best Fund",IF($L33&gt;=Instructions!$D$20,"Need to Improve","Not Performing"))))</f>
        <v/>
      </c>
      <c r="S33" s="7">
        <f>IF($R33="","",IF($R33="Data Pending","Enter the 3Y return",IF($R33="Best Fund","Hold / consider top-up",IF($R33="Need to Improve","Watch 2 quarters, then decide","Review with client - switch or exit"))))</f>
        <v/>
      </c>
      <c r="T33" s="27" t="n"/>
      <c r="U33" s="7">
        <f>IF($R33&lt;&gt;"Best Fund","",COUNTIFS($R$6:$R$505,"Best Fund",$L$6:$L$505,"&gt;"&amp;$L33)+COUNTIFS($R$6:$R33,"Best Fund",$L$6:$L33,$L33))</f>
        <v/>
      </c>
      <c r="V33" s="7">
        <f>IF($R33&lt;&gt;"Need to Improve","",COUNTIFS($R$6:$R$505,"Need to Improve",$L$6:$L$505,"&lt;"&amp;$L33)+COUNTIFS($R$6:$R33,"Need to Improve",$L$6:$L33,$L33))</f>
        <v/>
      </c>
      <c r="W33" s="7">
        <f>IF($R33&lt;&gt;"Not Performing","",COUNTIFS($R$6:$R$505,"Not Performing",$L$6:$L$505,"&lt;"&amp;$L33)+COUNTIFS($R$6:$R33,"Not Performing",$L$6:$L33,$L33))</f>
        <v/>
      </c>
    </row>
    <row r="34" ht="15" customHeight="1">
      <c r="A34" s="27" t="n"/>
      <c r="B34" s="27" t="n"/>
      <c r="C34" s="27" t="n"/>
      <c r="D34" s="28">
        <f>IF($C34="","",IFERROR(TRIM(LEFT($C34,FIND("-",$C34)-1)),""))</f>
        <v/>
      </c>
      <c r="E34" s="27" t="n"/>
      <c r="F34" s="29" t="n"/>
      <c r="G34" s="30" t="n"/>
      <c r="H34" s="30" t="n"/>
      <c r="I34" s="31">
        <f>IF($B34="","",$H34-$G34)</f>
        <v/>
      </c>
      <c r="J34" s="32">
        <f>IF(OR($B34="",$G34=0,$G34=""),"",$I34/$G34)</f>
        <v/>
      </c>
      <c r="K34" s="33" t="n"/>
      <c r="L34" s="33" t="n"/>
      <c r="M34" s="33" t="n"/>
      <c r="N34" s="33" t="n"/>
      <c r="O34" s="33" t="n"/>
      <c r="P34" s="32">
        <f>IF(OR($L34="",$N34=""),"",$L34-$N34)</f>
        <v/>
      </c>
      <c r="Q34" s="28">
        <f>IF($B34="","",IF(N($H34)&gt;0,"Live","Exited"))</f>
        <v/>
      </c>
      <c r="R34" s="28">
        <f>IF($B34="","",IF($L34="","Data Pending",IF($L34&gt;=Instructions!$D$19,"Best Fund",IF($L34&gt;=Instructions!$D$20,"Need to Improve","Not Performing"))))</f>
        <v/>
      </c>
      <c r="S34" s="7">
        <f>IF($R34="","",IF($R34="Data Pending","Enter the 3Y return",IF($R34="Best Fund","Hold / consider top-up",IF($R34="Need to Improve","Watch 2 quarters, then decide","Review with client - switch or exit"))))</f>
        <v/>
      </c>
      <c r="T34" s="27" t="n"/>
      <c r="U34" s="7">
        <f>IF($R34&lt;&gt;"Best Fund","",COUNTIFS($R$6:$R$505,"Best Fund",$L$6:$L$505,"&gt;"&amp;$L34)+COUNTIFS($R$6:$R34,"Best Fund",$L$6:$L34,$L34))</f>
        <v/>
      </c>
      <c r="V34" s="7">
        <f>IF($R34&lt;&gt;"Need to Improve","",COUNTIFS($R$6:$R$505,"Need to Improve",$L$6:$L$505,"&lt;"&amp;$L34)+COUNTIFS($R$6:$R34,"Need to Improve",$L$6:$L34,$L34))</f>
        <v/>
      </c>
      <c r="W34" s="7">
        <f>IF($R34&lt;&gt;"Not Performing","",COUNTIFS($R$6:$R$505,"Not Performing",$L$6:$L$505,"&lt;"&amp;$L34)+COUNTIFS($R$6:$R34,"Not Performing",$L$6:$L34,$L34))</f>
        <v/>
      </c>
    </row>
    <row r="35" ht="15" customHeight="1">
      <c r="A35" s="27" t="n"/>
      <c r="B35" s="27" t="n"/>
      <c r="C35" s="27" t="n"/>
      <c r="D35" s="28">
        <f>IF($C35="","",IFERROR(TRIM(LEFT($C35,FIND("-",$C35)-1)),""))</f>
        <v/>
      </c>
      <c r="E35" s="27" t="n"/>
      <c r="F35" s="29" t="n"/>
      <c r="G35" s="30" t="n"/>
      <c r="H35" s="30" t="n"/>
      <c r="I35" s="31">
        <f>IF($B35="","",$H35-$G35)</f>
        <v/>
      </c>
      <c r="J35" s="32">
        <f>IF(OR($B35="",$G35=0,$G35=""),"",$I35/$G35)</f>
        <v/>
      </c>
      <c r="K35" s="33" t="n"/>
      <c r="L35" s="33" t="n"/>
      <c r="M35" s="33" t="n"/>
      <c r="N35" s="33" t="n"/>
      <c r="O35" s="33" t="n"/>
      <c r="P35" s="32">
        <f>IF(OR($L35="",$N35=""),"",$L35-$N35)</f>
        <v/>
      </c>
      <c r="Q35" s="28">
        <f>IF($B35="","",IF(N($H35)&gt;0,"Live","Exited"))</f>
        <v/>
      </c>
      <c r="R35" s="28">
        <f>IF($B35="","",IF($L35="","Data Pending",IF($L35&gt;=Instructions!$D$19,"Best Fund",IF($L35&gt;=Instructions!$D$20,"Need to Improve","Not Performing"))))</f>
        <v/>
      </c>
      <c r="S35" s="7">
        <f>IF($R35="","",IF($R35="Data Pending","Enter the 3Y return",IF($R35="Best Fund","Hold / consider top-up",IF($R35="Need to Improve","Watch 2 quarters, then decide","Review with client - switch or exit"))))</f>
        <v/>
      </c>
      <c r="T35" s="27" t="n"/>
      <c r="U35" s="7">
        <f>IF($R35&lt;&gt;"Best Fund","",COUNTIFS($R$6:$R$505,"Best Fund",$L$6:$L$505,"&gt;"&amp;$L35)+COUNTIFS($R$6:$R35,"Best Fund",$L$6:$L35,$L35))</f>
        <v/>
      </c>
      <c r="V35" s="7">
        <f>IF($R35&lt;&gt;"Need to Improve","",COUNTIFS($R$6:$R$505,"Need to Improve",$L$6:$L$505,"&lt;"&amp;$L35)+COUNTIFS($R$6:$R35,"Need to Improve",$L$6:$L35,$L35))</f>
        <v/>
      </c>
      <c r="W35" s="7">
        <f>IF($R35&lt;&gt;"Not Performing","",COUNTIFS($R$6:$R$505,"Not Performing",$L$6:$L$505,"&lt;"&amp;$L35)+COUNTIFS($R$6:$R35,"Not Performing",$L$6:$L35,$L35))</f>
        <v/>
      </c>
    </row>
    <row r="36" ht="15" customHeight="1">
      <c r="A36" s="27" t="n"/>
      <c r="B36" s="27" t="n"/>
      <c r="C36" s="27" t="n"/>
      <c r="D36" s="28">
        <f>IF($C36="","",IFERROR(TRIM(LEFT($C36,FIND("-",$C36)-1)),""))</f>
        <v/>
      </c>
      <c r="E36" s="27" t="n"/>
      <c r="F36" s="29" t="n"/>
      <c r="G36" s="30" t="n"/>
      <c r="H36" s="30" t="n"/>
      <c r="I36" s="31">
        <f>IF($B36="","",$H36-$G36)</f>
        <v/>
      </c>
      <c r="J36" s="32">
        <f>IF(OR($B36="",$G36=0,$G36=""),"",$I36/$G36)</f>
        <v/>
      </c>
      <c r="K36" s="33" t="n"/>
      <c r="L36" s="33" t="n"/>
      <c r="M36" s="33" t="n"/>
      <c r="N36" s="33" t="n"/>
      <c r="O36" s="33" t="n"/>
      <c r="P36" s="32">
        <f>IF(OR($L36="",$N36=""),"",$L36-$N36)</f>
        <v/>
      </c>
      <c r="Q36" s="28">
        <f>IF($B36="","",IF(N($H36)&gt;0,"Live","Exited"))</f>
        <v/>
      </c>
      <c r="R36" s="28">
        <f>IF($B36="","",IF($L36="","Data Pending",IF($L36&gt;=Instructions!$D$19,"Best Fund",IF($L36&gt;=Instructions!$D$20,"Need to Improve","Not Performing"))))</f>
        <v/>
      </c>
      <c r="S36" s="7">
        <f>IF($R36="","",IF($R36="Data Pending","Enter the 3Y return",IF($R36="Best Fund","Hold / consider top-up",IF($R36="Need to Improve","Watch 2 quarters, then decide","Review with client - switch or exit"))))</f>
        <v/>
      </c>
      <c r="T36" s="27" t="n"/>
      <c r="U36" s="7">
        <f>IF($R36&lt;&gt;"Best Fund","",COUNTIFS($R$6:$R$505,"Best Fund",$L$6:$L$505,"&gt;"&amp;$L36)+COUNTIFS($R$6:$R36,"Best Fund",$L$6:$L36,$L36))</f>
        <v/>
      </c>
      <c r="V36" s="7">
        <f>IF($R36&lt;&gt;"Need to Improve","",COUNTIFS($R$6:$R$505,"Need to Improve",$L$6:$L$505,"&lt;"&amp;$L36)+COUNTIFS($R$6:$R36,"Need to Improve",$L$6:$L36,$L36))</f>
        <v/>
      </c>
      <c r="W36" s="7">
        <f>IF($R36&lt;&gt;"Not Performing","",COUNTIFS($R$6:$R$505,"Not Performing",$L$6:$L$505,"&lt;"&amp;$L36)+COUNTIFS($R$6:$R36,"Not Performing",$L$6:$L36,$L36))</f>
        <v/>
      </c>
    </row>
    <row r="37" ht="15" customHeight="1">
      <c r="A37" s="27" t="n"/>
      <c r="B37" s="27" t="n"/>
      <c r="C37" s="27" t="n"/>
      <c r="D37" s="28">
        <f>IF($C37="","",IFERROR(TRIM(LEFT($C37,FIND("-",$C37)-1)),""))</f>
        <v/>
      </c>
      <c r="E37" s="27" t="n"/>
      <c r="F37" s="29" t="n"/>
      <c r="G37" s="30" t="n"/>
      <c r="H37" s="30" t="n"/>
      <c r="I37" s="31">
        <f>IF($B37="","",$H37-$G37)</f>
        <v/>
      </c>
      <c r="J37" s="32">
        <f>IF(OR($B37="",$G37=0,$G37=""),"",$I37/$G37)</f>
        <v/>
      </c>
      <c r="K37" s="33" t="n"/>
      <c r="L37" s="33" t="n"/>
      <c r="M37" s="33" t="n"/>
      <c r="N37" s="33" t="n"/>
      <c r="O37" s="33" t="n"/>
      <c r="P37" s="32">
        <f>IF(OR($L37="",$N37=""),"",$L37-$N37)</f>
        <v/>
      </c>
      <c r="Q37" s="28">
        <f>IF($B37="","",IF(N($H37)&gt;0,"Live","Exited"))</f>
        <v/>
      </c>
      <c r="R37" s="28">
        <f>IF($B37="","",IF($L37="","Data Pending",IF($L37&gt;=Instructions!$D$19,"Best Fund",IF($L37&gt;=Instructions!$D$20,"Need to Improve","Not Performing"))))</f>
        <v/>
      </c>
      <c r="S37" s="7">
        <f>IF($R37="","",IF($R37="Data Pending","Enter the 3Y return",IF($R37="Best Fund","Hold / consider top-up",IF($R37="Need to Improve","Watch 2 quarters, then decide","Review with client - switch or exit"))))</f>
        <v/>
      </c>
      <c r="T37" s="27" t="n"/>
      <c r="U37" s="7">
        <f>IF($R37&lt;&gt;"Best Fund","",COUNTIFS($R$6:$R$505,"Best Fund",$L$6:$L$505,"&gt;"&amp;$L37)+COUNTIFS($R$6:$R37,"Best Fund",$L$6:$L37,$L37))</f>
        <v/>
      </c>
      <c r="V37" s="7">
        <f>IF($R37&lt;&gt;"Need to Improve","",COUNTIFS($R$6:$R$505,"Need to Improve",$L$6:$L$505,"&lt;"&amp;$L37)+COUNTIFS($R$6:$R37,"Need to Improve",$L$6:$L37,$L37))</f>
        <v/>
      </c>
      <c r="W37" s="7">
        <f>IF($R37&lt;&gt;"Not Performing","",COUNTIFS($R$6:$R$505,"Not Performing",$L$6:$L$505,"&lt;"&amp;$L37)+COUNTIFS($R$6:$R37,"Not Performing",$L$6:$L37,$L37))</f>
        <v/>
      </c>
    </row>
    <row r="38" ht="15" customHeight="1">
      <c r="A38" s="27" t="n"/>
      <c r="B38" s="27" t="n"/>
      <c r="C38" s="27" t="n"/>
      <c r="D38" s="28">
        <f>IF($C38="","",IFERROR(TRIM(LEFT($C38,FIND("-",$C38)-1)),""))</f>
        <v/>
      </c>
      <c r="E38" s="27" t="n"/>
      <c r="F38" s="29" t="n"/>
      <c r="G38" s="30" t="n"/>
      <c r="H38" s="30" t="n"/>
      <c r="I38" s="31">
        <f>IF($B38="","",$H38-$G38)</f>
        <v/>
      </c>
      <c r="J38" s="32">
        <f>IF(OR($B38="",$G38=0,$G38=""),"",$I38/$G38)</f>
        <v/>
      </c>
      <c r="K38" s="33" t="n"/>
      <c r="L38" s="33" t="n"/>
      <c r="M38" s="33" t="n"/>
      <c r="N38" s="33" t="n"/>
      <c r="O38" s="33" t="n"/>
      <c r="P38" s="32">
        <f>IF(OR($L38="",$N38=""),"",$L38-$N38)</f>
        <v/>
      </c>
      <c r="Q38" s="28">
        <f>IF($B38="","",IF(N($H38)&gt;0,"Live","Exited"))</f>
        <v/>
      </c>
      <c r="R38" s="28">
        <f>IF($B38="","",IF($L38="","Data Pending",IF($L38&gt;=Instructions!$D$19,"Best Fund",IF($L38&gt;=Instructions!$D$20,"Need to Improve","Not Performing"))))</f>
        <v/>
      </c>
      <c r="S38" s="7">
        <f>IF($R38="","",IF($R38="Data Pending","Enter the 3Y return",IF($R38="Best Fund","Hold / consider top-up",IF($R38="Need to Improve","Watch 2 quarters, then decide","Review with client - switch or exit"))))</f>
        <v/>
      </c>
      <c r="T38" s="27" t="n"/>
      <c r="U38" s="7">
        <f>IF($R38&lt;&gt;"Best Fund","",COUNTIFS($R$6:$R$505,"Best Fund",$L$6:$L$505,"&gt;"&amp;$L38)+COUNTIFS($R$6:$R38,"Best Fund",$L$6:$L38,$L38))</f>
        <v/>
      </c>
      <c r="V38" s="7">
        <f>IF($R38&lt;&gt;"Need to Improve","",COUNTIFS($R$6:$R$505,"Need to Improve",$L$6:$L$505,"&lt;"&amp;$L38)+COUNTIFS($R$6:$R38,"Need to Improve",$L$6:$L38,$L38))</f>
        <v/>
      </c>
      <c r="W38" s="7">
        <f>IF($R38&lt;&gt;"Not Performing","",COUNTIFS($R$6:$R$505,"Not Performing",$L$6:$L$505,"&lt;"&amp;$L38)+COUNTIFS($R$6:$R38,"Not Performing",$L$6:$L38,$L38))</f>
        <v/>
      </c>
    </row>
    <row r="39" ht="15" customHeight="1">
      <c r="A39" s="27" t="n"/>
      <c r="B39" s="27" t="n"/>
      <c r="C39" s="27" t="n"/>
      <c r="D39" s="28">
        <f>IF($C39="","",IFERROR(TRIM(LEFT($C39,FIND("-",$C39)-1)),""))</f>
        <v/>
      </c>
      <c r="E39" s="27" t="n"/>
      <c r="F39" s="29" t="n"/>
      <c r="G39" s="30" t="n"/>
      <c r="H39" s="30" t="n"/>
      <c r="I39" s="31">
        <f>IF($B39="","",$H39-$G39)</f>
        <v/>
      </c>
      <c r="J39" s="32">
        <f>IF(OR($B39="",$G39=0,$G39=""),"",$I39/$G39)</f>
        <v/>
      </c>
      <c r="K39" s="33" t="n"/>
      <c r="L39" s="33" t="n"/>
      <c r="M39" s="33" t="n"/>
      <c r="N39" s="33" t="n"/>
      <c r="O39" s="33" t="n"/>
      <c r="P39" s="32">
        <f>IF(OR($L39="",$N39=""),"",$L39-$N39)</f>
        <v/>
      </c>
      <c r="Q39" s="28">
        <f>IF($B39="","",IF(N($H39)&gt;0,"Live","Exited"))</f>
        <v/>
      </c>
      <c r="R39" s="28">
        <f>IF($B39="","",IF($L39="","Data Pending",IF($L39&gt;=Instructions!$D$19,"Best Fund",IF($L39&gt;=Instructions!$D$20,"Need to Improve","Not Performing"))))</f>
        <v/>
      </c>
      <c r="S39" s="7">
        <f>IF($R39="","",IF($R39="Data Pending","Enter the 3Y return",IF($R39="Best Fund","Hold / consider top-up",IF($R39="Need to Improve","Watch 2 quarters, then decide","Review with client - switch or exit"))))</f>
        <v/>
      </c>
      <c r="T39" s="27" t="n"/>
      <c r="U39" s="7">
        <f>IF($R39&lt;&gt;"Best Fund","",COUNTIFS($R$6:$R$505,"Best Fund",$L$6:$L$505,"&gt;"&amp;$L39)+COUNTIFS($R$6:$R39,"Best Fund",$L$6:$L39,$L39))</f>
        <v/>
      </c>
      <c r="V39" s="7">
        <f>IF($R39&lt;&gt;"Need to Improve","",COUNTIFS($R$6:$R$505,"Need to Improve",$L$6:$L$505,"&lt;"&amp;$L39)+COUNTIFS($R$6:$R39,"Need to Improve",$L$6:$L39,$L39))</f>
        <v/>
      </c>
      <c r="W39" s="7">
        <f>IF($R39&lt;&gt;"Not Performing","",COUNTIFS($R$6:$R$505,"Not Performing",$L$6:$L$505,"&lt;"&amp;$L39)+COUNTIFS($R$6:$R39,"Not Performing",$L$6:$L39,$L39))</f>
        <v/>
      </c>
    </row>
    <row r="40" ht="15" customHeight="1">
      <c r="A40" s="27" t="n"/>
      <c r="B40" s="27" t="n"/>
      <c r="C40" s="27" t="n"/>
      <c r="D40" s="28">
        <f>IF($C40="","",IFERROR(TRIM(LEFT($C40,FIND("-",$C40)-1)),""))</f>
        <v/>
      </c>
      <c r="E40" s="27" t="n"/>
      <c r="F40" s="29" t="n"/>
      <c r="G40" s="30" t="n"/>
      <c r="H40" s="30" t="n"/>
      <c r="I40" s="31">
        <f>IF($B40="","",$H40-$G40)</f>
        <v/>
      </c>
      <c r="J40" s="32">
        <f>IF(OR($B40="",$G40=0,$G40=""),"",$I40/$G40)</f>
        <v/>
      </c>
      <c r="K40" s="33" t="n"/>
      <c r="L40" s="33" t="n"/>
      <c r="M40" s="33" t="n"/>
      <c r="N40" s="33" t="n"/>
      <c r="O40" s="33" t="n"/>
      <c r="P40" s="32">
        <f>IF(OR($L40="",$N40=""),"",$L40-$N40)</f>
        <v/>
      </c>
      <c r="Q40" s="28">
        <f>IF($B40="","",IF(N($H40)&gt;0,"Live","Exited"))</f>
        <v/>
      </c>
      <c r="R40" s="28">
        <f>IF($B40="","",IF($L40="","Data Pending",IF($L40&gt;=Instructions!$D$19,"Best Fund",IF($L40&gt;=Instructions!$D$20,"Need to Improve","Not Performing"))))</f>
        <v/>
      </c>
      <c r="S40" s="7">
        <f>IF($R40="","",IF($R40="Data Pending","Enter the 3Y return",IF($R40="Best Fund","Hold / consider top-up",IF($R40="Need to Improve","Watch 2 quarters, then decide","Review with client - switch or exit"))))</f>
        <v/>
      </c>
      <c r="T40" s="27" t="n"/>
      <c r="U40" s="7">
        <f>IF($R40&lt;&gt;"Best Fund","",COUNTIFS($R$6:$R$505,"Best Fund",$L$6:$L$505,"&gt;"&amp;$L40)+COUNTIFS($R$6:$R40,"Best Fund",$L$6:$L40,$L40))</f>
        <v/>
      </c>
      <c r="V40" s="7">
        <f>IF($R40&lt;&gt;"Need to Improve","",COUNTIFS($R$6:$R$505,"Need to Improve",$L$6:$L$505,"&lt;"&amp;$L40)+COUNTIFS($R$6:$R40,"Need to Improve",$L$6:$L40,$L40))</f>
        <v/>
      </c>
      <c r="W40" s="7">
        <f>IF($R40&lt;&gt;"Not Performing","",COUNTIFS($R$6:$R$505,"Not Performing",$L$6:$L$505,"&lt;"&amp;$L40)+COUNTIFS($R$6:$R40,"Not Performing",$L$6:$L40,$L40))</f>
        <v/>
      </c>
    </row>
    <row r="41" ht="15" customHeight="1">
      <c r="A41" s="27" t="n"/>
      <c r="B41" s="27" t="n"/>
      <c r="C41" s="27" t="n"/>
      <c r="D41" s="28">
        <f>IF($C41="","",IFERROR(TRIM(LEFT($C41,FIND("-",$C41)-1)),""))</f>
        <v/>
      </c>
      <c r="E41" s="27" t="n"/>
      <c r="F41" s="29" t="n"/>
      <c r="G41" s="30" t="n"/>
      <c r="H41" s="30" t="n"/>
      <c r="I41" s="31">
        <f>IF($B41="","",$H41-$G41)</f>
        <v/>
      </c>
      <c r="J41" s="32">
        <f>IF(OR($B41="",$G41=0,$G41=""),"",$I41/$G41)</f>
        <v/>
      </c>
      <c r="K41" s="33" t="n"/>
      <c r="L41" s="33" t="n"/>
      <c r="M41" s="33" t="n"/>
      <c r="N41" s="33" t="n"/>
      <c r="O41" s="33" t="n"/>
      <c r="P41" s="32">
        <f>IF(OR($L41="",$N41=""),"",$L41-$N41)</f>
        <v/>
      </c>
      <c r="Q41" s="28">
        <f>IF($B41="","",IF(N($H41)&gt;0,"Live","Exited"))</f>
        <v/>
      </c>
      <c r="R41" s="28">
        <f>IF($B41="","",IF($L41="","Data Pending",IF($L41&gt;=Instructions!$D$19,"Best Fund",IF($L41&gt;=Instructions!$D$20,"Need to Improve","Not Performing"))))</f>
        <v/>
      </c>
      <c r="S41" s="7">
        <f>IF($R41="","",IF($R41="Data Pending","Enter the 3Y return",IF($R41="Best Fund","Hold / consider top-up",IF($R41="Need to Improve","Watch 2 quarters, then decide","Review with client - switch or exit"))))</f>
        <v/>
      </c>
      <c r="T41" s="27" t="n"/>
      <c r="U41" s="7">
        <f>IF($R41&lt;&gt;"Best Fund","",COUNTIFS($R$6:$R$505,"Best Fund",$L$6:$L$505,"&gt;"&amp;$L41)+COUNTIFS($R$6:$R41,"Best Fund",$L$6:$L41,$L41))</f>
        <v/>
      </c>
      <c r="V41" s="7">
        <f>IF($R41&lt;&gt;"Need to Improve","",COUNTIFS($R$6:$R$505,"Need to Improve",$L$6:$L$505,"&lt;"&amp;$L41)+COUNTIFS($R$6:$R41,"Need to Improve",$L$6:$L41,$L41))</f>
        <v/>
      </c>
      <c r="W41" s="7">
        <f>IF($R41&lt;&gt;"Not Performing","",COUNTIFS($R$6:$R$505,"Not Performing",$L$6:$L$505,"&lt;"&amp;$L41)+COUNTIFS($R$6:$R41,"Not Performing",$L$6:$L41,$L41))</f>
        <v/>
      </c>
    </row>
    <row r="42" ht="15" customHeight="1">
      <c r="A42" s="27" t="n"/>
      <c r="B42" s="27" t="n"/>
      <c r="C42" s="27" t="n"/>
      <c r="D42" s="28">
        <f>IF($C42="","",IFERROR(TRIM(LEFT($C42,FIND("-",$C42)-1)),""))</f>
        <v/>
      </c>
      <c r="E42" s="27" t="n"/>
      <c r="F42" s="29" t="n"/>
      <c r="G42" s="30" t="n"/>
      <c r="H42" s="30" t="n"/>
      <c r="I42" s="31">
        <f>IF($B42="","",$H42-$G42)</f>
        <v/>
      </c>
      <c r="J42" s="32">
        <f>IF(OR($B42="",$G42=0,$G42=""),"",$I42/$G42)</f>
        <v/>
      </c>
      <c r="K42" s="33" t="n"/>
      <c r="L42" s="33" t="n"/>
      <c r="M42" s="33" t="n"/>
      <c r="N42" s="33" t="n"/>
      <c r="O42" s="33" t="n"/>
      <c r="P42" s="32">
        <f>IF(OR($L42="",$N42=""),"",$L42-$N42)</f>
        <v/>
      </c>
      <c r="Q42" s="28">
        <f>IF($B42="","",IF(N($H42)&gt;0,"Live","Exited"))</f>
        <v/>
      </c>
      <c r="R42" s="28">
        <f>IF($B42="","",IF($L42="","Data Pending",IF($L42&gt;=Instructions!$D$19,"Best Fund",IF($L42&gt;=Instructions!$D$20,"Need to Improve","Not Performing"))))</f>
        <v/>
      </c>
      <c r="S42" s="7">
        <f>IF($R42="","",IF($R42="Data Pending","Enter the 3Y return",IF($R42="Best Fund","Hold / consider top-up",IF($R42="Need to Improve","Watch 2 quarters, then decide","Review with client - switch or exit"))))</f>
        <v/>
      </c>
      <c r="T42" s="27" t="n"/>
      <c r="U42" s="7">
        <f>IF($R42&lt;&gt;"Best Fund","",COUNTIFS($R$6:$R$505,"Best Fund",$L$6:$L$505,"&gt;"&amp;$L42)+COUNTIFS($R$6:$R42,"Best Fund",$L$6:$L42,$L42))</f>
        <v/>
      </c>
      <c r="V42" s="7">
        <f>IF($R42&lt;&gt;"Need to Improve","",COUNTIFS($R$6:$R$505,"Need to Improve",$L$6:$L$505,"&lt;"&amp;$L42)+COUNTIFS($R$6:$R42,"Need to Improve",$L$6:$L42,$L42))</f>
        <v/>
      </c>
      <c r="W42" s="7">
        <f>IF($R42&lt;&gt;"Not Performing","",COUNTIFS($R$6:$R$505,"Not Performing",$L$6:$L$505,"&lt;"&amp;$L42)+COUNTIFS($R$6:$R42,"Not Performing",$L$6:$L42,$L42))</f>
        <v/>
      </c>
    </row>
    <row r="43" ht="15" customHeight="1">
      <c r="A43" s="27" t="n"/>
      <c r="B43" s="27" t="n"/>
      <c r="C43" s="27" t="n"/>
      <c r="D43" s="28">
        <f>IF($C43="","",IFERROR(TRIM(LEFT($C43,FIND("-",$C43)-1)),""))</f>
        <v/>
      </c>
      <c r="E43" s="27" t="n"/>
      <c r="F43" s="29" t="n"/>
      <c r="G43" s="30" t="n"/>
      <c r="H43" s="30" t="n"/>
      <c r="I43" s="31">
        <f>IF($B43="","",$H43-$G43)</f>
        <v/>
      </c>
      <c r="J43" s="32">
        <f>IF(OR($B43="",$G43=0,$G43=""),"",$I43/$G43)</f>
        <v/>
      </c>
      <c r="K43" s="33" t="n"/>
      <c r="L43" s="33" t="n"/>
      <c r="M43" s="33" t="n"/>
      <c r="N43" s="33" t="n"/>
      <c r="O43" s="33" t="n"/>
      <c r="P43" s="32">
        <f>IF(OR($L43="",$N43=""),"",$L43-$N43)</f>
        <v/>
      </c>
      <c r="Q43" s="28">
        <f>IF($B43="","",IF(N($H43)&gt;0,"Live","Exited"))</f>
        <v/>
      </c>
      <c r="R43" s="28">
        <f>IF($B43="","",IF($L43="","Data Pending",IF($L43&gt;=Instructions!$D$19,"Best Fund",IF($L43&gt;=Instructions!$D$20,"Need to Improve","Not Performing"))))</f>
        <v/>
      </c>
      <c r="S43" s="7">
        <f>IF($R43="","",IF($R43="Data Pending","Enter the 3Y return",IF($R43="Best Fund","Hold / consider top-up",IF($R43="Need to Improve","Watch 2 quarters, then decide","Review with client - switch or exit"))))</f>
        <v/>
      </c>
      <c r="T43" s="27" t="n"/>
      <c r="U43" s="7">
        <f>IF($R43&lt;&gt;"Best Fund","",COUNTIFS($R$6:$R$505,"Best Fund",$L$6:$L$505,"&gt;"&amp;$L43)+COUNTIFS($R$6:$R43,"Best Fund",$L$6:$L43,$L43))</f>
        <v/>
      </c>
      <c r="V43" s="7">
        <f>IF($R43&lt;&gt;"Need to Improve","",COUNTIFS($R$6:$R$505,"Need to Improve",$L$6:$L$505,"&lt;"&amp;$L43)+COUNTIFS($R$6:$R43,"Need to Improve",$L$6:$L43,$L43))</f>
        <v/>
      </c>
      <c r="W43" s="7">
        <f>IF($R43&lt;&gt;"Not Performing","",COUNTIFS($R$6:$R$505,"Not Performing",$L$6:$L$505,"&lt;"&amp;$L43)+COUNTIFS($R$6:$R43,"Not Performing",$L$6:$L43,$L43))</f>
        <v/>
      </c>
    </row>
    <row r="44" ht="15" customHeight="1">
      <c r="A44" s="27" t="n"/>
      <c r="B44" s="27" t="n"/>
      <c r="C44" s="27" t="n"/>
      <c r="D44" s="28">
        <f>IF($C44="","",IFERROR(TRIM(LEFT($C44,FIND("-",$C44)-1)),""))</f>
        <v/>
      </c>
      <c r="E44" s="27" t="n"/>
      <c r="F44" s="29" t="n"/>
      <c r="G44" s="30" t="n"/>
      <c r="H44" s="30" t="n"/>
      <c r="I44" s="31">
        <f>IF($B44="","",$H44-$G44)</f>
        <v/>
      </c>
      <c r="J44" s="32">
        <f>IF(OR($B44="",$G44=0,$G44=""),"",$I44/$G44)</f>
        <v/>
      </c>
      <c r="K44" s="33" t="n"/>
      <c r="L44" s="33" t="n"/>
      <c r="M44" s="33" t="n"/>
      <c r="N44" s="33" t="n"/>
      <c r="O44" s="33" t="n"/>
      <c r="P44" s="32">
        <f>IF(OR($L44="",$N44=""),"",$L44-$N44)</f>
        <v/>
      </c>
      <c r="Q44" s="28">
        <f>IF($B44="","",IF(N($H44)&gt;0,"Live","Exited"))</f>
        <v/>
      </c>
      <c r="R44" s="28">
        <f>IF($B44="","",IF($L44="","Data Pending",IF($L44&gt;=Instructions!$D$19,"Best Fund",IF($L44&gt;=Instructions!$D$20,"Need to Improve","Not Performing"))))</f>
        <v/>
      </c>
      <c r="S44" s="7">
        <f>IF($R44="","",IF($R44="Data Pending","Enter the 3Y return",IF($R44="Best Fund","Hold / consider top-up",IF($R44="Need to Improve","Watch 2 quarters, then decide","Review with client - switch or exit"))))</f>
        <v/>
      </c>
      <c r="T44" s="27" t="n"/>
      <c r="U44" s="7">
        <f>IF($R44&lt;&gt;"Best Fund","",COUNTIFS($R$6:$R$505,"Best Fund",$L$6:$L$505,"&gt;"&amp;$L44)+COUNTIFS($R$6:$R44,"Best Fund",$L$6:$L44,$L44))</f>
        <v/>
      </c>
      <c r="V44" s="7">
        <f>IF($R44&lt;&gt;"Need to Improve","",COUNTIFS($R$6:$R$505,"Need to Improve",$L$6:$L$505,"&lt;"&amp;$L44)+COUNTIFS($R$6:$R44,"Need to Improve",$L$6:$L44,$L44))</f>
        <v/>
      </c>
      <c r="W44" s="7">
        <f>IF($R44&lt;&gt;"Not Performing","",COUNTIFS($R$6:$R$505,"Not Performing",$L$6:$L$505,"&lt;"&amp;$L44)+COUNTIFS($R$6:$R44,"Not Performing",$L$6:$L44,$L44))</f>
        <v/>
      </c>
    </row>
    <row r="45" ht="15" customHeight="1">
      <c r="A45" s="27" t="n"/>
      <c r="B45" s="27" t="n"/>
      <c r="C45" s="27" t="n"/>
      <c r="D45" s="28">
        <f>IF($C45="","",IFERROR(TRIM(LEFT($C45,FIND("-",$C45)-1)),""))</f>
        <v/>
      </c>
      <c r="E45" s="27" t="n"/>
      <c r="F45" s="29" t="n"/>
      <c r="G45" s="30" t="n"/>
      <c r="H45" s="30" t="n"/>
      <c r="I45" s="31">
        <f>IF($B45="","",$H45-$G45)</f>
        <v/>
      </c>
      <c r="J45" s="32">
        <f>IF(OR($B45="",$G45=0,$G45=""),"",$I45/$G45)</f>
        <v/>
      </c>
      <c r="K45" s="33" t="n"/>
      <c r="L45" s="33" t="n"/>
      <c r="M45" s="33" t="n"/>
      <c r="N45" s="33" t="n"/>
      <c r="O45" s="33" t="n"/>
      <c r="P45" s="32">
        <f>IF(OR($L45="",$N45=""),"",$L45-$N45)</f>
        <v/>
      </c>
      <c r="Q45" s="28">
        <f>IF($B45="","",IF(N($H45)&gt;0,"Live","Exited"))</f>
        <v/>
      </c>
      <c r="R45" s="28">
        <f>IF($B45="","",IF($L45="","Data Pending",IF($L45&gt;=Instructions!$D$19,"Best Fund",IF($L45&gt;=Instructions!$D$20,"Need to Improve","Not Performing"))))</f>
        <v/>
      </c>
      <c r="S45" s="7">
        <f>IF($R45="","",IF($R45="Data Pending","Enter the 3Y return",IF($R45="Best Fund","Hold / consider top-up",IF($R45="Need to Improve","Watch 2 quarters, then decide","Review with client - switch or exit"))))</f>
        <v/>
      </c>
      <c r="T45" s="27" t="n"/>
      <c r="U45" s="7">
        <f>IF($R45&lt;&gt;"Best Fund","",COUNTIFS($R$6:$R$505,"Best Fund",$L$6:$L$505,"&gt;"&amp;$L45)+COUNTIFS($R$6:$R45,"Best Fund",$L$6:$L45,$L45))</f>
        <v/>
      </c>
      <c r="V45" s="7">
        <f>IF($R45&lt;&gt;"Need to Improve","",COUNTIFS($R$6:$R$505,"Need to Improve",$L$6:$L$505,"&lt;"&amp;$L45)+COUNTIFS($R$6:$R45,"Need to Improve",$L$6:$L45,$L45))</f>
        <v/>
      </c>
      <c r="W45" s="7">
        <f>IF($R45&lt;&gt;"Not Performing","",COUNTIFS($R$6:$R$505,"Not Performing",$L$6:$L$505,"&lt;"&amp;$L45)+COUNTIFS($R$6:$R45,"Not Performing",$L$6:$L45,$L45))</f>
        <v/>
      </c>
    </row>
    <row r="46" ht="15" customHeight="1">
      <c r="A46" s="27" t="n"/>
      <c r="B46" s="27" t="n"/>
      <c r="C46" s="27" t="n"/>
      <c r="D46" s="28">
        <f>IF($C46="","",IFERROR(TRIM(LEFT($C46,FIND("-",$C46)-1)),""))</f>
        <v/>
      </c>
      <c r="E46" s="27" t="n"/>
      <c r="F46" s="29" t="n"/>
      <c r="G46" s="30" t="n"/>
      <c r="H46" s="30" t="n"/>
      <c r="I46" s="31">
        <f>IF($B46="","",$H46-$G46)</f>
        <v/>
      </c>
      <c r="J46" s="32">
        <f>IF(OR($B46="",$G46=0,$G46=""),"",$I46/$G46)</f>
        <v/>
      </c>
      <c r="K46" s="33" t="n"/>
      <c r="L46" s="33" t="n"/>
      <c r="M46" s="33" t="n"/>
      <c r="N46" s="33" t="n"/>
      <c r="O46" s="33" t="n"/>
      <c r="P46" s="32">
        <f>IF(OR($L46="",$N46=""),"",$L46-$N46)</f>
        <v/>
      </c>
      <c r="Q46" s="28">
        <f>IF($B46="","",IF(N($H46)&gt;0,"Live","Exited"))</f>
        <v/>
      </c>
      <c r="R46" s="28">
        <f>IF($B46="","",IF($L46="","Data Pending",IF($L46&gt;=Instructions!$D$19,"Best Fund",IF($L46&gt;=Instructions!$D$20,"Need to Improve","Not Performing"))))</f>
        <v/>
      </c>
      <c r="S46" s="7">
        <f>IF($R46="","",IF($R46="Data Pending","Enter the 3Y return",IF($R46="Best Fund","Hold / consider top-up",IF($R46="Need to Improve","Watch 2 quarters, then decide","Review with client - switch or exit"))))</f>
        <v/>
      </c>
      <c r="T46" s="27" t="n"/>
      <c r="U46" s="7">
        <f>IF($R46&lt;&gt;"Best Fund","",COUNTIFS($R$6:$R$505,"Best Fund",$L$6:$L$505,"&gt;"&amp;$L46)+COUNTIFS($R$6:$R46,"Best Fund",$L$6:$L46,$L46))</f>
        <v/>
      </c>
      <c r="V46" s="7">
        <f>IF($R46&lt;&gt;"Need to Improve","",COUNTIFS($R$6:$R$505,"Need to Improve",$L$6:$L$505,"&lt;"&amp;$L46)+COUNTIFS($R$6:$R46,"Need to Improve",$L$6:$L46,$L46))</f>
        <v/>
      </c>
      <c r="W46" s="7">
        <f>IF($R46&lt;&gt;"Not Performing","",COUNTIFS($R$6:$R$505,"Not Performing",$L$6:$L$505,"&lt;"&amp;$L46)+COUNTIFS($R$6:$R46,"Not Performing",$L$6:$L46,$L46))</f>
        <v/>
      </c>
    </row>
    <row r="47" ht="15" customHeight="1">
      <c r="A47" s="27" t="n"/>
      <c r="B47" s="27" t="n"/>
      <c r="C47" s="27" t="n"/>
      <c r="D47" s="28">
        <f>IF($C47="","",IFERROR(TRIM(LEFT($C47,FIND("-",$C47)-1)),""))</f>
        <v/>
      </c>
      <c r="E47" s="27" t="n"/>
      <c r="F47" s="29" t="n"/>
      <c r="G47" s="30" t="n"/>
      <c r="H47" s="30" t="n"/>
      <c r="I47" s="31">
        <f>IF($B47="","",$H47-$G47)</f>
        <v/>
      </c>
      <c r="J47" s="32">
        <f>IF(OR($B47="",$G47=0,$G47=""),"",$I47/$G47)</f>
        <v/>
      </c>
      <c r="K47" s="33" t="n"/>
      <c r="L47" s="33" t="n"/>
      <c r="M47" s="33" t="n"/>
      <c r="N47" s="33" t="n"/>
      <c r="O47" s="33" t="n"/>
      <c r="P47" s="32">
        <f>IF(OR($L47="",$N47=""),"",$L47-$N47)</f>
        <v/>
      </c>
      <c r="Q47" s="28">
        <f>IF($B47="","",IF(N($H47)&gt;0,"Live","Exited"))</f>
        <v/>
      </c>
      <c r="R47" s="28">
        <f>IF($B47="","",IF($L47="","Data Pending",IF($L47&gt;=Instructions!$D$19,"Best Fund",IF($L47&gt;=Instructions!$D$20,"Need to Improve","Not Performing"))))</f>
        <v/>
      </c>
      <c r="S47" s="7">
        <f>IF($R47="","",IF($R47="Data Pending","Enter the 3Y return",IF($R47="Best Fund","Hold / consider top-up",IF($R47="Need to Improve","Watch 2 quarters, then decide","Review with client - switch or exit"))))</f>
        <v/>
      </c>
      <c r="T47" s="27" t="n"/>
      <c r="U47" s="7">
        <f>IF($R47&lt;&gt;"Best Fund","",COUNTIFS($R$6:$R$505,"Best Fund",$L$6:$L$505,"&gt;"&amp;$L47)+COUNTIFS($R$6:$R47,"Best Fund",$L$6:$L47,$L47))</f>
        <v/>
      </c>
      <c r="V47" s="7">
        <f>IF($R47&lt;&gt;"Need to Improve","",COUNTIFS($R$6:$R$505,"Need to Improve",$L$6:$L$505,"&lt;"&amp;$L47)+COUNTIFS($R$6:$R47,"Need to Improve",$L$6:$L47,$L47))</f>
        <v/>
      </c>
      <c r="W47" s="7">
        <f>IF($R47&lt;&gt;"Not Performing","",COUNTIFS($R$6:$R$505,"Not Performing",$L$6:$L$505,"&lt;"&amp;$L47)+COUNTIFS($R$6:$R47,"Not Performing",$L$6:$L47,$L47))</f>
        <v/>
      </c>
    </row>
    <row r="48" ht="15" customHeight="1">
      <c r="A48" s="27" t="n"/>
      <c r="B48" s="27" t="n"/>
      <c r="C48" s="27" t="n"/>
      <c r="D48" s="28">
        <f>IF($C48="","",IFERROR(TRIM(LEFT($C48,FIND("-",$C48)-1)),""))</f>
        <v/>
      </c>
      <c r="E48" s="27" t="n"/>
      <c r="F48" s="29" t="n"/>
      <c r="G48" s="30" t="n"/>
      <c r="H48" s="30" t="n"/>
      <c r="I48" s="31">
        <f>IF($B48="","",$H48-$G48)</f>
        <v/>
      </c>
      <c r="J48" s="32">
        <f>IF(OR($B48="",$G48=0,$G48=""),"",$I48/$G48)</f>
        <v/>
      </c>
      <c r="K48" s="33" t="n"/>
      <c r="L48" s="33" t="n"/>
      <c r="M48" s="33" t="n"/>
      <c r="N48" s="33" t="n"/>
      <c r="O48" s="33" t="n"/>
      <c r="P48" s="32">
        <f>IF(OR($L48="",$N48=""),"",$L48-$N48)</f>
        <v/>
      </c>
      <c r="Q48" s="28">
        <f>IF($B48="","",IF(N($H48)&gt;0,"Live","Exited"))</f>
        <v/>
      </c>
      <c r="R48" s="28">
        <f>IF($B48="","",IF($L48="","Data Pending",IF($L48&gt;=Instructions!$D$19,"Best Fund",IF($L48&gt;=Instructions!$D$20,"Need to Improve","Not Performing"))))</f>
        <v/>
      </c>
      <c r="S48" s="7">
        <f>IF($R48="","",IF($R48="Data Pending","Enter the 3Y return",IF($R48="Best Fund","Hold / consider top-up",IF($R48="Need to Improve","Watch 2 quarters, then decide","Review with client - switch or exit"))))</f>
        <v/>
      </c>
      <c r="T48" s="27" t="n"/>
      <c r="U48" s="7">
        <f>IF($R48&lt;&gt;"Best Fund","",COUNTIFS($R$6:$R$505,"Best Fund",$L$6:$L$505,"&gt;"&amp;$L48)+COUNTIFS($R$6:$R48,"Best Fund",$L$6:$L48,$L48))</f>
        <v/>
      </c>
      <c r="V48" s="7">
        <f>IF($R48&lt;&gt;"Need to Improve","",COUNTIFS($R$6:$R$505,"Need to Improve",$L$6:$L$505,"&lt;"&amp;$L48)+COUNTIFS($R$6:$R48,"Need to Improve",$L$6:$L48,$L48))</f>
        <v/>
      </c>
      <c r="W48" s="7">
        <f>IF($R48&lt;&gt;"Not Performing","",COUNTIFS($R$6:$R$505,"Not Performing",$L$6:$L$505,"&lt;"&amp;$L48)+COUNTIFS($R$6:$R48,"Not Performing",$L$6:$L48,$L48))</f>
        <v/>
      </c>
    </row>
    <row r="49" ht="15" customHeight="1">
      <c r="A49" s="27" t="n"/>
      <c r="B49" s="27" t="n"/>
      <c r="C49" s="27" t="n"/>
      <c r="D49" s="28">
        <f>IF($C49="","",IFERROR(TRIM(LEFT($C49,FIND("-",$C49)-1)),""))</f>
        <v/>
      </c>
      <c r="E49" s="27" t="n"/>
      <c r="F49" s="29" t="n"/>
      <c r="G49" s="30" t="n"/>
      <c r="H49" s="30" t="n"/>
      <c r="I49" s="31">
        <f>IF($B49="","",$H49-$G49)</f>
        <v/>
      </c>
      <c r="J49" s="32">
        <f>IF(OR($B49="",$G49=0,$G49=""),"",$I49/$G49)</f>
        <v/>
      </c>
      <c r="K49" s="33" t="n"/>
      <c r="L49" s="33" t="n"/>
      <c r="M49" s="33" t="n"/>
      <c r="N49" s="33" t="n"/>
      <c r="O49" s="33" t="n"/>
      <c r="P49" s="32">
        <f>IF(OR($L49="",$N49=""),"",$L49-$N49)</f>
        <v/>
      </c>
      <c r="Q49" s="28">
        <f>IF($B49="","",IF(N($H49)&gt;0,"Live","Exited"))</f>
        <v/>
      </c>
      <c r="R49" s="28">
        <f>IF($B49="","",IF($L49="","Data Pending",IF($L49&gt;=Instructions!$D$19,"Best Fund",IF($L49&gt;=Instructions!$D$20,"Need to Improve","Not Performing"))))</f>
        <v/>
      </c>
      <c r="S49" s="7">
        <f>IF($R49="","",IF($R49="Data Pending","Enter the 3Y return",IF($R49="Best Fund","Hold / consider top-up",IF($R49="Need to Improve","Watch 2 quarters, then decide","Review with client - switch or exit"))))</f>
        <v/>
      </c>
      <c r="T49" s="27" t="n"/>
      <c r="U49" s="7">
        <f>IF($R49&lt;&gt;"Best Fund","",COUNTIFS($R$6:$R$505,"Best Fund",$L$6:$L$505,"&gt;"&amp;$L49)+COUNTIFS($R$6:$R49,"Best Fund",$L$6:$L49,$L49))</f>
        <v/>
      </c>
      <c r="V49" s="7">
        <f>IF($R49&lt;&gt;"Need to Improve","",COUNTIFS($R$6:$R$505,"Need to Improve",$L$6:$L$505,"&lt;"&amp;$L49)+COUNTIFS($R$6:$R49,"Need to Improve",$L$6:$L49,$L49))</f>
        <v/>
      </c>
      <c r="W49" s="7">
        <f>IF($R49&lt;&gt;"Not Performing","",COUNTIFS($R$6:$R$505,"Not Performing",$L$6:$L$505,"&lt;"&amp;$L49)+COUNTIFS($R$6:$R49,"Not Performing",$L$6:$L49,$L49))</f>
        <v/>
      </c>
    </row>
    <row r="50" ht="15" customHeight="1">
      <c r="A50" s="27" t="n"/>
      <c r="B50" s="27" t="n"/>
      <c r="C50" s="27" t="n"/>
      <c r="D50" s="28">
        <f>IF($C50="","",IFERROR(TRIM(LEFT($C50,FIND("-",$C50)-1)),""))</f>
        <v/>
      </c>
      <c r="E50" s="27" t="n"/>
      <c r="F50" s="29" t="n"/>
      <c r="G50" s="30" t="n"/>
      <c r="H50" s="30" t="n"/>
      <c r="I50" s="31">
        <f>IF($B50="","",$H50-$G50)</f>
        <v/>
      </c>
      <c r="J50" s="32">
        <f>IF(OR($B50="",$G50=0,$G50=""),"",$I50/$G50)</f>
        <v/>
      </c>
      <c r="K50" s="33" t="n"/>
      <c r="L50" s="33" t="n"/>
      <c r="M50" s="33" t="n"/>
      <c r="N50" s="33" t="n"/>
      <c r="O50" s="33" t="n"/>
      <c r="P50" s="32">
        <f>IF(OR($L50="",$N50=""),"",$L50-$N50)</f>
        <v/>
      </c>
      <c r="Q50" s="28">
        <f>IF($B50="","",IF(N($H50)&gt;0,"Live","Exited"))</f>
        <v/>
      </c>
      <c r="R50" s="28">
        <f>IF($B50="","",IF($L50="","Data Pending",IF($L50&gt;=Instructions!$D$19,"Best Fund",IF($L50&gt;=Instructions!$D$20,"Need to Improve","Not Performing"))))</f>
        <v/>
      </c>
      <c r="S50" s="7">
        <f>IF($R50="","",IF($R50="Data Pending","Enter the 3Y return",IF($R50="Best Fund","Hold / consider top-up",IF($R50="Need to Improve","Watch 2 quarters, then decide","Review with client - switch or exit"))))</f>
        <v/>
      </c>
      <c r="T50" s="27" t="n"/>
      <c r="U50" s="7">
        <f>IF($R50&lt;&gt;"Best Fund","",COUNTIFS($R$6:$R$505,"Best Fund",$L$6:$L$505,"&gt;"&amp;$L50)+COUNTIFS($R$6:$R50,"Best Fund",$L$6:$L50,$L50))</f>
        <v/>
      </c>
      <c r="V50" s="7">
        <f>IF($R50&lt;&gt;"Need to Improve","",COUNTIFS($R$6:$R$505,"Need to Improve",$L$6:$L$505,"&lt;"&amp;$L50)+COUNTIFS($R$6:$R50,"Need to Improve",$L$6:$L50,$L50))</f>
        <v/>
      </c>
      <c r="W50" s="7">
        <f>IF($R50&lt;&gt;"Not Performing","",COUNTIFS($R$6:$R$505,"Not Performing",$L$6:$L$505,"&lt;"&amp;$L50)+COUNTIFS($R$6:$R50,"Not Performing",$L$6:$L50,$L50))</f>
        <v/>
      </c>
    </row>
    <row r="51" ht="15" customHeight="1">
      <c r="A51" s="27" t="n"/>
      <c r="B51" s="27" t="n"/>
      <c r="C51" s="27" t="n"/>
      <c r="D51" s="28">
        <f>IF($C51="","",IFERROR(TRIM(LEFT($C51,FIND("-",$C51)-1)),""))</f>
        <v/>
      </c>
      <c r="E51" s="27" t="n"/>
      <c r="F51" s="29" t="n"/>
      <c r="G51" s="30" t="n"/>
      <c r="H51" s="30" t="n"/>
      <c r="I51" s="31">
        <f>IF($B51="","",$H51-$G51)</f>
        <v/>
      </c>
      <c r="J51" s="32">
        <f>IF(OR($B51="",$G51=0,$G51=""),"",$I51/$G51)</f>
        <v/>
      </c>
      <c r="K51" s="33" t="n"/>
      <c r="L51" s="33" t="n"/>
      <c r="M51" s="33" t="n"/>
      <c r="N51" s="33" t="n"/>
      <c r="O51" s="33" t="n"/>
      <c r="P51" s="32">
        <f>IF(OR($L51="",$N51=""),"",$L51-$N51)</f>
        <v/>
      </c>
      <c r="Q51" s="28">
        <f>IF($B51="","",IF(N($H51)&gt;0,"Live","Exited"))</f>
        <v/>
      </c>
      <c r="R51" s="28">
        <f>IF($B51="","",IF($L51="","Data Pending",IF($L51&gt;=Instructions!$D$19,"Best Fund",IF($L51&gt;=Instructions!$D$20,"Need to Improve","Not Performing"))))</f>
        <v/>
      </c>
      <c r="S51" s="7">
        <f>IF($R51="","",IF($R51="Data Pending","Enter the 3Y return",IF($R51="Best Fund","Hold / consider top-up",IF($R51="Need to Improve","Watch 2 quarters, then decide","Review with client - switch or exit"))))</f>
        <v/>
      </c>
      <c r="T51" s="27" t="n"/>
      <c r="U51" s="7">
        <f>IF($R51&lt;&gt;"Best Fund","",COUNTIFS($R$6:$R$505,"Best Fund",$L$6:$L$505,"&gt;"&amp;$L51)+COUNTIFS($R$6:$R51,"Best Fund",$L$6:$L51,$L51))</f>
        <v/>
      </c>
      <c r="V51" s="7">
        <f>IF($R51&lt;&gt;"Need to Improve","",COUNTIFS($R$6:$R$505,"Need to Improve",$L$6:$L$505,"&lt;"&amp;$L51)+COUNTIFS($R$6:$R51,"Need to Improve",$L$6:$L51,$L51))</f>
        <v/>
      </c>
      <c r="W51" s="7">
        <f>IF($R51&lt;&gt;"Not Performing","",COUNTIFS($R$6:$R$505,"Not Performing",$L$6:$L$505,"&lt;"&amp;$L51)+COUNTIFS($R$6:$R51,"Not Performing",$L$6:$L51,$L51))</f>
        <v/>
      </c>
    </row>
    <row r="52" ht="15" customHeight="1">
      <c r="A52" s="27" t="n"/>
      <c r="B52" s="27" t="n"/>
      <c r="C52" s="27" t="n"/>
      <c r="D52" s="28">
        <f>IF($C52="","",IFERROR(TRIM(LEFT($C52,FIND("-",$C52)-1)),""))</f>
        <v/>
      </c>
      <c r="E52" s="27" t="n"/>
      <c r="F52" s="29" t="n"/>
      <c r="G52" s="30" t="n"/>
      <c r="H52" s="30" t="n"/>
      <c r="I52" s="31">
        <f>IF($B52="","",$H52-$G52)</f>
        <v/>
      </c>
      <c r="J52" s="32">
        <f>IF(OR($B52="",$G52=0,$G52=""),"",$I52/$G52)</f>
        <v/>
      </c>
      <c r="K52" s="33" t="n"/>
      <c r="L52" s="33" t="n"/>
      <c r="M52" s="33" t="n"/>
      <c r="N52" s="33" t="n"/>
      <c r="O52" s="33" t="n"/>
      <c r="P52" s="32">
        <f>IF(OR($L52="",$N52=""),"",$L52-$N52)</f>
        <v/>
      </c>
      <c r="Q52" s="28">
        <f>IF($B52="","",IF(N($H52)&gt;0,"Live","Exited"))</f>
        <v/>
      </c>
      <c r="R52" s="28">
        <f>IF($B52="","",IF($L52="","Data Pending",IF($L52&gt;=Instructions!$D$19,"Best Fund",IF($L52&gt;=Instructions!$D$20,"Need to Improve","Not Performing"))))</f>
        <v/>
      </c>
      <c r="S52" s="7">
        <f>IF($R52="","",IF($R52="Data Pending","Enter the 3Y return",IF($R52="Best Fund","Hold / consider top-up",IF($R52="Need to Improve","Watch 2 quarters, then decide","Review with client - switch or exit"))))</f>
        <v/>
      </c>
      <c r="T52" s="27" t="n"/>
      <c r="U52" s="7">
        <f>IF($R52&lt;&gt;"Best Fund","",COUNTIFS($R$6:$R$505,"Best Fund",$L$6:$L$505,"&gt;"&amp;$L52)+COUNTIFS($R$6:$R52,"Best Fund",$L$6:$L52,$L52))</f>
        <v/>
      </c>
      <c r="V52" s="7">
        <f>IF($R52&lt;&gt;"Need to Improve","",COUNTIFS($R$6:$R$505,"Need to Improve",$L$6:$L$505,"&lt;"&amp;$L52)+COUNTIFS($R$6:$R52,"Need to Improve",$L$6:$L52,$L52))</f>
        <v/>
      </c>
      <c r="W52" s="7">
        <f>IF($R52&lt;&gt;"Not Performing","",COUNTIFS($R$6:$R$505,"Not Performing",$L$6:$L$505,"&lt;"&amp;$L52)+COUNTIFS($R$6:$R52,"Not Performing",$L$6:$L52,$L52))</f>
        <v/>
      </c>
    </row>
    <row r="53" ht="15" customHeight="1">
      <c r="A53" s="27" t="n"/>
      <c r="B53" s="27" t="n"/>
      <c r="C53" s="27" t="n"/>
      <c r="D53" s="28">
        <f>IF($C53="","",IFERROR(TRIM(LEFT($C53,FIND("-",$C53)-1)),""))</f>
        <v/>
      </c>
      <c r="E53" s="27" t="n"/>
      <c r="F53" s="29" t="n"/>
      <c r="G53" s="30" t="n"/>
      <c r="H53" s="30" t="n"/>
      <c r="I53" s="31">
        <f>IF($B53="","",$H53-$G53)</f>
        <v/>
      </c>
      <c r="J53" s="32">
        <f>IF(OR($B53="",$G53=0,$G53=""),"",$I53/$G53)</f>
        <v/>
      </c>
      <c r="K53" s="33" t="n"/>
      <c r="L53" s="33" t="n"/>
      <c r="M53" s="33" t="n"/>
      <c r="N53" s="33" t="n"/>
      <c r="O53" s="33" t="n"/>
      <c r="P53" s="32">
        <f>IF(OR($L53="",$N53=""),"",$L53-$N53)</f>
        <v/>
      </c>
      <c r="Q53" s="28">
        <f>IF($B53="","",IF(N($H53)&gt;0,"Live","Exited"))</f>
        <v/>
      </c>
      <c r="R53" s="28">
        <f>IF($B53="","",IF($L53="","Data Pending",IF($L53&gt;=Instructions!$D$19,"Best Fund",IF($L53&gt;=Instructions!$D$20,"Need to Improve","Not Performing"))))</f>
        <v/>
      </c>
      <c r="S53" s="7">
        <f>IF($R53="","",IF($R53="Data Pending","Enter the 3Y return",IF($R53="Best Fund","Hold / consider top-up",IF($R53="Need to Improve","Watch 2 quarters, then decide","Review with client - switch or exit"))))</f>
        <v/>
      </c>
      <c r="T53" s="27" t="n"/>
      <c r="U53" s="7">
        <f>IF($R53&lt;&gt;"Best Fund","",COUNTIFS($R$6:$R$505,"Best Fund",$L$6:$L$505,"&gt;"&amp;$L53)+COUNTIFS($R$6:$R53,"Best Fund",$L$6:$L53,$L53))</f>
        <v/>
      </c>
      <c r="V53" s="7">
        <f>IF($R53&lt;&gt;"Need to Improve","",COUNTIFS($R$6:$R$505,"Need to Improve",$L$6:$L$505,"&lt;"&amp;$L53)+COUNTIFS($R$6:$R53,"Need to Improve",$L$6:$L53,$L53))</f>
        <v/>
      </c>
      <c r="W53" s="7">
        <f>IF($R53&lt;&gt;"Not Performing","",COUNTIFS($R$6:$R$505,"Not Performing",$L$6:$L$505,"&lt;"&amp;$L53)+COUNTIFS($R$6:$R53,"Not Performing",$L$6:$L53,$L53))</f>
        <v/>
      </c>
    </row>
    <row r="54" ht="15" customHeight="1">
      <c r="A54" s="27" t="n"/>
      <c r="B54" s="27" t="n"/>
      <c r="C54" s="27" t="n"/>
      <c r="D54" s="28">
        <f>IF($C54="","",IFERROR(TRIM(LEFT($C54,FIND("-",$C54)-1)),""))</f>
        <v/>
      </c>
      <c r="E54" s="27" t="n"/>
      <c r="F54" s="29" t="n"/>
      <c r="G54" s="30" t="n"/>
      <c r="H54" s="30" t="n"/>
      <c r="I54" s="31">
        <f>IF($B54="","",$H54-$G54)</f>
        <v/>
      </c>
      <c r="J54" s="32">
        <f>IF(OR($B54="",$G54=0,$G54=""),"",$I54/$G54)</f>
        <v/>
      </c>
      <c r="K54" s="33" t="n"/>
      <c r="L54" s="33" t="n"/>
      <c r="M54" s="33" t="n"/>
      <c r="N54" s="33" t="n"/>
      <c r="O54" s="33" t="n"/>
      <c r="P54" s="32">
        <f>IF(OR($L54="",$N54=""),"",$L54-$N54)</f>
        <v/>
      </c>
      <c r="Q54" s="28">
        <f>IF($B54="","",IF(N($H54)&gt;0,"Live","Exited"))</f>
        <v/>
      </c>
      <c r="R54" s="28">
        <f>IF($B54="","",IF($L54="","Data Pending",IF($L54&gt;=Instructions!$D$19,"Best Fund",IF($L54&gt;=Instructions!$D$20,"Need to Improve","Not Performing"))))</f>
        <v/>
      </c>
      <c r="S54" s="7">
        <f>IF($R54="","",IF($R54="Data Pending","Enter the 3Y return",IF($R54="Best Fund","Hold / consider top-up",IF($R54="Need to Improve","Watch 2 quarters, then decide","Review with client - switch or exit"))))</f>
        <v/>
      </c>
      <c r="T54" s="27" t="n"/>
      <c r="U54" s="7">
        <f>IF($R54&lt;&gt;"Best Fund","",COUNTIFS($R$6:$R$505,"Best Fund",$L$6:$L$505,"&gt;"&amp;$L54)+COUNTIFS($R$6:$R54,"Best Fund",$L$6:$L54,$L54))</f>
        <v/>
      </c>
      <c r="V54" s="7">
        <f>IF($R54&lt;&gt;"Need to Improve","",COUNTIFS($R$6:$R$505,"Need to Improve",$L$6:$L$505,"&lt;"&amp;$L54)+COUNTIFS($R$6:$R54,"Need to Improve",$L$6:$L54,$L54))</f>
        <v/>
      </c>
      <c r="W54" s="7">
        <f>IF($R54&lt;&gt;"Not Performing","",COUNTIFS($R$6:$R$505,"Not Performing",$L$6:$L$505,"&lt;"&amp;$L54)+COUNTIFS($R$6:$R54,"Not Performing",$L$6:$L54,$L54))</f>
        <v/>
      </c>
    </row>
    <row r="55" ht="15" customHeight="1">
      <c r="A55" s="27" t="n"/>
      <c r="B55" s="27" t="n"/>
      <c r="C55" s="27" t="n"/>
      <c r="D55" s="28">
        <f>IF($C55="","",IFERROR(TRIM(LEFT($C55,FIND("-",$C55)-1)),""))</f>
        <v/>
      </c>
      <c r="E55" s="27" t="n"/>
      <c r="F55" s="29" t="n"/>
      <c r="G55" s="30" t="n"/>
      <c r="H55" s="30" t="n"/>
      <c r="I55" s="31">
        <f>IF($B55="","",$H55-$G55)</f>
        <v/>
      </c>
      <c r="J55" s="32">
        <f>IF(OR($B55="",$G55=0,$G55=""),"",$I55/$G55)</f>
        <v/>
      </c>
      <c r="K55" s="33" t="n"/>
      <c r="L55" s="33" t="n"/>
      <c r="M55" s="33" t="n"/>
      <c r="N55" s="33" t="n"/>
      <c r="O55" s="33" t="n"/>
      <c r="P55" s="32">
        <f>IF(OR($L55="",$N55=""),"",$L55-$N55)</f>
        <v/>
      </c>
      <c r="Q55" s="28">
        <f>IF($B55="","",IF(N($H55)&gt;0,"Live","Exited"))</f>
        <v/>
      </c>
      <c r="R55" s="28">
        <f>IF($B55="","",IF($L55="","Data Pending",IF($L55&gt;=Instructions!$D$19,"Best Fund",IF($L55&gt;=Instructions!$D$20,"Need to Improve","Not Performing"))))</f>
        <v/>
      </c>
      <c r="S55" s="7">
        <f>IF($R55="","",IF($R55="Data Pending","Enter the 3Y return",IF($R55="Best Fund","Hold / consider top-up",IF($R55="Need to Improve","Watch 2 quarters, then decide","Review with client - switch or exit"))))</f>
        <v/>
      </c>
      <c r="T55" s="27" t="n"/>
      <c r="U55" s="7">
        <f>IF($R55&lt;&gt;"Best Fund","",COUNTIFS($R$6:$R$505,"Best Fund",$L$6:$L$505,"&gt;"&amp;$L55)+COUNTIFS($R$6:$R55,"Best Fund",$L$6:$L55,$L55))</f>
        <v/>
      </c>
      <c r="V55" s="7">
        <f>IF($R55&lt;&gt;"Need to Improve","",COUNTIFS($R$6:$R$505,"Need to Improve",$L$6:$L$505,"&lt;"&amp;$L55)+COUNTIFS($R$6:$R55,"Need to Improve",$L$6:$L55,$L55))</f>
        <v/>
      </c>
      <c r="W55" s="7">
        <f>IF($R55&lt;&gt;"Not Performing","",COUNTIFS($R$6:$R$505,"Not Performing",$L$6:$L$505,"&lt;"&amp;$L55)+COUNTIFS($R$6:$R55,"Not Performing",$L$6:$L55,$L55))</f>
        <v/>
      </c>
    </row>
    <row r="56" ht="15" customHeight="1">
      <c r="A56" s="27" t="n"/>
      <c r="B56" s="27" t="n"/>
      <c r="C56" s="27" t="n"/>
      <c r="D56" s="28">
        <f>IF($C56="","",IFERROR(TRIM(LEFT($C56,FIND("-",$C56)-1)),""))</f>
        <v/>
      </c>
      <c r="E56" s="27" t="n"/>
      <c r="F56" s="29" t="n"/>
      <c r="G56" s="30" t="n"/>
      <c r="H56" s="30" t="n"/>
      <c r="I56" s="31">
        <f>IF($B56="","",$H56-$G56)</f>
        <v/>
      </c>
      <c r="J56" s="32">
        <f>IF(OR($B56="",$G56=0,$G56=""),"",$I56/$G56)</f>
        <v/>
      </c>
      <c r="K56" s="33" t="n"/>
      <c r="L56" s="33" t="n"/>
      <c r="M56" s="33" t="n"/>
      <c r="N56" s="33" t="n"/>
      <c r="O56" s="33" t="n"/>
      <c r="P56" s="32">
        <f>IF(OR($L56="",$N56=""),"",$L56-$N56)</f>
        <v/>
      </c>
      <c r="Q56" s="28">
        <f>IF($B56="","",IF(N($H56)&gt;0,"Live","Exited"))</f>
        <v/>
      </c>
      <c r="R56" s="28">
        <f>IF($B56="","",IF($L56="","Data Pending",IF($L56&gt;=Instructions!$D$19,"Best Fund",IF($L56&gt;=Instructions!$D$20,"Need to Improve","Not Performing"))))</f>
        <v/>
      </c>
      <c r="S56" s="7">
        <f>IF($R56="","",IF($R56="Data Pending","Enter the 3Y return",IF($R56="Best Fund","Hold / consider top-up",IF($R56="Need to Improve","Watch 2 quarters, then decide","Review with client - switch or exit"))))</f>
        <v/>
      </c>
      <c r="T56" s="27" t="n"/>
      <c r="U56" s="7">
        <f>IF($R56&lt;&gt;"Best Fund","",COUNTIFS($R$6:$R$505,"Best Fund",$L$6:$L$505,"&gt;"&amp;$L56)+COUNTIFS($R$6:$R56,"Best Fund",$L$6:$L56,$L56))</f>
        <v/>
      </c>
      <c r="V56" s="7">
        <f>IF($R56&lt;&gt;"Need to Improve","",COUNTIFS($R$6:$R$505,"Need to Improve",$L$6:$L$505,"&lt;"&amp;$L56)+COUNTIFS($R$6:$R56,"Need to Improve",$L$6:$L56,$L56))</f>
        <v/>
      </c>
      <c r="W56" s="7">
        <f>IF($R56&lt;&gt;"Not Performing","",COUNTIFS($R$6:$R$505,"Not Performing",$L$6:$L$505,"&lt;"&amp;$L56)+COUNTIFS($R$6:$R56,"Not Performing",$L$6:$L56,$L56))</f>
        <v/>
      </c>
    </row>
    <row r="57" ht="15" customHeight="1">
      <c r="A57" s="27" t="n"/>
      <c r="B57" s="27" t="n"/>
      <c r="C57" s="27" t="n"/>
      <c r="D57" s="28">
        <f>IF($C57="","",IFERROR(TRIM(LEFT($C57,FIND("-",$C57)-1)),""))</f>
        <v/>
      </c>
      <c r="E57" s="27" t="n"/>
      <c r="F57" s="29" t="n"/>
      <c r="G57" s="30" t="n"/>
      <c r="H57" s="30" t="n"/>
      <c r="I57" s="31">
        <f>IF($B57="","",$H57-$G57)</f>
        <v/>
      </c>
      <c r="J57" s="32">
        <f>IF(OR($B57="",$G57=0,$G57=""),"",$I57/$G57)</f>
        <v/>
      </c>
      <c r="K57" s="33" t="n"/>
      <c r="L57" s="33" t="n"/>
      <c r="M57" s="33" t="n"/>
      <c r="N57" s="33" t="n"/>
      <c r="O57" s="33" t="n"/>
      <c r="P57" s="32">
        <f>IF(OR($L57="",$N57=""),"",$L57-$N57)</f>
        <v/>
      </c>
      <c r="Q57" s="28">
        <f>IF($B57="","",IF(N($H57)&gt;0,"Live","Exited"))</f>
        <v/>
      </c>
      <c r="R57" s="28">
        <f>IF($B57="","",IF($L57="","Data Pending",IF($L57&gt;=Instructions!$D$19,"Best Fund",IF($L57&gt;=Instructions!$D$20,"Need to Improve","Not Performing"))))</f>
        <v/>
      </c>
      <c r="S57" s="7">
        <f>IF($R57="","",IF($R57="Data Pending","Enter the 3Y return",IF($R57="Best Fund","Hold / consider top-up",IF($R57="Need to Improve","Watch 2 quarters, then decide","Review with client - switch or exit"))))</f>
        <v/>
      </c>
      <c r="T57" s="27" t="n"/>
      <c r="U57" s="7">
        <f>IF($R57&lt;&gt;"Best Fund","",COUNTIFS($R$6:$R$505,"Best Fund",$L$6:$L$505,"&gt;"&amp;$L57)+COUNTIFS($R$6:$R57,"Best Fund",$L$6:$L57,$L57))</f>
        <v/>
      </c>
      <c r="V57" s="7">
        <f>IF($R57&lt;&gt;"Need to Improve","",COUNTIFS($R$6:$R$505,"Need to Improve",$L$6:$L$505,"&lt;"&amp;$L57)+COUNTIFS($R$6:$R57,"Need to Improve",$L$6:$L57,$L57))</f>
        <v/>
      </c>
      <c r="W57" s="7">
        <f>IF($R57&lt;&gt;"Not Performing","",COUNTIFS($R$6:$R$505,"Not Performing",$L$6:$L$505,"&lt;"&amp;$L57)+COUNTIFS($R$6:$R57,"Not Performing",$L$6:$L57,$L57))</f>
        <v/>
      </c>
    </row>
    <row r="58" ht="15" customHeight="1">
      <c r="A58" s="27" t="n"/>
      <c r="B58" s="27" t="n"/>
      <c r="C58" s="27" t="n"/>
      <c r="D58" s="28">
        <f>IF($C58="","",IFERROR(TRIM(LEFT($C58,FIND("-",$C58)-1)),""))</f>
        <v/>
      </c>
      <c r="E58" s="27" t="n"/>
      <c r="F58" s="29" t="n"/>
      <c r="G58" s="30" t="n"/>
      <c r="H58" s="30" t="n"/>
      <c r="I58" s="31">
        <f>IF($B58="","",$H58-$G58)</f>
        <v/>
      </c>
      <c r="J58" s="32">
        <f>IF(OR($B58="",$G58=0,$G58=""),"",$I58/$G58)</f>
        <v/>
      </c>
      <c r="K58" s="33" t="n"/>
      <c r="L58" s="33" t="n"/>
      <c r="M58" s="33" t="n"/>
      <c r="N58" s="33" t="n"/>
      <c r="O58" s="33" t="n"/>
      <c r="P58" s="32">
        <f>IF(OR($L58="",$N58=""),"",$L58-$N58)</f>
        <v/>
      </c>
      <c r="Q58" s="28">
        <f>IF($B58="","",IF(N($H58)&gt;0,"Live","Exited"))</f>
        <v/>
      </c>
      <c r="R58" s="28">
        <f>IF($B58="","",IF($L58="","Data Pending",IF($L58&gt;=Instructions!$D$19,"Best Fund",IF($L58&gt;=Instructions!$D$20,"Need to Improve","Not Performing"))))</f>
        <v/>
      </c>
      <c r="S58" s="7">
        <f>IF($R58="","",IF($R58="Data Pending","Enter the 3Y return",IF($R58="Best Fund","Hold / consider top-up",IF($R58="Need to Improve","Watch 2 quarters, then decide","Review with client - switch or exit"))))</f>
        <v/>
      </c>
      <c r="T58" s="27" t="n"/>
      <c r="U58" s="7">
        <f>IF($R58&lt;&gt;"Best Fund","",COUNTIFS($R$6:$R$505,"Best Fund",$L$6:$L$505,"&gt;"&amp;$L58)+COUNTIFS($R$6:$R58,"Best Fund",$L$6:$L58,$L58))</f>
        <v/>
      </c>
      <c r="V58" s="7">
        <f>IF($R58&lt;&gt;"Need to Improve","",COUNTIFS($R$6:$R$505,"Need to Improve",$L$6:$L$505,"&lt;"&amp;$L58)+COUNTIFS($R$6:$R58,"Need to Improve",$L$6:$L58,$L58))</f>
        <v/>
      </c>
      <c r="W58" s="7">
        <f>IF($R58&lt;&gt;"Not Performing","",COUNTIFS($R$6:$R$505,"Not Performing",$L$6:$L$505,"&lt;"&amp;$L58)+COUNTIFS($R$6:$R58,"Not Performing",$L$6:$L58,$L58))</f>
        <v/>
      </c>
    </row>
    <row r="59" ht="15" customHeight="1">
      <c r="A59" s="27" t="n"/>
      <c r="B59" s="27" t="n"/>
      <c r="C59" s="27" t="n"/>
      <c r="D59" s="28">
        <f>IF($C59="","",IFERROR(TRIM(LEFT($C59,FIND("-",$C59)-1)),""))</f>
        <v/>
      </c>
      <c r="E59" s="27" t="n"/>
      <c r="F59" s="29" t="n"/>
      <c r="G59" s="30" t="n"/>
      <c r="H59" s="30" t="n"/>
      <c r="I59" s="31">
        <f>IF($B59="","",$H59-$G59)</f>
        <v/>
      </c>
      <c r="J59" s="32">
        <f>IF(OR($B59="",$G59=0,$G59=""),"",$I59/$G59)</f>
        <v/>
      </c>
      <c r="K59" s="33" t="n"/>
      <c r="L59" s="33" t="n"/>
      <c r="M59" s="33" t="n"/>
      <c r="N59" s="33" t="n"/>
      <c r="O59" s="33" t="n"/>
      <c r="P59" s="32">
        <f>IF(OR($L59="",$N59=""),"",$L59-$N59)</f>
        <v/>
      </c>
      <c r="Q59" s="28">
        <f>IF($B59="","",IF(N($H59)&gt;0,"Live","Exited"))</f>
        <v/>
      </c>
      <c r="R59" s="28">
        <f>IF($B59="","",IF($L59="","Data Pending",IF($L59&gt;=Instructions!$D$19,"Best Fund",IF($L59&gt;=Instructions!$D$20,"Need to Improve","Not Performing"))))</f>
        <v/>
      </c>
      <c r="S59" s="7">
        <f>IF($R59="","",IF($R59="Data Pending","Enter the 3Y return",IF($R59="Best Fund","Hold / consider top-up",IF($R59="Need to Improve","Watch 2 quarters, then decide","Review with client - switch or exit"))))</f>
        <v/>
      </c>
      <c r="T59" s="27" t="n"/>
      <c r="U59" s="7">
        <f>IF($R59&lt;&gt;"Best Fund","",COUNTIFS($R$6:$R$505,"Best Fund",$L$6:$L$505,"&gt;"&amp;$L59)+COUNTIFS($R$6:$R59,"Best Fund",$L$6:$L59,$L59))</f>
        <v/>
      </c>
      <c r="V59" s="7">
        <f>IF($R59&lt;&gt;"Need to Improve","",COUNTIFS($R$6:$R$505,"Need to Improve",$L$6:$L$505,"&lt;"&amp;$L59)+COUNTIFS($R$6:$R59,"Need to Improve",$L$6:$L59,$L59))</f>
        <v/>
      </c>
      <c r="W59" s="7">
        <f>IF($R59&lt;&gt;"Not Performing","",COUNTIFS($R$6:$R$505,"Not Performing",$L$6:$L$505,"&lt;"&amp;$L59)+COUNTIFS($R$6:$R59,"Not Performing",$L$6:$L59,$L59))</f>
        <v/>
      </c>
    </row>
    <row r="60" ht="15" customHeight="1">
      <c r="A60" s="27" t="n"/>
      <c r="B60" s="27" t="n"/>
      <c r="C60" s="27" t="n"/>
      <c r="D60" s="28">
        <f>IF($C60="","",IFERROR(TRIM(LEFT($C60,FIND("-",$C60)-1)),""))</f>
        <v/>
      </c>
      <c r="E60" s="27" t="n"/>
      <c r="F60" s="29" t="n"/>
      <c r="G60" s="30" t="n"/>
      <c r="H60" s="30" t="n"/>
      <c r="I60" s="31">
        <f>IF($B60="","",$H60-$G60)</f>
        <v/>
      </c>
      <c r="J60" s="32">
        <f>IF(OR($B60="",$G60=0,$G60=""),"",$I60/$G60)</f>
        <v/>
      </c>
      <c r="K60" s="33" t="n"/>
      <c r="L60" s="33" t="n"/>
      <c r="M60" s="33" t="n"/>
      <c r="N60" s="33" t="n"/>
      <c r="O60" s="33" t="n"/>
      <c r="P60" s="32">
        <f>IF(OR($L60="",$N60=""),"",$L60-$N60)</f>
        <v/>
      </c>
      <c r="Q60" s="28">
        <f>IF($B60="","",IF(N($H60)&gt;0,"Live","Exited"))</f>
        <v/>
      </c>
      <c r="R60" s="28">
        <f>IF($B60="","",IF($L60="","Data Pending",IF($L60&gt;=Instructions!$D$19,"Best Fund",IF($L60&gt;=Instructions!$D$20,"Need to Improve","Not Performing"))))</f>
        <v/>
      </c>
      <c r="S60" s="7">
        <f>IF($R60="","",IF($R60="Data Pending","Enter the 3Y return",IF($R60="Best Fund","Hold / consider top-up",IF($R60="Need to Improve","Watch 2 quarters, then decide","Review with client - switch or exit"))))</f>
        <v/>
      </c>
      <c r="T60" s="27" t="n"/>
      <c r="U60" s="7">
        <f>IF($R60&lt;&gt;"Best Fund","",COUNTIFS($R$6:$R$505,"Best Fund",$L$6:$L$505,"&gt;"&amp;$L60)+COUNTIFS($R$6:$R60,"Best Fund",$L$6:$L60,$L60))</f>
        <v/>
      </c>
      <c r="V60" s="7">
        <f>IF($R60&lt;&gt;"Need to Improve","",COUNTIFS($R$6:$R$505,"Need to Improve",$L$6:$L$505,"&lt;"&amp;$L60)+COUNTIFS($R$6:$R60,"Need to Improve",$L$6:$L60,$L60))</f>
        <v/>
      </c>
      <c r="W60" s="7">
        <f>IF($R60&lt;&gt;"Not Performing","",COUNTIFS($R$6:$R$505,"Not Performing",$L$6:$L$505,"&lt;"&amp;$L60)+COUNTIFS($R$6:$R60,"Not Performing",$L$6:$L60,$L60))</f>
        <v/>
      </c>
    </row>
    <row r="61" ht="15" customHeight="1">
      <c r="A61" s="27" t="n"/>
      <c r="B61" s="27" t="n"/>
      <c r="C61" s="27" t="n"/>
      <c r="D61" s="28">
        <f>IF($C61="","",IFERROR(TRIM(LEFT($C61,FIND("-",$C61)-1)),""))</f>
        <v/>
      </c>
      <c r="E61" s="27" t="n"/>
      <c r="F61" s="29" t="n"/>
      <c r="G61" s="30" t="n"/>
      <c r="H61" s="30" t="n"/>
      <c r="I61" s="31">
        <f>IF($B61="","",$H61-$G61)</f>
        <v/>
      </c>
      <c r="J61" s="32">
        <f>IF(OR($B61="",$G61=0,$G61=""),"",$I61/$G61)</f>
        <v/>
      </c>
      <c r="K61" s="33" t="n"/>
      <c r="L61" s="33" t="n"/>
      <c r="M61" s="33" t="n"/>
      <c r="N61" s="33" t="n"/>
      <c r="O61" s="33" t="n"/>
      <c r="P61" s="32">
        <f>IF(OR($L61="",$N61=""),"",$L61-$N61)</f>
        <v/>
      </c>
      <c r="Q61" s="28">
        <f>IF($B61="","",IF(N($H61)&gt;0,"Live","Exited"))</f>
        <v/>
      </c>
      <c r="R61" s="28">
        <f>IF($B61="","",IF($L61="","Data Pending",IF($L61&gt;=Instructions!$D$19,"Best Fund",IF($L61&gt;=Instructions!$D$20,"Need to Improve","Not Performing"))))</f>
        <v/>
      </c>
      <c r="S61" s="7">
        <f>IF($R61="","",IF($R61="Data Pending","Enter the 3Y return",IF($R61="Best Fund","Hold / consider top-up",IF($R61="Need to Improve","Watch 2 quarters, then decide","Review with client - switch or exit"))))</f>
        <v/>
      </c>
      <c r="T61" s="27" t="n"/>
      <c r="U61" s="7">
        <f>IF($R61&lt;&gt;"Best Fund","",COUNTIFS($R$6:$R$505,"Best Fund",$L$6:$L$505,"&gt;"&amp;$L61)+COUNTIFS($R$6:$R61,"Best Fund",$L$6:$L61,$L61))</f>
        <v/>
      </c>
      <c r="V61" s="7">
        <f>IF($R61&lt;&gt;"Need to Improve","",COUNTIFS($R$6:$R$505,"Need to Improve",$L$6:$L$505,"&lt;"&amp;$L61)+COUNTIFS($R$6:$R61,"Need to Improve",$L$6:$L61,$L61))</f>
        <v/>
      </c>
      <c r="W61" s="7">
        <f>IF($R61&lt;&gt;"Not Performing","",COUNTIFS($R$6:$R$505,"Not Performing",$L$6:$L$505,"&lt;"&amp;$L61)+COUNTIFS($R$6:$R61,"Not Performing",$L$6:$L61,$L61))</f>
        <v/>
      </c>
    </row>
    <row r="62" ht="15" customHeight="1">
      <c r="A62" s="27" t="n"/>
      <c r="B62" s="27" t="n"/>
      <c r="C62" s="27" t="n"/>
      <c r="D62" s="28">
        <f>IF($C62="","",IFERROR(TRIM(LEFT($C62,FIND("-",$C62)-1)),""))</f>
        <v/>
      </c>
      <c r="E62" s="27" t="n"/>
      <c r="F62" s="29" t="n"/>
      <c r="G62" s="30" t="n"/>
      <c r="H62" s="30" t="n"/>
      <c r="I62" s="31">
        <f>IF($B62="","",$H62-$G62)</f>
        <v/>
      </c>
      <c r="J62" s="32">
        <f>IF(OR($B62="",$G62=0,$G62=""),"",$I62/$G62)</f>
        <v/>
      </c>
      <c r="K62" s="33" t="n"/>
      <c r="L62" s="33" t="n"/>
      <c r="M62" s="33" t="n"/>
      <c r="N62" s="33" t="n"/>
      <c r="O62" s="33" t="n"/>
      <c r="P62" s="32">
        <f>IF(OR($L62="",$N62=""),"",$L62-$N62)</f>
        <v/>
      </c>
      <c r="Q62" s="28">
        <f>IF($B62="","",IF(N($H62)&gt;0,"Live","Exited"))</f>
        <v/>
      </c>
      <c r="R62" s="28">
        <f>IF($B62="","",IF($L62="","Data Pending",IF($L62&gt;=Instructions!$D$19,"Best Fund",IF($L62&gt;=Instructions!$D$20,"Need to Improve","Not Performing"))))</f>
        <v/>
      </c>
      <c r="S62" s="7">
        <f>IF($R62="","",IF($R62="Data Pending","Enter the 3Y return",IF($R62="Best Fund","Hold / consider top-up",IF($R62="Need to Improve","Watch 2 quarters, then decide","Review with client - switch or exit"))))</f>
        <v/>
      </c>
      <c r="T62" s="27" t="n"/>
      <c r="U62" s="7">
        <f>IF($R62&lt;&gt;"Best Fund","",COUNTIFS($R$6:$R$505,"Best Fund",$L$6:$L$505,"&gt;"&amp;$L62)+COUNTIFS($R$6:$R62,"Best Fund",$L$6:$L62,$L62))</f>
        <v/>
      </c>
      <c r="V62" s="7">
        <f>IF($R62&lt;&gt;"Need to Improve","",COUNTIFS($R$6:$R$505,"Need to Improve",$L$6:$L$505,"&lt;"&amp;$L62)+COUNTIFS($R$6:$R62,"Need to Improve",$L$6:$L62,$L62))</f>
        <v/>
      </c>
      <c r="W62" s="7">
        <f>IF($R62&lt;&gt;"Not Performing","",COUNTIFS($R$6:$R$505,"Not Performing",$L$6:$L$505,"&lt;"&amp;$L62)+COUNTIFS($R$6:$R62,"Not Performing",$L$6:$L62,$L62))</f>
        <v/>
      </c>
    </row>
    <row r="63" ht="15" customHeight="1">
      <c r="A63" s="27" t="n"/>
      <c r="B63" s="27" t="n"/>
      <c r="C63" s="27" t="n"/>
      <c r="D63" s="28">
        <f>IF($C63="","",IFERROR(TRIM(LEFT($C63,FIND("-",$C63)-1)),""))</f>
        <v/>
      </c>
      <c r="E63" s="27" t="n"/>
      <c r="F63" s="29" t="n"/>
      <c r="G63" s="30" t="n"/>
      <c r="H63" s="30" t="n"/>
      <c r="I63" s="31">
        <f>IF($B63="","",$H63-$G63)</f>
        <v/>
      </c>
      <c r="J63" s="32">
        <f>IF(OR($B63="",$G63=0,$G63=""),"",$I63/$G63)</f>
        <v/>
      </c>
      <c r="K63" s="33" t="n"/>
      <c r="L63" s="33" t="n"/>
      <c r="M63" s="33" t="n"/>
      <c r="N63" s="33" t="n"/>
      <c r="O63" s="33" t="n"/>
      <c r="P63" s="32">
        <f>IF(OR($L63="",$N63=""),"",$L63-$N63)</f>
        <v/>
      </c>
      <c r="Q63" s="28">
        <f>IF($B63="","",IF(N($H63)&gt;0,"Live","Exited"))</f>
        <v/>
      </c>
      <c r="R63" s="28">
        <f>IF($B63="","",IF($L63="","Data Pending",IF($L63&gt;=Instructions!$D$19,"Best Fund",IF($L63&gt;=Instructions!$D$20,"Need to Improve","Not Performing"))))</f>
        <v/>
      </c>
      <c r="S63" s="7">
        <f>IF($R63="","",IF($R63="Data Pending","Enter the 3Y return",IF($R63="Best Fund","Hold / consider top-up",IF($R63="Need to Improve","Watch 2 quarters, then decide","Review with client - switch or exit"))))</f>
        <v/>
      </c>
      <c r="T63" s="27" t="n"/>
      <c r="U63" s="7">
        <f>IF($R63&lt;&gt;"Best Fund","",COUNTIFS($R$6:$R$505,"Best Fund",$L$6:$L$505,"&gt;"&amp;$L63)+COUNTIFS($R$6:$R63,"Best Fund",$L$6:$L63,$L63))</f>
        <v/>
      </c>
      <c r="V63" s="7">
        <f>IF($R63&lt;&gt;"Need to Improve","",COUNTIFS($R$6:$R$505,"Need to Improve",$L$6:$L$505,"&lt;"&amp;$L63)+COUNTIFS($R$6:$R63,"Need to Improve",$L$6:$L63,$L63))</f>
        <v/>
      </c>
      <c r="W63" s="7">
        <f>IF($R63&lt;&gt;"Not Performing","",COUNTIFS($R$6:$R$505,"Not Performing",$L$6:$L$505,"&lt;"&amp;$L63)+COUNTIFS($R$6:$R63,"Not Performing",$L$6:$L63,$L63))</f>
        <v/>
      </c>
    </row>
    <row r="64" ht="15" customHeight="1">
      <c r="A64" s="27" t="n"/>
      <c r="B64" s="27" t="n"/>
      <c r="C64" s="27" t="n"/>
      <c r="D64" s="28">
        <f>IF($C64="","",IFERROR(TRIM(LEFT($C64,FIND("-",$C64)-1)),""))</f>
        <v/>
      </c>
      <c r="E64" s="27" t="n"/>
      <c r="F64" s="29" t="n"/>
      <c r="G64" s="30" t="n"/>
      <c r="H64" s="30" t="n"/>
      <c r="I64" s="31">
        <f>IF($B64="","",$H64-$G64)</f>
        <v/>
      </c>
      <c r="J64" s="32">
        <f>IF(OR($B64="",$G64=0,$G64=""),"",$I64/$G64)</f>
        <v/>
      </c>
      <c r="K64" s="33" t="n"/>
      <c r="L64" s="33" t="n"/>
      <c r="M64" s="33" t="n"/>
      <c r="N64" s="33" t="n"/>
      <c r="O64" s="33" t="n"/>
      <c r="P64" s="32">
        <f>IF(OR($L64="",$N64=""),"",$L64-$N64)</f>
        <v/>
      </c>
      <c r="Q64" s="28">
        <f>IF($B64="","",IF(N($H64)&gt;0,"Live","Exited"))</f>
        <v/>
      </c>
      <c r="R64" s="28">
        <f>IF($B64="","",IF($L64="","Data Pending",IF($L64&gt;=Instructions!$D$19,"Best Fund",IF($L64&gt;=Instructions!$D$20,"Need to Improve","Not Performing"))))</f>
        <v/>
      </c>
      <c r="S64" s="7">
        <f>IF($R64="","",IF($R64="Data Pending","Enter the 3Y return",IF($R64="Best Fund","Hold / consider top-up",IF($R64="Need to Improve","Watch 2 quarters, then decide","Review with client - switch or exit"))))</f>
        <v/>
      </c>
      <c r="T64" s="27" t="n"/>
      <c r="U64" s="7">
        <f>IF($R64&lt;&gt;"Best Fund","",COUNTIFS($R$6:$R$505,"Best Fund",$L$6:$L$505,"&gt;"&amp;$L64)+COUNTIFS($R$6:$R64,"Best Fund",$L$6:$L64,$L64))</f>
        <v/>
      </c>
      <c r="V64" s="7">
        <f>IF($R64&lt;&gt;"Need to Improve","",COUNTIFS($R$6:$R$505,"Need to Improve",$L$6:$L$505,"&lt;"&amp;$L64)+COUNTIFS($R$6:$R64,"Need to Improve",$L$6:$L64,$L64))</f>
        <v/>
      </c>
      <c r="W64" s="7">
        <f>IF($R64&lt;&gt;"Not Performing","",COUNTIFS($R$6:$R$505,"Not Performing",$L$6:$L$505,"&lt;"&amp;$L64)+COUNTIFS($R$6:$R64,"Not Performing",$L$6:$L64,$L64))</f>
        <v/>
      </c>
    </row>
    <row r="65" ht="15" customHeight="1">
      <c r="A65" s="27" t="n"/>
      <c r="B65" s="27" t="n"/>
      <c r="C65" s="27" t="n"/>
      <c r="D65" s="28">
        <f>IF($C65="","",IFERROR(TRIM(LEFT($C65,FIND("-",$C65)-1)),""))</f>
        <v/>
      </c>
      <c r="E65" s="27" t="n"/>
      <c r="F65" s="29" t="n"/>
      <c r="G65" s="30" t="n"/>
      <c r="H65" s="30" t="n"/>
      <c r="I65" s="31">
        <f>IF($B65="","",$H65-$G65)</f>
        <v/>
      </c>
      <c r="J65" s="32">
        <f>IF(OR($B65="",$G65=0,$G65=""),"",$I65/$G65)</f>
        <v/>
      </c>
      <c r="K65" s="33" t="n"/>
      <c r="L65" s="33" t="n"/>
      <c r="M65" s="33" t="n"/>
      <c r="N65" s="33" t="n"/>
      <c r="O65" s="33" t="n"/>
      <c r="P65" s="32">
        <f>IF(OR($L65="",$N65=""),"",$L65-$N65)</f>
        <v/>
      </c>
      <c r="Q65" s="28">
        <f>IF($B65="","",IF(N($H65)&gt;0,"Live","Exited"))</f>
        <v/>
      </c>
      <c r="R65" s="28">
        <f>IF($B65="","",IF($L65="","Data Pending",IF($L65&gt;=Instructions!$D$19,"Best Fund",IF($L65&gt;=Instructions!$D$20,"Need to Improve","Not Performing"))))</f>
        <v/>
      </c>
      <c r="S65" s="7">
        <f>IF($R65="","",IF($R65="Data Pending","Enter the 3Y return",IF($R65="Best Fund","Hold / consider top-up",IF($R65="Need to Improve","Watch 2 quarters, then decide","Review with client - switch or exit"))))</f>
        <v/>
      </c>
      <c r="T65" s="27" t="n"/>
      <c r="U65" s="7">
        <f>IF($R65&lt;&gt;"Best Fund","",COUNTIFS($R$6:$R$505,"Best Fund",$L$6:$L$505,"&gt;"&amp;$L65)+COUNTIFS($R$6:$R65,"Best Fund",$L$6:$L65,$L65))</f>
        <v/>
      </c>
      <c r="V65" s="7">
        <f>IF($R65&lt;&gt;"Need to Improve","",COUNTIFS($R$6:$R$505,"Need to Improve",$L$6:$L$505,"&lt;"&amp;$L65)+COUNTIFS($R$6:$R65,"Need to Improve",$L$6:$L65,$L65))</f>
        <v/>
      </c>
      <c r="W65" s="7">
        <f>IF($R65&lt;&gt;"Not Performing","",COUNTIFS($R$6:$R$505,"Not Performing",$L$6:$L$505,"&lt;"&amp;$L65)+COUNTIFS($R$6:$R65,"Not Performing",$L$6:$L65,$L65))</f>
        <v/>
      </c>
    </row>
    <row r="66" ht="15" customHeight="1">
      <c r="A66" s="27" t="n"/>
      <c r="B66" s="27" t="n"/>
      <c r="C66" s="27" t="n"/>
      <c r="D66" s="28">
        <f>IF($C66="","",IFERROR(TRIM(LEFT($C66,FIND("-",$C66)-1)),""))</f>
        <v/>
      </c>
      <c r="E66" s="27" t="n"/>
      <c r="F66" s="29" t="n"/>
      <c r="G66" s="30" t="n"/>
      <c r="H66" s="30" t="n"/>
      <c r="I66" s="31">
        <f>IF($B66="","",$H66-$G66)</f>
        <v/>
      </c>
      <c r="J66" s="32">
        <f>IF(OR($B66="",$G66=0,$G66=""),"",$I66/$G66)</f>
        <v/>
      </c>
      <c r="K66" s="33" t="n"/>
      <c r="L66" s="33" t="n"/>
      <c r="M66" s="33" t="n"/>
      <c r="N66" s="33" t="n"/>
      <c r="O66" s="33" t="n"/>
      <c r="P66" s="32">
        <f>IF(OR($L66="",$N66=""),"",$L66-$N66)</f>
        <v/>
      </c>
      <c r="Q66" s="28">
        <f>IF($B66="","",IF(N($H66)&gt;0,"Live","Exited"))</f>
        <v/>
      </c>
      <c r="R66" s="28">
        <f>IF($B66="","",IF($L66="","Data Pending",IF($L66&gt;=Instructions!$D$19,"Best Fund",IF($L66&gt;=Instructions!$D$20,"Need to Improve","Not Performing"))))</f>
        <v/>
      </c>
      <c r="S66" s="7">
        <f>IF($R66="","",IF($R66="Data Pending","Enter the 3Y return",IF($R66="Best Fund","Hold / consider top-up",IF($R66="Need to Improve","Watch 2 quarters, then decide","Review with client - switch or exit"))))</f>
        <v/>
      </c>
      <c r="T66" s="27" t="n"/>
      <c r="U66" s="7">
        <f>IF($R66&lt;&gt;"Best Fund","",COUNTIFS($R$6:$R$505,"Best Fund",$L$6:$L$505,"&gt;"&amp;$L66)+COUNTIFS($R$6:$R66,"Best Fund",$L$6:$L66,$L66))</f>
        <v/>
      </c>
      <c r="V66" s="7">
        <f>IF($R66&lt;&gt;"Need to Improve","",COUNTIFS($R$6:$R$505,"Need to Improve",$L$6:$L$505,"&lt;"&amp;$L66)+COUNTIFS($R$6:$R66,"Need to Improve",$L$6:$L66,$L66))</f>
        <v/>
      </c>
      <c r="W66" s="7">
        <f>IF($R66&lt;&gt;"Not Performing","",COUNTIFS($R$6:$R$505,"Not Performing",$L$6:$L$505,"&lt;"&amp;$L66)+COUNTIFS($R$6:$R66,"Not Performing",$L$6:$L66,$L66))</f>
        <v/>
      </c>
    </row>
    <row r="67" ht="15" customHeight="1">
      <c r="A67" s="27" t="n"/>
      <c r="B67" s="27" t="n"/>
      <c r="C67" s="27" t="n"/>
      <c r="D67" s="28">
        <f>IF($C67="","",IFERROR(TRIM(LEFT($C67,FIND("-",$C67)-1)),""))</f>
        <v/>
      </c>
      <c r="E67" s="27" t="n"/>
      <c r="F67" s="29" t="n"/>
      <c r="G67" s="30" t="n"/>
      <c r="H67" s="30" t="n"/>
      <c r="I67" s="31">
        <f>IF($B67="","",$H67-$G67)</f>
        <v/>
      </c>
      <c r="J67" s="32">
        <f>IF(OR($B67="",$G67=0,$G67=""),"",$I67/$G67)</f>
        <v/>
      </c>
      <c r="K67" s="33" t="n"/>
      <c r="L67" s="33" t="n"/>
      <c r="M67" s="33" t="n"/>
      <c r="N67" s="33" t="n"/>
      <c r="O67" s="33" t="n"/>
      <c r="P67" s="32">
        <f>IF(OR($L67="",$N67=""),"",$L67-$N67)</f>
        <v/>
      </c>
      <c r="Q67" s="28">
        <f>IF($B67="","",IF(N($H67)&gt;0,"Live","Exited"))</f>
        <v/>
      </c>
      <c r="R67" s="28">
        <f>IF($B67="","",IF($L67="","Data Pending",IF($L67&gt;=Instructions!$D$19,"Best Fund",IF($L67&gt;=Instructions!$D$20,"Need to Improve","Not Performing"))))</f>
        <v/>
      </c>
      <c r="S67" s="7">
        <f>IF($R67="","",IF($R67="Data Pending","Enter the 3Y return",IF($R67="Best Fund","Hold / consider top-up",IF($R67="Need to Improve","Watch 2 quarters, then decide","Review with client - switch or exit"))))</f>
        <v/>
      </c>
      <c r="T67" s="27" t="n"/>
      <c r="U67" s="7">
        <f>IF($R67&lt;&gt;"Best Fund","",COUNTIFS($R$6:$R$505,"Best Fund",$L$6:$L$505,"&gt;"&amp;$L67)+COUNTIFS($R$6:$R67,"Best Fund",$L$6:$L67,$L67))</f>
        <v/>
      </c>
      <c r="V67" s="7">
        <f>IF($R67&lt;&gt;"Need to Improve","",COUNTIFS($R$6:$R$505,"Need to Improve",$L$6:$L$505,"&lt;"&amp;$L67)+COUNTIFS($R$6:$R67,"Need to Improve",$L$6:$L67,$L67))</f>
        <v/>
      </c>
      <c r="W67" s="7">
        <f>IF($R67&lt;&gt;"Not Performing","",COUNTIFS($R$6:$R$505,"Not Performing",$L$6:$L$505,"&lt;"&amp;$L67)+COUNTIFS($R$6:$R67,"Not Performing",$L$6:$L67,$L67))</f>
        <v/>
      </c>
    </row>
    <row r="68" ht="15" customHeight="1">
      <c r="A68" s="27" t="n"/>
      <c r="B68" s="27" t="n"/>
      <c r="C68" s="27" t="n"/>
      <c r="D68" s="28">
        <f>IF($C68="","",IFERROR(TRIM(LEFT($C68,FIND("-",$C68)-1)),""))</f>
        <v/>
      </c>
      <c r="E68" s="27" t="n"/>
      <c r="F68" s="29" t="n"/>
      <c r="G68" s="30" t="n"/>
      <c r="H68" s="30" t="n"/>
      <c r="I68" s="31">
        <f>IF($B68="","",$H68-$G68)</f>
        <v/>
      </c>
      <c r="J68" s="32">
        <f>IF(OR($B68="",$G68=0,$G68=""),"",$I68/$G68)</f>
        <v/>
      </c>
      <c r="K68" s="33" t="n"/>
      <c r="L68" s="33" t="n"/>
      <c r="M68" s="33" t="n"/>
      <c r="N68" s="33" t="n"/>
      <c r="O68" s="33" t="n"/>
      <c r="P68" s="32">
        <f>IF(OR($L68="",$N68=""),"",$L68-$N68)</f>
        <v/>
      </c>
      <c r="Q68" s="28">
        <f>IF($B68="","",IF(N($H68)&gt;0,"Live","Exited"))</f>
        <v/>
      </c>
      <c r="R68" s="28">
        <f>IF($B68="","",IF($L68="","Data Pending",IF($L68&gt;=Instructions!$D$19,"Best Fund",IF($L68&gt;=Instructions!$D$20,"Need to Improve","Not Performing"))))</f>
        <v/>
      </c>
      <c r="S68" s="7">
        <f>IF($R68="","",IF($R68="Data Pending","Enter the 3Y return",IF($R68="Best Fund","Hold / consider top-up",IF($R68="Need to Improve","Watch 2 quarters, then decide","Review with client - switch or exit"))))</f>
        <v/>
      </c>
      <c r="T68" s="27" t="n"/>
      <c r="U68" s="7">
        <f>IF($R68&lt;&gt;"Best Fund","",COUNTIFS($R$6:$R$505,"Best Fund",$L$6:$L$505,"&gt;"&amp;$L68)+COUNTIFS($R$6:$R68,"Best Fund",$L$6:$L68,$L68))</f>
        <v/>
      </c>
      <c r="V68" s="7">
        <f>IF($R68&lt;&gt;"Need to Improve","",COUNTIFS($R$6:$R$505,"Need to Improve",$L$6:$L$505,"&lt;"&amp;$L68)+COUNTIFS($R$6:$R68,"Need to Improve",$L$6:$L68,$L68))</f>
        <v/>
      </c>
      <c r="W68" s="7">
        <f>IF($R68&lt;&gt;"Not Performing","",COUNTIFS($R$6:$R$505,"Not Performing",$L$6:$L$505,"&lt;"&amp;$L68)+COUNTIFS($R$6:$R68,"Not Performing",$L$6:$L68,$L68))</f>
        <v/>
      </c>
    </row>
    <row r="69" ht="15" customHeight="1">
      <c r="A69" s="27" t="n"/>
      <c r="B69" s="27" t="n"/>
      <c r="C69" s="27" t="n"/>
      <c r="D69" s="28">
        <f>IF($C69="","",IFERROR(TRIM(LEFT($C69,FIND("-",$C69)-1)),""))</f>
        <v/>
      </c>
      <c r="E69" s="27" t="n"/>
      <c r="F69" s="29" t="n"/>
      <c r="G69" s="30" t="n"/>
      <c r="H69" s="30" t="n"/>
      <c r="I69" s="31">
        <f>IF($B69="","",$H69-$G69)</f>
        <v/>
      </c>
      <c r="J69" s="32">
        <f>IF(OR($B69="",$G69=0,$G69=""),"",$I69/$G69)</f>
        <v/>
      </c>
      <c r="K69" s="33" t="n"/>
      <c r="L69" s="33" t="n"/>
      <c r="M69" s="33" t="n"/>
      <c r="N69" s="33" t="n"/>
      <c r="O69" s="33" t="n"/>
      <c r="P69" s="32">
        <f>IF(OR($L69="",$N69=""),"",$L69-$N69)</f>
        <v/>
      </c>
      <c r="Q69" s="28">
        <f>IF($B69="","",IF(N($H69)&gt;0,"Live","Exited"))</f>
        <v/>
      </c>
      <c r="R69" s="28">
        <f>IF($B69="","",IF($L69="","Data Pending",IF($L69&gt;=Instructions!$D$19,"Best Fund",IF($L69&gt;=Instructions!$D$20,"Need to Improve","Not Performing"))))</f>
        <v/>
      </c>
      <c r="S69" s="7">
        <f>IF($R69="","",IF($R69="Data Pending","Enter the 3Y return",IF($R69="Best Fund","Hold / consider top-up",IF($R69="Need to Improve","Watch 2 quarters, then decide","Review with client - switch or exit"))))</f>
        <v/>
      </c>
      <c r="T69" s="27" t="n"/>
      <c r="U69" s="7">
        <f>IF($R69&lt;&gt;"Best Fund","",COUNTIFS($R$6:$R$505,"Best Fund",$L$6:$L$505,"&gt;"&amp;$L69)+COUNTIFS($R$6:$R69,"Best Fund",$L$6:$L69,$L69))</f>
        <v/>
      </c>
      <c r="V69" s="7">
        <f>IF($R69&lt;&gt;"Need to Improve","",COUNTIFS($R$6:$R$505,"Need to Improve",$L$6:$L$505,"&lt;"&amp;$L69)+COUNTIFS($R$6:$R69,"Need to Improve",$L$6:$L69,$L69))</f>
        <v/>
      </c>
      <c r="W69" s="7">
        <f>IF($R69&lt;&gt;"Not Performing","",COUNTIFS($R$6:$R$505,"Not Performing",$L$6:$L$505,"&lt;"&amp;$L69)+COUNTIFS($R$6:$R69,"Not Performing",$L$6:$L69,$L69))</f>
        <v/>
      </c>
    </row>
    <row r="70" ht="15" customHeight="1">
      <c r="A70" s="27" t="n"/>
      <c r="B70" s="27" t="n"/>
      <c r="C70" s="27" t="n"/>
      <c r="D70" s="28">
        <f>IF($C70="","",IFERROR(TRIM(LEFT($C70,FIND("-",$C70)-1)),""))</f>
        <v/>
      </c>
      <c r="E70" s="27" t="n"/>
      <c r="F70" s="29" t="n"/>
      <c r="G70" s="30" t="n"/>
      <c r="H70" s="30" t="n"/>
      <c r="I70" s="31">
        <f>IF($B70="","",$H70-$G70)</f>
        <v/>
      </c>
      <c r="J70" s="32">
        <f>IF(OR($B70="",$G70=0,$G70=""),"",$I70/$G70)</f>
        <v/>
      </c>
      <c r="K70" s="33" t="n"/>
      <c r="L70" s="33" t="n"/>
      <c r="M70" s="33" t="n"/>
      <c r="N70" s="33" t="n"/>
      <c r="O70" s="33" t="n"/>
      <c r="P70" s="32">
        <f>IF(OR($L70="",$N70=""),"",$L70-$N70)</f>
        <v/>
      </c>
      <c r="Q70" s="28">
        <f>IF($B70="","",IF(N($H70)&gt;0,"Live","Exited"))</f>
        <v/>
      </c>
      <c r="R70" s="28">
        <f>IF($B70="","",IF($L70="","Data Pending",IF($L70&gt;=Instructions!$D$19,"Best Fund",IF($L70&gt;=Instructions!$D$20,"Need to Improve","Not Performing"))))</f>
        <v/>
      </c>
      <c r="S70" s="7">
        <f>IF($R70="","",IF($R70="Data Pending","Enter the 3Y return",IF($R70="Best Fund","Hold / consider top-up",IF($R70="Need to Improve","Watch 2 quarters, then decide","Review with client - switch or exit"))))</f>
        <v/>
      </c>
      <c r="T70" s="27" t="n"/>
      <c r="U70" s="7">
        <f>IF($R70&lt;&gt;"Best Fund","",COUNTIFS($R$6:$R$505,"Best Fund",$L$6:$L$505,"&gt;"&amp;$L70)+COUNTIFS($R$6:$R70,"Best Fund",$L$6:$L70,$L70))</f>
        <v/>
      </c>
      <c r="V70" s="7">
        <f>IF($R70&lt;&gt;"Need to Improve","",COUNTIFS($R$6:$R$505,"Need to Improve",$L$6:$L$505,"&lt;"&amp;$L70)+COUNTIFS($R$6:$R70,"Need to Improve",$L$6:$L70,$L70))</f>
        <v/>
      </c>
      <c r="W70" s="7">
        <f>IF($R70&lt;&gt;"Not Performing","",COUNTIFS($R$6:$R$505,"Not Performing",$L$6:$L$505,"&lt;"&amp;$L70)+COUNTIFS($R$6:$R70,"Not Performing",$L$6:$L70,$L70))</f>
        <v/>
      </c>
    </row>
    <row r="71" ht="15" customHeight="1">
      <c r="A71" s="27" t="n"/>
      <c r="B71" s="27" t="n"/>
      <c r="C71" s="27" t="n"/>
      <c r="D71" s="28">
        <f>IF($C71="","",IFERROR(TRIM(LEFT($C71,FIND("-",$C71)-1)),""))</f>
        <v/>
      </c>
      <c r="E71" s="27" t="n"/>
      <c r="F71" s="29" t="n"/>
      <c r="G71" s="30" t="n"/>
      <c r="H71" s="30" t="n"/>
      <c r="I71" s="31">
        <f>IF($B71="","",$H71-$G71)</f>
        <v/>
      </c>
      <c r="J71" s="32">
        <f>IF(OR($B71="",$G71=0,$G71=""),"",$I71/$G71)</f>
        <v/>
      </c>
      <c r="K71" s="33" t="n"/>
      <c r="L71" s="33" t="n"/>
      <c r="M71" s="33" t="n"/>
      <c r="N71" s="33" t="n"/>
      <c r="O71" s="33" t="n"/>
      <c r="P71" s="32">
        <f>IF(OR($L71="",$N71=""),"",$L71-$N71)</f>
        <v/>
      </c>
      <c r="Q71" s="28">
        <f>IF($B71="","",IF(N($H71)&gt;0,"Live","Exited"))</f>
        <v/>
      </c>
      <c r="R71" s="28">
        <f>IF($B71="","",IF($L71="","Data Pending",IF($L71&gt;=Instructions!$D$19,"Best Fund",IF($L71&gt;=Instructions!$D$20,"Need to Improve","Not Performing"))))</f>
        <v/>
      </c>
      <c r="S71" s="7">
        <f>IF($R71="","",IF($R71="Data Pending","Enter the 3Y return",IF($R71="Best Fund","Hold / consider top-up",IF($R71="Need to Improve","Watch 2 quarters, then decide","Review with client - switch or exit"))))</f>
        <v/>
      </c>
      <c r="T71" s="27" t="n"/>
      <c r="U71" s="7">
        <f>IF($R71&lt;&gt;"Best Fund","",COUNTIFS($R$6:$R$505,"Best Fund",$L$6:$L$505,"&gt;"&amp;$L71)+COUNTIFS($R$6:$R71,"Best Fund",$L$6:$L71,$L71))</f>
        <v/>
      </c>
      <c r="V71" s="7">
        <f>IF($R71&lt;&gt;"Need to Improve","",COUNTIFS($R$6:$R$505,"Need to Improve",$L$6:$L$505,"&lt;"&amp;$L71)+COUNTIFS($R$6:$R71,"Need to Improve",$L$6:$L71,$L71))</f>
        <v/>
      </c>
      <c r="W71" s="7">
        <f>IF($R71&lt;&gt;"Not Performing","",COUNTIFS($R$6:$R$505,"Not Performing",$L$6:$L$505,"&lt;"&amp;$L71)+COUNTIFS($R$6:$R71,"Not Performing",$L$6:$L71,$L71))</f>
        <v/>
      </c>
    </row>
    <row r="72" ht="15" customHeight="1">
      <c r="A72" s="27" t="n"/>
      <c r="B72" s="27" t="n"/>
      <c r="C72" s="27" t="n"/>
      <c r="D72" s="28">
        <f>IF($C72="","",IFERROR(TRIM(LEFT($C72,FIND("-",$C72)-1)),""))</f>
        <v/>
      </c>
      <c r="E72" s="27" t="n"/>
      <c r="F72" s="29" t="n"/>
      <c r="G72" s="30" t="n"/>
      <c r="H72" s="30" t="n"/>
      <c r="I72" s="31">
        <f>IF($B72="","",$H72-$G72)</f>
        <v/>
      </c>
      <c r="J72" s="32">
        <f>IF(OR($B72="",$G72=0,$G72=""),"",$I72/$G72)</f>
        <v/>
      </c>
      <c r="K72" s="33" t="n"/>
      <c r="L72" s="33" t="n"/>
      <c r="M72" s="33" t="n"/>
      <c r="N72" s="33" t="n"/>
      <c r="O72" s="33" t="n"/>
      <c r="P72" s="32">
        <f>IF(OR($L72="",$N72=""),"",$L72-$N72)</f>
        <v/>
      </c>
      <c r="Q72" s="28">
        <f>IF($B72="","",IF(N($H72)&gt;0,"Live","Exited"))</f>
        <v/>
      </c>
      <c r="R72" s="28">
        <f>IF($B72="","",IF($L72="","Data Pending",IF($L72&gt;=Instructions!$D$19,"Best Fund",IF($L72&gt;=Instructions!$D$20,"Need to Improve","Not Performing"))))</f>
        <v/>
      </c>
      <c r="S72" s="7">
        <f>IF($R72="","",IF($R72="Data Pending","Enter the 3Y return",IF($R72="Best Fund","Hold / consider top-up",IF($R72="Need to Improve","Watch 2 quarters, then decide","Review with client - switch or exit"))))</f>
        <v/>
      </c>
      <c r="T72" s="27" t="n"/>
      <c r="U72" s="7">
        <f>IF($R72&lt;&gt;"Best Fund","",COUNTIFS($R$6:$R$505,"Best Fund",$L$6:$L$505,"&gt;"&amp;$L72)+COUNTIFS($R$6:$R72,"Best Fund",$L$6:$L72,$L72))</f>
        <v/>
      </c>
      <c r="V72" s="7">
        <f>IF($R72&lt;&gt;"Need to Improve","",COUNTIFS($R$6:$R$505,"Need to Improve",$L$6:$L$505,"&lt;"&amp;$L72)+COUNTIFS($R$6:$R72,"Need to Improve",$L$6:$L72,$L72))</f>
        <v/>
      </c>
      <c r="W72" s="7">
        <f>IF($R72&lt;&gt;"Not Performing","",COUNTIFS($R$6:$R$505,"Not Performing",$L$6:$L$505,"&lt;"&amp;$L72)+COUNTIFS($R$6:$R72,"Not Performing",$L$6:$L72,$L72))</f>
        <v/>
      </c>
    </row>
    <row r="73" ht="15" customHeight="1">
      <c r="A73" s="27" t="n"/>
      <c r="B73" s="27" t="n"/>
      <c r="C73" s="27" t="n"/>
      <c r="D73" s="28">
        <f>IF($C73="","",IFERROR(TRIM(LEFT($C73,FIND("-",$C73)-1)),""))</f>
        <v/>
      </c>
      <c r="E73" s="27" t="n"/>
      <c r="F73" s="29" t="n"/>
      <c r="G73" s="30" t="n"/>
      <c r="H73" s="30" t="n"/>
      <c r="I73" s="31">
        <f>IF($B73="","",$H73-$G73)</f>
        <v/>
      </c>
      <c r="J73" s="32">
        <f>IF(OR($B73="",$G73=0,$G73=""),"",$I73/$G73)</f>
        <v/>
      </c>
      <c r="K73" s="33" t="n"/>
      <c r="L73" s="33" t="n"/>
      <c r="M73" s="33" t="n"/>
      <c r="N73" s="33" t="n"/>
      <c r="O73" s="33" t="n"/>
      <c r="P73" s="32">
        <f>IF(OR($L73="",$N73=""),"",$L73-$N73)</f>
        <v/>
      </c>
      <c r="Q73" s="28">
        <f>IF($B73="","",IF(N($H73)&gt;0,"Live","Exited"))</f>
        <v/>
      </c>
      <c r="R73" s="28">
        <f>IF($B73="","",IF($L73="","Data Pending",IF($L73&gt;=Instructions!$D$19,"Best Fund",IF($L73&gt;=Instructions!$D$20,"Need to Improve","Not Performing"))))</f>
        <v/>
      </c>
      <c r="S73" s="7">
        <f>IF($R73="","",IF($R73="Data Pending","Enter the 3Y return",IF($R73="Best Fund","Hold / consider top-up",IF($R73="Need to Improve","Watch 2 quarters, then decide","Review with client - switch or exit"))))</f>
        <v/>
      </c>
      <c r="T73" s="27" t="n"/>
      <c r="U73" s="7">
        <f>IF($R73&lt;&gt;"Best Fund","",COUNTIFS($R$6:$R$505,"Best Fund",$L$6:$L$505,"&gt;"&amp;$L73)+COUNTIFS($R$6:$R73,"Best Fund",$L$6:$L73,$L73))</f>
        <v/>
      </c>
      <c r="V73" s="7">
        <f>IF($R73&lt;&gt;"Need to Improve","",COUNTIFS($R$6:$R$505,"Need to Improve",$L$6:$L$505,"&lt;"&amp;$L73)+COUNTIFS($R$6:$R73,"Need to Improve",$L$6:$L73,$L73))</f>
        <v/>
      </c>
      <c r="W73" s="7">
        <f>IF($R73&lt;&gt;"Not Performing","",COUNTIFS($R$6:$R$505,"Not Performing",$L$6:$L$505,"&lt;"&amp;$L73)+COUNTIFS($R$6:$R73,"Not Performing",$L$6:$L73,$L73))</f>
        <v/>
      </c>
    </row>
    <row r="74" ht="15" customHeight="1">
      <c r="A74" s="27" t="n"/>
      <c r="B74" s="27" t="n"/>
      <c r="C74" s="27" t="n"/>
      <c r="D74" s="28">
        <f>IF($C74="","",IFERROR(TRIM(LEFT($C74,FIND("-",$C74)-1)),""))</f>
        <v/>
      </c>
      <c r="E74" s="27" t="n"/>
      <c r="F74" s="29" t="n"/>
      <c r="G74" s="30" t="n"/>
      <c r="H74" s="30" t="n"/>
      <c r="I74" s="31">
        <f>IF($B74="","",$H74-$G74)</f>
        <v/>
      </c>
      <c r="J74" s="32">
        <f>IF(OR($B74="",$G74=0,$G74=""),"",$I74/$G74)</f>
        <v/>
      </c>
      <c r="K74" s="33" t="n"/>
      <c r="L74" s="33" t="n"/>
      <c r="M74" s="33" t="n"/>
      <c r="N74" s="33" t="n"/>
      <c r="O74" s="33" t="n"/>
      <c r="P74" s="32">
        <f>IF(OR($L74="",$N74=""),"",$L74-$N74)</f>
        <v/>
      </c>
      <c r="Q74" s="28">
        <f>IF($B74="","",IF(N($H74)&gt;0,"Live","Exited"))</f>
        <v/>
      </c>
      <c r="R74" s="28">
        <f>IF($B74="","",IF($L74="","Data Pending",IF($L74&gt;=Instructions!$D$19,"Best Fund",IF($L74&gt;=Instructions!$D$20,"Need to Improve","Not Performing"))))</f>
        <v/>
      </c>
      <c r="S74" s="7">
        <f>IF($R74="","",IF($R74="Data Pending","Enter the 3Y return",IF($R74="Best Fund","Hold / consider top-up",IF($R74="Need to Improve","Watch 2 quarters, then decide","Review with client - switch or exit"))))</f>
        <v/>
      </c>
      <c r="T74" s="27" t="n"/>
      <c r="U74" s="7">
        <f>IF($R74&lt;&gt;"Best Fund","",COUNTIFS($R$6:$R$505,"Best Fund",$L$6:$L$505,"&gt;"&amp;$L74)+COUNTIFS($R$6:$R74,"Best Fund",$L$6:$L74,$L74))</f>
        <v/>
      </c>
      <c r="V74" s="7">
        <f>IF($R74&lt;&gt;"Need to Improve","",COUNTIFS($R$6:$R$505,"Need to Improve",$L$6:$L$505,"&lt;"&amp;$L74)+COUNTIFS($R$6:$R74,"Need to Improve",$L$6:$L74,$L74))</f>
        <v/>
      </c>
      <c r="W74" s="7">
        <f>IF($R74&lt;&gt;"Not Performing","",COUNTIFS($R$6:$R$505,"Not Performing",$L$6:$L$505,"&lt;"&amp;$L74)+COUNTIFS($R$6:$R74,"Not Performing",$L$6:$L74,$L74))</f>
        <v/>
      </c>
    </row>
    <row r="75" ht="15" customHeight="1">
      <c r="A75" s="27" t="n"/>
      <c r="B75" s="27" t="n"/>
      <c r="C75" s="27" t="n"/>
      <c r="D75" s="28">
        <f>IF($C75="","",IFERROR(TRIM(LEFT($C75,FIND("-",$C75)-1)),""))</f>
        <v/>
      </c>
      <c r="E75" s="27" t="n"/>
      <c r="F75" s="29" t="n"/>
      <c r="G75" s="30" t="n"/>
      <c r="H75" s="30" t="n"/>
      <c r="I75" s="31">
        <f>IF($B75="","",$H75-$G75)</f>
        <v/>
      </c>
      <c r="J75" s="32">
        <f>IF(OR($B75="",$G75=0,$G75=""),"",$I75/$G75)</f>
        <v/>
      </c>
      <c r="K75" s="33" t="n"/>
      <c r="L75" s="33" t="n"/>
      <c r="M75" s="33" t="n"/>
      <c r="N75" s="33" t="n"/>
      <c r="O75" s="33" t="n"/>
      <c r="P75" s="32">
        <f>IF(OR($L75="",$N75=""),"",$L75-$N75)</f>
        <v/>
      </c>
      <c r="Q75" s="28">
        <f>IF($B75="","",IF(N($H75)&gt;0,"Live","Exited"))</f>
        <v/>
      </c>
      <c r="R75" s="28">
        <f>IF($B75="","",IF($L75="","Data Pending",IF($L75&gt;=Instructions!$D$19,"Best Fund",IF($L75&gt;=Instructions!$D$20,"Need to Improve","Not Performing"))))</f>
        <v/>
      </c>
      <c r="S75" s="7">
        <f>IF($R75="","",IF($R75="Data Pending","Enter the 3Y return",IF($R75="Best Fund","Hold / consider top-up",IF($R75="Need to Improve","Watch 2 quarters, then decide","Review with client - switch or exit"))))</f>
        <v/>
      </c>
      <c r="T75" s="27" t="n"/>
      <c r="U75" s="7">
        <f>IF($R75&lt;&gt;"Best Fund","",COUNTIFS($R$6:$R$505,"Best Fund",$L$6:$L$505,"&gt;"&amp;$L75)+COUNTIFS($R$6:$R75,"Best Fund",$L$6:$L75,$L75))</f>
        <v/>
      </c>
      <c r="V75" s="7">
        <f>IF($R75&lt;&gt;"Need to Improve","",COUNTIFS($R$6:$R$505,"Need to Improve",$L$6:$L$505,"&lt;"&amp;$L75)+COUNTIFS($R$6:$R75,"Need to Improve",$L$6:$L75,$L75))</f>
        <v/>
      </c>
      <c r="W75" s="7">
        <f>IF($R75&lt;&gt;"Not Performing","",COUNTIFS($R$6:$R$505,"Not Performing",$L$6:$L$505,"&lt;"&amp;$L75)+COUNTIFS($R$6:$R75,"Not Performing",$L$6:$L75,$L75))</f>
        <v/>
      </c>
    </row>
    <row r="76" ht="15" customHeight="1">
      <c r="A76" s="27" t="n"/>
      <c r="B76" s="27" t="n"/>
      <c r="C76" s="27" t="n"/>
      <c r="D76" s="28">
        <f>IF($C76="","",IFERROR(TRIM(LEFT($C76,FIND("-",$C76)-1)),""))</f>
        <v/>
      </c>
      <c r="E76" s="27" t="n"/>
      <c r="F76" s="29" t="n"/>
      <c r="G76" s="30" t="n"/>
      <c r="H76" s="30" t="n"/>
      <c r="I76" s="31">
        <f>IF($B76="","",$H76-$G76)</f>
        <v/>
      </c>
      <c r="J76" s="32">
        <f>IF(OR($B76="",$G76=0,$G76=""),"",$I76/$G76)</f>
        <v/>
      </c>
      <c r="K76" s="33" t="n"/>
      <c r="L76" s="33" t="n"/>
      <c r="M76" s="33" t="n"/>
      <c r="N76" s="33" t="n"/>
      <c r="O76" s="33" t="n"/>
      <c r="P76" s="32">
        <f>IF(OR($L76="",$N76=""),"",$L76-$N76)</f>
        <v/>
      </c>
      <c r="Q76" s="28">
        <f>IF($B76="","",IF(N($H76)&gt;0,"Live","Exited"))</f>
        <v/>
      </c>
      <c r="R76" s="28">
        <f>IF($B76="","",IF($L76="","Data Pending",IF($L76&gt;=Instructions!$D$19,"Best Fund",IF($L76&gt;=Instructions!$D$20,"Need to Improve","Not Performing"))))</f>
        <v/>
      </c>
      <c r="S76" s="7">
        <f>IF($R76="","",IF($R76="Data Pending","Enter the 3Y return",IF($R76="Best Fund","Hold / consider top-up",IF($R76="Need to Improve","Watch 2 quarters, then decide","Review with client - switch or exit"))))</f>
        <v/>
      </c>
      <c r="T76" s="27" t="n"/>
      <c r="U76" s="7">
        <f>IF($R76&lt;&gt;"Best Fund","",COUNTIFS($R$6:$R$505,"Best Fund",$L$6:$L$505,"&gt;"&amp;$L76)+COUNTIFS($R$6:$R76,"Best Fund",$L$6:$L76,$L76))</f>
        <v/>
      </c>
      <c r="V76" s="7">
        <f>IF($R76&lt;&gt;"Need to Improve","",COUNTIFS($R$6:$R$505,"Need to Improve",$L$6:$L$505,"&lt;"&amp;$L76)+COUNTIFS($R$6:$R76,"Need to Improve",$L$6:$L76,$L76))</f>
        <v/>
      </c>
      <c r="W76" s="7">
        <f>IF($R76&lt;&gt;"Not Performing","",COUNTIFS($R$6:$R$505,"Not Performing",$L$6:$L$505,"&lt;"&amp;$L76)+COUNTIFS($R$6:$R76,"Not Performing",$L$6:$L76,$L76))</f>
        <v/>
      </c>
    </row>
    <row r="77" ht="15" customHeight="1">
      <c r="A77" s="27" t="n"/>
      <c r="B77" s="27" t="n"/>
      <c r="C77" s="27" t="n"/>
      <c r="D77" s="28">
        <f>IF($C77="","",IFERROR(TRIM(LEFT($C77,FIND("-",$C77)-1)),""))</f>
        <v/>
      </c>
      <c r="E77" s="27" t="n"/>
      <c r="F77" s="29" t="n"/>
      <c r="G77" s="30" t="n"/>
      <c r="H77" s="30" t="n"/>
      <c r="I77" s="31">
        <f>IF($B77="","",$H77-$G77)</f>
        <v/>
      </c>
      <c r="J77" s="32">
        <f>IF(OR($B77="",$G77=0,$G77=""),"",$I77/$G77)</f>
        <v/>
      </c>
      <c r="K77" s="33" t="n"/>
      <c r="L77" s="33" t="n"/>
      <c r="M77" s="33" t="n"/>
      <c r="N77" s="33" t="n"/>
      <c r="O77" s="33" t="n"/>
      <c r="P77" s="32">
        <f>IF(OR($L77="",$N77=""),"",$L77-$N77)</f>
        <v/>
      </c>
      <c r="Q77" s="28">
        <f>IF($B77="","",IF(N($H77)&gt;0,"Live","Exited"))</f>
        <v/>
      </c>
      <c r="R77" s="28">
        <f>IF($B77="","",IF($L77="","Data Pending",IF($L77&gt;=Instructions!$D$19,"Best Fund",IF($L77&gt;=Instructions!$D$20,"Need to Improve","Not Performing"))))</f>
        <v/>
      </c>
      <c r="S77" s="7">
        <f>IF($R77="","",IF($R77="Data Pending","Enter the 3Y return",IF($R77="Best Fund","Hold / consider top-up",IF($R77="Need to Improve","Watch 2 quarters, then decide","Review with client - switch or exit"))))</f>
        <v/>
      </c>
      <c r="T77" s="27" t="n"/>
      <c r="U77" s="7">
        <f>IF($R77&lt;&gt;"Best Fund","",COUNTIFS($R$6:$R$505,"Best Fund",$L$6:$L$505,"&gt;"&amp;$L77)+COUNTIFS($R$6:$R77,"Best Fund",$L$6:$L77,$L77))</f>
        <v/>
      </c>
      <c r="V77" s="7">
        <f>IF($R77&lt;&gt;"Need to Improve","",COUNTIFS($R$6:$R$505,"Need to Improve",$L$6:$L$505,"&lt;"&amp;$L77)+COUNTIFS($R$6:$R77,"Need to Improve",$L$6:$L77,$L77))</f>
        <v/>
      </c>
      <c r="W77" s="7">
        <f>IF($R77&lt;&gt;"Not Performing","",COUNTIFS($R$6:$R$505,"Not Performing",$L$6:$L$505,"&lt;"&amp;$L77)+COUNTIFS($R$6:$R77,"Not Performing",$L$6:$L77,$L77))</f>
        <v/>
      </c>
    </row>
    <row r="78" ht="15" customHeight="1">
      <c r="A78" s="27" t="n"/>
      <c r="B78" s="27" t="n"/>
      <c r="C78" s="27" t="n"/>
      <c r="D78" s="28">
        <f>IF($C78="","",IFERROR(TRIM(LEFT($C78,FIND("-",$C78)-1)),""))</f>
        <v/>
      </c>
      <c r="E78" s="27" t="n"/>
      <c r="F78" s="29" t="n"/>
      <c r="G78" s="30" t="n"/>
      <c r="H78" s="30" t="n"/>
      <c r="I78" s="31">
        <f>IF($B78="","",$H78-$G78)</f>
        <v/>
      </c>
      <c r="J78" s="32">
        <f>IF(OR($B78="",$G78=0,$G78=""),"",$I78/$G78)</f>
        <v/>
      </c>
      <c r="K78" s="33" t="n"/>
      <c r="L78" s="33" t="n"/>
      <c r="M78" s="33" t="n"/>
      <c r="N78" s="33" t="n"/>
      <c r="O78" s="33" t="n"/>
      <c r="P78" s="32">
        <f>IF(OR($L78="",$N78=""),"",$L78-$N78)</f>
        <v/>
      </c>
      <c r="Q78" s="28">
        <f>IF($B78="","",IF(N($H78)&gt;0,"Live","Exited"))</f>
        <v/>
      </c>
      <c r="R78" s="28">
        <f>IF($B78="","",IF($L78="","Data Pending",IF($L78&gt;=Instructions!$D$19,"Best Fund",IF($L78&gt;=Instructions!$D$20,"Need to Improve","Not Performing"))))</f>
        <v/>
      </c>
      <c r="S78" s="7">
        <f>IF($R78="","",IF($R78="Data Pending","Enter the 3Y return",IF($R78="Best Fund","Hold / consider top-up",IF($R78="Need to Improve","Watch 2 quarters, then decide","Review with client - switch or exit"))))</f>
        <v/>
      </c>
      <c r="T78" s="27" t="n"/>
      <c r="U78" s="7">
        <f>IF($R78&lt;&gt;"Best Fund","",COUNTIFS($R$6:$R$505,"Best Fund",$L$6:$L$505,"&gt;"&amp;$L78)+COUNTIFS($R$6:$R78,"Best Fund",$L$6:$L78,$L78))</f>
        <v/>
      </c>
      <c r="V78" s="7">
        <f>IF($R78&lt;&gt;"Need to Improve","",COUNTIFS($R$6:$R$505,"Need to Improve",$L$6:$L$505,"&lt;"&amp;$L78)+COUNTIFS($R$6:$R78,"Need to Improve",$L$6:$L78,$L78))</f>
        <v/>
      </c>
      <c r="W78" s="7">
        <f>IF($R78&lt;&gt;"Not Performing","",COUNTIFS($R$6:$R$505,"Not Performing",$L$6:$L$505,"&lt;"&amp;$L78)+COUNTIFS($R$6:$R78,"Not Performing",$L$6:$L78,$L78))</f>
        <v/>
      </c>
    </row>
    <row r="79" ht="15" customHeight="1">
      <c r="A79" s="27" t="n"/>
      <c r="B79" s="27" t="n"/>
      <c r="C79" s="27" t="n"/>
      <c r="D79" s="28">
        <f>IF($C79="","",IFERROR(TRIM(LEFT($C79,FIND("-",$C79)-1)),""))</f>
        <v/>
      </c>
      <c r="E79" s="27" t="n"/>
      <c r="F79" s="29" t="n"/>
      <c r="G79" s="30" t="n"/>
      <c r="H79" s="30" t="n"/>
      <c r="I79" s="31">
        <f>IF($B79="","",$H79-$G79)</f>
        <v/>
      </c>
      <c r="J79" s="32">
        <f>IF(OR($B79="",$G79=0,$G79=""),"",$I79/$G79)</f>
        <v/>
      </c>
      <c r="K79" s="33" t="n"/>
      <c r="L79" s="33" t="n"/>
      <c r="M79" s="33" t="n"/>
      <c r="N79" s="33" t="n"/>
      <c r="O79" s="33" t="n"/>
      <c r="P79" s="32">
        <f>IF(OR($L79="",$N79=""),"",$L79-$N79)</f>
        <v/>
      </c>
      <c r="Q79" s="28">
        <f>IF($B79="","",IF(N($H79)&gt;0,"Live","Exited"))</f>
        <v/>
      </c>
      <c r="R79" s="28">
        <f>IF($B79="","",IF($L79="","Data Pending",IF($L79&gt;=Instructions!$D$19,"Best Fund",IF($L79&gt;=Instructions!$D$20,"Need to Improve","Not Performing"))))</f>
        <v/>
      </c>
      <c r="S79" s="7">
        <f>IF($R79="","",IF($R79="Data Pending","Enter the 3Y return",IF($R79="Best Fund","Hold / consider top-up",IF($R79="Need to Improve","Watch 2 quarters, then decide","Review with client - switch or exit"))))</f>
        <v/>
      </c>
      <c r="T79" s="27" t="n"/>
      <c r="U79" s="7">
        <f>IF($R79&lt;&gt;"Best Fund","",COUNTIFS($R$6:$R$505,"Best Fund",$L$6:$L$505,"&gt;"&amp;$L79)+COUNTIFS($R$6:$R79,"Best Fund",$L$6:$L79,$L79))</f>
        <v/>
      </c>
      <c r="V79" s="7">
        <f>IF($R79&lt;&gt;"Need to Improve","",COUNTIFS($R$6:$R$505,"Need to Improve",$L$6:$L$505,"&lt;"&amp;$L79)+COUNTIFS($R$6:$R79,"Need to Improve",$L$6:$L79,$L79))</f>
        <v/>
      </c>
      <c r="W79" s="7">
        <f>IF($R79&lt;&gt;"Not Performing","",COUNTIFS($R$6:$R$505,"Not Performing",$L$6:$L$505,"&lt;"&amp;$L79)+COUNTIFS($R$6:$R79,"Not Performing",$L$6:$L79,$L79))</f>
        <v/>
      </c>
    </row>
    <row r="80" ht="15" customHeight="1">
      <c r="A80" s="27" t="n"/>
      <c r="B80" s="27" t="n"/>
      <c r="C80" s="27" t="n"/>
      <c r="D80" s="28">
        <f>IF($C80="","",IFERROR(TRIM(LEFT($C80,FIND("-",$C80)-1)),""))</f>
        <v/>
      </c>
      <c r="E80" s="27" t="n"/>
      <c r="F80" s="29" t="n"/>
      <c r="G80" s="30" t="n"/>
      <c r="H80" s="30" t="n"/>
      <c r="I80" s="31">
        <f>IF($B80="","",$H80-$G80)</f>
        <v/>
      </c>
      <c r="J80" s="32">
        <f>IF(OR($B80="",$G80=0,$G80=""),"",$I80/$G80)</f>
        <v/>
      </c>
      <c r="K80" s="33" t="n"/>
      <c r="L80" s="33" t="n"/>
      <c r="M80" s="33" t="n"/>
      <c r="N80" s="33" t="n"/>
      <c r="O80" s="33" t="n"/>
      <c r="P80" s="32">
        <f>IF(OR($L80="",$N80=""),"",$L80-$N80)</f>
        <v/>
      </c>
      <c r="Q80" s="28">
        <f>IF($B80="","",IF(N($H80)&gt;0,"Live","Exited"))</f>
        <v/>
      </c>
      <c r="R80" s="28">
        <f>IF($B80="","",IF($L80="","Data Pending",IF($L80&gt;=Instructions!$D$19,"Best Fund",IF($L80&gt;=Instructions!$D$20,"Need to Improve","Not Performing"))))</f>
        <v/>
      </c>
      <c r="S80" s="7">
        <f>IF($R80="","",IF($R80="Data Pending","Enter the 3Y return",IF($R80="Best Fund","Hold / consider top-up",IF($R80="Need to Improve","Watch 2 quarters, then decide","Review with client - switch or exit"))))</f>
        <v/>
      </c>
      <c r="T80" s="27" t="n"/>
      <c r="U80" s="7">
        <f>IF($R80&lt;&gt;"Best Fund","",COUNTIFS($R$6:$R$505,"Best Fund",$L$6:$L$505,"&gt;"&amp;$L80)+COUNTIFS($R$6:$R80,"Best Fund",$L$6:$L80,$L80))</f>
        <v/>
      </c>
      <c r="V80" s="7">
        <f>IF($R80&lt;&gt;"Need to Improve","",COUNTIFS($R$6:$R$505,"Need to Improve",$L$6:$L$505,"&lt;"&amp;$L80)+COUNTIFS($R$6:$R80,"Need to Improve",$L$6:$L80,$L80))</f>
        <v/>
      </c>
      <c r="W80" s="7">
        <f>IF($R80&lt;&gt;"Not Performing","",COUNTIFS($R$6:$R$505,"Not Performing",$L$6:$L$505,"&lt;"&amp;$L80)+COUNTIFS($R$6:$R80,"Not Performing",$L$6:$L80,$L80))</f>
        <v/>
      </c>
    </row>
    <row r="81" ht="15" customHeight="1">
      <c r="A81" s="27" t="n"/>
      <c r="B81" s="27" t="n"/>
      <c r="C81" s="27" t="n"/>
      <c r="D81" s="28">
        <f>IF($C81="","",IFERROR(TRIM(LEFT($C81,FIND("-",$C81)-1)),""))</f>
        <v/>
      </c>
      <c r="E81" s="27" t="n"/>
      <c r="F81" s="29" t="n"/>
      <c r="G81" s="30" t="n"/>
      <c r="H81" s="30" t="n"/>
      <c r="I81" s="31">
        <f>IF($B81="","",$H81-$G81)</f>
        <v/>
      </c>
      <c r="J81" s="32">
        <f>IF(OR($B81="",$G81=0,$G81=""),"",$I81/$G81)</f>
        <v/>
      </c>
      <c r="K81" s="33" t="n"/>
      <c r="L81" s="33" t="n"/>
      <c r="M81" s="33" t="n"/>
      <c r="N81" s="33" t="n"/>
      <c r="O81" s="33" t="n"/>
      <c r="P81" s="32">
        <f>IF(OR($L81="",$N81=""),"",$L81-$N81)</f>
        <v/>
      </c>
      <c r="Q81" s="28">
        <f>IF($B81="","",IF(N($H81)&gt;0,"Live","Exited"))</f>
        <v/>
      </c>
      <c r="R81" s="28">
        <f>IF($B81="","",IF($L81="","Data Pending",IF($L81&gt;=Instructions!$D$19,"Best Fund",IF($L81&gt;=Instructions!$D$20,"Need to Improve","Not Performing"))))</f>
        <v/>
      </c>
      <c r="S81" s="7">
        <f>IF($R81="","",IF($R81="Data Pending","Enter the 3Y return",IF($R81="Best Fund","Hold / consider top-up",IF($R81="Need to Improve","Watch 2 quarters, then decide","Review with client - switch or exit"))))</f>
        <v/>
      </c>
      <c r="T81" s="27" t="n"/>
      <c r="U81" s="7">
        <f>IF($R81&lt;&gt;"Best Fund","",COUNTIFS($R$6:$R$505,"Best Fund",$L$6:$L$505,"&gt;"&amp;$L81)+COUNTIFS($R$6:$R81,"Best Fund",$L$6:$L81,$L81))</f>
        <v/>
      </c>
      <c r="V81" s="7">
        <f>IF($R81&lt;&gt;"Need to Improve","",COUNTIFS($R$6:$R$505,"Need to Improve",$L$6:$L$505,"&lt;"&amp;$L81)+COUNTIFS($R$6:$R81,"Need to Improve",$L$6:$L81,$L81))</f>
        <v/>
      </c>
      <c r="W81" s="7">
        <f>IF($R81&lt;&gt;"Not Performing","",COUNTIFS($R$6:$R$505,"Not Performing",$L$6:$L$505,"&lt;"&amp;$L81)+COUNTIFS($R$6:$R81,"Not Performing",$L$6:$L81,$L81))</f>
        <v/>
      </c>
    </row>
    <row r="82" ht="15" customHeight="1">
      <c r="A82" s="27" t="n"/>
      <c r="B82" s="27" t="n"/>
      <c r="C82" s="27" t="n"/>
      <c r="D82" s="28">
        <f>IF($C82="","",IFERROR(TRIM(LEFT($C82,FIND("-",$C82)-1)),""))</f>
        <v/>
      </c>
      <c r="E82" s="27" t="n"/>
      <c r="F82" s="29" t="n"/>
      <c r="G82" s="30" t="n"/>
      <c r="H82" s="30" t="n"/>
      <c r="I82" s="31">
        <f>IF($B82="","",$H82-$G82)</f>
        <v/>
      </c>
      <c r="J82" s="32">
        <f>IF(OR($B82="",$G82=0,$G82=""),"",$I82/$G82)</f>
        <v/>
      </c>
      <c r="K82" s="33" t="n"/>
      <c r="L82" s="33" t="n"/>
      <c r="M82" s="33" t="n"/>
      <c r="N82" s="33" t="n"/>
      <c r="O82" s="33" t="n"/>
      <c r="P82" s="32">
        <f>IF(OR($L82="",$N82=""),"",$L82-$N82)</f>
        <v/>
      </c>
      <c r="Q82" s="28">
        <f>IF($B82="","",IF(N($H82)&gt;0,"Live","Exited"))</f>
        <v/>
      </c>
      <c r="R82" s="28">
        <f>IF($B82="","",IF($L82="","Data Pending",IF($L82&gt;=Instructions!$D$19,"Best Fund",IF($L82&gt;=Instructions!$D$20,"Need to Improve","Not Performing"))))</f>
        <v/>
      </c>
      <c r="S82" s="7">
        <f>IF($R82="","",IF($R82="Data Pending","Enter the 3Y return",IF($R82="Best Fund","Hold / consider top-up",IF($R82="Need to Improve","Watch 2 quarters, then decide","Review with client - switch or exit"))))</f>
        <v/>
      </c>
      <c r="T82" s="27" t="n"/>
      <c r="U82" s="7">
        <f>IF($R82&lt;&gt;"Best Fund","",COUNTIFS($R$6:$R$505,"Best Fund",$L$6:$L$505,"&gt;"&amp;$L82)+COUNTIFS($R$6:$R82,"Best Fund",$L$6:$L82,$L82))</f>
        <v/>
      </c>
      <c r="V82" s="7">
        <f>IF($R82&lt;&gt;"Need to Improve","",COUNTIFS($R$6:$R$505,"Need to Improve",$L$6:$L$505,"&lt;"&amp;$L82)+COUNTIFS($R$6:$R82,"Need to Improve",$L$6:$L82,$L82))</f>
        <v/>
      </c>
      <c r="W82" s="7">
        <f>IF($R82&lt;&gt;"Not Performing","",COUNTIFS($R$6:$R$505,"Not Performing",$L$6:$L$505,"&lt;"&amp;$L82)+COUNTIFS($R$6:$R82,"Not Performing",$L$6:$L82,$L82))</f>
        <v/>
      </c>
    </row>
    <row r="83" ht="15" customHeight="1">
      <c r="A83" s="27" t="n"/>
      <c r="B83" s="27" t="n"/>
      <c r="C83" s="27" t="n"/>
      <c r="D83" s="28">
        <f>IF($C83="","",IFERROR(TRIM(LEFT($C83,FIND("-",$C83)-1)),""))</f>
        <v/>
      </c>
      <c r="E83" s="27" t="n"/>
      <c r="F83" s="29" t="n"/>
      <c r="G83" s="30" t="n"/>
      <c r="H83" s="30" t="n"/>
      <c r="I83" s="31">
        <f>IF($B83="","",$H83-$G83)</f>
        <v/>
      </c>
      <c r="J83" s="32">
        <f>IF(OR($B83="",$G83=0,$G83=""),"",$I83/$G83)</f>
        <v/>
      </c>
      <c r="K83" s="33" t="n"/>
      <c r="L83" s="33" t="n"/>
      <c r="M83" s="33" t="n"/>
      <c r="N83" s="33" t="n"/>
      <c r="O83" s="33" t="n"/>
      <c r="P83" s="32">
        <f>IF(OR($L83="",$N83=""),"",$L83-$N83)</f>
        <v/>
      </c>
      <c r="Q83" s="28">
        <f>IF($B83="","",IF(N($H83)&gt;0,"Live","Exited"))</f>
        <v/>
      </c>
      <c r="R83" s="28">
        <f>IF($B83="","",IF($L83="","Data Pending",IF($L83&gt;=Instructions!$D$19,"Best Fund",IF($L83&gt;=Instructions!$D$20,"Need to Improve","Not Performing"))))</f>
        <v/>
      </c>
      <c r="S83" s="7">
        <f>IF($R83="","",IF($R83="Data Pending","Enter the 3Y return",IF($R83="Best Fund","Hold / consider top-up",IF($R83="Need to Improve","Watch 2 quarters, then decide","Review with client - switch or exit"))))</f>
        <v/>
      </c>
      <c r="T83" s="27" t="n"/>
      <c r="U83" s="7">
        <f>IF($R83&lt;&gt;"Best Fund","",COUNTIFS($R$6:$R$505,"Best Fund",$L$6:$L$505,"&gt;"&amp;$L83)+COUNTIFS($R$6:$R83,"Best Fund",$L$6:$L83,$L83))</f>
        <v/>
      </c>
      <c r="V83" s="7">
        <f>IF($R83&lt;&gt;"Need to Improve","",COUNTIFS($R$6:$R$505,"Need to Improve",$L$6:$L$505,"&lt;"&amp;$L83)+COUNTIFS($R$6:$R83,"Need to Improve",$L$6:$L83,$L83))</f>
        <v/>
      </c>
      <c r="W83" s="7">
        <f>IF($R83&lt;&gt;"Not Performing","",COUNTIFS($R$6:$R$505,"Not Performing",$L$6:$L$505,"&lt;"&amp;$L83)+COUNTIFS($R$6:$R83,"Not Performing",$L$6:$L83,$L83))</f>
        <v/>
      </c>
    </row>
    <row r="84" ht="15" customHeight="1">
      <c r="A84" s="27" t="n"/>
      <c r="B84" s="27" t="n"/>
      <c r="C84" s="27" t="n"/>
      <c r="D84" s="28">
        <f>IF($C84="","",IFERROR(TRIM(LEFT($C84,FIND("-",$C84)-1)),""))</f>
        <v/>
      </c>
      <c r="E84" s="27" t="n"/>
      <c r="F84" s="29" t="n"/>
      <c r="G84" s="30" t="n"/>
      <c r="H84" s="30" t="n"/>
      <c r="I84" s="31">
        <f>IF($B84="","",$H84-$G84)</f>
        <v/>
      </c>
      <c r="J84" s="32">
        <f>IF(OR($B84="",$G84=0,$G84=""),"",$I84/$G84)</f>
        <v/>
      </c>
      <c r="K84" s="33" t="n"/>
      <c r="L84" s="33" t="n"/>
      <c r="M84" s="33" t="n"/>
      <c r="N84" s="33" t="n"/>
      <c r="O84" s="33" t="n"/>
      <c r="P84" s="32">
        <f>IF(OR($L84="",$N84=""),"",$L84-$N84)</f>
        <v/>
      </c>
      <c r="Q84" s="28">
        <f>IF($B84="","",IF(N($H84)&gt;0,"Live","Exited"))</f>
        <v/>
      </c>
      <c r="R84" s="28">
        <f>IF($B84="","",IF($L84="","Data Pending",IF($L84&gt;=Instructions!$D$19,"Best Fund",IF($L84&gt;=Instructions!$D$20,"Need to Improve","Not Performing"))))</f>
        <v/>
      </c>
      <c r="S84" s="7">
        <f>IF($R84="","",IF($R84="Data Pending","Enter the 3Y return",IF($R84="Best Fund","Hold / consider top-up",IF($R84="Need to Improve","Watch 2 quarters, then decide","Review with client - switch or exit"))))</f>
        <v/>
      </c>
      <c r="T84" s="27" t="n"/>
      <c r="U84" s="7">
        <f>IF($R84&lt;&gt;"Best Fund","",COUNTIFS($R$6:$R$505,"Best Fund",$L$6:$L$505,"&gt;"&amp;$L84)+COUNTIFS($R$6:$R84,"Best Fund",$L$6:$L84,$L84))</f>
        <v/>
      </c>
      <c r="V84" s="7">
        <f>IF($R84&lt;&gt;"Need to Improve","",COUNTIFS($R$6:$R$505,"Need to Improve",$L$6:$L$505,"&lt;"&amp;$L84)+COUNTIFS($R$6:$R84,"Need to Improve",$L$6:$L84,$L84))</f>
        <v/>
      </c>
      <c r="W84" s="7">
        <f>IF($R84&lt;&gt;"Not Performing","",COUNTIFS($R$6:$R$505,"Not Performing",$L$6:$L$505,"&lt;"&amp;$L84)+COUNTIFS($R$6:$R84,"Not Performing",$L$6:$L84,$L84))</f>
        <v/>
      </c>
    </row>
    <row r="85" ht="15" customHeight="1">
      <c r="A85" s="27" t="n"/>
      <c r="B85" s="27" t="n"/>
      <c r="C85" s="27" t="n"/>
      <c r="D85" s="28">
        <f>IF($C85="","",IFERROR(TRIM(LEFT($C85,FIND("-",$C85)-1)),""))</f>
        <v/>
      </c>
      <c r="E85" s="27" t="n"/>
      <c r="F85" s="29" t="n"/>
      <c r="G85" s="30" t="n"/>
      <c r="H85" s="30" t="n"/>
      <c r="I85" s="31">
        <f>IF($B85="","",$H85-$G85)</f>
        <v/>
      </c>
      <c r="J85" s="32">
        <f>IF(OR($B85="",$G85=0,$G85=""),"",$I85/$G85)</f>
        <v/>
      </c>
      <c r="K85" s="33" t="n"/>
      <c r="L85" s="33" t="n"/>
      <c r="M85" s="33" t="n"/>
      <c r="N85" s="33" t="n"/>
      <c r="O85" s="33" t="n"/>
      <c r="P85" s="32">
        <f>IF(OR($L85="",$N85=""),"",$L85-$N85)</f>
        <v/>
      </c>
      <c r="Q85" s="28">
        <f>IF($B85="","",IF(N($H85)&gt;0,"Live","Exited"))</f>
        <v/>
      </c>
      <c r="R85" s="28">
        <f>IF($B85="","",IF($L85="","Data Pending",IF($L85&gt;=Instructions!$D$19,"Best Fund",IF($L85&gt;=Instructions!$D$20,"Need to Improve","Not Performing"))))</f>
        <v/>
      </c>
      <c r="S85" s="7">
        <f>IF($R85="","",IF($R85="Data Pending","Enter the 3Y return",IF($R85="Best Fund","Hold / consider top-up",IF($R85="Need to Improve","Watch 2 quarters, then decide","Review with client - switch or exit"))))</f>
        <v/>
      </c>
      <c r="T85" s="27" t="n"/>
      <c r="U85" s="7">
        <f>IF($R85&lt;&gt;"Best Fund","",COUNTIFS($R$6:$R$505,"Best Fund",$L$6:$L$505,"&gt;"&amp;$L85)+COUNTIFS($R$6:$R85,"Best Fund",$L$6:$L85,$L85))</f>
        <v/>
      </c>
      <c r="V85" s="7">
        <f>IF($R85&lt;&gt;"Need to Improve","",COUNTIFS($R$6:$R$505,"Need to Improve",$L$6:$L$505,"&lt;"&amp;$L85)+COUNTIFS($R$6:$R85,"Need to Improve",$L$6:$L85,$L85))</f>
        <v/>
      </c>
      <c r="W85" s="7">
        <f>IF($R85&lt;&gt;"Not Performing","",COUNTIFS($R$6:$R$505,"Not Performing",$L$6:$L$505,"&lt;"&amp;$L85)+COUNTIFS($R$6:$R85,"Not Performing",$L$6:$L85,$L85))</f>
        <v/>
      </c>
    </row>
    <row r="86" ht="15" customHeight="1">
      <c r="A86" s="27" t="n"/>
      <c r="B86" s="27" t="n"/>
      <c r="C86" s="27" t="n"/>
      <c r="D86" s="28">
        <f>IF($C86="","",IFERROR(TRIM(LEFT($C86,FIND("-",$C86)-1)),""))</f>
        <v/>
      </c>
      <c r="E86" s="27" t="n"/>
      <c r="F86" s="29" t="n"/>
      <c r="G86" s="30" t="n"/>
      <c r="H86" s="30" t="n"/>
      <c r="I86" s="31">
        <f>IF($B86="","",$H86-$G86)</f>
        <v/>
      </c>
      <c r="J86" s="32">
        <f>IF(OR($B86="",$G86=0,$G86=""),"",$I86/$G86)</f>
        <v/>
      </c>
      <c r="K86" s="33" t="n"/>
      <c r="L86" s="33" t="n"/>
      <c r="M86" s="33" t="n"/>
      <c r="N86" s="33" t="n"/>
      <c r="O86" s="33" t="n"/>
      <c r="P86" s="32">
        <f>IF(OR($L86="",$N86=""),"",$L86-$N86)</f>
        <v/>
      </c>
      <c r="Q86" s="28">
        <f>IF($B86="","",IF(N($H86)&gt;0,"Live","Exited"))</f>
        <v/>
      </c>
      <c r="R86" s="28">
        <f>IF($B86="","",IF($L86="","Data Pending",IF($L86&gt;=Instructions!$D$19,"Best Fund",IF($L86&gt;=Instructions!$D$20,"Need to Improve","Not Performing"))))</f>
        <v/>
      </c>
      <c r="S86" s="7">
        <f>IF($R86="","",IF($R86="Data Pending","Enter the 3Y return",IF($R86="Best Fund","Hold / consider top-up",IF($R86="Need to Improve","Watch 2 quarters, then decide","Review with client - switch or exit"))))</f>
        <v/>
      </c>
      <c r="T86" s="27" t="n"/>
      <c r="U86" s="7">
        <f>IF($R86&lt;&gt;"Best Fund","",COUNTIFS($R$6:$R$505,"Best Fund",$L$6:$L$505,"&gt;"&amp;$L86)+COUNTIFS($R$6:$R86,"Best Fund",$L$6:$L86,$L86))</f>
        <v/>
      </c>
      <c r="V86" s="7">
        <f>IF($R86&lt;&gt;"Need to Improve","",COUNTIFS($R$6:$R$505,"Need to Improve",$L$6:$L$505,"&lt;"&amp;$L86)+COUNTIFS($R$6:$R86,"Need to Improve",$L$6:$L86,$L86))</f>
        <v/>
      </c>
      <c r="W86" s="7">
        <f>IF($R86&lt;&gt;"Not Performing","",COUNTIFS($R$6:$R$505,"Not Performing",$L$6:$L$505,"&lt;"&amp;$L86)+COUNTIFS($R$6:$R86,"Not Performing",$L$6:$L86,$L86))</f>
        <v/>
      </c>
    </row>
    <row r="87" ht="15" customHeight="1">
      <c r="A87" s="27" t="n"/>
      <c r="B87" s="27" t="n"/>
      <c r="C87" s="27" t="n"/>
      <c r="D87" s="28">
        <f>IF($C87="","",IFERROR(TRIM(LEFT($C87,FIND("-",$C87)-1)),""))</f>
        <v/>
      </c>
      <c r="E87" s="27" t="n"/>
      <c r="F87" s="29" t="n"/>
      <c r="G87" s="30" t="n"/>
      <c r="H87" s="30" t="n"/>
      <c r="I87" s="31">
        <f>IF($B87="","",$H87-$G87)</f>
        <v/>
      </c>
      <c r="J87" s="32">
        <f>IF(OR($B87="",$G87=0,$G87=""),"",$I87/$G87)</f>
        <v/>
      </c>
      <c r="K87" s="33" t="n"/>
      <c r="L87" s="33" t="n"/>
      <c r="M87" s="33" t="n"/>
      <c r="N87" s="33" t="n"/>
      <c r="O87" s="33" t="n"/>
      <c r="P87" s="32">
        <f>IF(OR($L87="",$N87=""),"",$L87-$N87)</f>
        <v/>
      </c>
      <c r="Q87" s="28">
        <f>IF($B87="","",IF(N($H87)&gt;0,"Live","Exited"))</f>
        <v/>
      </c>
      <c r="R87" s="28">
        <f>IF($B87="","",IF($L87="","Data Pending",IF($L87&gt;=Instructions!$D$19,"Best Fund",IF($L87&gt;=Instructions!$D$20,"Need to Improve","Not Performing"))))</f>
        <v/>
      </c>
      <c r="S87" s="7">
        <f>IF($R87="","",IF($R87="Data Pending","Enter the 3Y return",IF($R87="Best Fund","Hold / consider top-up",IF($R87="Need to Improve","Watch 2 quarters, then decide","Review with client - switch or exit"))))</f>
        <v/>
      </c>
      <c r="T87" s="27" t="n"/>
      <c r="U87" s="7">
        <f>IF($R87&lt;&gt;"Best Fund","",COUNTIFS($R$6:$R$505,"Best Fund",$L$6:$L$505,"&gt;"&amp;$L87)+COUNTIFS($R$6:$R87,"Best Fund",$L$6:$L87,$L87))</f>
        <v/>
      </c>
      <c r="V87" s="7">
        <f>IF($R87&lt;&gt;"Need to Improve","",COUNTIFS($R$6:$R$505,"Need to Improve",$L$6:$L$505,"&lt;"&amp;$L87)+COUNTIFS($R$6:$R87,"Need to Improve",$L$6:$L87,$L87))</f>
        <v/>
      </c>
      <c r="W87" s="7">
        <f>IF($R87&lt;&gt;"Not Performing","",COUNTIFS($R$6:$R$505,"Not Performing",$L$6:$L$505,"&lt;"&amp;$L87)+COUNTIFS($R$6:$R87,"Not Performing",$L$6:$L87,$L87))</f>
        <v/>
      </c>
    </row>
    <row r="88" ht="15" customHeight="1">
      <c r="A88" s="27" t="n"/>
      <c r="B88" s="27" t="n"/>
      <c r="C88" s="27" t="n"/>
      <c r="D88" s="28">
        <f>IF($C88="","",IFERROR(TRIM(LEFT($C88,FIND("-",$C88)-1)),""))</f>
        <v/>
      </c>
      <c r="E88" s="27" t="n"/>
      <c r="F88" s="29" t="n"/>
      <c r="G88" s="30" t="n"/>
      <c r="H88" s="30" t="n"/>
      <c r="I88" s="31">
        <f>IF($B88="","",$H88-$G88)</f>
        <v/>
      </c>
      <c r="J88" s="32">
        <f>IF(OR($B88="",$G88=0,$G88=""),"",$I88/$G88)</f>
        <v/>
      </c>
      <c r="K88" s="33" t="n"/>
      <c r="L88" s="33" t="n"/>
      <c r="M88" s="33" t="n"/>
      <c r="N88" s="33" t="n"/>
      <c r="O88" s="33" t="n"/>
      <c r="P88" s="32">
        <f>IF(OR($L88="",$N88=""),"",$L88-$N88)</f>
        <v/>
      </c>
      <c r="Q88" s="28">
        <f>IF($B88="","",IF(N($H88)&gt;0,"Live","Exited"))</f>
        <v/>
      </c>
      <c r="R88" s="28">
        <f>IF($B88="","",IF($L88="","Data Pending",IF($L88&gt;=Instructions!$D$19,"Best Fund",IF($L88&gt;=Instructions!$D$20,"Need to Improve","Not Performing"))))</f>
        <v/>
      </c>
      <c r="S88" s="7">
        <f>IF($R88="","",IF($R88="Data Pending","Enter the 3Y return",IF($R88="Best Fund","Hold / consider top-up",IF($R88="Need to Improve","Watch 2 quarters, then decide","Review with client - switch or exit"))))</f>
        <v/>
      </c>
      <c r="T88" s="27" t="n"/>
      <c r="U88" s="7">
        <f>IF($R88&lt;&gt;"Best Fund","",COUNTIFS($R$6:$R$505,"Best Fund",$L$6:$L$505,"&gt;"&amp;$L88)+COUNTIFS($R$6:$R88,"Best Fund",$L$6:$L88,$L88))</f>
        <v/>
      </c>
      <c r="V88" s="7">
        <f>IF($R88&lt;&gt;"Need to Improve","",COUNTIFS($R$6:$R$505,"Need to Improve",$L$6:$L$505,"&lt;"&amp;$L88)+COUNTIFS($R$6:$R88,"Need to Improve",$L$6:$L88,$L88))</f>
        <v/>
      </c>
      <c r="W88" s="7">
        <f>IF($R88&lt;&gt;"Not Performing","",COUNTIFS($R$6:$R$505,"Not Performing",$L$6:$L$505,"&lt;"&amp;$L88)+COUNTIFS($R$6:$R88,"Not Performing",$L$6:$L88,$L88))</f>
        <v/>
      </c>
    </row>
    <row r="89" ht="15" customHeight="1">
      <c r="A89" s="27" t="n"/>
      <c r="B89" s="27" t="n"/>
      <c r="C89" s="27" t="n"/>
      <c r="D89" s="28">
        <f>IF($C89="","",IFERROR(TRIM(LEFT($C89,FIND("-",$C89)-1)),""))</f>
        <v/>
      </c>
      <c r="E89" s="27" t="n"/>
      <c r="F89" s="29" t="n"/>
      <c r="G89" s="30" t="n"/>
      <c r="H89" s="30" t="n"/>
      <c r="I89" s="31">
        <f>IF($B89="","",$H89-$G89)</f>
        <v/>
      </c>
      <c r="J89" s="32">
        <f>IF(OR($B89="",$G89=0,$G89=""),"",$I89/$G89)</f>
        <v/>
      </c>
      <c r="K89" s="33" t="n"/>
      <c r="L89" s="33" t="n"/>
      <c r="M89" s="33" t="n"/>
      <c r="N89" s="33" t="n"/>
      <c r="O89" s="33" t="n"/>
      <c r="P89" s="32">
        <f>IF(OR($L89="",$N89=""),"",$L89-$N89)</f>
        <v/>
      </c>
      <c r="Q89" s="28">
        <f>IF($B89="","",IF(N($H89)&gt;0,"Live","Exited"))</f>
        <v/>
      </c>
      <c r="R89" s="28">
        <f>IF($B89="","",IF($L89="","Data Pending",IF($L89&gt;=Instructions!$D$19,"Best Fund",IF($L89&gt;=Instructions!$D$20,"Need to Improve","Not Performing"))))</f>
        <v/>
      </c>
      <c r="S89" s="7">
        <f>IF($R89="","",IF($R89="Data Pending","Enter the 3Y return",IF($R89="Best Fund","Hold / consider top-up",IF($R89="Need to Improve","Watch 2 quarters, then decide","Review with client - switch or exit"))))</f>
        <v/>
      </c>
      <c r="T89" s="27" t="n"/>
      <c r="U89" s="7">
        <f>IF($R89&lt;&gt;"Best Fund","",COUNTIFS($R$6:$R$505,"Best Fund",$L$6:$L$505,"&gt;"&amp;$L89)+COUNTIFS($R$6:$R89,"Best Fund",$L$6:$L89,$L89))</f>
        <v/>
      </c>
      <c r="V89" s="7">
        <f>IF($R89&lt;&gt;"Need to Improve","",COUNTIFS($R$6:$R$505,"Need to Improve",$L$6:$L$505,"&lt;"&amp;$L89)+COUNTIFS($R$6:$R89,"Need to Improve",$L$6:$L89,$L89))</f>
        <v/>
      </c>
      <c r="W89" s="7">
        <f>IF($R89&lt;&gt;"Not Performing","",COUNTIFS($R$6:$R$505,"Not Performing",$L$6:$L$505,"&lt;"&amp;$L89)+COUNTIFS($R$6:$R89,"Not Performing",$L$6:$L89,$L89))</f>
        <v/>
      </c>
    </row>
    <row r="90" ht="15" customHeight="1">
      <c r="A90" s="27" t="n"/>
      <c r="B90" s="27" t="n"/>
      <c r="C90" s="27" t="n"/>
      <c r="D90" s="28">
        <f>IF($C90="","",IFERROR(TRIM(LEFT($C90,FIND("-",$C90)-1)),""))</f>
        <v/>
      </c>
      <c r="E90" s="27" t="n"/>
      <c r="F90" s="29" t="n"/>
      <c r="G90" s="30" t="n"/>
      <c r="H90" s="30" t="n"/>
      <c r="I90" s="31">
        <f>IF($B90="","",$H90-$G90)</f>
        <v/>
      </c>
      <c r="J90" s="32">
        <f>IF(OR($B90="",$G90=0,$G90=""),"",$I90/$G90)</f>
        <v/>
      </c>
      <c r="K90" s="33" t="n"/>
      <c r="L90" s="33" t="n"/>
      <c r="M90" s="33" t="n"/>
      <c r="N90" s="33" t="n"/>
      <c r="O90" s="33" t="n"/>
      <c r="P90" s="32">
        <f>IF(OR($L90="",$N90=""),"",$L90-$N90)</f>
        <v/>
      </c>
      <c r="Q90" s="28">
        <f>IF($B90="","",IF(N($H90)&gt;0,"Live","Exited"))</f>
        <v/>
      </c>
      <c r="R90" s="28">
        <f>IF($B90="","",IF($L90="","Data Pending",IF($L90&gt;=Instructions!$D$19,"Best Fund",IF($L90&gt;=Instructions!$D$20,"Need to Improve","Not Performing"))))</f>
        <v/>
      </c>
      <c r="S90" s="7">
        <f>IF($R90="","",IF($R90="Data Pending","Enter the 3Y return",IF($R90="Best Fund","Hold / consider top-up",IF($R90="Need to Improve","Watch 2 quarters, then decide","Review with client - switch or exit"))))</f>
        <v/>
      </c>
      <c r="T90" s="27" t="n"/>
      <c r="U90" s="7">
        <f>IF($R90&lt;&gt;"Best Fund","",COUNTIFS($R$6:$R$505,"Best Fund",$L$6:$L$505,"&gt;"&amp;$L90)+COUNTIFS($R$6:$R90,"Best Fund",$L$6:$L90,$L90))</f>
        <v/>
      </c>
      <c r="V90" s="7">
        <f>IF($R90&lt;&gt;"Need to Improve","",COUNTIFS($R$6:$R$505,"Need to Improve",$L$6:$L$505,"&lt;"&amp;$L90)+COUNTIFS($R$6:$R90,"Need to Improve",$L$6:$L90,$L90))</f>
        <v/>
      </c>
      <c r="W90" s="7">
        <f>IF($R90&lt;&gt;"Not Performing","",COUNTIFS($R$6:$R$505,"Not Performing",$L$6:$L$505,"&lt;"&amp;$L90)+COUNTIFS($R$6:$R90,"Not Performing",$L$6:$L90,$L90))</f>
        <v/>
      </c>
    </row>
    <row r="91" ht="15" customHeight="1">
      <c r="A91" s="27" t="n"/>
      <c r="B91" s="27" t="n"/>
      <c r="C91" s="27" t="n"/>
      <c r="D91" s="28">
        <f>IF($C91="","",IFERROR(TRIM(LEFT($C91,FIND("-",$C91)-1)),""))</f>
        <v/>
      </c>
      <c r="E91" s="27" t="n"/>
      <c r="F91" s="29" t="n"/>
      <c r="G91" s="30" t="n"/>
      <c r="H91" s="30" t="n"/>
      <c r="I91" s="31">
        <f>IF($B91="","",$H91-$G91)</f>
        <v/>
      </c>
      <c r="J91" s="32">
        <f>IF(OR($B91="",$G91=0,$G91=""),"",$I91/$G91)</f>
        <v/>
      </c>
      <c r="K91" s="33" t="n"/>
      <c r="L91" s="33" t="n"/>
      <c r="M91" s="33" t="n"/>
      <c r="N91" s="33" t="n"/>
      <c r="O91" s="33" t="n"/>
      <c r="P91" s="32">
        <f>IF(OR($L91="",$N91=""),"",$L91-$N91)</f>
        <v/>
      </c>
      <c r="Q91" s="28">
        <f>IF($B91="","",IF(N($H91)&gt;0,"Live","Exited"))</f>
        <v/>
      </c>
      <c r="R91" s="28">
        <f>IF($B91="","",IF($L91="","Data Pending",IF($L91&gt;=Instructions!$D$19,"Best Fund",IF($L91&gt;=Instructions!$D$20,"Need to Improve","Not Performing"))))</f>
        <v/>
      </c>
      <c r="S91" s="7">
        <f>IF($R91="","",IF($R91="Data Pending","Enter the 3Y return",IF($R91="Best Fund","Hold / consider top-up",IF($R91="Need to Improve","Watch 2 quarters, then decide","Review with client - switch or exit"))))</f>
        <v/>
      </c>
      <c r="T91" s="27" t="n"/>
      <c r="U91" s="7">
        <f>IF($R91&lt;&gt;"Best Fund","",COUNTIFS($R$6:$R$505,"Best Fund",$L$6:$L$505,"&gt;"&amp;$L91)+COUNTIFS($R$6:$R91,"Best Fund",$L$6:$L91,$L91))</f>
        <v/>
      </c>
      <c r="V91" s="7">
        <f>IF($R91&lt;&gt;"Need to Improve","",COUNTIFS($R$6:$R$505,"Need to Improve",$L$6:$L$505,"&lt;"&amp;$L91)+COUNTIFS($R$6:$R91,"Need to Improve",$L$6:$L91,$L91))</f>
        <v/>
      </c>
      <c r="W91" s="7">
        <f>IF($R91&lt;&gt;"Not Performing","",COUNTIFS($R$6:$R$505,"Not Performing",$L$6:$L$505,"&lt;"&amp;$L91)+COUNTIFS($R$6:$R91,"Not Performing",$L$6:$L91,$L91))</f>
        <v/>
      </c>
    </row>
    <row r="92" ht="15" customHeight="1">
      <c r="A92" s="27" t="n"/>
      <c r="B92" s="27" t="n"/>
      <c r="C92" s="27" t="n"/>
      <c r="D92" s="28">
        <f>IF($C92="","",IFERROR(TRIM(LEFT($C92,FIND("-",$C92)-1)),""))</f>
        <v/>
      </c>
      <c r="E92" s="27" t="n"/>
      <c r="F92" s="29" t="n"/>
      <c r="G92" s="30" t="n"/>
      <c r="H92" s="30" t="n"/>
      <c r="I92" s="31">
        <f>IF($B92="","",$H92-$G92)</f>
        <v/>
      </c>
      <c r="J92" s="32">
        <f>IF(OR($B92="",$G92=0,$G92=""),"",$I92/$G92)</f>
        <v/>
      </c>
      <c r="K92" s="33" t="n"/>
      <c r="L92" s="33" t="n"/>
      <c r="M92" s="33" t="n"/>
      <c r="N92" s="33" t="n"/>
      <c r="O92" s="33" t="n"/>
      <c r="P92" s="32">
        <f>IF(OR($L92="",$N92=""),"",$L92-$N92)</f>
        <v/>
      </c>
      <c r="Q92" s="28">
        <f>IF($B92="","",IF(N($H92)&gt;0,"Live","Exited"))</f>
        <v/>
      </c>
      <c r="R92" s="28">
        <f>IF($B92="","",IF($L92="","Data Pending",IF($L92&gt;=Instructions!$D$19,"Best Fund",IF($L92&gt;=Instructions!$D$20,"Need to Improve","Not Performing"))))</f>
        <v/>
      </c>
      <c r="S92" s="7">
        <f>IF($R92="","",IF($R92="Data Pending","Enter the 3Y return",IF($R92="Best Fund","Hold / consider top-up",IF($R92="Need to Improve","Watch 2 quarters, then decide","Review with client - switch or exit"))))</f>
        <v/>
      </c>
      <c r="T92" s="27" t="n"/>
      <c r="U92" s="7">
        <f>IF($R92&lt;&gt;"Best Fund","",COUNTIFS($R$6:$R$505,"Best Fund",$L$6:$L$505,"&gt;"&amp;$L92)+COUNTIFS($R$6:$R92,"Best Fund",$L$6:$L92,$L92))</f>
        <v/>
      </c>
      <c r="V92" s="7">
        <f>IF($R92&lt;&gt;"Need to Improve","",COUNTIFS($R$6:$R$505,"Need to Improve",$L$6:$L$505,"&lt;"&amp;$L92)+COUNTIFS($R$6:$R92,"Need to Improve",$L$6:$L92,$L92))</f>
        <v/>
      </c>
      <c r="W92" s="7">
        <f>IF($R92&lt;&gt;"Not Performing","",COUNTIFS($R$6:$R$505,"Not Performing",$L$6:$L$505,"&lt;"&amp;$L92)+COUNTIFS($R$6:$R92,"Not Performing",$L$6:$L92,$L92))</f>
        <v/>
      </c>
    </row>
    <row r="93" ht="15" customHeight="1">
      <c r="A93" s="27" t="n"/>
      <c r="B93" s="27" t="n"/>
      <c r="C93" s="27" t="n"/>
      <c r="D93" s="28">
        <f>IF($C93="","",IFERROR(TRIM(LEFT($C93,FIND("-",$C93)-1)),""))</f>
        <v/>
      </c>
      <c r="E93" s="27" t="n"/>
      <c r="F93" s="29" t="n"/>
      <c r="G93" s="30" t="n"/>
      <c r="H93" s="30" t="n"/>
      <c r="I93" s="31">
        <f>IF($B93="","",$H93-$G93)</f>
        <v/>
      </c>
      <c r="J93" s="32">
        <f>IF(OR($B93="",$G93=0,$G93=""),"",$I93/$G93)</f>
        <v/>
      </c>
      <c r="K93" s="33" t="n"/>
      <c r="L93" s="33" t="n"/>
      <c r="M93" s="33" t="n"/>
      <c r="N93" s="33" t="n"/>
      <c r="O93" s="33" t="n"/>
      <c r="P93" s="32">
        <f>IF(OR($L93="",$N93=""),"",$L93-$N93)</f>
        <v/>
      </c>
      <c r="Q93" s="28">
        <f>IF($B93="","",IF(N($H93)&gt;0,"Live","Exited"))</f>
        <v/>
      </c>
      <c r="R93" s="28">
        <f>IF($B93="","",IF($L93="","Data Pending",IF($L93&gt;=Instructions!$D$19,"Best Fund",IF($L93&gt;=Instructions!$D$20,"Need to Improve","Not Performing"))))</f>
        <v/>
      </c>
      <c r="S93" s="7">
        <f>IF($R93="","",IF($R93="Data Pending","Enter the 3Y return",IF($R93="Best Fund","Hold / consider top-up",IF($R93="Need to Improve","Watch 2 quarters, then decide","Review with client - switch or exit"))))</f>
        <v/>
      </c>
      <c r="T93" s="27" t="n"/>
      <c r="U93" s="7">
        <f>IF($R93&lt;&gt;"Best Fund","",COUNTIFS($R$6:$R$505,"Best Fund",$L$6:$L$505,"&gt;"&amp;$L93)+COUNTIFS($R$6:$R93,"Best Fund",$L$6:$L93,$L93))</f>
        <v/>
      </c>
      <c r="V93" s="7">
        <f>IF($R93&lt;&gt;"Need to Improve","",COUNTIFS($R$6:$R$505,"Need to Improve",$L$6:$L$505,"&lt;"&amp;$L93)+COUNTIFS($R$6:$R93,"Need to Improve",$L$6:$L93,$L93))</f>
        <v/>
      </c>
      <c r="W93" s="7">
        <f>IF($R93&lt;&gt;"Not Performing","",COUNTIFS($R$6:$R$505,"Not Performing",$L$6:$L$505,"&lt;"&amp;$L93)+COUNTIFS($R$6:$R93,"Not Performing",$L$6:$L93,$L93))</f>
        <v/>
      </c>
    </row>
    <row r="94" ht="15" customHeight="1">
      <c r="A94" s="27" t="n"/>
      <c r="B94" s="27" t="n"/>
      <c r="C94" s="27" t="n"/>
      <c r="D94" s="28">
        <f>IF($C94="","",IFERROR(TRIM(LEFT($C94,FIND("-",$C94)-1)),""))</f>
        <v/>
      </c>
      <c r="E94" s="27" t="n"/>
      <c r="F94" s="29" t="n"/>
      <c r="G94" s="30" t="n"/>
      <c r="H94" s="30" t="n"/>
      <c r="I94" s="31">
        <f>IF($B94="","",$H94-$G94)</f>
        <v/>
      </c>
      <c r="J94" s="32">
        <f>IF(OR($B94="",$G94=0,$G94=""),"",$I94/$G94)</f>
        <v/>
      </c>
      <c r="K94" s="33" t="n"/>
      <c r="L94" s="33" t="n"/>
      <c r="M94" s="33" t="n"/>
      <c r="N94" s="33" t="n"/>
      <c r="O94" s="33" t="n"/>
      <c r="P94" s="32">
        <f>IF(OR($L94="",$N94=""),"",$L94-$N94)</f>
        <v/>
      </c>
      <c r="Q94" s="28">
        <f>IF($B94="","",IF(N($H94)&gt;0,"Live","Exited"))</f>
        <v/>
      </c>
      <c r="R94" s="28">
        <f>IF($B94="","",IF($L94="","Data Pending",IF($L94&gt;=Instructions!$D$19,"Best Fund",IF($L94&gt;=Instructions!$D$20,"Need to Improve","Not Performing"))))</f>
        <v/>
      </c>
      <c r="S94" s="7">
        <f>IF($R94="","",IF($R94="Data Pending","Enter the 3Y return",IF($R94="Best Fund","Hold / consider top-up",IF($R94="Need to Improve","Watch 2 quarters, then decide","Review with client - switch or exit"))))</f>
        <v/>
      </c>
      <c r="T94" s="27" t="n"/>
      <c r="U94" s="7">
        <f>IF($R94&lt;&gt;"Best Fund","",COUNTIFS($R$6:$R$505,"Best Fund",$L$6:$L$505,"&gt;"&amp;$L94)+COUNTIFS($R$6:$R94,"Best Fund",$L$6:$L94,$L94))</f>
        <v/>
      </c>
      <c r="V94" s="7">
        <f>IF($R94&lt;&gt;"Need to Improve","",COUNTIFS($R$6:$R$505,"Need to Improve",$L$6:$L$505,"&lt;"&amp;$L94)+COUNTIFS($R$6:$R94,"Need to Improve",$L$6:$L94,$L94))</f>
        <v/>
      </c>
      <c r="W94" s="7">
        <f>IF($R94&lt;&gt;"Not Performing","",COUNTIFS($R$6:$R$505,"Not Performing",$L$6:$L$505,"&lt;"&amp;$L94)+COUNTIFS($R$6:$R94,"Not Performing",$L$6:$L94,$L94))</f>
        <v/>
      </c>
    </row>
    <row r="95" ht="15" customHeight="1">
      <c r="A95" s="27" t="n"/>
      <c r="B95" s="27" t="n"/>
      <c r="C95" s="27" t="n"/>
      <c r="D95" s="28">
        <f>IF($C95="","",IFERROR(TRIM(LEFT($C95,FIND("-",$C95)-1)),""))</f>
        <v/>
      </c>
      <c r="E95" s="27" t="n"/>
      <c r="F95" s="29" t="n"/>
      <c r="G95" s="30" t="n"/>
      <c r="H95" s="30" t="n"/>
      <c r="I95" s="31">
        <f>IF($B95="","",$H95-$G95)</f>
        <v/>
      </c>
      <c r="J95" s="32">
        <f>IF(OR($B95="",$G95=0,$G95=""),"",$I95/$G95)</f>
        <v/>
      </c>
      <c r="K95" s="33" t="n"/>
      <c r="L95" s="33" t="n"/>
      <c r="M95" s="33" t="n"/>
      <c r="N95" s="33" t="n"/>
      <c r="O95" s="33" t="n"/>
      <c r="P95" s="32">
        <f>IF(OR($L95="",$N95=""),"",$L95-$N95)</f>
        <v/>
      </c>
      <c r="Q95" s="28">
        <f>IF($B95="","",IF(N($H95)&gt;0,"Live","Exited"))</f>
        <v/>
      </c>
      <c r="R95" s="28">
        <f>IF($B95="","",IF($L95="","Data Pending",IF($L95&gt;=Instructions!$D$19,"Best Fund",IF($L95&gt;=Instructions!$D$20,"Need to Improve","Not Performing"))))</f>
        <v/>
      </c>
      <c r="S95" s="7">
        <f>IF($R95="","",IF($R95="Data Pending","Enter the 3Y return",IF($R95="Best Fund","Hold / consider top-up",IF($R95="Need to Improve","Watch 2 quarters, then decide","Review with client - switch or exit"))))</f>
        <v/>
      </c>
      <c r="T95" s="27" t="n"/>
      <c r="U95" s="7">
        <f>IF($R95&lt;&gt;"Best Fund","",COUNTIFS($R$6:$R$505,"Best Fund",$L$6:$L$505,"&gt;"&amp;$L95)+COUNTIFS($R$6:$R95,"Best Fund",$L$6:$L95,$L95))</f>
        <v/>
      </c>
      <c r="V95" s="7">
        <f>IF($R95&lt;&gt;"Need to Improve","",COUNTIFS($R$6:$R$505,"Need to Improve",$L$6:$L$505,"&lt;"&amp;$L95)+COUNTIFS($R$6:$R95,"Need to Improve",$L$6:$L95,$L95))</f>
        <v/>
      </c>
      <c r="W95" s="7">
        <f>IF($R95&lt;&gt;"Not Performing","",COUNTIFS($R$6:$R$505,"Not Performing",$L$6:$L$505,"&lt;"&amp;$L95)+COUNTIFS($R$6:$R95,"Not Performing",$L$6:$L95,$L95))</f>
        <v/>
      </c>
    </row>
    <row r="96" ht="15" customHeight="1">
      <c r="A96" s="27" t="n"/>
      <c r="B96" s="27" t="n"/>
      <c r="C96" s="27" t="n"/>
      <c r="D96" s="28">
        <f>IF($C96="","",IFERROR(TRIM(LEFT($C96,FIND("-",$C96)-1)),""))</f>
        <v/>
      </c>
      <c r="E96" s="27" t="n"/>
      <c r="F96" s="29" t="n"/>
      <c r="G96" s="30" t="n"/>
      <c r="H96" s="30" t="n"/>
      <c r="I96" s="31">
        <f>IF($B96="","",$H96-$G96)</f>
        <v/>
      </c>
      <c r="J96" s="32">
        <f>IF(OR($B96="",$G96=0,$G96=""),"",$I96/$G96)</f>
        <v/>
      </c>
      <c r="K96" s="33" t="n"/>
      <c r="L96" s="33" t="n"/>
      <c r="M96" s="33" t="n"/>
      <c r="N96" s="33" t="n"/>
      <c r="O96" s="33" t="n"/>
      <c r="P96" s="32">
        <f>IF(OR($L96="",$N96=""),"",$L96-$N96)</f>
        <v/>
      </c>
      <c r="Q96" s="28">
        <f>IF($B96="","",IF(N($H96)&gt;0,"Live","Exited"))</f>
        <v/>
      </c>
      <c r="R96" s="28">
        <f>IF($B96="","",IF($L96="","Data Pending",IF($L96&gt;=Instructions!$D$19,"Best Fund",IF($L96&gt;=Instructions!$D$20,"Need to Improve","Not Performing"))))</f>
        <v/>
      </c>
      <c r="S96" s="7">
        <f>IF($R96="","",IF($R96="Data Pending","Enter the 3Y return",IF($R96="Best Fund","Hold / consider top-up",IF($R96="Need to Improve","Watch 2 quarters, then decide","Review with client - switch or exit"))))</f>
        <v/>
      </c>
      <c r="T96" s="27" t="n"/>
      <c r="U96" s="7">
        <f>IF($R96&lt;&gt;"Best Fund","",COUNTIFS($R$6:$R$505,"Best Fund",$L$6:$L$505,"&gt;"&amp;$L96)+COUNTIFS($R$6:$R96,"Best Fund",$L$6:$L96,$L96))</f>
        <v/>
      </c>
      <c r="V96" s="7">
        <f>IF($R96&lt;&gt;"Need to Improve","",COUNTIFS($R$6:$R$505,"Need to Improve",$L$6:$L$505,"&lt;"&amp;$L96)+COUNTIFS($R$6:$R96,"Need to Improve",$L$6:$L96,$L96))</f>
        <v/>
      </c>
      <c r="W96" s="7">
        <f>IF($R96&lt;&gt;"Not Performing","",COUNTIFS($R$6:$R$505,"Not Performing",$L$6:$L$505,"&lt;"&amp;$L96)+COUNTIFS($R$6:$R96,"Not Performing",$L$6:$L96,$L96))</f>
        <v/>
      </c>
    </row>
    <row r="97" ht="15" customHeight="1">
      <c r="A97" s="27" t="n"/>
      <c r="B97" s="27" t="n"/>
      <c r="C97" s="27" t="n"/>
      <c r="D97" s="28">
        <f>IF($C97="","",IFERROR(TRIM(LEFT($C97,FIND("-",$C97)-1)),""))</f>
        <v/>
      </c>
      <c r="E97" s="27" t="n"/>
      <c r="F97" s="29" t="n"/>
      <c r="G97" s="30" t="n"/>
      <c r="H97" s="30" t="n"/>
      <c r="I97" s="31">
        <f>IF($B97="","",$H97-$G97)</f>
        <v/>
      </c>
      <c r="J97" s="32">
        <f>IF(OR($B97="",$G97=0,$G97=""),"",$I97/$G97)</f>
        <v/>
      </c>
      <c r="K97" s="33" t="n"/>
      <c r="L97" s="33" t="n"/>
      <c r="M97" s="33" t="n"/>
      <c r="N97" s="33" t="n"/>
      <c r="O97" s="33" t="n"/>
      <c r="P97" s="32">
        <f>IF(OR($L97="",$N97=""),"",$L97-$N97)</f>
        <v/>
      </c>
      <c r="Q97" s="28">
        <f>IF($B97="","",IF(N($H97)&gt;0,"Live","Exited"))</f>
        <v/>
      </c>
      <c r="R97" s="28">
        <f>IF($B97="","",IF($L97="","Data Pending",IF($L97&gt;=Instructions!$D$19,"Best Fund",IF($L97&gt;=Instructions!$D$20,"Need to Improve","Not Performing"))))</f>
        <v/>
      </c>
      <c r="S97" s="7">
        <f>IF($R97="","",IF($R97="Data Pending","Enter the 3Y return",IF($R97="Best Fund","Hold / consider top-up",IF($R97="Need to Improve","Watch 2 quarters, then decide","Review with client - switch or exit"))))</f>
        <v/>
      </c>
      <c r="T97" s="27" t="n"/>
      <c r="U97" s="7">
        <f>IF($R97&lt;&gt;"Best Fund","",COUNTIFS($R$6:$R$505,"Best Fund",$L$6:$L$505,"&gt;"&amp;$L97)+COUNTIFS($R$6:$R97,"Best Fund",$L$6:$L97,$L97))</f>
        <v/>
      </c>
      <c r="V97" s="7">
        <f>IF($R97&lt;&gt;"Need to Improve","",COUNTIFS($R$6:$R$505,"Need to Improve",$L$6:$L$505,"&lt;"&amp;$L97)+COUNTIFS($R$6:$R97,"Need to Improve",$L$6:$L97,$L97))</f>
        <v/>
      </c>
      <c r="W97" s="7">
        <f>IF($R97&lt;&gt;"Not Performing","",COUNTIFS($R$6:$R$505,"Not Performing",$L$6:$L$505,"&lt;"&amp;$L97)+COUNTIFS($R$6:$R97,"Not Performing",$L$6:$L97,$L97))</f>
        <v/>
      </c>
    </row>
    <row r="98" ht="15" customHeight="1">
      <c r="A98" s="27" t="n"/>
      <c r="B98" s="27" t="n"/>
      <c r="C98" s="27" t="n"/>
      <c r="D98" s="28">
        <f>IF($C98="","",IFERROR(TRIM(LEFT($C98,FIND("-",$C98)-1)),""))</f>
        <v/>
      </c>
      <c r="E98" s="27" t="n"/>
      <c r="F98" s="29" t="n"/>
      <c r="G98" s="30" t="n"/>
      <c r="H98" s="30" t="n"/>
      <c r="I98" s="31">
        <f>IF($B98="","",$H98-$G98)</f>
        <v/>
      </c>
      <c r="J98" s="32">
        <f>IF(OR($B98="",$G98=0,$G98=""),"",$I98/$G98)</f>
        <v/>
      </c>
      <c r="K98" s="33" t="n"/>
      <c r="L98" s="33" t="n"/>
      <c r="M98" s="33" t="n"/>
      <c r="N98" s="33" t="n"/>
      <c r="O98" s="33" t="n"/>
      <c r="P98" s="32">
        <f>IF(OR($L98="",$N98=""),"",$L98-$N98)</f>
        <v/>
      </c>
      <c r="Q98" s="28">
        <f>IF($B98="","",IF(N($H98)&gt;0,"Live","Exited"))</f>
        <v/>
      </c>
      <c r="R98" s="28">
        <f>IF($B98="","",IF($L98="","Data Pending",IF($L98&gt;=Instructions!$D$19,"Best Fund",IF($L98&gt;=Instructions!$D$20,"Need to Improve","Not Performing"))))</f>
        <v/>
      </c>
      <c r="S98" s="7">
        <f>IF($R98="","",IF($R98="Data Pending","Enter the 3Y return",IF($R98="Best Fund","Hold / consider top-up",IF($R98="Need to Improve","Watch 2 quarters, then decide","Review with client - switch or exit"))))</f>
        <v/>
      </c>
      <c r="T98" s="27" t="n"/>
      <c r="U98" s="7">
        <f>IF($R98&lt;&gt;"Best Fund","",COUNTIFS($R$6:$R$505,"Best Fund",$L$6:$L$505,"&gt;"&amp;$L98)+COUNTIFS($R$6:$R98,"Best Fund",$L$6:$L98,$L98))</f>
        <v/>
      </c>
      <c r="V98" s="7">
        <f>IF($R98&lt;&gt;"Need to Improve","",COUNTIFS($R$6:$R$505,"Need to Improve",$L$6:$L$505,"&lt;"&amp;$L98)+COUNTIFS($R$6:$R98,"Need to Improve",$L$6:$L98,$L98))</f>
        <v/>
      </c>
      <c r="W98" s="7">
        <f>IF($R98&lt;&gt;"Not Performing","",COUNTIFS($R$6:$R$505,"Not Performing",$L$6:$L$505,"&lt;"&amp;$L98)+COUNTIFS($R$6:$R98,"Not Performing",$L$6:$L98,$L98))</f>
        <v/>
      </c>
    </row>
    <row r="99" ht="15" customHeight="1">
      <c r="A99" s="27" t="n"/>
      <c r="B99" s="27" t="n"/>
      <c r="C99" s="27" t="n"/>
      <c r="D99" s="28">
        <f>IF($C99="","",IFERROR(TRIM(LEFT($C99,FIND("-",$C99)-1)),""))</f>
        <v/>
      </c>
      <c r="E99" s="27" t="n"/>
      <c r="F99" s="29" t="n"/>
      <c r="G99" s="30" t="n"/>
      <c r="H99" s="30" t="n"/>
      <c r="I99" s="31">
        <f>IF($B99="","",$H99-$G99)</f>
        <v/>
      </c>
      <c r="J99" s="32">
        <f>IF(OR($B99="",$G99=0,$G99=""),"",$I99/$G99)</f>
        <v/>
      </c>
      <c r="K99" s="33" t="n"/>
      <c r="L99" s="33" t="n"/>
      <c r="M99" s="33" t="n"/>
      <c r="N99" s="33" t="n"/>
      <c r="O99" s="33" t="n"/>
      <c r="P99" s="32">
        <f>IF(OR($L99="",$N99=""),"",$L99-$N99)</f>
        <v/>
      </c>
      <c r="Q99" s="28">
        <f>IF($B99="","",IF(N($H99)&gt;0,"Live","Exited"))</f>
        <v/>
      </c>
      <c r="R99" s="28">
        <f>IF($B99="","",IF($L99="","Data Pending",IF($L99&gt;=Instructions!$D$19,"Best Fund",IF($L99&gt;=Instructions!$D$20,"Need to Improve","Not Performing"))))</f>
        <v/>
      </c>
      <c r="S99" s="7">
        <f>IF($R99="","",IF($R99="Data Pending","Enter the 3Y return",IF($R99="Best Fund","Hold / consider top-up",IF($R99="Need to Improve","Watch 2 quarters, then decide","Review with client - switch or exit"))))</f>
        <v/>
      </c>
      <c r="T99" s="27" t="n"/>
      <c r="U99" s="7">
        <f>IF($R99&lt;&gt;"Best Fund","",COUNTIFS($R$6:$R$505,"Best Fund",$L$6:$L$505,"&gt;"&amp;$L99)+COUNTIFS($R$6:$R99,"Best Fund",$L$6:$L99,$L99))</f>
        <v/>
      </c>
      <c r="V99" s="7">
        <f>IF($R99&lt;&gt;"Need to Improve","",COUNTIFS($R$6:$R$505,"Need to Improve",$L$6:$L$505,"&lt;"&amp;$L99)+COUNTIFS($R$6:$R99,"Need to Improve",$L$6:$L99,$L99))</f>
        <v/>
      </c>
      <c r="W99" s="7">
        <f>IF($R99&lt;&gt;"Not Performing","",COUNTIFS($R$6:$R$505,"Not Performing",$L$6:$L$505,"&lt;"&amp;$L99)+COUNTIFS($R$6:$R99,"Not Performing",$L$6:$L99,$L99))</f>
        <v/>
      </c>
    </row>
    <row r="100" ht="15" customHeight="1">
      <c r="A100" s="27" t="n"/>
      <c r="B100" s="27" t="n"/>
      <c r="C100" s="27" t="n"/>
      <c r="D100" s="28">
        <f>IF($C100="","",IFERROR(TRIM(LEFT($C100,FIND("-",$C100)-1)),""))</f>
        <v/>
      </c>
      <c r="E100" s="27" t="n"/>
      <c r="F100" s="29" t="n"/>
      <c r="G100" s="30" t="n"/>
      <c r="H100" s="30" t="n"/>
      <c r="I100" s="31">
        <f>IF($B100="","",$H100-$G100)</f>
        <v/>
      </c>
      <c r="J100" s="32">
        <f>IF(OR($B100="",$G100=0,$G100=""),"",$I100/$G100)</f>
        <v/>
      </c>
      <c r="K100" s="33" t="n"/>
      <c r="L100" s="33" t="n"/>
      <c r="M100" s="33" t="n"/>
      <c r="N100" s="33" t="n"/>
      <c r="O100" s="33" t="n"/>
      <c r="P100" s="32">
        <f>IF(OR($L100="",$N100=""),"",$L100-$N100)</f>
        <v/>
      </c>
      <c r="Q100" s="28">
        <f>IF($B100="","",IF(N($H100)&gt;0,"Live","Exited"))</f>
        <v/>
      </c>
      <c r="R100" s="28">
        <f>IF($B100="","",IF($L100="","Data Pending",IF($L100&gt;=Instructions!$D$19,"Best Fund",IF($L100&gt;=Instructions!$D$20,"Need to Improve","Not Performing"))))</f>
        <v/>
      </c>
      <c r="S100" s="7">
        <f>IF($R100="","",IF($R100="Data Pending","Enter the 3Y return",IF($R100="Best Fund","Hold / consider top-up",IF($R100="Need to Improve","Watch 2 quarters, then decide","Review with client - switch or exit"))))</f>
        <v/>
      </c>
      <c r="T100" s="27" t="n"/>
      <c r="U100" s="7">
        <f>IF($R100&lt;&gt;"Best Fund","",COUNTIFS($R$6:$R$505,"Best Fund",$L$6:$L$505,"&gt;"&amp;$L100)+COUNTIFS($R$6:$R100,"Best Fund",$L$6:$L100,$L100))</f>
        <v/>
      </c>
      <c r="V100" s="7">
        <f>IF($R100&lt;&gt;"Need to Improve","",COUNTIFS($R$6:$R$505,"Need to Improve",$L$6:$L$505,"&lt;"&amp;$L100)+COUNTIFS($R$6:$R100,"Need to Improve",$L$6:$L100,$L100))</f>
        <v/>
      </c>
      <c r="W100" s="7">
        <f>IF($R100&lt;&gt;"Not Performing","",COUNTIFS($R$6:$R$505,"Not Performing",$L$6:$L$505,"&lt;"&amp;$L100)+COUNTIFS($R$6:$R100,"Not Performing",$L$6:$L100,$L100))</f>
        <v/>
      </c>
    </row>
    <row r="101" ht="15" customHeight="1">
      <c r="A101" s="27" t="n"/>
      <c r="B101" s="27" t="n"/>
      <c r="C101" s="27" t="n"/>
      <c r="D101" s="28">
        <f>IF($C101="","",IFERROR(TRIM(LEFT($C101,FIND("-",$C101)-1)),""))</f>
        <v/>
      </c>
      <c r="E101" s="27" t="n"/>
      <c r="F101" s="29" t="n"/>
      <c r="G101" s="30" t="n"/>
      <c r="H101" s="30" t="n"/>
      <c r="I101" s="31">
        <f>IF($B101="","",$H101-$G101)</f>
        <v/>
      </c>
      <c r="J101" s="32">
        <f>IF(OR($B101="",$G101=0,$G101=""),"",$I101/$G101)</f>
        <v/>
      </c>
      <c r="K101" s="33" t="n"/>
      <c r="L101" s="33" t="n"/>
      <c r="M101" s="33" t="n"/>
      <c r="N101" s="33" t="n"/>
      <c r="O101" s="33" t="n"/>
      <c r="P101" s="32">
        <f>IF(OR($L101="",$N101=""),"",$L101-$N101)</f>
        <v/>
      </c>
      <c r="Q101" s="28">
        <f>IF($B101="","",IF(N($H101)&gt;0,"Live","Exited"))</f>
        <v/>
      </c>
      <c r="R101" s="28">
        <f>IF($B101="","",IF($L101="","Data Pending",IF($L101&gt;=Instructions!$D$19,"Best Fund",IF($L101&gt;=Instructions!$D$20,"Need to Improve","Not Performing"))))</f>
        <v/>
      </c>
      <c r="S101" s="7">
        <f>IF($R101="","",IF($R101="Data Pending","Enter the 3Y return",IF($R101="Best Fund","Hold / consider top-up",IF($R101="Need to Improve","Watch 2 quarters, then decide","Review with client - switch or exit"))))</f>
        <v/>
      </c>
      <c r="T101" s="27" t="n"/>
      <c r="U101" s="7">
        <f>IF($R101&lt;&gt;"Best Fund","",COUNTIFS($R$6:$R$505,"Best Fund",$L$6:$L$505,"&gt;"&amp;$L101)+COUNTIFS($R$6:$R101,"Best Fund",$L$6:$L101,$L101))</f>
        <v/>
      </c>
      <c r="V101" s="7">
        <f>IF($R101&lt;&gt;"Need to Improve","",COUNTIFS($R$6:$R$505,"Need to Improve",$L$6:$L$505,"&lt;"&amp;$L101)+COUNTIFS($R$6:$R101,"Need to Improve",$L$6:$L101,$L101))</f>
        <v/>
      </c>
      <c r="W101" s="7">
        <f>IF($R101&lt;&gt;"Not Performing","",COUNTIFS($R$6:$R$505,"Not Performing",$L$6:$L$505,"&lt;"&amp;$L101)+COUNTIFS($R$6:$R101,"Not Performing",$L$6:$L101,$L101))</f>
        <v/>
      </c>
    </row>
    <row r="102" ht="15" customHeight="1">
      <c r="A102" s="27" t="n"/>
      <c r="B102" s="27" t="n"/>
      <c r="C102" s="27" t="n"/>
      <c r="D102" s="28">
        <f>IF($C102="","",IFERROR(TRIM(LEFT($C102,FIND("-",$C102)-1)),""))</f>
        <v/>
      </c>
      <c r="E102" s="27" t="n"/>
      <c r="F102" s="29" t="n"/>
      <c r="G102" s="30" t="n"/>
      <c r="H102" s="30" t="n"/>
      <c r="I102" s="31">
        <f>IF($B102="","",$H102-$G102)</f>
        <v/>
      </c>
      <c r="J102" s="32">
        <f>IF(OR($B102="",$G102=0,$G102=""),"",$I102/$G102)</f>
        <v/>
      </c>
      <c r="K102" s="33" t="n"/>
      <c r="L102" s="33" t="n"/>
      <c r="M102" s="33" t="n"/>
      <c r="N102" s="33" t="n"/>
      <c r="O102" s="33" t="n"/>
      <c r="P102" s="32">
        <f>IF(OR($L102="",$N102=""),"",$L102-$N102)</f>
        <v/>
      </c>
      <c r="Q102" s="28">
        <f>IF($B102="","",IF(N($H102)&gt;0,"Live","Exited"))</f>
        <v/>
      </c>
      <c r="R102" s="28">
        <f>IF($B102="","",IF($L102="","Data Pending",IF($L102&gt;=Instructions!$D$19,"Best Fund",IF($L102&gt;=Instructions!$D$20,"Need to Improve","Not Performing"))))</f>
        <v/>
      </c>
      <c r="S102" s="7">
        <f>IF($R102="","",IF($R102="Data Pending","Enter the 3Y return",IF($R102="Best Fund","Hold / consider top-up",IF($R102="Need to Improve","Watch 2 quarters, then decide","Review with client - switch or exit"))))</f>
        <v/>
      </c>
      <c r="T102" s="27" t="n"/>
      <c r="U102" s="7">
        <f>IF($R102&lt;&gt;"Best Fund","",COUNTIFS($R$6:$R$505,"Best Fund",$L$6:$L$505,"&gt;"&amp;$L102)+COUNTIFS($R$6:$R102,"Best Fund",$L$6:$L102,$L102))</f>
        <v/>
      </c>
      <c r="V102" s="7">
        <f>IF($R102&lt;&gt;"Need to Improve","",COUNTIFS($R$6:$R$505,"Need to Improve",$L$6:$L$505,"&lt;"&amp;$L102)+COUNTIFS($R$6:$R102,"Need to Improve",$L$6:$L102,$L102))</f>
        <v/>
      </c>
      <c r="W102" s="7">
        <f>IF($R102&lt;&gt;"Not Performing","",COUNTIFS($R$6:$R$505,"Not Performing",$L$6:$L$505,"&lt;"&amp;$L102)+COUNTIFS($R$6:$R102,"Not Performing",$L$6:$L102,$L102))</f>
        <v/>
      </c>
    </row>
    <row r="103" ht="15" customHeight="1">
      <c r="A103" s="27" t="n"/>
      <c r="B103" s="27" t="n"/>
      <c r="C103" s="27" t="n"/>
      <c r="D103" s="28">
        <f>IF($C103="","",IFERROR(TRIM(LEFT($C103,FIND("-",$C103)-1)),""))</f>
        <v/>
      </c>
      <c r="E103" s="27" t="n"/>
      <c r="F103" s="29" t="n"/>
      <c r="G103" s="30" t="n"/>
      <c r="H103" s="30" t="n"/>
      <c r="I103" s="31">
        <f>IF($B103="","",$H103-$G103)</f>
        <v/>
      </c>
      <c r="J103" s="32">
        <f>IF(OR($B103="",$G103=0,$G103=""),"",$I103/$G103)</f>
        <v/>
      </c>
      <c r="K103" s="33" t="n"/>
      <c r="L103" s="33" t="n"/>
      <c r="M103" s="33" t="n"/>
      <c r="N103" s="33" t="n"/>
      <c r="O103" s="33" t="n"/>
      <c r="P103" s="32">
        <f>IF(OR($L103="",$N103=""),"",$L103-$N103)</f>
        <v/>
      </c>
      <c r="Q103" s="28">
        <f>IF($B103="","",IF(N($H103)&gt;0,"Live","Exited"))</f>
        <v/>
      </c>
      <c r="R103" s="28">
        <f>IF($B103="","",IF($L103="","Data Pending",IF($L103&gt;=Instructions!$D$19,"Best Fund",IF($L103&gt;=Instructions!$D$20,"Need to Improve","Not Performing"))))</f>
        <v/>
      </c>
      <c r="S103" s="7">
        <f>IF($R103="","",IF($R103="Data Pending","Enter the 3Y return",IF($R103="Best Fund","Hold / consider top-up",IF($R103="Need to Improve","Watch 2 quarters, then decide","Review with client - switch or exit"))))</f>
        <v/>
      </c>
      <c r="T103" s="27" t="n"/>
      <c r="U103" s="7">
        <f>IF($R103&lt;&gt;"Best Fund","",COUNTIFS($R$6:$R$505,"Best Fund",$L$6:$L$505,"&gt;"&amp;$L103)+COUNTIFS($R$6:$R103,"Best Fund",$L$6:$L103,$L103))</f>
        <v/>
      </c>
      <c r="V103" s="7">
        <f>IF($R103&lt;&gt;"Need to Improve","",COUNTIFS($R$6:$R$505,"Need to Improve",$L$6:$L$505,"&lt;"&amp;$L103)+COUNTIFS($R$6:$R103,"Need to Improve",$L$6:$L103,$L103))</f>
        <v/>
      </c>
      <c r="W103" s="7">
        <f>IF($R103&lt;&gt;"Not Performing","",COUNTIFS($R$6:$R$505,"Not Performing",$L$6:$L$505,"&lt;"&amp;$L103)+COUNTIFS($R$6:$R103,"Not Performing",$L$6:$L103,$L103))</f>
        <v/>
      </c>
    </row>
    <row r="104" ht="15" customHeight="1">
      <c r="A104" s="27" t="n"/>
      <c r="B104" s="27" t="n"/>
      <c r="C104" s="27" t="n"/>
      <c r="D104" s="28">
        <f>IF($C104="","",IFERROR(TRIM(LEFT($C104,FIND("-",$C104)-1)),""))</f>
        <v/>
      </c>
      <c r="E104" s="27" t="n"/>
      <c r="F104" s="29" t="n"/>
      <c r="G104" s="30" t="n"/>
      <c r="H104" s="30" t="n"/>
      <c r="I104" s="31">
        <f>IF($B104="","",$H104-$G104)</f>
        <v/>
      </c>
      <c r="J104" s="32">
        <f>IF(OR($B104="",$G104=0,$G104=""),"",$I104/$G104)</f>
        <v/>
      </c>
      <c r="K104" s="33" t="n"/>
      <c r="L104" s="33" t="n"/>
      <c r="M104" s="33" t="n"/>
      <c r="N104" s="33" t="n"/>
      <c r="O104" s="33" t="n"/>
      <c r="P104" s="32">
        <f>IF(OR($L104="",$N104=""),"",$L104-$N104)</f>
        <v/>
      </c>
      <c r="Q104" s="28">
        <f>IF($B104="","",IF(N($H104)&gt;0,"Live","Exited"))</f>
        <v/>
      </c>
      <c r="R104" s="28">
        <f>IF($B104="","",IF($L104="","Data Pending",IF($L104&gt;=Instructions!$D$19,"Best Fund",IF($L104&gt;=Instructions!$D$20,"Need to Improve","Not Performing"))))</f>
        <v/>
      </c>
      <c r="S104" s="7">
        <f>IF($R104="","",IF($R104="Data Pending","Enter the 3Y return",IF($R104="Best Fund","Hold / consider top-up",IF($R104="Need to Improve","Watch 2 quarters, then decide","Review with client - switch or exit"))))</f>
        <v/>
      </c>
      <c r="T104" s="27" t="n"/>
      <c r="U104" s="7">
        <f>IF($R104&lt;&gt;"Best Fund","",COUNTIFS($R$6:$R$505,"Best Fund",$L$6:$L$505,"&gt;"&amp;$L104)+COUNTIFS($R$6:$R104,"Best Fund",$L$6:$L104,$L104))</f>
        <v/>
      </c>
      <c r="V104" s="7">
        <f>IF($R104&lt;&gt;"Need to Improve","",COUNTIFS($R$6:$R$505,"Need to Improve",$L$6:$L$505,"&lt;"&amp;$L104)+COUNTIFS($R$6:$R104,"Need to Improve",$L$6:$L104,$L104))</f>
        <v/>
      </c>
      <c r="W104" s="7">
        <f>IF($R104&lt;&gt;"Not Performing","",COUNTIFS($R$6:$R$505,"Not Performing",$L$6:$L$505,"&lt;"&amp;$L104)+COUNTIFS($R$6:$R104,"Not Performing",$L$6:$L104,$L104))</f>
        <v/>
      </c>
    </row>
    <row r="105" ht="15" customHeight="1">
      <c r="A105" s="27" t="n"/>
      <c r="B105" s="27" t="n"/>
      <c r="C105" s="27" t="n"/>
      <c r="D105" s="28">
        <f>IF($C105="","",IFERROR(TRIM(LEFT($C105,FIND("-",$C105)-1)),""))</f>
        <v/>
      </c>
      <c r="E105" s="27" t="n"/>
      <c r="F105" s="29" t="n"/>
      <c r="G105" s="30" t="n"/>
      <c r="H105" s="30" t="n"/>
      <c r="I105" s="31">
        <f>IF($B105="","",$H105-$G105)</f>
        <v/>
      </c>
      <c r="J105" s="32">
        <f>IF(OR($B105="",$G105=0,$G105=""),"",$I105/$G105)</f>
        <v/>
      </c>
      <c r="K105" s="33" t="n"/>
      <c r="L105" s="33" t="n"/>
      <c r="M105" s="33" t="n"/>
      <c r="N105" s="33" t="n"/>
      <c r="O105" s="33" t="n"/>
      <c r="P105" s="32">
        <f>IF(OR($L105="",$N105=""),"",$L105-$N105)</f>
        <v/>
      </c>
      <c r="Q105" s="28">
        <f>IF($B105="","",IF(N($H105)&gt;0,"Live","Exited"))</f>
        <v/>
      </c>
      <c r="R105" s="28">
        <f>IF($B105="","",IF($L105="","Data Pending",IF($L105&gt;=Instructions!$D$19,"Best Fund",IF($L105&gt;=Instructions!$D$20,"Need to Improve","Not Performing"))))</f>
        <v/>
      </c>
      <c r="S105" s="7">
        <f>IF($R105="","",IF($R105="Data Pending","Enter the 3Y return",IF($R105="Best Fund","Hold / consider top-up",IF($R105="Need to Improve","Watch 2 quarters, then decide","Review with client - switch or exit"))))</f>
        <v/>
      </c>
      <c r="T105" s="27" t="n"/>
      <c r="U105" s="7">
        <f>IF($R105&lt;&gt;"Best Fund","",COUNTIFS($R$6:$R$505,"Best Fund",$L$6:$L$505,"&gt;"&amp;$L105)+COUNTIFS($R$6:$R105,"Best Fund",$L$6:$L105,$L105))</f>
        <v/>
      </c>
      <c r="V105" s="7">
        <f>IF($R105&lt;&gt;"Need to Improve","",COUNTIFS($R$6:$R$505,"Need to Improve",$L$6:$L$505,"&lt;"&amp;$L105)+COUNTIFS($R$6:$R105,"Need to Improve",$L$6:$L105,$L105))</f>
        <v/>
      </c>
      <c r="W105" s="7">
        <f>IF($R105&lt;&gt;"Not Performing","",COUNTIFS($R$6:$R$505,"Not Performing",$L$6:$L$505,"&lt;"&amp;$L105)+COUNTIFS($R$6:$R105,"Not Performing",$L$6:$L105,$L105))</f>
        <v/>
      </c>
    </row>
    <row r="106" ht="15" customHeight="1">
      <c r="A106" s="27" t="n"/>
      <c r="B106" s="27" t="n"/>
      <c r="C106" s="27" t="n"/>
      <c r="D106" s="28">
        <f>IF($C106="","",IFERROR(TRIM(LEFT($C106,FIND("-",$C106)-1)),""))</f>
        <v/>
      </c>
      <c r="E106" s="27" t="n"/>
      <c r="F106" s="29" t="n"/>
      <c r="G106" s="30" t="n"/>
      <c r="H106" s="30" t="n"/>
      <c r="I106" s="31">
        <f>IF($B106="","",$H106-$G106)</f>
        <v/>
      </c>
      <c r="J106" s="32">
        <f>IF(OR($B106="",$G106=0,$G106=""),"",$I106/$G106)</f>
        <v/>
      </c>
      <c r="K106" s="33" t="n"/>
      <c r="L106" s="33" t="n"/>
      <c r="M106" s="33" t="n"/>
      <c r="N106" s="33" t="n"/>
      <c r="O106" s="33" t="n"/>
      <c r="P106" s="32">
        <f>IF(OR($L106="",$N106=""),"",$L106-$N106)</f>
        <v/>
      </c>
      <c r="Q106" s="28">
        <f>IF($B106="","",IF(N($H106)&gt;0,"Live","Exited"))</f>
        <v/>
      </c>
      <c r="R106" s="28">
        <f>IF($B106="","",IF($L106="","Data Pending",IF($L106&gt;=Instructions!$D$19,"Best Fund",IF($L106&gt;=Instructions!$D$20,"Need to Improve","Not Performing"))))</f>
        <v/>
      </c>
      <c r="S106" s="7">
        <f>IF($R106="","",IF($R106="Data Pending","Enter the 3Y return",IF($R106="Best Fund","Hold / consider top-up",IF($R106="Need to Improve","Watch 2 quarters, then decide","Review with client - switch or exit"))))</f>
        <v/>
      </c>
      <c r="T106" s="27" t="n"/>
      <c r="U106" s="7">
        <f>IF($R106&lt;&gt;"Best Fund","",COUNTIFS($R$6:$R$505,"Best Fund",$L$6:$L$505,"&gt;"&amp;$L106)+COUNTIFS($R$6:$R106,"Best Fund",$L$6:$L106,$L106))</f>
        <v/>
      </c>
      <c r="V106" s="7">
        <f>IF($R106&lt;&gt;"Need to Improve","",COUNTIFS($R$6:$R$505,"Need to Improve",$L$6:$L$505,"&lt;"&amp;$L106)+COUNTIFS($R$6:$R106,"Need to Improve",$L$6:$L106,$L106))</f>
        <v/>
      </c>
      <c r="W106" s="7">
        <f>IF($R106&lt;&gt;"Not Performing","",COUNTIFS($R$6:$R$505,"Not Performing",$L$6:$L$505,"&lt;"&amp;$L106)+COUNTIFS($R$6:$R106,"Not Performing",$L$6:$L106,$L106))</f>
        <v/>
      </c>
    </row>
    <row r="107" ht="15" customHeight="1">
      <c r="A107" s="27" t="n"/>
      <c r="B107" s="27" t="n"/>
      <c r="C107" s="27" t="n"/>
      <c r="D107" s="28">
        <f>IF($C107="","",IFERROR(TRIM(LEFT($C107,FIND("-",$C107)-1)),""))</f>
        <v/>
      </c>
      <c r="E107" s="27" t="n"/>
      <c r="F107" s="29" t="n"/>
      <c r="G107" s="30" t="n"/>
      <c r="H107" s="30" t="n"/>
      <c r="I107" s="31">
        <f>IF($B107="","",$H107-$G107)</f>
        <v/>
      </c>
      <c r="J107" s="32">
        <f>IF(OR($B107="",$G107=0,$G107=""),"",$I107/$G107)</f>
        <v/>
      </c>
      <c r="K107" s="33" t="n"/>
      <c r="L107" s="33" t="n"/>
      <c r="M107" s="33" t="n"/>
      <c r="N107" s="33" t="n"/>
      <c r="O107" s="33" t="n"/>
      <c r="P107" s="32">
        <f>IF(OR($L107="",$N107=""),"",$L107-$N107)</f>
        <v/>
      </c>
      <c r="Q107" s="28">
        <f>IF($B107="","",IF(N($H107)&gt;0,"Live","Exited"))</f>
        <v/>
      </c>
      <c r="R107" s="28">
        <f>IF($B107="","",IF($L107="","Data Pending",IF($L107&gt;=Instructions!$D$19,"Best Fund",IF($L107&gt;=Instructions!$D$20,"Need to Improve","Not Performing"))))</f>
        <v/>
      </c>
      <c r="S107" s="7">
        <f>IF($R107="","",IF($R107="Data Pending","Enter the 3Y return",IF($R107="Best Fund","Hold / consider top-up",IF($R107="Need to Improve","Watch 2 quarters, then decide","Review with client - switch or exit"))))</f>
        <v/>
      </c>
      <c r="T107" s="27" t="n"/>
      <c r="U107" s="7">
        <f>IF($R107&lt;&gt;"Best Fund","",COUNTIFS($R$6:$R$505,"Best Fund",$L$6:$L$505,"&gt;"&amp;$L107)+COUNTIFS($R$6:$R107,"Best Fund",$L$6:$L107,$L107))</f>
        <v/>
      </c>
      <c r="V107" s="7">
        <f>IF($R107&lt;&gt;"Need to Improve","",COUNTIFS($R$6:$R$505,"Need to Improve",$L$6:$L$505,"&lt;"&amp;$L107)+COUNTIFS($R$6:$R107,"Need to Improve",$L$6:$L107,$L107))</f>
        <v/>
      </c>
      <c r="W107" s="7">
        <f>IF($R107&lt;&gt;"Not Performing","",COUNTIFS($R$6:$R$505,"Not Performing",$L$6:$L$505,"&lt;"&amp;$L107)+COUNTIFS($R$6:$R107,"Not Performing",$L$6:$L107,$L107))</f>
        <v/>
      </c>
    </row>
    <row r="108" ht="15" customHeight="1">
      <c r="A108" s="27" t="n"/>
      <c r="B108" s="27" t="n"/>
      <c r="C108" s="27" t="n"/>
      <c r="D108" s="28">
        <f>IF($C108="","",IFERROR(TRIM(LEFT($C108,FIND("-",$C108)-1)),""))</f>
        <v/>
      </c>
      <c r="E108" s="27" t="n"/>
      <c r="F108" s="29" t="n"/>
      <c r="G108" s="30" t="n"/>
      <c r="H108" s="30" t="n"/>
      <c r="I108" s="31">
        <f>IF($B108="","",$H108-$G108)</f>
        <v/>
      </c>
      <c r="J108" s="32">
        <f>IF(OR($B108="",$G108=0,$G108=""),"",$I108/$G108)</f>
        <v/>
      </c>
      <c r="K108" s="33" t="n"/>
      <c r="L108" s="33" t="n"/>
      <c r="M108" s="33" t="n"/>
      <c r="N108" s="33" t="n"/>
      <c r="O108" s="33" t="n"/>
      <c r="P108" s="32">
        <f>IF(OR($L108="",$N108=""),"",$L108-$N108)</f>
        <v/>
      </c>
      <c r="Q108" s="28">
        <f>IF($B108="","",IF(N($H108)&gt;0,"Live","Exited"))</f>
        <v/>
      </c>
      <c r="R108" s="28">
        <f>IF($B108="","",IF($L108="","Data Pending",IF($L108&gt;=Instructions!$D$19,"Best Fund",IF($L108&gt;=Instructions!$D$20,"Need to Improve","Not Performing"))))</f>
        <v/>
      </c>
      <c r="S108" s="7">
        <f>IF($R108="","",IF($R108="Data Pending","Enter the 3Y return",IF($R108="Best Fund","Hold / consider top-up",IF($R108="Need to Improve","Watch 2 quarters, then decide","Review with client - switch or exit"))))</f>
        <v/>
      </c>
      <c r="T108" s="27" t="n"/>
      <c r="U108" s="7">
        <f>IF($R108&lt;&gt;"Best Fund","",COUNTIFS($R$6:$R$505,"Best Fund",$L$6:$L$505,"&gt;"&amp;$L108)+COUNTIFS($R$6:$R108,"Best Fund",$L$6:$L108,$L108))</f>
        <v/>
      </c>
      <c r="V108" s="7">
        <f>IF($R108&lt;&gt;"Need to Improve","",COUNTIFS($R$6:$R$505,"Need to Improve",$L$6:$L$505,"&lt;"&amp;$L108)+COUNTIFS($R$6:$R108,"Need to Improve",$L$6:$L108,$L108))</f>
        <v/>
      </c>
      <c r="W108" s="7">
        <f>IF($R108&lt;&gt;"Not Performing","",COUNTIFS($R$6:$R$505,"Not Performing",$L$6:$L$505,"&lt;"&amp;$L108)+COUNTIFS($R$6:$R108,"Not Performing",$L$6:$L108,$L108))</f>
        <v/>
      </c>
    </row>
    <row r="109" ht="15" customHeight="1">
      <c r="A109" s="27" t="n"/>
      <c r="B109" s="27" t="n"/>
      <c r="C109" s="27" t="n"/>
      <c r="D109" s="28">
        <f>IF($C109="","",IFERROR(TRIM(LEFT($C109,FIND("-",$C109)-1)),""))</f>
        <v/>
      </c>
      <c r="E109" s="27" t="n"/>
      <c r="F109" s="29" t="n"/>
      <c r="G109" s="30" t="n"/>
      <c r="H109" s="30" t="n"/>
      <c r="I109" s="31">
        <f>IF($B109="","",$H109-$G109)</f>
        <v/>
      </c>
      <c r="J109" s="32">
        <f>IF(OR($B109="",$G109=0,$G109=""),"",$I109/$G109)</f>
        <v/>
      </c>
      <c r="K109" s="33" t="n"/>
      <c r="L109" s="33" t="n"/>
      <c r="M109" s="33" t="n"/>
      <c r="N109" s="33" t="n"/>
      <c r="O109" s="33" t="n"/>
      <c r="P109" s="32">
        <f>IF(OR($L109="",$N109=""),"",$L109-$N109)</f>
        <v/>
      </c>
      <c r="Q109" s="28">
        <f>IF($B109="","",IF(N($H109)&gt;0,"Live","Exited"))</f>
        <v/>
      </c>
      <c r="R109" s="28">
        <f>IF($B109="","",IF($L109="","Data Pending",IF($L109&gt;=Instructions!$D$19,"Best Fund",IF($L109&gt;=Instructions!$D$20,"Need to Improve","Not Performing"))))</f>
        <v/>
      </c>
      <c r="S109" s="7">
        <f>IF($R109="","",IF($R109="Data Pending","Enter the 3Y return",IF($R109="Best Fund","Hold / consider top-up",IF($R109="Need to Improve","Watch 2 quarters, then decide","Review with client - switch or exit"))))</f>
        <v/>
      </c>
      <c r="T109" s="27" t="n"/>
      <c r="U109" s="7">
        <f>IF($R109&lt;&gt;"Best Fund","",COUNTIFS($R$6:$R$505,"Best Fund",$L$6:$L$505,"&gt;"&amp;$L109)+COUNTIFS($R$6:$R109,"Best Fund",$L$6:$L109,$L109))</f>
        <v/>
      </c>
      <c r="V109" s="7">
        <f>IF($R109&lt;&gt;"Need to Improve","",COUNTIFS($R$6:$R$505,"Need to Improve",$L$6:$L$505,"&lt;"&amp;$L109)+COUNTIFS($R$6:$R109,"Need to Improve",$L$6:$L109,$L109))</f>
        <v/>
      </c>
      <c r="W109" s="7">
        <f>IF($R109&lt;&gt;"Not Performing","",COUNTIFS($R$6:$R$505,"Not Performing",$L$6:$L$505,"&lt;"&amp;$L109)+COUNTIFS($R$6:$R109,"Not Performing",$L$6:$L109,$L109))</f>
        <v/>
      </c>
    </row>
    <row r="110" ht="15" customHeight="1">
      <c r="A110" s="27" t="n"/>
      <c r="B110" s="27" t="n"/>
      <c r="C110" s="27" t="n"/>
      <c r="D110" s="28">
        <f>IF($C110="","",IFERROR(TRIM(LEFT($C110,FIND("-",$C110)-1)),""))</f>
        <v/>
      </c>
      <c r="E110" s="27" t="n"/>
      <c r="F110" s="29" t="n"/>
      <c r="G110" s="30" t="n"/>
      <c r="H110" s="30" t="n"/>
      <c r="I110" s="31">
        <f>IF($B110="","",$H110-$G110)</f>
        <v/>
      </c>
      <c r="J110" s="32">
        <f>IF(OR($B110="",$G110=0,$G110=""),"",$I110/$G110)</f>
        <v/>
      </c>
      <c r="K110" s="33" t="n"/>
      <c r="L110" s="33" t="n"/>
      <c r="M110" s="33" t="n"/>
      <c r="N110" s="33" t="n"/>
      <c r="O110" s="33" t="n"/>
      <c r="P110" s="32">
        <f>IF(OR($L110="",$N110=""),"",$L110-$N110)</f>
        <v/>
      </c>
      <c r="Q110" s="28">
        <f>IF($B110="","",IF(N($H110)&gt;0,"Live","Exited"))</f>
        <v/>
      </c>
      <c r="R110" s="28">
        <f>IF($B110="","",IF($L110="","Data Pending",IF($L110&gt;=Instructions!$D$19,"Best Fund",IF($L110&gt;=Instructions!$D$20,"Need to Improve","Not Performing"))))</f>
        <v/>
      </c>
      <c r="S110" s="7">
        <f>IF($R110="","",IF($R110="Data Pending","Enter the 3Y return",IF($R110="Best Fund","Hold / consider top-up",IF($R110="Need to Improve","Watch 2 quarters, then decide","Review with client - switch or exit"))))</f>
        <v/>
      </c>
      <c r="T110" s="27" t="n"/>
      <c r="U110" s="7">
        <f>IF($R110&lt;&gt;"Best Fund","",COUNTIFS($R$6:$R$505,"Best Fund",$L$6:$L$505,"&gt;"&amp;$L110)+COUNTIFS($R$6:$R110,"Best Fund",$L$6:$L110,$L110))</f>
        <v/>
      </c>
      <c r="V110" s="7">
        <f>IF($R110&lt;&gt;"Need to Improve","",COUNTIFS($R$6:$R$505,"Need to Improve",$L$6:$L$505,"&lt;"&amp;$L110)+COUNTIFS($R$6:$R110,"Need to Improve",$L$6:$L110,$L110))</f>
        <v/>
      </c>
      <c r="W110" s="7">
        <f>IF($R110&lt;&gt;"Not Performing","",COUNTIFS($R$6:$R$505,"Not Performing",$L$6:$L$505,"&lt;"&amp;$L110)+COUNTIFS($R$6:$R110,"Not Performing",$L$6:$L110,$L110))</f>
        <v/>
      </c>
    </row>
    <row r="111" ht="15" customHeight="1">
      <c r="A111" s="27" t="n"/>
      <c r="B111" s="27" t="n"/>
      <c r="C111" s="27" t="n"/>
      <c r="D111" s="28">
        <f>IF($C111="","",IFERROR(TRIM(LEFT($C111,FIND("-",$C111)-1)),""))</f>
        <v/>
      </c>
      <c r="E111" s="27" t="n"/>
      <c r="F111" s="29" t="n"/>
      <c r="G111" s="30" t="n"/>
      <c r="H111" s="30" t="n"/>
      <c r="I111" s="31">
        <f>IF($B111="","",$H111-$G111)</f>
        <v/>
      </c>
      <c r="J111" s="32">
        <f>IF(OR($B111="",$G111=0,$G111=""),"",$I111/$G111)</f>
        <v/>
      </c>
      <c r="K111" s="33" t="n"/>
      <c r="L111" s="33" t="n"/>
      <c r="M111" s="33" t="n"/>
      <c r="N111" s="33" t="n"/>
      <c r="O111" s="33" t="n"/>
      <c r="P111" s="32">
        <f>IF(OR($L111="",$N111=""),"",$L111-$N111)</f>
        <v/>
      </c>
      <c r="Q111" s="28">
        <f>IF($B111="","",IF(N($H111)&gt;0,"Live","Exited"))</f>
        <v/>
      </c>
      <c r="R111" s="28">
        <f>IF($B111="","",IF($L111="","Data Pending",IF($L111&gt;=Instructions!$D$19,"Best Fund",IF($L111&gt;=Instructions!$D$20,"Need to Improve","Not Performing"))))</f>
        <v/>
      </c>
      <c r="S111" s="7">
        <f>IF($R111="","",IF($R111="Data Pending","Enter the 3Y return",IF($R111="Best Fund","Hold / consider top-up",IF($R111="Need to Improve","Watch 2 quarters, then decide","Review with client - switch or exit"))))</f>
        <v/>
      </c>
      <c r="T111" s="27" t="n"/>
      <c r="U111" s="7">
        <f>IF($R111&lt;&gt;"Best Fund","",COUNTIFS($R$6:$R$505,"Best Fund",$L$6:$L$505,"&gt;"&amp;$L111)+COUNTIFS($R$6:$R111,"Best Fund",$L$6:$L111,$L111))</f>
        <v/>
      </c>
      <c r="V111" s="7">
        <f>IF($R111&lt;&gt;"Need to Improve","",COUNTIFS($R$6:$R$505,"Need to Improve",$L$6:$L$505,"&lt;"&amp;$L111)+COUNTIFS($R$6:$R111,"Need to Improve",$L$6:$L111,$L111))</f>
        <v/>
      </c>
      <c r="W111" s="7">
        <f>IF($R111&lt;&gt;"Not Performing","",COUNTIFS($R$6:$R$505,"Not Performing",$L$6:$L$505,"&lt;"&amp;$L111)+COUNTIFS($R$6:$R111,"Not Performing",$L$6:$L111,$L111))</f>
        <v/>
      </c>
    </row>
    <row r="112" ht="15" customHeight="1">
      <c r="A112" s="27" t="n"/>
      <c r="B112" s="27" t="n"/>
      <c r="C112" s="27" t="n"/>
      <c r="D112" s="28">
        <f>IF($C112="","",IFERROR(TRIM(LEFT($C112,FIND("-",$C112)-1)),""))</f>
        <v/>
      </c>
      <c r="E112" s="27" t="n"/>
      <c r="F112" s="29" t="n"/>
      <c r="G112" s="30" t="n"/>
      <c r="H112" s="30" t="n"/>
      <c r="I112" s="31">
        <f>IF($B112="","",$H112-$G112)</f>
        <v/>
      </c>
      <c r="J112" s="32">
        <f>IF(OR($B112="",$G112=0,$G112=""),"",$I112/$G112)</f>
        <v/>
      </c>
      <c r="K112" s="33" t="n"/>
      <c r="L112" s="33" t="n"/>
      <c r="M112" s="33" t="n"/>
      <c r="N112" s="33" t="n"/>
      <c r="O112" s="33" t="n"/>
      <c r="P112" s="32">
        <f>IF(OR($L112="",$N112=""),"",$L112-$N112)</f>
        <v/>
      </c>
      <c r="Q112" s="28">
        <f>IF($B112="","",IF(N($H112)&gt;0,"Live","Exited"))</f>
        <v/>
      </c>
      <c r="R112" s="28">
        <f>IF($B112="","",IF($L112="","Data Pending",IF($L112&gt;=Instructions!$D$19,"Best Fund",IF($L112&gt;=Instructions!$D$20,"Need to Improve","Not Performing"))))</f>
        <v/>
      </c>
      <c r="S112" s="7">
        <f>IF($R112="","",IF($R112="Data Pending","Enter the 3Y return",IF($R112="Best Fund","Hold / consider top-up",IF($R112="Need to Improve","Watch 2 quarters, then decide","Review with client - switch or exit"))))</f>
        <v/>
      </c>
      <c r="T112" s="27" t="n"/>
      <c r="U112" s="7">
        <f>IF($R112&lt;&gt;"Best Fund","",COUNTIFS($R$6:$R$505,"Best Fund",$L$6:$L$505,"&gt;"&amp;$L112)+COUNTIFS($R$6:$R112,"Best Fund",$L$6:$L112,$L112))</f>
        <v/>
      </c>
      <c r="V112" s="7">
        <f>IF($R112&lt;&gt;"Need to Improve","",COUNTIFS($R$6:$R$505,"Need to Improve",$L$6:$L$505,"&lt;"&amp;$L112)+COUNTIFS($R$6:$R112,"Need to Improve",$L$6:$L112,$L112))</f>
        <v/>
      </c>
      <c r="W112" s="7">
        <f>IF($R112&lt;&gt;"Not Performing","",COUNTIFS($R$6:$R$505,"Not Performing",$L$6:$L$505,"&lt;"&amp;$L112)+COUNTIFS($R$6:$R112,"Not Performing",$L$6:$L112,$L112))</f>
        <v/>
      </c>
    </row>
    <row r="113" ht="15" customHeight="1">
      <c r="A113" s="27" t="n"/>
      <c r="B113" s="27" t="n"/>
      <c r="C113" s="27" t="n"/>
      <c r="D113" s="28">
        <f>IF($C113="","",IFERROR(TRIM(LEFT($C113,FIND("-",$C113)-1)),""))</f>
        <v/>
      </c>
      <c r="E113" s="27" t="n"/>
      <c r="F113" s="29" t="n"/>
      <c r="G113" s="30" t="n"/>
      <c r="H113" s="30" t="n"/>
      <c r="I113" s="31">
        <f>IF($B113="","",$H113-$G113)</f>
        <v/>
      </c>
      <c r="J113" s="32">
        <f>IF(OR($B113="",$G113=0,$G113=""),"",$I113/$G113)</f>
        <v/>
      </c>
      <c r="K113" s="33" t="n"/>
      <c r="L113" s="33" t="n"/>
      <c r="M113" s="33" t="n"/>
      <c r="N113" s="33" t="n"/>
      <c r="O113" s="33" t="n"/>
      <c r="P113" s="32">
        <f>IF(OR($L113="",$N113=""),"",$L113-$N113)</f>
        <v/>
      </c>
      <c r="Q113" s="28">
        <f>IF($B113="","",IF(N($H113)&gt;0,"Live","Exited"))</f>
        <v/>
      </c>
      <c r="R113" s="28">
        <f>IF($B113="","",IF($L113="","Data Pending",IF($L113&gt;=Instructions!$D$19,"Best Fund",IF($L113&gt;=Instructions!$D$20,"Need to Improve","Not Performing"))))</f>
        <v/>
      </c>
      <c r="S113" s="7">
        <f>IF($R113="","",IF($R113="Data Pending","Enter the 3Y return",IF($R113="Best Fund","Hold / consider top-up",IF($R113="Need to Improve","Watch 2 quarters, then decide","Review with client - switch or exit"))))</f>
        <v/>
      </c>
      <c r="T113" s="27" t="n"/>
      <c r="U113" s="7">
        <f>IF($R113&lt;&gt;"Best Fund","",COUNTIFS($R$6:$R$505,"Best Fund",$L$6:$L$505,"&gt;"&amp;$L113)+COUNTIFS($R$6:$R113,"Best Fund",$L$6:$L113,$L113))</f>
        <v/>
      </c>
      <c r="V113" s="7">
        <f>IF($R113&lt;&gt;"Need to Improve","",COUNTIFS($R$6:$R$505,"Need to Improve",$L$6:$L$505,"&lt;"&amp;$L113)+COUNTIFS($R$6:$R113,"Need to Improve",$L$6:$L113,$L113))</f>
        <v/>
      </c>
      <c r="W113" s="7">
        <f>IF($R113&lt;&gt;"Not Performing","",COUNTIFS($R$6:$R$505,"Not Performing",$L$6:$L$505,"&lt;"&amp;$L113)+COUNTIFS($R$6:$R113,"Not Performing",$L$6:$L113,$L113))</f>
        <v/>
      </c>
    </row>
    <row r="114" ht="15" customHeight="1">
      <c r="A114" s="27" t="n"/>
      <c r="B114" s="27" t="n"/>
      <c r="C114" s="27" t="n"/>
      <c r="D114" s="28">
        <f>IF($C114="","",IFERROR(TRIM(LEFT($C114,FIND("-",$C114)-1)),""))</f>
        <v/>
      </c>
      <c r="E114" s="27" t="n"/>
      <c r="F114" s="29" t="n"/>
      <c r="G114" s="30" t="n"/>
      <c r="H114" s="30" t="n"/>
      <c r="I114" s="31">
        <f>IF($B114="","",$H114-$G114)</f>
        <v/>
      </c>
      <c r="J114" s="32">
        <f>IF(OR($B114="",$G114=0,$G114=""),"",$I114/$G114)</f>
        <v/>
      </c>
      <c r="K114" s="33" t="n"/>
      <c r="L114" s="33" t="n"/>
      <c r="M114" s="33" t="n"/>
      <c r="N114" s="33" t="n"/>
      <c r="O114" s="33" t="n"/>
      <c r="P114" s="32">
        <f>IF(OR($L114="",$N114=""),"",$L114-$N114)</f>
        <v/>
      </c>
      <c r="Q114" s="28">
        <f>IF($B114="","",IF(N($H114)&gt;0,"Live","Exited"))</f>
        <v/>
      </c>
      <c r="R114" s="28">
        <f>IF($B114="","",IF($L114="","Data Pending",IF($L114&gt;=Instructions!$D$19,"Best Fund",IF($L114&gt;=Instructions!$D$20,"Need to Improve","Not Performing"))))</f>
        <v/>
      </c>
      <c r="S114" s="7">
        <f>IF($R114="","",IF($R114="Data Pending","Enter the 3Y return",IF($R114="Best Fund","Hold / consider top-up",IF($R114="Need to Improve","Watch 2 quarters, then decide","Review with client - switch or exit"))))</f>
        <v/>
      </c>
      <c r="T114" s="27" t="n"/>
      <c r="U114" s="7">
        <f>IF($R114&lt;&gt;"Best Fund","",COUNTIFS($R$6:$R$505,"Best Fund",$L$6:$L$505,"&gt;"&amp;$L114)+COUNTIFS($R$6:$R114,"Best Fund",$L$6:$L114,$L114))</f>
        <v/>
      </c>
      <c r="V114" s="7">
        <f>IF($R114&lt;&gt;"Need to Improve","",COUNTIFS($R$6:$R$505,"Need to Improve",$L$6:$L$505,"&lt;"&amp;$L114)+COUNTIFS($R$6:$R114,"Need to Improve",$L$6:$L114,$L114))</f>
        <v/>
      </c>
      <c r="W114" s="7">
        <f>IF($R114&lt;&gt;"Not Performing","",COUNTIFS($R$6:$R$505,"Not Performing",$L$6:$L$505,"&lt;"&amp;$L114)+COUNTIFS($R$6:$R114,"Not Performing",$L$6:$L114,$L114))</f>
        <v/>
      </c>
    </row>
    <row r="115" ht="15" customHeight="1">
      <c r="A115" s="27" t="n"/>
      <c r="B115" s="27" t="n"/>
      <c r="C115" s="27" t="n"/>
      <c r="D115" s="28">
        <f>IF($C115="","",IFERROR(TRIM(LEFT($C115,FIND("-",$C115)-1)),""))</f>
        <v/>
      </c>
      <c r="E115" s="27" t="n"/>
      <c r="F115" s="29" t="n"/>
      <c r="G115" s="30" t="n"/>
      <c r="H115" s="30" t="n"/>
      <c r="I115" s="31">
        <f>IF($B115="","",$H115-$G115)</f>
        <v/>
      </c>
      <c r="J115" s="32">
        <f>IF(OR($B115="",$G115=0,$G115=""),"",$I115/$G115)</f>
        <v/>
      </c>
      <c r="K115" s="33" t="n"/>
      <c r="L115" s="33" t="n"/>
      <c r="M115" s="33" t="n"/>
      <c r="N115" s="33" t="n"/>
      <c r="O115" s="33" t="n"/>
      <c r="P115" s="32">
        <f>IF(OR($L115="",$N115=""),"",$L115-$N115)</f>
        <v/>
      </c>
      <c r="Q115" s="28">
        <f>IF($B115="","",IF(N($H115)&gt;0,"Live","Exited"))</f>
        <v/>
      </c>
      <c r="R115" s="28">
        <f>IF($B115="","",IF($L115="","Data Pending",IF($L115&gt;=Instructions!$D$19,"Best Fund",IF($L115&gt;=Instructions!$D$20,"Need to Improve","Not Performing"))))</f>
        <v/>
      </c>
      <c r="S115" s="7">
        <f>IF($R115="","",IF($R115="Data Pending","Enter the 3Y return",IF($R115="Best Fund","Hold / consider top-up",IF($R115="Need to Improve","Watch 2 quarters, then decide","Review with client - switch or exit"))))</f>
        <v/>
      </c>
      <c r="T115" s="27" t="n"/>
      <c r="U115" s="7">
        <f>IF($R115&lt;&gt;"Best Fund","",COUNTIFS($R$6:$R$505,"Best Fund",$L$6:$L$505,"&gt;"&amp;$L115)+COUNTIFS($R$6:$R115,"Best Fund",$L$6:$L115,$L115))</f>
        <v/>
      </c>
      <c r="V115" s="7">
        <f>IF($R115&lt;&gt;"Need to Improve","",COUNTIFS($R$6:$R$505,"Need to Improve",$L$6:$L$505,"&lt;"&amp;$L115)+COUNTIFS($R$6:$R115,"Need to Improve",$L$6:$L115,$L115))</f>
        <v/>
      </c>
      <c r="W115" s="7">
        <f>IF($R115&lt;&gt;"Not Performing","",COUNTIFS($R$6:$R$505,"Not Performing",$L$6:$L$505,"&lt;"&amp;$L115)+COUNTIFS($R$6:$R115,"Not Performing",$L$6:$L115,$L115))</f>
        <v/>
      </c>
    </row>
    <row r="116" ht="15" customHeight="1">
      <c r="A116" s="27" t="n"/>
      <c r="B116" s="27" t="n"/>
      <c r="C116" s="27" t="n"/>
      <c r="D116" s="28">
        <f>IF($C116="","",IFERROR(TRIM(LEFT($C116,FIND("-",$C116)-1)),""))</f>
        <v/>
      </c>
      <c r="E116" s="27" t="n"/>
      <c r="F116" s="29" t="n"/>
      <c r="G116" s="30" t="n"/>
      <c r="H116" s="30" t="n"/>
      <c r="I116" s="31">
        <f>IF($B116="","",$H116-$G116)</f>
        <v/>
      </c>
      <c r="J116" s="32">
        <f>IF(OR($B116="",$G116=0,$G116=""),"",$I116/$G116)</f>
        <v/>
      </c>
      <c r="K116" s="33" t="n"/>
      <c r="L116" s="33" t="n"/>
      <c r="M116" s="33" t="n"/>
      <c r="N116" s="33" t="n"/>
      <c r="O116" s="33" t="n"/>
      <c r="P116" s="32">
        <f>IF(OR($L116="",$N116=""),"",$L116-$N116)</f>
        <v/>
      </c>
      <c r="Q116" s="28">
        <f>IF($B116="","",IF(N($H116)&gt;0,"Live","Exited"))</f>
        <v/>
      </c>
      <c r="R116" s="28">
        <f>IF($B116="","",IF($L116="","Data Pending",IF($L116&gt;=Instructions!$D$19,"Best Fund",IF($L116&gt;=Instructions!$D$20,"Need to Improve","Not Performing"))))</f>
        <v/>
      </c>
      <c r="S116" s="7">
        <f>IF($R116="","",IF($R116="Data Pending","Enter the 3Y return",IF($R116="Best Fund","Hold / consider top-up",IF($R116="Need to Improve","Watch 2 quarters, then decide","Review with client - switch or exit"))))</f>
        <v/>
      </c>
      <c r="T116" s="27" t="n"/>
      <c r="U116" s="7">
        <f>IF($R116&lt;&gt;"Best Fund","",COUNTIFS($R$6:$R$505,"Best Fund",$L$6:$L$505,"&gt;"&amp;$L116)+COUNTIFS($R$6:$R116,"Best Fund",$L$6:$L116,$L116))</f>
        <v/>
      </c>
      <c r="V116" s="7">
        <f>IF($R116&lt;&gt;"Need to Improve","",COUNTIFS($R$6:$R$505,"Need to Improve",$L$6:$L$505,"&lt;"&amp;$L116)+COUNTIFS($R$6:$R116,"Need to Improve",$L$6:$L116,$L116))</f>
        <v/>
      </c>
      <c r="W116" s="7">
        <f>IF($R116&lt;&gt;"Not Performing","",COUNTIFS($R$6:$R$505,"Not Performing",$L$6:$L$505,"&lt;"&amp;$L116)+COUNTIFS($R$6:$R116,"Not Performing",$L$6:$L116,$L116))</f>
        <v/>
      </c>
    </row>
    <row r="117" ht="15" customHeight="1">
      <c r="A117" s="27" t="n"/>
      <c r="B117" s="27" t="n"/>
      <c r="C117" s="27" t="n"/>
      <c r="D117" s="28">
        <f>IF($C117="","",IFERROR(TRIM(LEFT($C117,FIND("-",$C117)-1)),""))</f>
        <v/>
      </c>
      <c r="E117" s="27" t="n"/>
      <c r="F117" s="29" t="n"/>
      <c r="G117" s="30" t="n"/>
      <c r="H117" s="30" t="n"/>
      <c r="I117" s="31">
        <f>IF($B117="","",$H117-$G117)</f>
        <v/>
      </c>
      <c r="J117" s="32">
        <f>IF(OR($B117="",$G117=0,$G117=""),"",$I117/$G117)</f>
        <v/>
      </c>
      <c r="K117" s="33" t="n"/>
      <c r="L117" s="33" t="n"/>
      <c r="M117" s="33" t="n"/>
      <c r="N117" s="33" t="n"/>
      <c r="O117" s="33" t="n"/>
      <c r="P117" s="32">
        <f>IF(OR($L117="",$N117=""),"",$L117-$N117)</f>
        <v/>
      </c>
      <c r="Q117" s="28">
        <f>IF($B117="","",IF(N($H117)&gt;0,"Live","Exited"))</f>
        <v/>
      </c>
      <c r="R117" s="28">
        <f>IF($B117="","",IF($L117="","Data Pending",IF($L117&gt;=Instructions!$D$19,"Best Fund",IF($L117&gt;=Instructions!$D$20,"Need to Improve","Not Performing"))))</f>
        <v/>
      </c>
      <c r="S117" s="7">
        <f>IF($R117="","",IF($R117="Data Pending","Enter the 3Y return",IF($R117="Best Fund","Hold / consider top-up",IF($R117="Need to Improve","Watch 2 quarters, then decide","Review with client - switch or exit"))))</f>
        <v/>
      </c>
      <c r="T117" s="27" t="n"/>
      <c r="U117" s="7">
        <f>IF($R117&lt;&gt;"Best Fund","",COUNTIFS($R$6:$R$505,"Best Fund",$L$6:$L$505,"&gt;"&amp;$L117)+COUNTIFS($R$6:$R117,"Best Fund",$L$6:$L117,$L117))</f>
        <v/>
      </c>
      <c r="V117" s="7">
        <f>IF($R117&lt;&gt;"Need to Improve","",COUNTIFS($R$6:$R$505,"Need to Improve",$L$6:$L$505,"&lt;"&amp;$L117)+COUNTIFS($R$6:$R117,"Need to Improve",$L$6:$L117,$L117))</f>
        <v/>
      </c>
      <c r="W117" s="7">
        <f>IF($R117&lt;&gt;"Not Performing","",COUNTIFS($R$6:$R$505,"Not Performing",$L$6:$L$505,"&lt;"&amp;$L117)+COUNTIFS($R$6:$R117,"Not Performing",$L$6:$L117,$L117))</f>
        <v/>
      </c>
    </row>
    <row r="118" ht="15" customHeight="1">
      <c r="A118" s="27" t="n"/>
      <c r="B118" s="27" t="n"/>
      <c r="C118" s="27" t="n"/>
      <c r="D118" s="28">
        <f>IF($C118="","",IFERROR(TRIM(LEFT($C118,FIND("-",$C118)-1)),""))</f>
        <v/>
      </c>
      <c r="E118" s="27" t="n"/>
      <c r="F118" s="29" t="n"/>
      <c r="G118" s="30" t="n"/>
      <c r="H118" s="30" t="n"/>
      <c r="I118" s="31">
        <f>IF($B118="","",$H118-$G118)</f>
        <v/>
      </c>
      <c r="J118" s="32">
        <f>IF(OR($B118="",$G118=0,$G118=""),"",$I118/$G118)</f>
        <v/>
      </c>
      <c r="K118" s="33" t="n"/>
      <c r="L118" s="33" t="n"/>
      <c r="M118" s="33" t="n"/>
      <c r="N118" s="33" t="n"/>
      <c r="O118" s="33" t="n"/>
      <c r="P118" s="32">
        <f>IF(OR($L118="",$N118=""),"",$L118-$N118)</f>
        <v/>
      </c>
      <c r="Q118" s="28">
        <f>IF($B118="","",IF(N($H118)&gt;0,"Live","Exited"))</f>
        <v/>
      </c>
      <c r="R118" s="28">
        <f>IF($B118="","",IF($L118="","Data Pending",IF($L118&gt;=Instructions!$D$19,"Best Fund",IF($L118&gt;=Instructions!$D$20,"Need to Improve","Not Performing"))))</f>
        <v/>
      </c>
      <c r="S118" s="7">
        <f>IF($R118="","",IF($R118="Data Pending","Enter the 3Y return",IF($R118="Best Fund","Hold / consider top-up",IF($R118="Need to Improve","Watch 2 quarters, then decide","Review with client - switch or exit"))))</f>
        <v/>
      </c>
      <c r="T118" s="27" t="n"/>
      <c r="U118" s="7">
        <f>IF($R118&lt;&gt;"Best Fund","",COUNTIFS($R$6:$R$505,"Best Fund",$L$6:$L$505,"&gt;"&amp;$L118)+COUNTIFS($R$6:$R118,"Best Fund",$L$6:$L118,$L118))</f>
        <v/>
      </c>
      <c r="V118" s="7">
        <f>IF($R118&lt;&gt;"Need to Improve","",COUNTIFS($R$6:$R$505,"Need to Improve",$L$6:$L$505,"&lt;"&amp;$L118)+COUNTIFS($R$6:$R118,"Need to Improve",$L$6:$L118,$L118))</f>
        <v/>
      </c>
      <c r="W118" s="7">
        <f>IF($R118&lt;&gt;"Not Performing","",COUNTIFS($R$6:$R$505,"Not Performing",$L$6:$L$505,"&lt;"&amp;$L118)+COUNTIFS($R$6:$R118,"Not Performing",$L$6:$L118,$L118))</f>
        <v/>
      </c>
    </row>
    <row r="119" ht="15" customHeight="1">
      <c r="A119" s="27" t="n"/>
      <c r="B119" s="27" t="n"/>
      <c r="C119" s="27" t="n"/>
      <c r="D119" s="28">
        <f>IF($C119="","",IFERROR(TRIM(LEFT($C119,FIND("-",$C119)-1)),""))</f>
        <v/>
      </c>
      <c r="E119" s="27" t="n"/>
      <c r="F119" s="29" t="n"/>
      <c r="G119" s="30" t="n"/>
      <c r="H119" s="30" t="n"/>
      <c r="I119" s="31">
        <f>IF($B119="","",$H119-$G119)</f>
        <v/>
      </c>
      <c r="J119" s="32">
        <f>IF(OR($B119="",$G119=0,$G119=""),"",$I119/$G119)</f>
        <v/>
      </c>
      <c r="K119" s="33" t="n"/>
      <c r="L119" s="33" t="n"/>
      <c r="M119" s="33" t="n"/>
      <c r="N119" s="33" t="n"/>
      <c r="O119" s="33" t="n"/>
      <c r="P119" s="32">
        <f>IF(OR($L119="",$N119=""),"",$L119-$N119)</f>
        <v/>
      </c>
      <c r="Q119" s="28">
        <f>IF($B119="","",IF(N($H119)&gt;0,"Live","Exited"))</f>
        <v/>
      </c>
      <c r="R119" s="28">
        <f>IF($B119="","",IF($L119="","Data Pending",IF($L119&gt;=Instructions!$D$19,"Best Fund",IF($L119&gt;=Instructions!$D$20,"Need to Improve","Not Performing"))))</f>
        <v/>
      </c>
      <c r="S119" s="7">
        <f>IF($R119="","",IF($R119="Data Pending","Enter the 3Y return",IF($R119="Best Fund","Hold / consider top-up",IF($R119="Need to Improve","Watch 2 quarters, then decide","Review with client - switch or exit"))))</f>
        <v/>
      </c>
      <c r="T119" s="27" t="n"/>
      <c r="U119" s="7">
        <f>IF($R119&lt;&gt;"Best Fund","",COUNTIFS($R$6:$R$505,"Best Fund",$L$6:$L$505,"&gt;"&amp;$L119)+COUNTIFS($R$6:$R119,"Best Fund",$L$6:$L119,$L119))</f>
        <v/>
      </c>
      <c r="V119" s="7">
        <f>IF($R119&lt;&gt;"Need to Improve","",COUNTIFS($R$6:$R$505,"Need to Improve",$L$6:$L$505,"&lt;"&amp;$L119)+COUNTIFS($R$6:$R119,"Need to Improve",$L$6:$L119,$L119))</f>
        <v/>
      </c>
      <c r="W119" s="7">
        <f>IF($R119&lt;&gt;"Not Performing","",COUNTIFS($R$6:$R$505,"Not Performing",$L$6:$L$505,"&lt;"&amp;$L119)+COUNTIFS($R$6:$R119,"Not Performing",$L$6:$L119,$L119))</f>
        <v/>
      </c>
    </row>
    <row r="120" ht="15" customHeight="1">
      <c r="A120" s="27" t="n"/>
      <c r="B120" s="27" t="n"/>
      <c r="C120" s="27" t="n"/>
      <c r="D120" s="28">
        <f>IF($C120="","",IFERROR(TRIM(LEFT($C120,FIND("-",$C120)-1)),""))</f>
        <v/>
      </c>
      <c r="E120" s="27" t="n"/>
      <c r="F120" s="29" t="n"/>
      <c r="G120" s="30" t="n"/>
      <c r="H120" s="30" t="n"/>
      <c r="I120" s="31">
        <f>IF($B120="","",$H120-$G120)</f>
        <v/>
      </c>
      <c r="J120" s="32">
        <f>IF(OR($B120="",$G120=0,$G120=""),"",$I120/$G120)</f>
        <v/>
      </c>
      <c r="K120" s="33" t="n"/>
      <c r="L120" s="33" t="n"/>
      <c r="M120" s="33" t="n"/>
      <c r="N120" s="33" t="n"/>
      <c r="O120" s="33" t="n"/>
      <c r="P120" s="32">
        <f>IF(OR($L120="",$N120=""),"",$L120-$N120)</f>
        <v/>
      </c>
      <c r="Q120" s="28">
        <f>IF($B120="","",IF(N($H120)&gt;0,"Live","Exited"))</f>
        <v/>
      </c>
      <c r="R120" s="28">
        <f>IF($B120="","",IF($L120="","Data Pending",IF($L120&gt;=Instructions!$D$19,"Best Fund",IF($L120&gt;=Instructions!$D$20,"Need to Improve","Not Performing"))))</f>
        <v/>
      </c>
      <c r="S120" s="7">
        <f>IF($R120="","",IF($R120="Data Pending","Enter the 3Y return",IF($R120="Best Fund","Hold / consider top-up",IF($R120="Need to Improve","Watch 2 quarters, then decide","Review with client - switch or exit"))))</f>
        <v/>
      </c>
      <c r="T120" s="27" t="n"/>
      <c r="U120" s="7">
        <f>IF($R120&lt;&gt;"Best Fund","",COUNTIFS($R$6:$R$505,"Best Fund",$L$6:$L$505,"&gt;"&amp;$L120)+COUNTIFS($R$6:$R120,"Best Fund",$L$6:$L120,$L120))</f>
        <v/>
      </c>
      <c r="V120" s="7">
        <f>IF($R120&lt;&gt;"Need to Improve","",COUNTIFS($R$6:$R$505,"Need to Improve",$L$6:$L$505,"&lt;"&amp;$L120)+COUNTIFS($R$6:$R120,"Need to Improve",$L$6:$L120,$L120))</f>
        <v/>
      </c>
      <c r="W120" s="7">
        <f>IF($R120&lt;&gt;"Not Performing","",COUNTIFS($R$6:$R$505,"Not Performing",$L$6:$L$505,"&lt;"&amp;$L120)+COUNTIFS($R$6:$R120,"Not Performing",$L$6:$L120,$L120))</f>
        <v/>
      </c>
    </row>
    <row r="121" ht="15" customHeight="1">
      <c r="A121" s="27" t="n"/>
      <c r="B121" s="27" t="n"/>
      <c r="C121" s="27" t="n"/>
      <c r="D121" s="28">
        <f>IF($C121="","",IFERROR(TRIM(LEFT($C121,FIND("-",$C121)-1)),""))</f>
        <v/>
      </c>
      <c r="E121" s="27" t="n"/>
      <c r="F121" s="29" t="n"/>
      <c r="G121" s="30" t="n"/>
      <c r="H121" s="30" t="n"/>
      <c r="I121" s="31">
        <f>IF($B121="","",$H121-$G121)</f>
        <v/>
      </c>
      <c r="J121" s="32">
        <f>IF(OR($B121="",$G121=0,$G121=""),"",$I121/$G121)</f>
        <v/>
      </c>
      <c r="K121" s="33" t="n"/>
      <c r="L121" s="33" t="n"/>
      <c r="M121" s="33" t="n"/>
      <c r="N121" s="33" t="n"/>
      <c r="O121" s="33" t="n"/>
      <c r="P121" s="32">
        <f>IF(OR($L121="",$N121=""),"",$L121-$N121)</f>
        <v/>
      </c>
      <c r="Q121" s="28">
        <f>IF($B121="","",IF(N($H121)&gt;0,"Live","Exited"))</f>
        <v/>
      </c>
      <c r="R121" s="28">
        <f>IF($B121="","",IF($L121="","Data Pending",IF($L121&gt;=Instructions!$D$19,"Best Fund",IF($L121&gt;=Instructions!$D$20,"Need to Improve","Not Performing"))))</f>
        <v/>
      </c>
      <c r="S121" s="7">
        <f>IF($R121="","",IF($R121="Data Pending","Enter the 3Y return",IF($R121="Best Fund","Hold / consider top-up",IF($R121="Need to Improve","Watch 2 quarters, then decide","Review with client - switch or exit"))))</f>
        <v/>
      </c>
      <c r="T121" s="27" t="n"/>
      <c r="U121" s="7">
        <f>IF($R121&lt;&gt;"Best Fund","",COUNTIFS($R$6:$R$505,"Best Fund",$L$6:$L$505,"&gt;"&amp;$L121)+COUNTIFS($R$6:$R121,"Best Fund",$L$6:$L121,$L121))</f>
        <v/>
      </c>
      <c r="V121" s="7">
        <f>IF($R121&lt;&gt;"Need to Improve","",COUNTIFS($R$6:$R$505,"Need to Improve",$L$6:$L$505,"&lt;"&amp;$L121)+COUNTIFS($R$6:$R121,"Need to Improve",$L$6:$L121,$L121))</f>
        <v/>
      </c>
      <c r="W121" s="7">
        <f>IF($R121&lt;&gt;"Not Performing","",COUNTIFS($R$6:$R$505,"Not Performing",$L$6:$L$505,"&lt;"&amp;$L121)+COUNTIFS($R$6:$R121,"Not Performing",$L$6:$L121,$L121))</f>
        <v/>
      </c>
    </row>
    <row r="122" ht="15" customHeight="1">
      <c r="A122" s="27" t="n"/>
      <c r="B122" s="27" t="n"/>
      <c r="C122" s="27" t="n"/>
      <c r="D122" s="28">
        <f>IF($C122="","",IFERROR(TRIM(LEFT($C122,FIND("-",$C122)-1)),""))</f>
        <v/>
      </c>
      <c r="E122" s="27" t="n"/>
      <c r="F122" s="29" t="n"/>
      <c r="G122" s="30" t="n"/>
      <c r="H122" s="30" t="n"/>
      <c r="I122" s="31">
        <f>IF($B122="","",$H122-$G122)</f>
        <v/>
      </c>
      <c r="J122" s="32">
        <f>IF(OR($B122="",$G122=0,$G122=""),"",$I122/$G122)</f>
        <v/>
      </c>
      <c r="K122" s="33" t="n"/>
      <c r="L122" s="33" t="n"/>
      <c r="M122" s="33" t="n"/>
      <c r="N122" s="33" t="n"/>
      <c r="O122" s="33" t="n"/>
      <c r="P122" s="32">
        <f>IF(OR($L122="",$N122=""),"",$L122-$N122)</f>
        <v/>
      </c>
      <c r="Q122" s="28">
        <f>IF($B122="","",IF(N($H122)&gt;0,"Live","Exited"))</f>
        <v/>
      </c>
      <c r="R122" s="28">
        <f>IF($B122="","",IF($L122="","Data Pending",IF($L122&gt;=Instructions!$D$19,"Best Fund",IF($L122&gt;=Instructions!$D$20,"Need to Improve","Not Performing"))))</f>
        <v/>
      </c>
      <c r="S122" s="7">
        <f>IF($R122="","",IF($R122="Data Pending","Enter the 3Y return",IF($R122="Best Fund","Hold / consider top-up",IF($R122="Need to Improve","Watch 2 quarters, then decide","Review with client - switch or exit"))))</f>
        <v/>
      </c>
      <c r="T122" s="27" t="n"/>
      <c r="U122" s="7">
        <f>IF($R122&lt;&gt;"Best Fund","",COUNTIFS($R$6:$R$505,"Best Fund",$L$6:$L$505,"&gt;"&amp;$L122)+COUNTIFS($R$6:$R122,"Best Fund",$L$6:$L122,$L122))</f>
        <v/>
      </c>
      <c r="V122" s="7">
        <f>IF($R122&lt;&gt;"Need to Improve","",COUNTIFS($R$6:$R$505,"Need to Improve",$L$6:$L$505,"&lt;"&amp;$L122)+COUNTIFS($R$6:$R122,"Need to Improve",$L$6:$L122,$L122))</f>
        <v/>
      </c>
      <c r="W122" s="7">
        <f>IF($R122&lt;&gt;"Not Performing","",COUNTIFS($R$6:$R$505,"Not Performing",$L$6:$L$505,"&lt;"&amp;$L122)+COUNTIFS($R$6:$R122,"Not Performing",$L$6:$L122,$L122))</f>
        <v/>
      </c>
    </row>
    <row r="123" ht="15" customHeight="1">
      <c r="A123" s="27" t="n"/>
      <c r="B123" s="27" t="n"/>
      <c r="C123" s="27" t="n"/>
      <c r="D123" s="28">
        <f>IF($C123="","",IFERROR(TRIM(LEFT($C123,FIND("-",$C123)-1)),""))</f>
        <v/>
      </c>
      <c r="E123" s="27" t="n"/>
      <c r="F123" s="29" t="n"/>
      <c r="G123" s="30" t="n"/>
      <c r="H123" s="30" t="n"/>
      <c r="I123" s="31">
        <f>IF($B123="","",$H123-$G123)</f>
        <v/>
      </c>
      <c r="J123" s="32">
        <f>IF(OR($B123="",$G123=0,$G123=""),"",$I123/$G123)</f>
        <v/>
      </c>
      <c r="K123" s="33" t="n"/>
      <c r="L123" s="33" t="n"/>
      <c r="M123" s="33" t="n"/>
      <c r="N123" s="33" t="n"/>
      <c r="O123" s="33" t="n"/>
      <c r="P123" s="32">
        <f>IF(OR($L123="",$N123=""),"",$L123-$N123)</f>
        <v/>
      </c>
      <c r="Q123" s="28">
        <f>IF($B123="","",IF(N($H123)&gt;0,"Live","Exited"))</f>
        <v/>
      </c>
      <c r="R123" s="28">
        <f>IF($B123="","",IF($L123="","Data Pending",IF($L123&gt;=Instructions!$D$19,"Best Fund",IF($L123&gt;=Instructions!$D$20,"Need to Improve","Not Performing"))))</f>
        <v/>
      </c>
      <c r="S123" s="7">
        <f>IF($R123="","",IF($R123="Data Pending","Enter the 3Y return",IF($R123="Best Fund","Hold / consider top-up",IF($R123="Need to Improve","Watch 2 quarters, then decide","Review with client - switch or exit"))))</f>
        <v/>
      </c>
      <c r="T123" s="27" t="n"/>
      <c r="U123" s="7">
        <f>IF($R123&lt;&gt;"Best Fund","",COUNTIFS($R$6:$R$505,"Best Fund",$L$6:$L$505,"&gt;"&amp;$L123)+COUNTIFS($R$6:$R123,"Best Fund",$L$6:$L123,$L123))</f>
        <v/>
      </c>
      <c r="V123" s="7">
        <f>IF($R123&lt;&gt;"Need to Improve","",COUNTIFS($R$6:$R$505,"Need to Improve",$L$6:$L$505,"&lt;"&amp;$L123)+COUNTIFS($R$6:$R123,"Need to Improve",$L$6:$L123,$L123))</f>
        <v/>
      </c>
      <c r="W123" s="7">
        <f>IF($R123&lt;&gt;"Not Performing","",COUNTIFS($R$6:$R$505,"Not Performing",$L$6:$L$505,"&lt;"&amp;$L123)+COUNTIFS($R$6:$R123,"Not Performing",$L$6:$L123,$L123))</f>
        <v/>
      </c>
    </row>
    <row r="124" ht="15" customHeight="1">
      <c r="A124" s="27" t="n"/>
      <c r="B124" s="27" t="n"/>
      <c r="C124" s="27" t="n"/>
      <c r="D124" s="28">
        <f>IF($C124="","",IFERROR(TRIM(LEFT($C124,FIND("-",$C124)-1)),""))</f>
        <v/>
      </c>
      <c r="E124" s="27" t="n"/>
      <c r="F124" s="29" t="n"/>
      <c r="G124" s="30" t="n"/>
      <c r="H124" s="30" t="n"/>
      <c r="I124" s="31">
        <f>IF($B124="","",$H124-$G124)</f>
        <v/>
      </c>
      <c r="J124" s="32">
        <f>IF(OR($B124="",$G124=0,$G124=""),"",$I124/$G124)</f>
        <v/>
      </c>
      <c r="K124" s="33" t="n"/>
      <c r="L124" s="33" t="n"/>
      <c r="M124" s="33" t="n"/>
      <c r="N124" s="33" t="n"/>
      <c r="O124" s="33" t="n"/>
      <c r="P124" s="32">
        <f>IF(OR($L124="",$N124=""),"",$L124-$N124)</f>
        <v/>
      </c>
      <c r="Q124" s="28">
        <f>IF($B124="","",IF(N($H124)&gt;0,"Live","Exited"))</f>
        <v/>
      </c>
      <c r="R124" s="28">
        <f>IF($B124="","",IF($L124="","Data Pending",IF($L124&gt;=Instructions!$D$19,"Best Fund",IF($L124&gt;=Instructions!$D$20,"Need to Improve","Not Performing"))))</f>
        <v/>
      </c>
      <c r="S124" s="7">
        <f>IF($R124="","",IF($R124="Data Pending","Enter the 3Y return",IF($R124="Best Fund","Hold / consider top-up",IF($R124="Need to Improve","Watch 2 quarters, then decide","Review with client - switch or exit"))))</f>
        <v/>
      </c>
      <c r="T124" s="27" t="n"/>
      <c r="U124" s="7">
        <f>IF($R124&lt;&gt;"Best Fund","",COUNTIFS($R$6:$R$505,"Best Fund",$L$6:$L$505,"&gt;"&amp;$L124)+COUNTIFS($R$6:$R124,"Best Fund",$L$6:$L124,$L124))</f>
        <v/>
      </c>
      <c r="V124" s="7">
        <f>IF($R124&lt;&gt;"Need to Improve","",COUNTIFS($R$6:$R$505,"Need to Improve",$L$6:$L$505,"&lt;"&amp;$L124)+COUNTIFS($R$6:$R124,"Need to Improve",$L$6:$L124,$L124))</f>
        <v/>
      </c>
      <c r="W124" s="7">
        <f>IF($R124&lt;&gt;"Not Performing","",COUNTIFS($R$6:$R$505,"Not Performing",$L$6:$L$505,"&lt;"&amp;$L124)+COUNTIFS($R$6:$R124,"Not Performing",$L$6:$L124,$L124))</f>
        <v/>
      </c>
    </row>
    <row r="125" ht="15" customHeight="1">
      <c r="A125" s="27" t="n"/>
      <c r="B125" s="27" t="n"/>
      <c r="C125" s="27" t="n"/>
      <c r="D125" s="28">
        <f>IF($C125="","",IFERROR(TRIM(LEFT($C125,FIND("-",$C125)-1)),""))</f>
        <v/>
      </c>
      <c r="E125" s="27" t="n"/>
      <c r="F125" s="29" t="n"/>
      <c r="G125" s="30" t="n"/>
      <c r="H125" s="30" t="n"/>
      <c r="I125" s="31">
        <f>IF($B125="","",$H125-$G125)</f>
        <v/>
      </c>
      <c r="J125" s="32">
        <f>IF(OR($B125="",$G125=0,$G125=""),"",$I125/$G125)</f>
        <v/>
      </c>
      <c r="K125" s="33" t="n"/>
      <c r="L125" s="33" t="n"/>
      <c r="M125" s="33" t="n"/>
      <c r="N125" s="33" t="n"/>
      <c r="O125" s="33" t="n"/>
      <c r="P125" s="32">
        <f>IF(OR($L125="",$N125=""),"",$L125-$N125)</f>
        <v/>
      </c>
      <c r="Q125" s="28">
        <f>IF($B125="","",IF(N($H125)&gt;0,"Live","Exited"))</f>
        <v/>
      </c>
      <c r="R125" s="28">
        <f>IF($B125="","",IF($L125="","Data Pending",IF($L125&gt;=Instructions!$D$19,"Best Fund",IF($L125&gt;=Instructions!$D$20,"Need to Improve","Not Performing"))))</f>
        <v/>
      </c>
      <c r="S125" s="7">
        <f>IF($R125="","",IF($R125="Data Pending","Enter the 3Y return",IF($R125="Best Fund","Hold / consider top-up",IF($R125="Need to Improve","Watch 2 quarters, then decide","Review with client - switch or exit"))))</f>
        <v/>
      </c>
      <c r="T125" s="27" t="n"/>
      <c r="U125" s="7">
        <f>IF($R125&lt;&gt;"Best Fund","",COUNTIFS($R$6:$R$505,"Best Fund",$L$6:$L$505,"&gt;"&amp;$L125)+COUNTIFS($R$6:$R125,"Best Fund",$L$6:$L125,$L125))</f>
        <v/>
      </c>
      <c r="V125" s="7">
        <f>IF($R125&lt;&gt;"Need to Improve","",COUNTIFS($R$6:$R$505,"Need to Improve",$L$6:$L$505,"&lt;"&amp;$L125)+COUNTIFS($R$6:$R125,"Need to Improve",$L$6:$L125,$L125))</f>
        <v/>
      </c>
      <c r="W125" s="7">
        <f>IF($R125&lt;&gt;"Not Performing","",COUNTIFS($R$6:$R$505,"Not Performing",$L$6:$L$505,"&lt;"&amp;$L125)+COUNTIFS($R$6:$R125,"Not Performing",$L$6:$L125,$L125))</f>
        <v/>
      </c>
    </row>
    <row r="126" ht="15" customHeight="1">
      <c r="A126" s="27" t="n"/>
      <c r="B126" s="27" t="n"/>
      <c r="C126" s="27" t="n"/>
      <c r="D126" s="28">
        <f>IF($C126="","",IFERROR(TRIM(LEFT($C126,FIND("-",$C126)-1)),""))</f>
        <v/>
      </c>
      <c r="E126" s="27" t="n"/>
      <c r="F126" s="29" t="n"/>
      <c r="G126" s="30" t="n"/>
      <c r="H126" s="30" t="n"/>
      <c r="I126" s="31">
        <f>IF($B126="","",$H126-$G126)</f>
        <v/>
      </c>
      <c r="J126" s="32">
        <f>IF(OR($B126="",$G126=0,$G126=""),"",$I126/$G126)</f>
        <v/>
      </c>
      <c r="K126" s="33" t="n"/>
      <c r="L126" s="33" t="n"/>
      <c r="M126" s="33" t="n"/>
      <c r="N126" s="33" t="n"/>
      <c r="O126" s="33" t="n"/>
      <c r="P126" s="32">
        <f>IF(OR($L126="",$N126=""),"",$L126-$N126)</f>
        <v/>
      </c>
      <c r="Q126" s="28">
        <f>IF($B126="","",IF(N($H126)&gt;0,"Live","Exited"))</f>
        <v/>
      </c>
      <c r="R126" s="28">
        <f>IF($B126="","",IF($L126="","Data Pending",IF($L126&gt;=Instructions!$D$19,"Best Fund",IF($L126&gt;=Instructions!$D$20,"Need to Improve","Not Performing"))))</f>
        <v/>
      </c>
      <c r="S126" s="7">
        <f>IF($R126="","",IF($R126="Data Pending","Enter the 3Y return",IF($R126="Best Fund","Hold / consider top-up",IF($R126="Need to Improve","Watch 2 quarters, then decide","Review with client - switch or exit"))))</f>
        <v/>
      </c>
      <c r="T126" s="27" t="n"/>
      <c r="U126" s="7">
        <f>IF($R126&lt;&gt;"Best Fund","",COUNTIFS($R$6:$R$505,"Best Fund",$L$6:$L$505,"&gt;"&amp;$L126)+COUNTIFS($R$6:$R126,"Best Fund",$L$6:$L126,$L126))</f>
        <v/>
      </c>
      <c r="V126" s="7">
        <f>IF($R126&lt;&gt;"Need to Improve","",COUNTIFS($R$6:$R$505,"Need to Improve",$L$6:$L$505,"&lt;"&amp;$L126)+COUNTIFS($R$6:$R126,"Need to Improve",$L$6:$L126,$L126))</f>
        <v/>
      </c>
      <c r="W126" s="7">
        <f>IF($R126&lt;&gt;"Not Performing","",COUNTIFS($R$6:$R$505,"Not Performing",$L$6:$L$505,"&lt;"&amp;$L126)+COUNTIFS($R$6:$R126,"Not Performing",$L$6:$L126,$L126))</f>
        <v/>
      </c>
    </row>
    <row r="127" ht="15" customHeight="1">
      <c r="A127" s="27" t="n"/>
      <c r="B127" s="27" t="n"/>
      <c r="C127" s="27" t="n"/>
      <c r="D127" s="28">
        <f>IF($C127="","",IFERROR(TRIM(LEFT($C127,FIND("-",$C127)-1)),""))</f>
        <v/>
      </c>
      <c r="E127" s="27" t="n"/>
      <c r="F127" s="29" t="n"/>
      <c r="G127" s="30" t="n"/>
      <c r="H127" s="30" t="n"/>
      <c r="I127" s="31">
        <f>IF($B127="","",$H127-$G127)</f>
        <v/>
      </c>
      <c r="J127" s="32">
        <f>IF(OR($B127="",$G127=0,$G127=""),"",$I127/$G127)</f>
        <v/>
      </c>
      <c r="K127" s="33" t="n"/>
      <c r="L127" s="33" t="n"/>
      <c r="M127" s="33" t="n"/>
      <c r="N127" s="33" t="n"/>
      <c r="O127" s="33" t="n"/>
      <c r="P127" s="32">
        <f>IF(OR($L127="",$N127=""),"",$L127-$N127)</f>
        <v/>
      </c>
      <c r="Q127" s="28">
        <f>IF($B127="","",IF(N($H127)&gt;0,"Live","Exited"))</f>
        <v/>
      </c>
      <c r="R127" s="28">
        <f>IF($B127="","",IF($L127="","Data Pending",IF($L127&gt;=Instructions!$D$19,"Best Fund",IF($L127&gt;=Instructions!$D$20,"Need to Improve","Not Performing"))))</f>
        <v/>
      </c>
      <c r="S127" s="7">
        <f>IF($R127="","",IF($R127="Data Pending","Enter the 3Y return",IF($R127="Best Fund","Hold / consider top-up",IF($R127="Need to Improve","Watch 2 quarters, then decide","Review with client - switch or exit"))))</f>
        <v/>
      </c>
      <c r="T127" s="27" t="n"/>
      <c r="U127" s="7">
        <f>IF($R127&lt;&gt;"Best Fund","",COUNTIFS($R$6:$R$505,"Best Fund",$L$6:$L$505,"&gt;"&amp;$L127)+COUNTIFS($R$6:$R127,"Best Fund",$L$6:$L127,$L127))</f>
        <v/>
      </c>
      <c r="V127" s="7">
        <f>IF($R127&lt;&gt;"Need to Improve","",COUNTIFS($R$6:$R$505,"Need to Improve",$L$6:$L$505,"&lt;"&amp;$L127)+COUNTIFS($R$6:$R127,"Need to Improve",$L$6:$L127,$L127))</f>
        <v/>
      </c>
      <c r="W127" s="7">
        <f>IF($R127&lt;&gt;"Not Performing","",COUNTIFS($R$6:$R$505,"Not Performing",$L$6:$L$505,"&lt;"&amp;$L127)+COUNTIFS($R$6:$R127,"Not Performing",$L$6:$L127,$L127))</f>
        <v/>
      </c>
    </row>
    <row r="128" ht="15" customHeight="1">
      <c r="A128" s="27" t="n"/>
      <c r="B128" s="27" t="n"/>
      <c r="C128" s="27" t="n"/>
      <c r="D128" s="28">
        <f>IF($C128="","",IFERROR(TRIM(LEFT($C128,FIND("-",$C128)-1)),""))</f>
        <v/>
      </c>
      <c r="E128" s="27" t="n"/>
      <c r="F128" s="29" t="n"/>
      <c r="G128" s="30" t="n"/>
      <c r="H128" s="30" t="n"/>
      <c r="I128" s="31">
        <f>IF($B128="","",$H128-$G128)</f>
        <v/>
      </c>
      <c r="J128" s="32">
        <f>IF(OR($B128="",$G128=0,$G128=""),"",$I128/$G128)</f>
        <v/>
      </c>
      <c r="K128" s="33" t="n"/>
      <c r="L128" s="33" t="n"/>
      <c r="M128" s="33" t="n"/>
      <c r="N128" s="33" t="n"/>
      <c r="O128" s="33" t="n"/>
      <c r="P128" s="32">
        <f>IF(OR($L128="",$N128=""),"",$L128-$N128)</f>
        <v/>
      </c>
      <c r="Q128" s="28">
        <f>IF($B128="","",IF(N($H128)&gt;0,"Live","Exited"))</f>
        <v/>
      </c>
      <c r="R128" s="28">
        <f>IF($B128="","",IF($L128="","Data Pending",IF($L128&gt;=Instructions!$D$19,"Best Fund",IF($L128&gt;=Instructions!$D$20,"Need to Improve","Not Performing"))))</f>
        <v/>
      </c>
      <c r="S128" s="7">
        <f>IF($R128="","",IF($R128="Data Pending","Enter the 3Y return",IF($R128="Best Fund","Hold / consider top-up",IF($R128="Need to Improve","Watch 2 quarters, then decide","Review with client - switch or exit"))))</f>
        <v/>
      </c>
      <c r="T128" s="27" t="n"/>
      <c r="U128" s="7">
        <f>IF($R128&lt;&gt;"Best Fund","",COUNTIFS($R$6:$R$505,"Best Fund",$L$6:$L$505,"&gt;"&amp;$L128)+COUNTIFS($R$6:$R128,"Best Fund",$L$6:$L128,$L128))</f>
        <v/>
      </c>
      <c r="V128" s="7">
        <f>IF($R128&lt;&gt;"Need to Improve","",COUNTIFS($R$6:$R$505,"Need to Improve",$L$6:$L$505,"&lt;"&amp;$L128)+COUNTIFS($R$6:$R128,"Need to Improve",$L$6:$L128,$L128))</f>
        <v/>
      </c>
      <c r="W128" s="7">
        <f>IF($R128&lt;&gt;"Not Performing","",COUNTIFS($R$6:$R$505,"Not Performing",$L$6:$L$505,"&lt;"&amp;$L128)+COUNTIFS($R$6:$R128,"Not Performing",$L$6:$L128,$L128))</f>
        <v/>
      </c>
    </row>
    <row r="129" ht="15" customHeight="1">
      <c r="A129" s="27" t="n"/>
      <c r="B129" s="27" t="n"/>
      <c r="C129" s="27" t="n"/>
      <c r="D129" s="28">
        <f>IF($C129="","",IFERROR(TRIM(LEFT($C129,FIND("-",$C129)-1)),""))</f>
        <v/>
      </c>
      <c r="E129" s="27" t="n"/>
      <c r="F129" s="29" t="n"/>
      <c r="G129" s="30" t="n"/>
      <c r="H129" s="30" t="n"/>
      <c r="I129" s="31">
        <f>IF($B129="","",$H129-$G129)</f>
        <v/>
      </c>
      <c r="J129" s="32">
        <f>IF(OR($B129="",$G129=0,$G129=""),"",$I129/$G129)</f>
        <v/>
      </c>
      <c r="K129" s="33" t="n"/>
      <c r="L129" s="33" t="n"/>
      <c r="M129" s="33" t="n"/>
      <c r="N129" s="33" t="n"/>
      <c r="O129" s="33" t="n"/>
      <c r="P129" s="32">
        <f>IF(OR($L129="",$N129=""),"",$L129-$N129)</f>
        <v/>
      </c>
      <c r="Q129" s="28">
        <f>IF($B129="","",IF(N($H129)&gt;0,"Live","Exited"))</f>
        <v/>
      </c>
      <c r="R129" s="28">
        <f>IF($B129="","",IF($L129="","Data Pending",IF($L129&gt;=Instructions!$D$19,"Best Fund",IF($L129&gt;=Instructions!$D$20,"Need to Improve","Not Performing"))))</f>
        <v/>
      </c>
      <c r="S129" s="7">
        <f>IF($R129="","",IF($R129="Data Pending","Enter the 3Y return",IF($R129="Best Fund","Hold / consider top-up",IF($R129="Need to Improve","Watch 2 quarters, then decide","Review with client - switch or exit"))))</f>
        <v/>
      </c>
      <c r="T129" s="27" t="n"/>
      <c r="U129" s="7">
        <f>IF($R129&lt;&gt;"Best Fund","",COUNTIFS($R$6:$R$505,"Best Fund",$L$6:$L$505,"&gt;"&amp;$L129)+COUNTIFS($R$6:$R129,"Best Fund",$L$6:$L129,$L129))</f>
        <v/>
      </c>
      <c r="V129" s="7">
        <f>IF($R129&lt;&gt;"Need to Improve","",COUNTIFS($R$6:$R$505,"Need to Improve",$L$6:$L$505,"&lt;"&amp;$L129)+COUNTIFS($R$6:$R129,"Need to Improve",$L$6:$L129,$L129))</f>
        <v/>
      </c>
      <c r="W129" s="7">
        <f>IF($R129&lt;&gt;"Not Performing","",COUNTIFS($R$6:$R$505,"Not Performing",$L$6:$L$505,"&lt;"&amp;$L129)+COUNTIFS($R$6:$R129,"Not Performing",$L$6:$L129,$L129))</f>
        <v/>
      </c>
    </row>
    <row r="130" ht="15" customHeight="1">
      <c r="A130" s="27" t="n"/>
      <c r="B130" s="27" t="n"/>
      <c r="C130" s="27" t="n"/>
      <c r="D130" s="28">
        <f>IF($C130="","",IFERROR(TRIM(LEFT($C130,FIND("-",$C130)-1)),""))</f>
        <v/>
      </c>
      <c r="E130" s="27" t="n"/>
      <c r="F130" s="29" t="n"/>
      <c r="G130" s="30" t="n"/>
      <c r="H130" s="30" t="n"/>
      <c r="I130" s="31">
        <f>IF($B130="","",$H130-$G130)</f>
        <v/>
      </c>
      <c r="J130" s="32">
        <f>IF(OR($B130="",$G130=0,$G130=""),"",$I130/$G130)</f>
        <v/>
      </c>
      <c r="K130" s="33" t="n"/>
      <c r="L130" s="33" t="n"/>
      <c r="M130" s="33" t="n"/>
      <c r="N130" s="33" t="n"/>
      <c r="O130" s="33" t="n"/>
      <c r="P130" s="32">
        <f>IF(OR($L130="",$N130=""),"",$L130-$N130)</f>
        <v/>
      </c>
      <c r="Q130" s="28">
        <f>IF($B130="","",IF(N($H130)&gt;0,"Live","Exited"))</f>
        <v/>
      </c>
      <c r="R130" s="28">
        <f>IF($B130="","",IF($L130="","Data Pending",IF($L130&gt;=Instructions!$D$19,"Best Fund",IF($L130&gt;=Instructions!$D$20,"Need to Improve","Not Performing"))))</f>
        <v/>
      </c>
      <c r="S130" s="7">
        <f>IF($R130="","",IF($R130="Data Pending","Enter the 3Y return",IF($R130="Best Fund","Hold / consider top-up",IF($R130="Need to Improve","Watch 2 quarters, then decide","Review with client - switch or exit"))))</f>
        <v/>
      </c>
      <c r="T130" s="27" t="n"/>
      <c r="U130" s="7">
        <f>IF($R130&lt;&gt;"Best Fund","",COUNTIFS($R$6:$R$505,"Best Fund",$L$6:$L$505,"&gt;"&amp;$L130)+COUNTIFS($R$6:$R130,"Best Fund",$L$6:$L130,$L130))</f>
        <v/>
      </c>
      <c r="V130" s="7">
        <f>IF($R130&lt;&gt;"Need to Improve","",COUNTIFS($R$6:$R$505,"Need to Improve",$L$6:$L$505,"&lt;"&amp;$L130)+COUNTIFS($R$6:$R130,"Need to Improve",$L$6:$L130,$L130))</f>
        <v/>
      </c>
      <c r="W130" s="7">
        <f>IF($R130&lt;&gt;"Not Performing","",COUNTIFS($R$6:$R$505,"Not Performing",$L$6:$L$505,"&lt;"&amp;$L130)+COUNTIFS($R$6:$R130,"Not Performing",$L$6:$L130,$L130))</f>
        <v/>
      </c>
    </row>
    <row r="131" ht="15" customHeight="1">
      <c r="A131" s="27" t="n"/>
      <c r="B131" s="27" t="n"/>
      <c r="C131" s="27" t="n"/>
      <c r="D131" s="28">
        <f>IF($C131="","",IFERROR(TRIM(LEFT($C131,FIND("-",$C131)-1)),""))</f>
        <v/>
      </c>
      <c r="E131" s="27" t="n"/>
      <c r="F131" s="29" t="n"/>
      <c r="G131" s="30" t="n"/>
      <c r="H131" s="30" t="n"/>
      <c r="I131" s="31">
        <f>IF($B131="","",$H131-$G131)</f>
        <v/>
      </c>
      <c r="J131" s="32">
        <f>IF(OR($B131="",$G131=0,$G131=""),"",$I131/$G131)</f>
        <v/>
      </c>
      <c r="K131" s="33" t="n"/>
      <c r="L131" s="33" t="n"/>
      <c r="M131" s="33" t="n"/>
      <c r="N131" s="33" t="n"/>
      <c r="O131" s="33" t="n"/>
      <c r="P131" s="32">
        <f>IF(OR($L131="",$N131=""),"",$L131-$N131)</f>
        <v/>
      </c>
      <c r="Q131" s="28">
        <f>IF($B131="","",IF(N($H131)&gt;0,"Live","Exited"))</f>
        <v/>
      </c>
      <c r="R131" s="28">
        <f>IF($B131="","",IF($L131="","Data Pending",IF($L131&gt;=Instructions!$D$19,"Best Fund",IF($L131&gt;=Instructions!$D$20,"Need to Improve","Not Performing"))))</f>
        <v/>
      </c>
      <c r="S131" s="7">
        <f>IF($R131="","",IF($R131="Data Pending","Enter the 3Y return",IF($R131="Best Fund","Hold / consider top-up",IF($R131="Need to Improve","Watch 2 quarters, then decide","Review with client - switch or exit"))))</f>
        <v/>
      </c>
      <c r="T131" s="27" t="n"/>
      <c r="U131" s="7">
        <f>IF($R131&lt;&gt;"Best Fund","",COUNTIFS($R$6:$R$505,"Best Fund",$L$6:$L$505,"&gt;"&amp;$L131)+COUNTIFS($R$6:$R131,"Best Fund",$L$6:$L131,$L131))</f>
        <v/>
      </c>
      <c r="V131" s="7">
        <f>IF($R131&lt;&gt;"Need to Improve","",COUNTIFS($R$6:$R$505,"Need to Improve",$L$6:$L$505,"&lt;"&amp;$L131)+COUNTIFS($R$6:$R131,"Need to Improve",$L$6:$L131,$L131))</f>
        <v/>
      </c>
      <c r="W131" s="7">
        <f>IF($R131&lt;&gt;"Not Performing","",COUNTIFS($R$6:$R$505,"Not Performing",$L$6:$L$505,"&lt;"&amp;$L131)+COUNTIFS($R$6:$R131,"Not Performing",$L$6:$L131,$L131))</f>
        <v/>
      </c>
    </row>
    <row r="132" ht="15" customHeight="1">
      <c r="A132" s="27" t="n"/>
      <c r="B132" s="27" t="n"/>
      <c r="C132" s="27" t="n"/>
      <c r="D132" s="28">
        <f>IF($C132="","",IFERROR(TRIM(LEFT($C132,FIND("-",$C132)-1)),""))</f>
        <v/>
      </c>
      <c r="E132" s="27" t="n"/>
      <c r="F132" s="29" t="n"/>
      <c r="G132" s="30" t="n"/>
      <c r="H132" s="30" t="n"/>
      <c r="I132" s="31">
        <f>IF($B132="","",$H132-$G132)</f>
        <v/>
      </c>
      <c r="J132" s="32">
        <f>IF(OR($B132="",$G132=0,$G132=""),"",$I132/$G132)</f>
        <v/>
      </c>
      <c r="K132" s="33" t="n"/>
      <c r="L132" s="33" t="n"/>
      <c r="M132" s="33" t="n"/>
      <c r="N132" s="33" t="n"/>
      <c r="O132" s="33" t="n"/>
      <c r="P132" s="32">
        <f>IF(OR($L132="",$N132=""),"",$L132-$N132)</f>
        <v/>
      </c>
      <c r="Q132" s="28">
        <f>IF($B132="","",IF(N($H132)&gt;0,"Live","Exited"))</f>
        <v/>
      </c>
      <c r="R132" s="28">
        <f>IF($B132="","",IF($L132="","Data Pending",IF($L132&gt;=Instructions!$D$19,"Best Fund",IF($L132&gt;=Instructions!$D$20,"Need to Improve","Not Performing"))))</f>
        <v/>
      </c>
      <c r="S132" s="7">
        <f>IF($R132="","",IF($R132="Data Pending","Enter the 3Y return",IF($R132="Best Fund","Hold / consider top-up",IF($R132="Need to Improve","Watch 2 quarters, then decide","Review with client - switch or exit"))))</f>
        <v/>
      </c>
      <c r="T132" s="27" t="n"/>
      <c r="U132" s="7">
        <f>IF($R132&lt;&gt;"Best Fund","",COUNTIFS($R$6:$R$505,"Best Fund",$L$6:$L$505,"&gt;"&amp;$L132)+COUNTIFS($R$6:$R132,"Best Fund",$L$6:$L132,$L132))</f>
        <v/>
      </c>
      <c r="V132" s="7">
        <f>IF($R132&lt;&gt;"Need to Improve","",COUNTIFS($R$6:$R$505,"Need to Improve",$L$6:$L$505,"&lt;"&amp;$L132)+COUNTIFS($R$6:$R132,"Need to Improve",$L$6:$L132,$L132))</f>
        <v/>
      </c>
      <c r="W132" s="7">
        <f>IF($R132&lt;&gt;"Not Performing","",COUNTIFS($R$6:$R$505,"Not Performing",$L$6:$L$505,"&lt;"&amp;$L132)+COUNTIFS($R$6:$R132,"Not Performing",$L$6:$L132,$L132))</f>
        <v/>
      </c>
    </row>
    <row r="133" ht="15" customHeight="1">
      <c r="A133" s="27" t="n"/>
      <c r="B133" s="27" t="n"/>
      <c r="C133" s="27" t="n"/>
      <c r="D133" s="28">
        <f>IF($C133="","",IFERROR(TRIM(LEFT($C133,FIND("-",$C133)-1)),""))</f>
        <v/>
      </c>
      <c r="E133" s="27" t="n"/>
      <c r="F133" s="29" t="n"/>
      <c r="G133" s="30" t="n"/>
      <c r="H133" s="30" t="n"/>
      <c r="I133" s="31">
        <f>IF($B133="","",$H133-$G133)</f>
        <v/>
      </c>
      <c r="J133" s="32">
        <f>IF(OR($B133="",$G133=0,$G133=""),"",$I133/$G133)</f>
        <v/>
      </c>
      <c r="K133" s="33" t="n"/>
      <c r="L133" s="33" t="n"/>
      <c r="M133" s="33" t="n"/>
      <c r="N133" s="33" t="n"/>
      <c r="O133" s="33" t="n"/>
      <c r="P133" s="32">
        <f>IF(OR($L133="",$N133=""),"",$L133-$N133)</f>
        <v/>
      </c>
      <c r="Q133" s="28">
        <f>IF($B133="","",IF(N($H133)&gt;0,"Live","Exited"))</f>
        <v/>
      </c>
      <c r="R133" s="28">
        <f>IF($B133="","",IF($L133="","Data Pending",IF($L133&gt;=Instructions!$D$19,"Best Fund",IF($L133&gt;=Instructions!$D$20,"Need to Improve","Not Performing"))))</f>
        <v/>
      </c>
      <c r="S133" s="7">
        <f>IF($R133="","",IF($R133="Data Pending","Enter the 3Y return",IF($R133="Best Fund","Hold / consider top-up",IF($R133="Need to Improve","Watch 2 quarters, then decide","Review with client - switch or exit"))))</f>
        <v/>
      </c>
      <c r="T133" s="27" t="n"/>
      <c r="U133" s="7">
        <f>IF($R133&lt;&gt;"Best Fund","",COUNTIFS($R$6:$R$505,"Best Fund",$L$6:$L$505,"&gt;"&amp;$L133)+COUNTIFS($R$6:$R133,"Best Fund",$L$6:$L133,$L133))</f>
        <v/>
      </c>
      <c r="V133" s="7">
        <f>IF($R133&lt;&gt;"Need to Improve","",COUNTIFS($R$6:$R$505,"Need to Improve",$L$6:$L$505,"&lt;"&amp;$L133)+COUNTIFS($R$6:$R133,"Need to Improve",$L$6:$L133,$L133))</f>
        <v/>
      </c>
      <c r="W133" s="7">
        <f>IF($R133&lt;&gt;"Not Performing","",COUNTIFS($R$6:$R$505,"Not Performing",$L$6:$L$505,"&lt;"&amp;$L133)+COUNTIFS($R$6:$R133,"Not Performing",$L$6:$L133,$L133))</f>
        <v/>
      </c>
    </row>
    <row r="134" ht="15" customHeight="1">
      <c r="A134" s="27" t="n"/>
      <c r="B134" s="27" t="n"/>
      <c r="C134" s="27" t="n"/>
      <c r="D134" s="28">
        <f>IF($C134="","",IFERROR(TRIM(LEFT($C134,FIND("-",$C134)-1)),""))</f>
        <v/>
      </c>
      <c r="E134" s="27" t="n"/>
      <c r="F134" s="29" t="n"/>
      <c r="G134" s="30" t="n"/>
      <c r="H134" s="30" t="n"/>
      <c r="I134" s="31">
        <f>IF($B134="","",$H134-$G134)</f>
        <v/>
      </c>
      <c r="J134" s="32">
        <f>IF(OR($B134="",$G134=0,$G134=""),"",$I134/$G134)</f>
        <v/>
      </c>
      <c r="K134" s="33" t="n"/>
      <c r="L134" s="33" t="n"/>
      <c r="M134" s="33" t="n"/>
      <c r="N134" s="33" t="n"/>
      <c r="O134" s="33" t="n"/>
      <c r="P134" s="32">
        <f>IF(OR($L134="",$N134=""),"",$L134-$N134)</f>
        <v/>
      </c>
      <c r="Q134" s="28">
        <f>IF($B134="","",IF(N($H134)&gt;0,"Live","Exited"))</f>
        <v/>
      </c>
      <c r="R134" s="28">
        <f>IF($B134="","",IF($L134="","Data Pending",IF($L134&gt;=Instructions!$D$19,"Best Fund",IF($L134&gt;=Instructions!$D$20,"Need to Improve","Not Performing"))))</f>
        <v/>
      </c>
      <c r="S134" s="7">
        <f>IF($R134="","",IF($R134="Data Pending","Enter the 3Y return",IF($R134="Best Fund","Hold / consider top-up",IF($R134="Need to Improve","Watch 2 quarters, then decide","Review with client - switch or exit"))))</f>
        <v/>
      </c>
      <c r="T134" s="27" t="n"/>
      <c r="U134" s="7">
        <f>IF($R134&lt;&gt;"Best Fund","",COUNTIFS($R$6:$R$505,"Best Fund",$L$6:$L$505,"&gt;"&amp;$L134)+COUNTIFS($R$6:$R134,"Best Fund",$L$6:$L134,$L134))</f>
        <v/>
      </c>
      <c r="V134" s="7">
        <f>IF($R134&lt;&gt;"Need to Improve","",COUNTIFS($R$6:$R$505,"Need to Improve",$L$6:$L$505,"&lt;"&amp;$L134)+COUNTIFS($R$6:$R134,"Need to Improve",$L$6:$L134,$L134))</f>
        <v/>
      </c>
      <c r="W134" s="7">
        <f>IF($R134&lt;&gt;"Not Performing","",COUNTIFS($R$6:$R$505,"Not Performing",$L$6:$L$505,"&lt;"&amp;$L134)+COUNTIFS($R$6:$R134,"Not Performing",$L$6:$L134,$L134))</f>
        <v/>
      </c>
    </row>
    <row r="135" ht="15" customHeight="1">
      <c r="A135" s="27" t="n"/>
      <c r="B135" s="27" t="n"/>
      <c r="C135" s="27" t="n"/>
      <c r="D135" s="28">
        <f>IF($C135="","",IFERROR(TRIM(LEFT($C135,FIND("-",$C135)-1)),""))</f>
        <v/>
      </c>
      <c r="E135" s="27" t="n"/>
      <c r="F135" s="29" t="n"/>
      <c r="G135" s="30" t="n"/>
      <c r="H135" s="30" t="n"/>
      <c r="I135" s="31">
        <f>IF($B135="","",$H135-$G135)</f>
        <v/>
      </c>
      <c r="J135" s="32">
        <f>IF(OR($B135="",$G135=0,$G135=""),"",$I135/$G135)</f>
        <v/>
      </c>
      <c r="K135" s="33" t="n"/>
      <c r="L135" s="33" t="n"/>
      <c r="M135" s="33" t="n"/>
      <c r="N135" s="33" t="n"/>
      <c r="O135" s="33" t="n"/>
      <c r="P135" s="32">
        <f>IF(OR($L135="",$N135=""),"",$L135-$N135)</f>
        <v/>
      </c>
      <c r="Q135" s="28">
        <f>IF($B135="","",IF(N($H135)&gt;0,"Live","Exited"))</f>
        <v/>
      </c>
      <c r="R135" s="28">
        <f>IF($B135="","",IF($L135="","Data Pending",IF($L135&gt;=Instructions!$D$19,"Best Fund",IF($L135&gt;=Instructions!$D$20,"Need to Improve","Not Performing"))))</f>
        <v/>
      </c>
      <c r="S135" s="7">
        <f>IF($R135="","",IF($R135="Data Pending","Enter the 3Y return",IF($R135="Best Fund","Hold / consider top-up",IF($R135="Need to Improve","Watch 2 quarters, then decide","Review with client - switch or exit"))))</f>
        <v/>
      </c>
      <c r="T135" s="27" t="n"/>
      <c r="U135" s="7">
        <f>IF($R135&lt;&gt;"Best Fund","",COUNTIFS($R$6:$R$505,"Best Fund",$L$6:$L$505,"&gt;"&amp;$L135)+COUNTIFS($R$6:$R135,"Best Fund",$L$6:$L135,$L135))</f>
        <v/>
      </c>
      <c r="V135" s="7">
        <f>IF($R135&lt;&gt;"Need to Improve","",COUNTIFS($R$6:$R$505,"Need to Improve",$L$6:$L$505,"&lt;"&amp;$L135)+COUNTIFS($R$6:$R135,"Need to Improve",$L$6:$L135,$L135))</f>
        <v/>
      </c>
      <c r="W135" s="7">
        <f>IF($R135&lt;&gt;"Not Performing","",COUNTIFS($R$6:$R$505,"Not Performing",$L$6:$L$505,"&lt;"&amp;$L135)+COUNTIFS($R$6:$R135,"Not Performing",$L$6:$L135,$L135))</f>
        <v/>
      </c>
    </row>
    <row r="136" ht="15" customHeight="1">
      <c r="A136" s="27" t="n"/>
      <c r="B136" s="27" t="n"/>
      <c r="C136" s="27" t="n"/>
      <c r="D136" s="28">
        <f>IF($C136="","",IFERROR(TRIM(LEFT($C136,FIND("-",$C136)-1)),""))</f>
        <v/>
      </c>
      <c r="E136" s="27" t="n"/>
      <c r="F136" s="29" t="n"/>
      <c r="G136" s="30" t="n"/>
      <c r="H136" s="30" t="n"/>
      <c r="I136" s="31">
        <f>IF($B136="","",$H136-$G136)</f>
        <v/>
      </c>
      <c r="J136" s="32">
        <f>IF(OR($B136="",$G136=0,$G136=""),"",$I136/$G136)</f>
        <v/>
      </c>
      <c r="K136" s="33" t="n"/>
      <c r="L136" s="33" t="n"/>
      <c r="M136" s="33" t="n"/>
      <c r="N136" s="33" t="n"/>
      <c r="O136" s="33" t="n"/>
      <c r="P136" s="32">
        <f>IF(OR($L136="",$N136=""),"",$L136-$N136)</f>
        <v/>
      </c>
      <c r="Q136" s="28">
        <f>IF($B136="","",IF(N($H136)&gt;0,"Live","Exited"))</f>
        <v/>
      </c>
      <c r="R136" s="28">
        <f>IF($B136="","",IF($L136="","Data Pending",IF($L136&gt;=Instructions!$D$19,"Best Fund",IF($L136&gt;=Instructions!$D$20,"Need to Improve","Not Performing"))))</f>
        <v/>
      </c>
      <c r="S136" s="7">
        <f>IF($R136="","",IF($R136="Data Pending","Enter the 3Y return",IF($R136="Best Fund","Hold / consider top-up",IF($R136="Need to Improve","Watch 2 quarters, then decide","Review with client - switch or exit"))))</f>
        <v/>
      </c>
      <c r="T136" s="27" t="n"/>
      <c r="U136" s="7">
        <f>IF($R136&lt;&gt;"Best Fund","",COUNTIFS($R$6:$R$505,"Best Fund",$L$6:$L$505,"&gt;"&amp;$L136)+COUNTIFS($R$6:$R136,"Best Fund",$L$6:$L136,$L136))</f>
        <v/>
      </c>
      <c r="V136" s="7">
        <f>IF($R136&lt;&gt;"Need to Improve","",COUNTIFS($R$6:$R$505,"Need to Improve",$L$6:$L$505,"&lt;"&amp;$L136)+COUNTIFS($R$6:$R136,"Need to Improve",$L$6:$L136,$L136))</f>
        <v/>
      </c>
      <c r="W136" s="7">
        <f>IF($R136&lt;&gt;"Not Performing","",COUNTIFS($R$6:$R$505,"Not Performing",$L$6:$L$505,"&lt;"&amp;$L136)+COUNTIFS($R$6:$R136,"Not Performing",$L$6:$L136,$L136))</f>
        <v/>
      </c>
    </row>
    <row r="137" ht="15" customHeight="1">
      <c r="A137" s="27" t="n"/>
      <c r="B137" s="27" t="n"/>
      <c r="C137" s="27" t="n"/>
      <c r="D137" s="28">
        <f>IF($C137="","",IFERROR(TRIM(LEFT($C137,FIND("-",$C137)-1)),""))</f>
        <v/>
      </c>
      <c r="E137" s="27" t="n"/>
      <c r="F137" s="29" t="n"/>
      <c r="G137" s="30" t="n"/>
      <c r="H137" s="30" t="n"/>
      <c r="I137" s="31">
        <f>IF($B137="","",$H137-$G137)</f>
        <v/>
      </c>
      <c r="J137" s="32">
        <f>IF(OR($B137="",$G137=0,$G137=""),"",$I137/$G137)</f>
        <v/>
      </c>
      <c r="K137" s="33" t="n"/>
      <c r="L137" s="33" t="n"/>
      <c r="M137" s="33" t="n"/>
      <c r="N137" s="33" t="n"/>
      <c r="O137" s="33" t="n"/>
      <c r="P137" s="32">
        <f>IF(OR($L137="",$N137=""),"",$L137-$N137)</f>
        <v/>
      </c>
      <c r="Q137" s="28">
        <f>IF($B137="","",IF(N($H137)&gt;0,"Live","Exited"))</f>
        <v/>
      </c>
      <c r="R137" s="28">
        <f>IF($B137="","",IF($L137="","Data Pending",IF($L137&gt;=Instructions!$D$19,"Best Fund",IF($L137&gt;=Instructions!$D$20,"Need to Improve","Not Performing"))))</f>
        <v/>
      </c>
      <c r="S137" s="7">
        <f>IF($R137="","",IF($R137="Data Pending","Enter the 3Y return",IF($R137="Best Fund","Hold / consider top-up",IF($R137="Need to Improve","Watch 2 quarters, then decide","Review with client - switch or exit"))))</f>
        <v/>
      </c>
      <c r="T137" s="27" t="n"/>
      <c r="U137" s="7">
        <f>IF($R137&lt;&gt;"Best Fund","",COUNTIFS($R$6:$R$505,"Best Fund",$L$6:$L$505,"&gt;"&amp;$L137)+COUNTIFS($R$6:$R137,"Best Fund",$L$6:$L137,$L137))</f>
        <v/>
      </c>
      <c r="V137" s="7">
        <f>IF($R137&lt;&gt;"Need to Improve","",COUNTIFS($R$6:$R$505,"Need to Improve",$L$6:$L$505,"&lt;"&amp;$L137)+COUNTIFS($R$6:$R137,"Need to Improve",$L$6:$L137,$L137))</f>
        <v/>
      </c>
      <c r="W137" s="7">
        <f>IF($R137&lt;&gt;"Not Performing","",COUNTIFS($R$6:$R$505,"Not Performing",$L$6:$L$505,"&lt;"&amp;$L137)+COUNTIFS($R$6:$R137,"Not Performing",$L$6:$L137,$L137))</f>
        <v/>
      </c>
    </row>
    <row r="138" ht="15" customHeight="1">
      <c r="A138" s="27" t="n"/>
      <c r="B138" s="27" t="n"/>
      <c r="C138" s="27" t="n"/>
      <c r="D138" s="28">
        <f>IF($C138="","",IFERROR(TRIM(LEFT($C138,FIND("-",$C138)-1)),""))</f>
        <v/>
      </c>
      <c r="E138" s="27" t="n"/>
      <c r="F138" s="29" t="n"/>
      <c r="G138" s="30" t="n"/>
      <c r="H138" s="30" t="n"/>
      <c r="I138" s="31">
        <f>IF($B138="","",$H138-$G138)</f>
        <v/>
      </c>
      <c r="J138" s="32">
        <f>IF(OR($B138="",$G138=0,$G138=""),"",$I138/$G138)</f>
        <v/>
      </c>
      <c r="K138" s="33" t="n"/>
      <c r="L138" s="33" t="n"/>
      <c r="M138" s="33" t="n"/>
      <c r="N138" s="33" t="n"/>
      <c r="O138" s="33" t="n"/>
      <c r="P138" s="32">
        <f>IF(OR($L138="",$N138=""),"",$L138-$N138)</f>
        <v/>
      </c>
      <c r="Q138" s="28">
        <f>IF($B138="","",IF(N($H138)&gt;0,"Live","Exited"))</f>
        <v/>
      </c>
      <c r="R138" s="28">
        <f>IF($B138="","",IF($L138="","Data Pending",IF($L138&gt;=Instructions!$D$19,"Best Fund",IF($L138&gt;=Instructions!$D$20,"Need to Improve","Not Performing"))))</f>
        <v/>
      </c>
      <c r="S138" s="7">
        <f>IF($R138="","",IF($R138="Data Pending","Enter the 3Y return",IF($R138="Best Fund","Hold / consider top-up",IF($R138="Need to Improve","Watch 2 quarters, then decide","Review with client - switch or exit"))))</f>
        <v/>
      </c>
      <c r="T138" s="27" t="n"/>
      <c r="U138" s="7">
        <f>IF($R138&lt;&gt;"Best Fund","",COUNTIFS($R$6:$R$505,"Best Fund",$L$6:$L$505,"&gt;"&amp;$L138)+COUNTIFS($R$6:$R138,"Best Fund",$L$6:$L138,$L138))</f>
        <v/>
      </c>
      <c r="V138" s="7">
        <f>IF($R138&lt;&gt;"Need to Improve","",COUNTIFS($R$6:$R$505,"Need to Improve",$L$6:$L$505,"&lt;"&amp;$L138)+COUNTIFS($R$6:$R138,"Need to Improve",$L$6:$L138,$L138))</f>
        <v/>
      </c>
      <c r="W138" s="7">
        <f>IF($R138&lt;&gt;"Not Performing","",COUNTIFS($R$6:$R$505,"Not Performing",$L$6:$L$505,"&lt;"&amp;$L138)+COUNTIFS($R$6:$R138,"Not Performing",$L$6:$L138,$L138))</f>
        <v/>
      </c>
    </row>
    <row r="139" ht="15" customHeight="1">
      <c r="A139" s="27" t="n"/>
      <c r="B139" s="27" t="n"/>
      <c r="C139" s="27" t="n"/>
      <c r="D139" s="28">
        <f>IF($C139="","",IFERROR(TRIM(LEFT($C139,FIND("-",$C139)-1)),""))</f>
        <v/>
      </c>
      <c r="E139" s="27" t="n"/>
      <c r="F139" s="29" t="n"/>
      <c r="G139" s="30" t="n"/>
      <c r="H139" s="30" t="n"/>
      <c r="I139" s="31">
        <f>IF($B139="","",$H139-$G139)</f>
        <v/>
      </c>
      <c r="J139" s="32">
        <f>IF(OR($B139="",$G139=0,$G139=""),"",$I139/$G139)</f>
        <v/>
      </c>
      <c r="K139" s="33" t="n"/>
      <c r="L139" s="33" t="n"/>
      <c r="M139" s="33" t="n"/>
      <c r="N139" s="33" t="n"/>
      <c r="O139" s="33" t="n"/>
      <c r="P139" s="32">
        <f>IF(OR($L139="",$N139=""),"",$L139-$N139)</f>
        <v/>
      </c>
      <c r="Q139" s="28">
        <f>IF($B139="","",IF(N($H139)&gt;0,"Live","Exited"))</f>
        <v/>
      </c>
      <c r="R139" s="28">
        <f>IF($B139="","",IF($L139="","Data Pending",IF($L139&gt;=Instructions!$D$19,"Best Fund",IF($L139&gt;=Instructions!$D$20,"Need to Improve","Not Performing"))))</f>
        <v/>
      </c>
      <c r="S139" s="7">
        <f>IF($R139="","",IF($R139="Data Pending","Enter the 3Y return",IF($R139="Best Fund","Hold / consider top-up",IF($R139="Need to Improve","Watch 2 quarters, then decide","Review with client - switch or exit"))))</f>
        <v/>
      </c>
      <c r="T139" s="27" t="n"/>
      <c r="U139" s="7">
        <f>IF($R139&lt;&gt;"Best Fund","",COUNTIFS($R$6:$R$505,"Best Fund",$L$6:$L$505,"&gt;"&amp;$L139)+COUNTIFS($R$6:$R139,"Best Fund",$L$6:$L139,$L139))</f>
        <v/>
      </c>
      <c r="V139" s="7">
        <f>IF($R139&lt;&gt;"Need to Improve","",COUNTIFS($R$6:$R$505,"Need to Improve",$L$6:$L$505,"&lt;"&amp;$L139)+COUNTIFS($R$6:$R139,"Need to Improve",$L$6:$L139,$L139))</f>
        <v/>
      </c>
      <c r="W139" s="7">
        <f>IF($R139&lt;&gt;"Not Performing","",COUNTIFS($R$6:$R$505,"Not Performing",$L$6:$L$505,"&lt;"&amp;$L139)+COUNTIFS($R$6:$R139,"Not Performing",$L$6:$L139,$L139))</f>
        <v/>
      </c>
    </row>
    <row r="140" ht="15" customHeight="1">
      <c r="A140" s="27" t="n"/>
      <c r="B140" s="27" t="n"/>
      <c r="C140" s="27" t="n"/>
      <c r="D140" s="28">
        <f>IF($C140="","",IFERROR(TRIM(LEFT($C140,FIND("-",$C140)-1)),""))</f>
        <v/>
      </c>
      <c r="E140" s="27" t="n"/>
      <c r="F140" s="29" t="n"/>
      <c r="G140" s="30" t="n"/>
      <c r="H140" s="30" t="n"/>
      <c r="I140" s="31">
        <f>IF($B140="","",$H140-$G140)</f>
        <v/>
      </c>
      <c r="J140" s="32">
        <f>IF(OR($B140="",$G140=0,$G140=""),"",$I140/$G140)</f>
        <v/>
      </c>
      <c r="K140" s="33" t="n"/>
      <c r="L140" s="33" t="n"/>
      <c r="M140" s="33" t="n"/>
      <c r="N140" s="33" t="n"/>
      <c r="O140" s="33" t="n"/>
      <c r="P140" s="32">
        <f>IF(OR($L140="",$N140=""),"",$L140-$N140)</f>
        <v/>
      </c>
      <c r="Q140" s="28">
        <f>IF($B140="","",IF(N($H140)&gt;0,"Live","Exited"))</f>
        <v/>
      </c>
      <c r="R140" s="28">
        <f>IF($B140="","",IF($L140="","Data Pending",IF($L140&gt;=Instructions!$D$19,"Best Fund",IF($L140&gt;=Instructions!$D$20,"Need to Improve","Not Performing"))))</f>
        <v/>
      </c>
      <c r="S140" s="7">
        <f>IF($R140="","",IF($R140="Data Pending","Enter the 3Y return",IF($R140="Best Fund","Hold / consider top-up",IF($R140="Need to Improve","Watch 2 quarters, then decide","Review with client - switch or exit"))))</f>
        <v/>
      </c>
      <c r="T140" s="27" t="n"/>
      <c r="U140" s="7">
        <f>IF($R140&lt;&gt;"Best Fund","",COUNTIFS($R$6:$R$505,"Best Fund",$L$6:$L$505,"&gt;"&amp;$L140)+COUNTIFS($R$6:$R140,"Best Fund",$L$6:$L140,$L140))</f>
        <v/>
      </c>
      <c r="V140" s="7">
        <f>IF($R140&lt;&gt;"Need to Improve","",COUNTIFS($R$6:$R$505,"Need to Improve",$L$6:$L$505,"&lt;"&amp;$L140)+COUNTIFS($R$6:$R140,"Need to Improve",$L$6:$L140,$L140))</f>
        <v/>
      </c>
      <c r="W140" s="7">
        <f>IF($R140&lt;&gt;"Not Performing","",COUNTIFS($R$6:$R$505,"Not Performing",$L$6:$L$505,"&lt;"&amp;$L140)+COUNTIFS($R$6:$R140,"Not Performing",$L$6:$L140,$L140))</f>
        <v/>
      </c>
    </row>
    <row r="141" ht="15" customHeight="1">
      <c r="A141" s="27" t="n"/>
      <c r="B141" s="27" t="n"/>
      <c r="C141" s="27" t="n"/>
      <c r="D141" s="28">
        <f>IF($C141="","",IFERROR(TRIM(LEFT($C141,FIND("-",$C141)-1)),""))</f>
        <v/>
      </c>
      <c r="E141" s="27" t="n"/>
      <c r="F141" s="29" t="n"/>
      <c r="G141" s="30" t="n"/>
      <c r="H141" s="30" t="n"/>
      <c r="I141" s="31">
        <f>IF($B141="","",$H141-$G141)</f>
        <v/>
      </c>
      <c r="J141" s="32">
        <f>IF(OR($B141="",$G141=0,$G141=""),"",$I141/$G141)</f>
        <v/>
      </c>
      <c r="K141" s="33" t="n"/>
      <c r="L141" s="33" t="n"/>
      <c r="M141" s="33" t="n"/>
      <c r="N141" s="33" t="n"/>
      <c r="O141" s="33" t="n"/>
      <c r="P141" s="32">
        <f>IF(OR($L141="",$N141=""),"",$L141-$N141)</f>
        <v/>
      </c>
      <c r="Q141" s="28">
        <f>IF($B141="","",IF(N($H141)&gt;0,"Live","Exited"))</f>
        <v/>
      </c>
      <c r="R141" s="28">
        <f>IF($B141="","",IF($L141="","Data Pending",IF($L141&gt;=Instructions!$D$19,"Best Fund",IF($L141&gt;=Instructions!$D$20,"Need to Improve","Not Performing"))))</f>
        <v/>
      </c>
      <c r="S141" s="7">
        <f>IF($R141="","",IF($R141="Data Pending","Enter the 3Y return",IF($R141="Best Fund","Hold / consider top-up",IF($R141="Need to Improve","Watch 2 quarters, then decide","Review with client - switch or exit"))))</f>
        <v/>
      </c>
      <c r="T141" s="27" t="n"/>
      <c r="U141" s="7">
        <f>IF($R141&lt;&gt;"Best Fund","",COUNTIFS($R$6:$R$505,"Best Fund",$L$6:$L$505,"&gt;"&amp;$L141)+COUNTIFS($R$6:$R141,"Best Fund",$L$6:$L141,$L141))</f>
        <v/>
      </c>
      <c r="V141" s="7">
        <f>IF($R141&lt;&gt;"Need to Improve","",COUNTIFS($R$6:$R$505,"Need to Improve",$L$6:$L$505,"&lt;"&amp;$L141)+COUNTIFS($R$6:$R141,"Need to Improve",$L$6:$L141,$L141))</f>
        <v/>
      </c>
      <c r="W141" s="7">
        <f>IF($R141&lt;&gt;"Not Performing","",COUNTIFS($R$6:$R$505,"Not Performing",$L$6:$L$505,"&lt;"&amp;$L141)+COUNTIFS($R$6:$R141,"Not Performing",$L$6:$L141,$L141))</f>
        <v/>
      </c>
    </row>
    <row r="142" ht="15" customHeight="1">
      <c r="A142" s="27" t="n"/>
      <c r="B142" s="27" t="n"/>
      <c r="C142" s="27" t="n"/>
      <c r="D142" s="28">
        <f>IF($C142="","",IFERROR(TRIM(LEFT($C142,FIND("-",$C142)-1)),""))</f>
        <v/>
      </c>
      <c r="E142" s="27" t="n"/>
      <c r="F142" s="29" t="n"/>
      <c r="G142" s="30" t="n"/>
      <c r="H142" s="30" t="n"/>
      <c r="I142" s="31">
        <f>IF($B142="","",$H142-$G142)</f>
        <v/>
      </c>
      <c r="J142" s="32">
        <f>IF(OR($B142="",$G142=0,$G142=""),"",$I142/$G142)</f>
        <v/>
      </c>
      <c r="K142" s="33" t="n"/>
      <c r="L142" s="33" t="n"/>
      <c r="M142" s="33" t="n"/>
      <c r="N142" s="33" t="n"/>
      <c r="O142" s="33" t="n"/>
      <c r="P142" s="32">
        <f>IF(OR($L142="",$N142=""),"",$L142-$N142)</f>
        <v/>
      </c>
      <c r="Q142" s="28">
        <f>IF($B142="","",IF(N($H142)&gt;0,"Live","Exited"))</f>
        <v/>
      </c>
      <c r="R142" s="28">
        <f>IF($B142="","",IF($L142="","Data Pending",IF($L142&gt;=Instructions!$D$19,"Best Fund",IF($L142&gt;=Instructions!$D$20,"Need to Improve","Not Performing"))))</f>
        <v/>
      </c>
      <c r="S142" s="7">
        <f>IF($R142="","",IF($R142="Data Pending","Enter the 3Y return",IF($R142="Best Fund","Hold / consider top-up",IF($R142="Need to Improve","Watch 2 quarters, then decide","Review with client - switch or exit"))))</f>
        <v/>
      </c>
      <c r="T142" s="27" t="n"/>
      <c r="U142" s="7">
        <f>IF($R142&lt;&gt;"Best Fund","",COUNTIFS($R$6:$R$505,"Best Fund",$L$6:$L$505,"&gt;"&amp;$L142)+COUNTIFS($R$6:$R142,"Best Fund",$L$6:$L142,$L142))</f>
        <v/>
      </c>
      <c r="V142" s="7">
        <f>IF($R142&lt;&gt;"Need to Improve","",COUNTIFS($R$6:$R$505,"Need to Improve",$L$6:$L$505,"&lt;"&amp;$L142)+COUNTIFS($R$6:$R142,"Need to Improve",$L$6:$L142,$L142))</f>
        <v/>
      </c>
      <c r="W142" s="7">
        <f>IF($R142&lt;&gt;"Not Performing","",COUNTIFS($R$6:$R$505,"Not Performing",$L$6:$L$505,"&lt;"&amp;$L142)+COUNTIFS($R$6:$R142,"Not Performing",$L$6:$L142,$L142))</f>
        <v/>
      </c>
    </row>
    <row r="143" ht="15" customHeight="1">
      <c r="A143" s="27" t="n"/>
      <c r="B143" s="27" t="n"/>
      <c r="C143" s="27" t="n"/>
      <c r="D143" s="28">
        <f>IF($C143="","",IFERROR(TRIM(LEFT($C143,FIND("-",$C143)-1)),""))</f>
        <v/>
      </c>
      <c r="E143" s="27" t="n"/>
      <c r="F143" s="29" t="n"/>
      <c r="G143" s="30" t="n"/>
      <c r="H143" s="30" t="n"/>
      <c r="I143" s="31">
        <f>IF($B143="","",$H143-$G143)</f>
        <v/>
      </c>
      <c r="J143" s="32">
        <f>IF(OR($B143="",$G143=0,$G143=""),"",$I143/$G143)</f>
        <v/>
      </c>
      <c r="K143" s="33" t="n"/>
      <c r="L143" s="33" t="n"/>
      <c r="M143" s="33" t="n"/>
      <c r="N143" s="33" t="n"/>
      <c r="O143" s="33" t="n"/>
      <c r="P143" s="32">
        <f>IF(OR($L143="",$N143=""),"",$L143-$N143)</f>
        <v/>
      </c>
      <c r="Q143" s="28">
        <f>IF($B143="","",IF(N($H143)&gt;0,"Live","Exited"))</f>
        <v/>
      </c>
      <c r="R143" s="28">
        <f>IF($B143="","",IF($L143="","Data Pending",IF($L143&gt;=Instructions!$D$19,"Best Fund",IF($L143&gt;=Instructions!$D$20,"Need to Improve","Not Performing"))))</f>
        <v/>
      </c>
      <c r="S143" s="7">
        <f>IF($R143="","",IF($R143="Data Pending","Enter the 3Y return",IF($R143="Best Fund","Hold / consider top-up",IF($R143="Need to Improve","Watch 2 quarters, then decide","Review with client - switch or exit"))))</f>
        <v/>
      </c>
      <c r="T143" s="27" t="n"/>
      <c r="U143" s="7">
        <f>IF($R143&lt;&gt;"Best Fund","",COUNTIFS($R$6:$R$505,"Best Fund",$L$6:$L$505,"&gt;"&amp;$L143)+COUNTIFS($R$6:$R143,"Best Fund",$L$6:$L143,$L143))</f>
        <v/>
      </c>
      <c r="V143" s="7">
        <f>IF($R143&lt;&gt;"Need to Improve","",COUNTIFS($R$6:$R$505,"Need to Improve",$L$6:$L$505,"&lt;"&amp;$L143)+COUNTIFS($R$6:$R143,"Need to Improve",$L$6:$L143,$L143))</f>
        <v/>
      </c>
      <c r="W143" s="7">
        <f>IF($R143&lt;&gt;"Not Performing","",COUNTIFS($R$6:$R$505,"Not Performing",$L$6:$L$505,"&lt;"&amp;$L143)+COUNTIFS($R$6:$R143,"Not Performing",$L$6:$L143,$L143))</f>
        <v/>
      </c>
    </row>
    <row r="144" ht="15" customHeight="1">
      <c r="A144" s="27" t="n"/>
      <c r="B144" s="27" t="n"/>
      <c r="C144" s="27" t="n"/>
      <c r="D144" s="28">
        <f>IF($C144="","",IFERROR(TRIM(LEFT($C144,FIND("-",$C144)-1)),""))</f>
        <v/>
      </c>
      <c r="E144" s="27" t="n"/>
      <c r="F144" s="29" t="n"/>
      <c r="G144" s="30" t="n"/>
      <c r="H144" s="30" t="n"/>
      <c r="I144" s="31">
        <f>IF($B144="","",$H144-$G144)</f>
        <v/>
      </c>
      <c r="J144" s="32">
        <f>IF(OR($B144="",$G144=0,$G144=""),"",$I144/$G144)</f>
        <v/>
      </c>
      <c r="K144" s="33" t="n"/>
      <c r="L144" s="33" t="n"/>
      <c r="M144" s="33" t="n"/>
      <c r="N144" s="33" t="n"/>
      <c r="O144" s="33" t="n"/>
      <c r="P144" s="32">
        <f>IF(OR($L144="",$N144=""),"",$L144-$N144)</f>
        <v/>
      </c>
      <c r="Q144" s="28">
        <f>IF($B144="","",IF(N($H144)&gt;0,"Live","Exited"))</f>
        <v/>
      </c>
      <c r="R144" s="28">
        <f>IF($B144="","",IF($L144="","Data Pending",IF($L144&gt;=Instructions!$D$19,"Best Fund",IF($L144&gt;=Instructions!$D$20,"Need to Improve","Not Performing"))))</f>
        <v/>
      </c>
      <c r="S144" s="7">
        <f>IF($R144="","",IF($R144="Data Pending","Enter the 3Y return",IF($R144="Best Fund","Hold / consider top-up",IF($R144="Need to Improve","Watch 2 quarters, then decide","Review with client - switch or exit"))))</f>
        <v/>
      </c>
      <c r="T144" s="27" t="n"/>
      <c r="U144" s="7">
        <f>IF($R144&lt;&gt;"Best Fund","",COUNTIFS($R$6:$R$505,"Best Fund",$L$6:$L$505,"&gt;"&amp;$L144)+COUNTIFS($R$6:$R144,"Best Fund",$L$6:$L144,$L144))</f>
        <v/>
      </c>
      <c r="V144" s="7">
        <f>IF($R144&lt;&gt;"Need to Improve","",COUNTIFS($R$6:$R$505,"Need to Improve",$L$6:$L$505,"&lt;"&amp;$L144)+COUNTIFS($R$6:$R144,"Need to Improve",$L$6:$L144,$L144))</f>
        <v/>
      </c>
      <c r="W144" s="7">
        <f>IF($R144&lt;&gt;"Not Performing","",COUNTIFS($R$6:$R$505,"Not Performing",$L$6:$L$505,"&lt;"&amp;$L144)+COUNTIFS($R$6:$R144,"Not Performing",$L$6:$L144,$L144))</f>
        <v/>
      </c>
    </row>
    <row r="145" ht="15" customHeight="1">
      <c r="A145" s="27" t="n"/>
      <c r="B145" s="27" t="n"/>
      <c r="C145" s="27" t="n"/>
      <c r="D145" s="28">
        <f>IF($C145="","",IFERROR(TRIM(LEFT($C145,FIND("-",$C145)-1)),""))</f>
        <v/>
      </c>
      <c r="E145" s="27" t="n"/>
      <c r="F145" s="29" t="n"/>
      <c r="G145" s="30" t="n"/>
      <c r="H145" s="30" t="n"/>
      <c r="I145" s="31">
        <f>IF($B145="","",$H145-$G145)</f>
        <v/>
      </c>
      <c r="J145" s="32">
        <f>IF(OR($B145="",$G145=0,$G145=""),"",$I145/$G145)</f>
        <v/>
      </c>
      <c r="K145" s="33" t="n"/>
      <c r="L145" s="33" t="n"/>
      <c r="M145" s="33" t="n"/>
      <c r="N145" s="33" t="n"/>
      <c r="O145" s="33" t="n"/>
      <c r="P145" s="32">
        <f>IF(OR($L145="",$N145=""),"",$L145-$N145)</f>
        <v/>
      </c>
      <c r="Q145" s="28">
        <f>IF($B145="","",IF(N($H145)&gt;0,"Live","Exited"))</f>
        <v/>
      </c>
      <c r="R145" s="28">
        <f>IF($B145="","",IF($L145="","Data Pending",IF($L145&gt;=Instructions!$D$19,"Best Fund",IF($L145&gt;=Instructions!$D$20,"Need to Improve","Not Performing"))))</f>
        <v/>
      </c>
      <c r="S145" s="7">
        <f>IF($R145="","",IF($R145="Data Pending","Enter the 3Y return",IF($R145="Best Fund","Hold / consider top-up",IF($R145="Need to Improve","Watch 2 quarters, then decide","Review with client - switch or exit"))))</f>
        <v/>
      </c>
      <c r="T145" s="27" t="n"/>
      <c r="U145" s="7">
        <f>IF($R145&lt;&gt;"Best Fund","",COUNTIFS($R$6:$R$505,"Best Fund",$L$6:$L$505,"&gt;"&amp;$L145)+COUNTIFS($R$6:$R145,"Best Fund",$L$6:$L145,$L145))</f>
        <v/>
      </c>
      <c r="V145" s="7">
        <f>IF($R145&lt;&gt;"Need to Improve","",COUNTIFS($R$6:$R$505,"Need to Improve",$L$6:$L$505,"&lt;"&amp;$L145)+COUNTIFS($R$6:$R145,"Need to Improve",$L$6:$L145,$L145))</f>
        <v/>
      </c>
      <c r="W145" s="7">
        <f>IF($R145&lt;&gt;"Not Performing","",COUNTIFS($R$6:$R$505,"Not Performing",$L$6:$L$505,"&lt;"&amp;$L145)+COUNTIFS($R$6:$R145,"Not Performing",$L$6:$L145,$L145))</f>
        <v/>
      </c>
    </row>
    <row r="146" ht="15" customHeight="1">
      <c r="A146" s="27" t="n"/>
      <c r="B146" s="27" t="n"/>
      <c r="C146" s="27" t="n"/>
      <c r="D146" s="28">
        <f>IF($C146="","",IFERROR(TRIM(LEFT($C146,FIND("-",$C146)-1)),""))</f>
        <v/>
      </c>
      <c r="E146" s="27" t="n"/>
      <c r="F146" s="29" t="n"/>
      <c r="G146" s="30" t="n"/>
      <c r="H146" s="30" t="n"/>
      <c r="I146" s="31">
        <f>IF($B146="","",$H146-$G146)</f>
        <v/>
      </c>
      <c r="J146" s="32">
        <f>IF(OR($B146="",$G146=0,$G146=""),"",$I146/$G146)</f>
        <v/>
      </c>
      <c r="K146" s="33" t="n"/>
      <c r="L146" s="33" t="n"/>
      <c r="M146" s="33" t="n"/>
      <c r="N146" s="33" t="n"/>
      <c r="O146" s="33" t="n"/>
      <c r="P146" s="32">
        <f>IF(OR($L146="",$N146=""),"",$L146-$N146)</f>
        <v/>
      </c>
      <c r="Q146" s="28">
        <f>IF($B146="","",IF(N($H146)&gt;0,"Live","Exited"))</f>
        <v/>
      </c>
      <c r="R146" s="28">
        <f>IF($B146="","",IF($L146="","Data Pending",IF($L146&gt;=Instructions!$D$19,"Best Fund",IF($L146&gt;=Instructions!$D$20,"Need to Improve","Not Performing"))))</f>
        <v/>
      </c>
      <c r="S146" s="7">
        <f>IF($R146="","",IF($R146="Data Pending","Enter the 3Y return",IF($R146="Best Fund","Hold / consider top-up",IF($R146="Need to Improve","Watch 2 quarters, then decide","Review with client - switch or exit"))))</f>
        <v/>
      </c>
      <c r="T146" s="27" t="n"/>
      <c r="U146" s="7">
        <f>IF($R146&lt;&gt;"Best Fund","",COUNTIFS($R$6:$R$505,"Best Fund",$L$6:$L$505,"&gt;"&amp;$L146)+COUNTIFS($R$6:$R146,"Best Fund",$L$6:$L146,$L146))</f>
        <v/>
      </c>
      <c r="V146" s="7">
        <f>IF($R146&lt;&gt;"Need to Improve","",COUNTIFS($R$6:$R$505,"Need to Improve",$L$6:$L$505,"&lt;"&amp;$L146)+COUNTIFS($R$6:$R146,"Need to Improve",$L$6:$L146,$L146))</f>
        <v/>
      </c>
      <c r="W146" s="7">
        <f>IF($R146&lt;&gt;"Not Performing","",COUNTIFS($R$6:$R$505,"Not Performing",$L$6:$L$505,"&lt;"&amp;$L146)+COUNTIFS($R$6:$R146,"Not Performing",$L$6:$L146,$L146))</f>
        <v/>
      </c>
    </row>
    <row r="147" ht="15" customHeight="1">
      <c r="A147" s="27" t="n"/>
      <c r="B147" s="27" t="n"/>
      <c r="C147" s="27" t="n"/>
      <c r="D147" s="28">
        <f>IF($C147="","",IFERROR(TRIM(LEFT($C147,FIND("-",$C147)-1)),""))</f>
        <v/>
      </c>
      <c r="E147" s="27" t="n"/>
      <c r="F147" s="29" t="n"/>
      <c r="G147" s="30" t="n"/>
      <c r="H147" s="30" t="n"/>
      <c r="I147" s="31">
        <f>IF($B147="","",$H147-$G147)</f>
        <v/>
      </c>
      <c r="J147" s="32">
        <f>IF(OR($B147="",$G147=0,$G147=""),"",$I147/$G147)</f>
        <v/>
      </c>
      <c r="K147" s="33" t="n"/>
      <c r="L147" s="33" t="n"/>
      <c r="M147" s="33" t="n"/>
      <c r="N147" s="33" t="n"/>
      <c r="O147" s="33" t="n"/>
      <c r="P147" s="32">
        <f>IF(OR($L147="",$N147=""),"",$L147-$N147)</f>
        <v/>
      </c>
      <c r="Q147" s="28">
        <f>IF($B147="","",IF(N($H147)&gt;0,"Live","Exited"))</f>
        <v/>
      </c>
      <c r="R147" s="28">
        <f>IF($B147="","",IF($L147="","Data Pending",IF($L147&gt;=Instructions!$D$19,"Best Fund",IF($L147&gt;=Instructions!$D$20,"Need to Improve","Not Performing"))))</f>
        <v/>
      </c>
      <c r="S147" s="7">
        <f>IF($R147="","",IF($R147="Data Pending","Enter the 3Y return",IF($R147="Best Fund","Hold / consider top-up",IF($R147="Need to Improve","Watch 2 quarters, then decide","Review with client - switch or exit"))))</f>
        <v/>
      </c>
      <c r="T147" s="27" t="n"/>
      <c r="U147" s="7">
        <f>IF($R147&lt;&gt;"Best Fund","",COUNTIFS($R$6:$R$505,"Best Fund",$L$6:$L$505,"&gt;"&amp;$L147)+COUNTIFS($R$6:$R147,"Best Fund",$L$6:$L147,$L147))</f>
        <v/>
      </c>
      <c r="V147" s="7">
        <f>IF($R147&lt;&gt;"Need to Improve","",COUNTIFS($R$6:$R$505,"Need to Improve",$L$6:$L$505,"&lt;"&amp;$L147)+COUNTIFS($R$6:$R147,"Need to Improve",$L$6:$L147,$L147))</f>
        <v/>
      </c>
      <c r="W147" s="7">
        <f>IF($R147&lt;&gt;"Not Performing","",COUNTIFS($R$6:$R$505,"Not Performing",$L$6:$L$505,"&lt;"&amp;$L147)+COUNTIFS($R$6:$R147,"Not Performing",$L$6:$L147,$L147))</f>
        <v/>
      </c>
    </row>
    <row r="148" ht="15" customHeight="1">
      <c r="A148" s="27" t="n"/>
      <c r="B148" s="27" t="n"/>
      <c r="C148" s="27" t="n"/>
      <c r="D148" s="28">
        <f>IF($C148="","",IFERROR(TRIM(LEFT($C148,FIND("-",$C148)-1)),""))</f>
        <v/>
      </c>
      <c r="E148" s="27" t="n"/>
      <c r="F148" s="29" t="n"/>
      <c r="G148" s="30" t="n"/>
      <c r="H148" s="30" t="n"/>
      <c r="I148" s="31">
        <f>IF($B148="","",$H148-$G148)</f>
        <v/>
      </c>
      <c r="J148" s="32">
        <f>IF(OR($B148="",$G148=0,$G148=""),"",$I148/$G148)</f>
        <v/>
      </c>
      <c r="K148" s="33" t="n"/>
      <c r="L148" s="33" t="n"/>
      <c r="M148" s="33" t="n"/>
      <c r="N148" s="33" t="n"/>
      <c r="O148" s="33" t="n"/>
      <c r="P148" s="32">
        <f>IF(OR($L148="",$N148=""),"",$L148-$N148)</f>
        <v/>
      </c>
      <c r="Q148" s="28">
        <f>IF($B148="","",IF(N($H148)&gt;0,"Live","Exited"))</f>
        <v/>
      </c>
      <c r="R148" s="28">
        <f>IF($B148="","",IF($L148="","Data Pending",IF($L148&gt;=Instructions!$D$19,"Best Fund",IF($L148&gt;=Instructions!$D$20,"Need to Improve","Not Performing"))))</f>
        <v/>
      </c>
      <c r="S148" s="7">
        <f>IF($R148="","",IF($R148="Data Pending","Enter the 3Y return",IF($R148="Best Fund","Hold / consider top-up",IF($R148="Need to Improve","Watch 2 quarters, then decide","Review with client - switch or exit"))))</f>
        <v/>
      </c>
      <c r="T148" s="27" t="n"/>
      <c r="U148" s="7">
        <f>IF($R148&lt;&gt;"Best Fund","",COUNTIFS($R$6:$R$505,"Best Fund",$L$6:$L$505,"&gt;"&amp;$L148)+COUNTIFS($R$6:$R148,"Best Fund",$L$6:$L148,$L148))</f>
        <v/>
      </c>
      <c r="V148" s="7">
        <f>IF($R148&lt;&gt;"Need to Improve","",COUNTIFS($R$6:$R$505,"Need to Improve",$L$6:$L$505,"&lt;"&amp;$L148)+COUNTIFS($R$6:$R148,"Need to Improve",$L$6:$L148,$L148))</f>
        <v/>
      </c>
      <c r="W148" s="7">
        <f>IF($R148&lt;&gt;"Not Performing","",COUNTIFS($R$6:$R$505,"Not Performing",$L$6:$L$505,"&lt;"&amp;$L148)+COUNTIFS($R$6:$R148,"Not Performing",$L$6:$L148,$L148))</f>
        <v/>
      </c>
    </row>
    <row r="149" ht="15" customHeight="1">
      <c r="A149" s="27" t="n"/>
      <c r="B149" s="27" t="n"/>
      <c r="C149" s="27" t="n"/>
      <c r="D149" s="28">
        <f>IF($C149="","",IFERROR(TRIM(LEFT($C149,FIND("-",$C149)-1)),""))</f>
        <v/>
      </c>
      <c r="E149" s="27" t="n"/>
      <c r="F149" s="29" t="n"/>
      <c r="G149" s="30" t="n"/>
      <c r="H149" s="30" t="n"/>
      <c r="I149" s="31">
        <f>IF($B149="","",$H149-$G149)</f>
        <v/>
      </c>
      <c r="J149" s="32">
        <f>IF(OR($B149="",$G149=0,$G149=""),"",$I149/$G149)</f>
        <v/>
      </c>
      <c r="K149" s="33" t="n"/>
      <c r="L149" s="33" t="n"/>
      <c r="M149" s="33" t="n"/>
      <c r="N149" s="33" t="n"/>
      <c r="O149" s="33" t="n"/>
      <c r="P149" s="32">
        <f>IF(OR($L149="",$N149=""),"",$L149-$N149)</f>
        <v/>
      </c>
      <c r="Q149" s="28">
        <f>IF($B149="","",IF(N($H149)&gt;0,"Live","Exited"))</f>
        <v/>
      </c>
      <c r="R149" s="28">
        <f>IF($B149="","",IF($L149="","Data Pending",IF($L149&gt;=Instructions!$D$19,"Best Fund",IF($L149&gt;=Instructions!$D$20,"Need to Improve","Not Performing"))))</f>
        <v/>
      </c>
      <c r="S149" s="7">
        <f>IF($R149="","",IF($R149="Data Pending","Enter the 3Y return",IF($R149="Best Fund","Hold / consider top-up",IF($R149="Need to Improve","Watch 2 quarters, then decide","Review with client - switch or exit"))))</f>
        <v/>
      </c>
      <c r="T149" s="27" t="n"/>
      <c r="U149" s="7">
        <f>IF($R149&lt;&gt;"Best Fund","",COUNTIFS($R$6:$R$505,"Best Fund",$L$6:$L$505,"&gt;"&amp;$L149)+COUNTIFS($R$6:$R149,"Best Fund",$L$6:$L149,$L149))</f>
        <v/>
      </c>
      <c r="V149" s="7">
        <f>IF($R149&lt;&gt;"Need to Improve","",COUNTIFS($R$6:$R$505,"Need to Improve",$L$6:$L$505,"&lt;"&amp;$L149)+COUNTIFS($R$6:$R149,"Need to Improve",$L$6:$L149,$L149))</f>
        <v/>
      </c>
      <c r="W149" s="7">
        <f>IF($R149&lt;&gt;"Not Performing","",COUNTIFS($R$6:$R$505,"Not Performing",$L$6:$L$505,"&lt;"&amp;$L149)+COUNTIFS($R$6:$R149,"Not Performing",$L$6:$L149,$L149))</f>
        <v/>
      </c>
    </row>
    <row r="150" ht="15" customHeight="1">
      <c r="A150" s="27" t="n"/>
      <c r="B150" s="27" t="n"/>
      <c r="C150" s="27" t="n"/>
      <c r="D150" s="28">
        <f>IF($C150="","",IFERROR(TRIM(LEFT($C150,FIND("-",$C150)-1)),""))</f>
        <v/>
      </c>
      <c r="E150" s="27" t="n"/>
      <c r="F150" s="29" t="n"/>
      <c r="G150" s="30" t="n"/>
      <c r="H150" s="30" t="n"/>
      <c r="I150" s="31">
        <f>IF($B150="","",$H150-$G150)</f>
        <v/>
      </c>
      <c r="J150" s="32">
        <f>IF(OR($B150="",$G150=0,$G150=""),"",$I150/$G150)</f>
        <v/>
      </c>
      <c r="K150" s="33" t="n"/>
      <c r="L150" s="33" t="n"/>
      <c r="M150" s="33" t="n"/>
      <c r="N150" s="33" t="n"/>
      <c r="O150" s="33" t="n"/>
      <c r="P150" s="32">
        <f>IF(OR($L150="",$N150=""),"",$L150-$N150)</f>
        <v/>
      </c>
      <c r="Q150" s="28">
        <f>IF($B150="","",IF(N($H150)&gt;0,"Live","Exited"))</f>
        <v/>
      </c>
      <c r="R150" s="28">
        <f>IF($B150="","",IF($L150="","Data Pending",IF($L150&gt;=Instructions!$D$19,"Best Fund",IF($L150&gt;=Instructions!$D$20,"Need to Improve","Not Performing"))))</f>
        <v/>
      </c>
      <c r="S150" s="7">
        <f>IF($R150="","",IF($R150="Data Pending","Enter the 3Y return",IF($R150="Best Fund","Hold / consider top-up",IF($R150="Need to Improve","Watch 2 quarters, then decide","Review with client - switch or exit"))))</f>
        <v/>
      </c>
      <c r="T150" s="27" t="n"/>
      <c r="U150" s="7">
        <f>IF($R150&lt;&gt;"Best Fund","",COUNTIFS($R$6:$R$505,"Best Fund",$L$6:$L$505,"&gt;"&amp;$L150)+COUNTIFS($R$6:$R150,"Best Fund",$L$6:$L150,$L150))</f>
        <v/>
      </c>
      <c r="V150" s="7">
        <f>IF($R150&lt;&gt;"Need to Improve","",COUNTIFS($R$6:$R$505,"Need to Improve",$L$6:$L$505,"&lt;"&amp;$L150)+COUNTIFS($R$6:$R150,"Need to Improve",$L$6:$L150,$L150))</f>
        <v/>
      </c>
      <c r="W150" s="7">
        <f>IF($R150&lt;&gt;"Not Performing","",COUNTIFS($R$6:$R$505,"Not Performing",$L$6:$L$505,"&lt;"&amp;$L150)+COUNTIFS($R$6:$R150,"Not Performing",$L$6:$L150,$L150))</f>
        <v/>
      </c>
    </row>
    <row r="151" ht="15" customHeight="1">
      <c r="A151" s="27" t="n"/>
      <c r="B151" s="27" t="n"/>
      <c r="C151" s="27" t="n"/>
      <c r="D151" s="28">
        <f>IF($C151="","",IFERROR(TRIM(LEFT($C151,FIND("-",$C151)-1)),""))</f>
        <v/>
      </c>
      <c r="E151" s="27" t="n"/>
      <c r="F151" s="29" t="n"/>
      <c r="G151" s="30" t="n"/>
      <c r="H151" s="30" t="n"/>
      <c r="I151" s="31">
        <f>IF($B151="","",$H151-$G151)</f>
        <v/>
      </c>
      <c r="J151" s="32">
        <f>IF(OR($B151="",$G151=0,$G151=""),"",$I151/$G151)</f>
        <v/>
      </c>
      <c r="K151" s="33" t="n"/>
      <c r="L151" s="33" t="n"/>
      <c r="M151" s="33" t="n"/>
      <c r="N151" s="33" t="n"/>
      <c r="O151" s="33" t="n"/>
      <c r="P151" s="32">
        <f>IF(OR($L151="",$N151=""),"",$L151-$N151)</f>
        <v/>
      </c>
      <c r="Q151" s="28">
        <f>IF($B151="","",IF(N($H151)&gt;0,"Live","Exited"))</f>
        <v/>
      </c>
      <c r="R151" s="28">
        <f>IF($B151="","",IF($L151="","Data Pending",IF($L151&gt;=Instructions!$D$19,"Best Fund",IF($L151&gt;=Instructions!$D$20,"Need to Improve","Not Performing"))))</f>
        <v/>
      </c>
      <c r="S151" s="7">
        <f>IF($R151="","",IF($R151="Data Pending","Enter the 3Y return",IF($R151="Best Fund","Hold / consider top-up",IF($R151="Need to Improve","Watch 2 quarters, then decide","Review with client - switch or exit"))))</f>
        <v/>
      </c>
      <c r="T151" s="27" t="n"/>
      <c r="U151" s="7">
        <f>IF($R151&lt;&gt;"Best Fund","",COUNTIFS($R$6:$R$505,"Best Fund",$L$6:$L$505,"&gt;"&amp;$L151)+COUNTIFS($R$6:$R151,"Best Fund",$L$6:$L151,$L151))</f>
        <v/>
      </c>
      <c r="V151" s="7">
        <f>IF($R151&lt;&gt;"Need to Improve","",COUNTIFS($R$6:$R$505,"Need to Improve",$L$6:$L$505,"&lt;"&amp;$L151)+COUNTIFS($R$6:$R151,"Need to Improve",$L$6:$L151,$L151))</f>
        <v/>
      </c>
      <c r="W151" s="7">
        <f>IF($R151&lt;&gt;"Not Performing","",COUNTIFS($R$6:$R$505,"Not Performing",$L$6:$L$505,"&lt;"&amp;$L151)+COUNTIFS($R$6:$R151,"Not Performing",$L$6:$L151,$L151))</f>
        <v/>
      </c>
    </row>
    <row r="152" ht="15" customHeight="1">
      <c r="A152" s="27" t="n"/>
      <c r="B152" s="27" t="n"/>
      <c r="C152" s="27" t="n"/>
      <c r="D152" s="28">
        <f>IF($C152="","",IFERROR(TRIM(LEFT($C152,FIND("-",$C152)-1)),""))</f>
        <v/>
      </c>
      <c r="E152" s="27" t="n"/>
      <c r="F152" s="29" t="n"/>
      <c r="G152" s="30" t="n"/>
      <c r="H152" s="30" t="n"/>
      <c r="I152" s="31">
        <f>IF($B152="","",$H152-$G152)</f>
        <v/>
      </c>
      <c r="J152" s="32">
        <f>IF(OR($B152="",$G152=0,$G152=""),"",$I152/$G152)</f>
        <v/>
      </c>
      <c r="K152" s="33" t="n"/>
      <c r="L152" s="33" t="n"/>
      <c r="M152" s="33" t="n"/>
      <c r="N152" s="33" t="n"/>
      <c r="O152" s="33" t="n"/>
      <c r="P152" s="32">
        <f>IF(OR($L152="",$N152=""),"",$L152-$N152)</f>
        <v/>
      </c>
      <c r="Q152" s="28">
        <f>IF($B152="","",IF(N($H152)&gt;0,"Live","Exited"))</f>
        <v/>
      </c>
      <c r="R152" s="28">
        <f>IF($B152="","",IF($L152="","Data Pending",IF($L152&gt;=Instructions!$D$19,"Best Fund",IF($L152&gt;=Instructions!$D$20,"Need to Improve","Not Performing"))))</f>
        <v/>
      </c>
      <c r="S152" s="7">
        <f>IF($R152="","",IF($R152="Data Pending","Enter the 3Y return",IF($R152="Best Fund","Hold / consider top-up",IF($R152="Need to Improve","Watch 2 quarters, then decide","Review with client - switch or exit"))))</f>
        <v/>
      </c>
      <c r="T152" s="27" t="n"/>
      <c r="U152" s="7">
        <f>IF($R152&lt;&gt;"Best Fund","",COUNTIFS($R$6:$R$505,"Best Fund",$L$6:$L$505,"&gt;"&amp;$L152)+COUNTIFS($R$6:$R152,"Best Fund",$L$6:$L152,$L152))</f>
        <v/>
      </c>
      <c r="V152" s="7">
        <f>IF($R152&lt;&gt;"Need to Improve","",COUNTIFS($R$6:$R$505,"Need to Improve",$L$6:$L$505,"&lt;"&amp;$L152)+COUNTIFS($R$6:$R152,"Need to Improve",$L$6:$L152,$L152))</f>
        <v/>
      </c>
      <c r="W152" s="7">
        <f>IF($R152&lt;&gt;"Not Performing","",COUNTIFS($R$6:$R$505,"Not Performing",$L$6:$L$505,"&lt;"&amp;$L152)+COUNTIFS($R$6:$R152,"Not Performing",$L$6:$L152,$L152))</f>
        <v/>
      </c>
    </row>
    <row r="153" ht="15" customHeight="1">
      <c r="A153" s="27" t="n"/>
      <c r="B153" s="27" t="n"/>
      <c r="C153" s="27" t="n"/>
      <c r="D153" s="28">
        <f>IF($C153="","",IFERROR(TRIM(LEFT($C153,FIND("-",$C153)-1)),""))</f>
        <v/>
      </c>
      <c r="E153" s="27" t="n"/>
      <c r="F153" s="29" t="n"/>
      <c r="G153" s="30" t="n"/>
      <c r="H153" s="30" t="n"/>
      <c r="I153" s="31">
        <f>IF($B153="","",$H153-$G153)</f>
        <v/>
      </c>
      <c r="J153" s="32">
        <f>IF(OR($B153="",$G153=0,$G153=""),"",$I153/$G153)</f>
        <v/>
      </c>
      <c r="K153" s="33" t="n"/>
      <c r="L153" s="33" t="n"/>
      <c r="M153" s="33" t="n"/>
      <c r="N153" s="33" t="n"/>
      <c r="O153" s="33" t="n"/>
      <c r="P153" s="32">
        <f>IF(OR($L153="",$N153=""),"",$L153-$N153)</f>
        <v/>
      </c>
      <c r="Q153" s="28">
        <f>IF($B153="","",IF(N($H153)&gt;0,"Live","Exited"))</f>
        <v/>
      </c>
      <c r="R153" s="28">
        <f>IF($B153="","",IF($L153="","Data Pending",IF($L153&gt;=Instructions!$D$19,"Best Fund",IF($L153&gt;=Instructions!$D$20,"Need to Improve","Not Performing"))))</f>
        <v/>
      </c>
      <c r="S153" s="7">
        <f>IF($R153="","",IF($R153="Data Pending","Enter the 3Y return",IF($R153="Best Fund","Hold / consider top-up",IF($R153="Need to Improve","Watch 2 quarters, then decide","Review with client - switch or exit"))))</f>
        <v/>
      </c>
      <c r="T153" s="27" t="n"/>
      <c r="U153" s="7">
        <f>IF($R153&lt;&gt;"Best Fund","",COUNTIFS($R$6:$R$505,"Best Fund",$L$6:$L$505,"&gt;"&amp;$L153)+COUNTIFS($R$6:$R153,"Best Fund",$L$6:$L153,$L153))</f>
        <v/>
      </c>
      <c r="V153" s="7">
        <f>IF($R153&lt;&gt;"Need to Improve","",COUNTIFS($R$6:$R$505,"Need to Improve",$L$6:$L$505,"&lt;"&amp;$L153)+COUNTIFS($R$6:$R153,"Need to Improve",$L$6:$L153,$L153))</f>
        <v/>
      </c>
      <c r="W153" s="7">
        <f>IF($R153&lt;&gt;"Not Performing","",COUNTIFS($R$6:$R$505,"Not Performing",$L$6:$L$505,"&lt;"&amp;$L153)+COUNTIFS($R$6:$R153,"Not Performing",$L$6:$L153,$L153))</f>
        <v/>
      </c>
    </row>
    <row r="154" ht="15" customHeight="1">
      <c r="A154" s="27" t="n"/>
      <c r="B154" s="27" t="n"/>
      <c r="C154" s="27" t="n"/>
      <c r="D154" s="28">
        <f>IF($C154="","",IFERROR(TRIM(LEFT($C154,FIND("-",$C154)-1)),""))</f>
        <v/>
      </c>
      <c r="E154" s="27" t="n"/>
      <c r="F154" s="29" t="n"/>
      <c r="G154" s="30" t="n"/>
      <c r="H154" s="30" t="n"/>
      <c r="I154" s="31">
        <f>IF($B154="","",$H154-$G154)</f>
        <v/>
      </c>
      <c r="J154" s="32">
        <f>IF(OR($B154="",$G154=0,$G154=""),"",$I154/$G154)</f>
        <v/>
      </c>
      <c r="K154" s="33" t="n"/>
      <c r="L154" s="33" t="n"/>
      <c r="M154" s="33" t="n"/>
      <c r="N154" s="33" t="n"/>
      <c r="O154" s="33" t="n"/>
      <c r="P154" s="32">
        <f>IF(OR($L154="",$N154=""),"",$L154-$N154)</f>
        <v/>
      </c>
      <c r="Q154" s="28">
        <f>IF($B154="","",IF(N($H154)&gt;0,"Live","Exited"))</f>
        <v/>
      </c>
      <c r="R154" s="28">
        <f>IF($B154="","",IF($L154="","Data Pending",IF($L154&gt;=Instructions!$D$19,"Best Fund",IF($L154&gt;=Instructions!$D$20,"Need to Improve","Not Performing"))))</f>
        <v/>
      </c>
      <c r="S154" s="7">
        <f>IF($R154="","",IF($R154="Data Pending","Enter the 3Y return",IF($R154="Best Fund","Hold / consider top-up",IF($R154="Need to Improve","Watch 2 quarters, then decide","Review with client - switch or exit"))))</f>
        <v/>
      </c>
      <c r="T154" s="27" t="n"/>
      <c r="U154" s="7">
        <f>IF($R154&lt;&gt;"Best Fund","",COUNTIFS($R$6:$R$505,"Best Fund",$L$6:$L$505,"&gt;"&amp;$L154)+COUNTIFS($R$6:$R154,"Best Fund",$L$6:$L154,$L154))</f>
        <v/>
      </c>
      <c r="V154" s="7">
        <f>IF($R154&lt;&gt;"Need to Improve","",COUNTIFS($R$6:$R$505,"Need to Improve",$L$6:$L$505,"&lt;"&amp;$L154)+COUNTIFS($R$6:$R154,"Need to Improve",$L$6:$L154,$L154))</f>
        <v/>
      </c>
      <c r="W154" s="7">
        <f>IF($R154&lt;&gt;"Not Performing","",COUNTIFS($R$6:$R$505,"Not Performing",$L$6:$L$505,"&lt;"&amp;$L154)+COUNTIFS($R$6:$R154,"Not Performing",$L$6:$L154,$L154))</f>
        <v/>
      </c>
    </row>
    <row r="155" ht="15" customHeight="1">
      <c r="A155" s="27" t="n"/>
      <c r="B155" s="27" t="n"/>
      <c r="C155" s="27" t="n"/>
      <c r="D155" s="28">
        <f>IF($C155="","",IFERROR(TRIM(LEFT($C155,FIND("-",$C155)-1)),""))</f>
        <v/>
      </c>
      <c r="E155" s="27" t="n"/>
      <c r="F155" s="29" t="n"/>
      <c r="G155" s="30" t="n"/>
      <c r="H155" s="30" t="n"/>
      <c r="I155" s="31">
        <f>IF($B155="","",$H155-$G155)</f>
        <v/>
      </c>
      <c r="J155" s="32">
        <f>IF(OR($B155="",$G155=0,$G155=""),"",$I155/$G155)</f>
        <v/>
      </c>
      <c r="K155" s="33" t="n"/>
      <c r="L155" s="33" t="n"/>
      <c r="M155" s="33" t="n"/>
      <c r="N155" s="33" t="n"/>
      <c r="O155" s="33" t="n"/>
      <c r="P155" s="32">
        <f>IF(OR($L155="",$N155=""),"",$L155-$N155)</f>
        <v/>
      </c>
      <c r="Q155" s="28">
        <f>IF($B155="","",IF(N($H155)&gt;0,"Live","Exited"))</f>
        <v/>
      </c>
      <c r="R155" s="28">
        <f>IF($B155="","",IF($L155="","Data Pending",IF($L155&gt;=Instructions!$D$19,"Best Fund",IF($L155&gt;=Instructions!$D$20,"Need to Improve","Not Performing"))))</f>
        <v/>
      </c>
      <c r="S155" s="7">
        <f>IF($R155="","",IF($R155="Data Pending","Enter the 3Y return",IF($R155="Best Fund","Hold / consider top-up",IF($R155="Need to Improve","Watch 2 quarters, then decide","Review with client - switch or exit"))))</f>
        <v/>
      </c>
      <c r="T155" s="27" t="n"/>
      <c r="U155" s="7">
        <f>IF($R155&lt;&gt;"Best Fund","",COUNTIFS($R$6:$R$505,"Best Fund",$L$6:$L$505,"&gt;"&amp;$L155)+COUNTIFS($R$6:$R155,"Best Fund",$L$6:$L155,$L155))</f>
        <v/>
      </c>
      <c r="V155" s="7">
        <f>IF($R155&lt;&gt;"Need to Improve","",COUNTIFS($R$6:$R$505,"Need to Improve",$L$6:$L$505,"&lt;"&amp;$L155)+COUNTIFS($R$6:$R155,"Need to Improve",$L$6:$L155,$L155))</f>
        <v/>
      </c>
      <c r="W155" s="7">
        <f>IF($R155&lt;&gt;"Not Performing","",COUNTIFS($R$6:$R$505,"Not Performing",$L$6:$L$505,"&lt;"&amp;$L155)+COUNTIFS($R$6:$R155,"Not Performing",$L$6:$L155,$L155))</f>
        <v/>
      </c>
    </row>
    <row r="156" ht="15" customHeight="1">
      <c r="A156" s="27" t="n"/>
      <c r="B156" s="27" t="n"/>
      <c r="C156" s="27" t="n"/>
      <c r="D156" s="28">
        <f>IF($C156="","",IFERROR(TRIM(LEFT($C156,FIND("-",$C156)-1)),""))</f>
        <v/>
      </c>
      <c r="E156" s="27" t="n"/>
      <c r="F156" s="29" t="n"/>
      <c r="G156" s="30" t="n"/>
      <c r="H156" s="30" t="n"/>
      <c r="I156" s="31">
        <f>IF($B156="","",$H156-$G156)</f>
        <v/>
      </c>
      <c r="J156" s="32">
        <f>IF(OR($B156="",$G156=0,$G156=""),"",$I156/$G156)</f>
        <v/>
      </c>
      <c r="K156" s="33" t="n"/>
      <c r="L156" s="33" t="n"/>
      <c r="M156" s="33" t="n"/>
      <c r="N156" s="33" t="n"/>
      <c r="O156" s="33" t="n"/>
      <c r="P156" s="32">
        <f>IF(OR($L156="",$N156=""),"",$L156-$N156)</f>
        <v/>
      </c>
      <c r="Q156" s="28">
        <f>IF($B156="","",IF(N($H156)&gt;0,"Live","Exited"))</f>
        <v/>
      </c>
      <c r="R156" s="28">
        <f>IF($B156="","",IF($L156="","Data Pending",IF($L156&gt;=Instructions!$D$19,"Best Fund",IF($L156&gt;=Instructions!$D$20,"Need to Improve","Not Performing"))))</f>
        <v/>
      </c>
      <c r="S156" s="7">
        <f>IF($R156="","",IF($R156="Data Pending","Enter the 3Y return",IF($R156="Best Fund","Hold / consider top-up",IF($R156="Need to Improve","Watch 2 quarters, then decide","Review with client - switch or exit"))))</f>
        <v/>
      </c>
      <c r="T156" s="27" t="n"/>
      <c r="U156" s="7">
        <f>IF($R156&lt;&gt;"Best Fund","",COUNTIFS($R$6:$R$505,"Best Fund",$L$6:$L$505,"&gt;"&amp;$L156)+COUNTIFS($R$6:$R156,"Best Fund",$L$6:$L156,$L156))</f>
        <v/>
      </c>
      <c r="V156" s="7">
        <f>IF($R156&lt;&gt;"Need to Improve","",COUNTIFS($R$6:$R$505,"Need to Improve",$L$6:$L$505,"&lt;"&amp;$L156)+COUNTIFS($R$6:$R156,"Need to Improve",$L$6:$L156,$L156))</f>
        <v/>
      </c>
      <c r="W156" s="7">
        <f>IF($R156&lt;&gt;"Not Performing","",COUNTIFS($R$6:$R$505,"Not Performing",$L$6:$L$505,"&lt;"&amp;$L156)+COUNTIFS($R$6:$R156,"Not Performing",$L$6:$L156,$L156))</f>
        <v/>
      </c>
    </row>
    <row r="157" ht="15" customHeight="1">
      <c r="A157" s="27" t="n"/>
      <c r="B157" s="27" t="n"/>
      <c r="C157" s="27" t="n"/>
      <c r="D157" s="28">
        <f>IF($C157="","",IFERROR(TRIM(LEFT($C157,FIND("-",$C157)-1)),""))</f>
        <v/>
      </c>
      <c r="E157" s="27" t="n"/>
      <c r="F157" s="29" t="n"/>
      <c r="G157" s="30" t="n"/>
      <c r="H157" s="30" t="n"/>
      <c r="I157" s="31">
        <f>IF($B157="","",$H157-$G157)</f>
        <v/>
      </c>
      <c r="J157" s="32">
        <f>IF(OR($B157="",$G157=0,$G157=""),"",$I157/$G157)</f>
        <v/>
      </c>
      <c r="K157" s="33" t="n"/>
      <c r="L157" s="33" t="n"/>
      <c r="M157" s="33" t="n"/>
      <c r="N157" s="33" t="n"/>
      <c r="O157" s="33" t="n"/>
      <c r="P157" s="32">
        <f>IF(OR($L157="",$N157=""),"",$L157-$N157)</f>
        <v/>
      </c>
      <c r="Q157" s="28">
        <f>IF($B157="","",IF(N($H157)&gt;0,"Live","Exited"))</f>
        <v/>
      </c>
      <c r="R157" s="28">
        <f>IF($B157="","",IF($L157="","Data Pending",IF($L157&gt;=Instructions!$D$19,"Best Fund",IF($L157&gt;=Instructions!$D$20,"Need to Improve","Not Performing"))))</f>
        <v/>
      </c>
      <c r="S157" s="7">
        <f>IF($R157="","",IF($R157="Data Pending","Enter the 3Y return",IF($R157="Best Fund","Hold / consider top-up",IF($R157="Need to Improve","Watch 2 quarters, then decide","Review with client - switch or exit"))))</f>
        <v/>
      </c>
      <c r="T157" s="27" t="n"/>
      <c r="U157" s="7">
        <f>IF($R157&lt;&gt;"Best Fund","",COUNTIFS($R$6:$R$505,"Best Fund",$L$6:$L$505,"&gt;"&amp;$L157)+COUNTIFS($R$6:$R157,"Best Fund",$L$6:$L157,$L157))</f>
        <v/>
      </c>
      <c r="V157" s="7">
        <f>IF($R157&lt;&gt;"Need to Improve","",COUNTIFS($R$6:$R$505,"Need to Improve",$L$6:$L$505,"&lt;"&amp;$L157)+COUNTIFS($R$6:$R157,"Need to Improve",$L$6:$L157,$L157))</f>
        <v/>
      </c>
      <c r="W157" s="7">
        <f>IF($R157&lt;&gt;"Not Performing","",COUNTIFS($R$6:$R$505,"Not Performing",$L$6:$L$505,"&lt;"&amp;$L157)+COUNTIFS($R$6:$R157,"Not Performing",$L$6:$L157,$L157))</f>
        <v/>
      </c>
    </row>
    <row r="158" ht="15" customHeight="1">
      <c r="A158" s="27" t="n"/>
      <c r="B158" s="27" t="n"/>
      <c r="C158" s="27" t="n"/>
      <c r="D158" s="28">
        <f>IF($C158="","",IFERROR(TRIM(LEFT($C158,FIND("-",$C158)-1)),""))</f>
        <v/>
      </c>
      <c r="E158" s="27" t="n"/>
      <c r="F158" s="29" t="n"/>
      <c r="G158" s="30" t="n"/>
      <c r="H158" s="30" t="n"/>
      <c r="I158" s="31">
        <f>IF($B158="","",$H158-$G158)</f>
        <v/>
      </c>
      <c r="J158" s="32">
        <f>IF(OR($B158="",$G158=0,$G158=""),"",$I158/$G158)</f>
        <v/>
      </c>
      <c r="K158" s="33" t="n"/>
      <c r="L158" s="33" t="n"/>
      <c r="M158" s="33" t="n"/>
      <c r="N158" s="33" t="n"/>
      <c r="O158" s="33" t="n"/>
      <c r="P158" s="32">
        <f>IF(OR($L158="",$N158=""),"",$L158-$N158)</f>
        <v/>
      </c>
      <c r="Q158" s="28">
        <f>IF($B158="","",IF(N($H158)&gt;0,"Live","Exited"))</f>
        <v/>
      </c>
      <c r="R158" s="28">
        <f>IF($B158="","",IF($L158="","Data Pending",IF($L158&gt;=Instructions!$D$19,"Best Fund",IF($L158&gt;=Instructions!$D$20,"Need to Improve","Not Performing"))))</f>
        <v/>
      </c>
      <c r="S158" s="7">
        <f>IF($R158="","",IF($R158="Data Pending","Enter the 3Y return",IF($R158="Best Fund","Hold / consider top-up",IF($R158="Need to Improve","Watch 2 quarters, then decide","Review with client - switch or exit"))))</f>
        <v/>
      </c>
      <c r="T158" s="27" t="n"/>
      <c r="U158" s="7">
        <f>IF($R158&lt;&gt;"Best Fund","",COUNTIFS($R$6:$R$505,"Best Fund",$L$6:$L$505,"&gt;"&amp;$L158)+COUNTIFS($R$6:$R158,"Best Fund",$L$6:$L158,$L158))</f>
        <v/>
      </c>
      <c r="V158" s="7">
        <f>IF($R158&lt;&gt;"Need to Improve","",COUNTIFS($R$6:$R$505,"Need to Improve",$L$6:$L$505,"&lt;"&amp;$L158)+COUNTIFS($R$6:$R158,"Need to Improve",$L$6:$L158,$L158))</f>
        <v/>
      </c>
      <c r="W158" s="7">
        <f>IF($R158&lt;&gt;"Not Performing","",COUNTIFS($R$6:$R$505,"Not Performing",$L$6:$L$505,"&lt;"&amp;$L158)+COUNTIFS($R$6:$R158,"Not Performing",$L$6:$L158,$L158))</f>
        <v/>
      </c>
    </row>
    <row r="159" ht="15" customHeight="1">
      <c r="A159" s="27" t="n"/>
      <c r="B159" s="27" t="n"/>
      <c r="C159" s="27" t="n"/>
      <c r="D159" s="28">
        <f>IF($C159="","",IFERROR(TRIM(LEFT($C159,FIND("-",$C159)-1)),""))</f>
        <v/>
      </c>
      <c r="E159" s="27" t="n"/>
      <c r="F159" s="29" t="n"/>
      <c r="G159" s="30" t="n"/>
      <c r="H159" s="30" t="n"/>
      <c r="I159" s="31">
        <f>IF($B159="","",$H159-$G159)</f>
        <v/>
      </c>
      <c r="J159" s="32">
        <f>IF(OR($B159="",$G159=0,$G159=""),"",$I159/$G159)</f>
        <v/>
      </c>
      <c r="K159" s="33" t="n"/>
      <c r="L159" s="33" t="n"/>
      <c r="M159" s="33" t="n"/>
      <c r="N159" s="33" t="n"/>
      <c r="O159" s="33" t="n"/>
      <c r="P159" s="32">
        <f>IF(OR($L159="",$N159=""),"",$L159-$N159)</f>
        <v/>
      </c>
      <c r="Q159" s="28">
        <f>IF($B159="","",IF(N($H159)&gt;0,"Live","Exited"))</f>
        <v/>
      </c>
      <c r="R159" s="28">
        <f>IF($B159="","",IF($L159="","Data Pending",IF($L159&gt;=Instructions!$D$19,"Best Fund",IF($L159&gt;=Instructions!$D$20,"Need to Improve","Not Performing"))))</f>
        <v/>
      </c>
      <c r="S159" s="7">
        <f>IF($R159="","",IF($R159="Data Pending","Enter the 3Y return",IF($R159="Best Fund","Hold / consider top-up",IF($R159="Need to Improve","Watch 2 quarters, then decide","Review with client - switch or exit"))))</f>
        <v/>
      </c>
      <c r="T159" s="27" t="n"/>
      <c r="U159" s="7">
        <f>IF($R159&lt;&gt;"Best Fund","",COUNTIFS($R$6:$R$505,"Best Fund",$L$6:$L$505,"&gt;"&amp;$L159)+COUNTIFS($R$6:$R159,"Best Fund",$L$6:$L159,$L159))</f>
        <v/>
      </c>
      <c r="V159" s="7">
        <f>IF($R159&lt;&gt;"Need to Improve","",COUNTIFS($R$6:$R$505,"Need to Improve",$L$6:$L$505,"&lt;"&amp;$L159)+COUNTIFS($R$6:$R159,"Need to Improve",$L$6:$L159,$L159))</f>
        <v/>
      </c>
      <c r="W159" s="7">
        <f>IF($R159&lt;&gt;"Not Performing","",COUNTIFS($R$6:$R$505,"Not Performing",$L$6:$L$505,"&lt;"&amp;$L159)+COUNTIFS($R$6:$R159,"Not Performing",$L$6:$L159,$L159))</f>
        <v/>
      </c>
    </row>
    <row r="160" ht="15" customHeight="1">
      <c r="A160" s="27" t="n"/>
      <c r="B160" s="27" t="n"/>
      <c r="C160" s="27" t="n"/>
      <c r="D160" s="28">
        <f>IF($C160="","",IFERROR(TRIM(LEFT($C160,FIND("-",$C160)-1)),""))</f>
        <v/>
      </c>
      <c r="E160" s="27" t="n"/>
      <c r="F160" s="29" t="n"/>
      <c r="G160" s="30" t="n"/>
      <c r="H160" s="30" t="n"/>
      <c r="I160" s="31">
        <f>IF($B160="","",$H160-$G160)</f>
        <v/>
      </c>
      <c r="J160" s="32">
        <f>IF(OR($B160="",$G160=0,$G160=""),"",$I160/$G160)</f>
        <v/>
      </c>
      <c r="K160" s="33" t="n"/>
      <c r="L160" s="33" t="n"/>
      <c r="M160" s="33" t="n"/>
      <c r="N160" s="33" t="n"/>
      <c r="O160" s="33" t="n"/>
      <c r="P160" s="32">
        <f>IF(OR($L160="",$N160=""),"",$L160-$N160)</f>
        <v/>
      </c>
      <c r="Q160" s="28">
        <f>IF($B160="","",IF(N($H160)&gt;0,"Live","Exited"))</f>
        <v/>
      </c>
      <c r="R160" s="28">
        <f>IF($B160="","",IF($L160="","Data Pending",IF($L160&gt;=Instructions!$D$19,"Best Fund",IF($L160&gt;=Instructions!$D$20,"Need to Improve","Not Performing"))))</f>
        <v/>
      </c>
      <c r="S160" s="7">
        <f>IF($R160="","",IF($R160="Data Pending","Enter the 3Y return",IF($R160="Best Fund","Hold / consider top-up",IF($R160="Need to Improve","Watch 2 quarters, then decide","Review with client - switch or exit"))))</f>
        <v/>
      </c>
      <c r="T160" s="27" t="n"/>
      <c r="U160" s="7">
        <f>IF($R160&lt;&gt;"Best Fund","",COUNTIFS($R$6:$R$505,"Best Fund",$L$6:$L$505,"&gt;"&amp;$L160)+COUNTIFS($R$6:$R160,"Best Fund",$L$6:$L160,$L160))</f>
        <v/>
      </c>
      <c r="V160" s="7">
        <f>IF($R160&lt;&gt;"Need to Improve","",COUNTIFS($R$6:$R$505,"Need to Improve",$L$6:$L$505,"&lt;"&amp;$L160)+COUNTIFS($R$6:$R160,"Need to Improve",$L$6:$L160,$L160))</f>
        <v/>
      </c>
      <c r="W160" s="7">
        <f>IF($R160&lt;&gt;"Not Performing","",COUNTIFS($R$6:$R$505,"Not Performing",$L$6:$L$505,"&lt;"&amp;$L160)+COUNTIFS($R$6:$R160,"Not Performing",$L$6:$L160,$L160))</f>
        <v/>
      </c>
    </row>
    <row r="161" ht="15" customHeight="1">
      <c r="A161" s="27" t="n"/>
      <c r="B161" s="27" t="n"/>
      <c r="C161" s="27" t="n"/>
      <c r="D161" s="28">
        <f>IF($C161="","",IFERROR(TRIM(LEFT($C161,FIND("-",$C161)-1)),""))</f>
        <v/>
      </c>
      <c r="E161" s="27" t="n"/>
      <c r="F161" s="29" t="n"/>
      <c r="G161" s="30" t="n"/>
      <c r="H161" s="30" t="n"/>
      <c r="I161" s="31">
        <f>IF($B161="","",$H161-$G161)</f>
        <v/>
      </c>
      <c r="J161" s="32">
        <f>IF(OR($B161="",$G161=0,$G161=""),"",$I161/$G161)</f>
        <v/>
      </c>
      <c r="K161" s="33" t="n"/>
      <c r="L161" s="33" t="n"/>
      <c r="M161" s="33" t="n"/>
      <c r="N161" s="33" t="n"/>
      <c r="O161" s="33" t="n"/>
      <c r="P161" s="32">
        <f>IF(OR($L161="",$N161=""),"",$L161-$N161)</f>
        <v/>
      </c>
      <c r="Q161" s="28">
        <f>IF($B161="","",IF(N($H161)&gt;0,"Live","Exited"))</f>
        <v/>
      </c>
      <c r="R161" s="28">
        <f>IF($B161="","",IF($L161="","Data Pending",IF($L161&gt;=Instructions!$D$19,"Best Fund",IF($L161&gt;=Instructions!$D$20,"Need to Improve","Not Performing"))))</f>
        <v/>
      </c>
      <c r="S161" s="7">
        <f>IF($R161="","",IF($R161="Data Pending","Enter the 3Y return",IF($R161="Best Fund","Hold / consider top-up",IF($R161="Need to Improve","Watch 2 quarters, then decide","Review with client - switch or exit"))))</f>
        <v/>
      </c>
      <c r="T161" s="27" t="n"/>
      <c r="U161" s="7">
        <f>IF($R161&lt;&gt;"Best Fund","",COUNTIFS($R$6:$R$505,"Best Fund",$L$6:$L$505,"&gt;"&amp;$L161)+COUNTIFS($R$6:$R161,"Best Fund",$L$6:$L161,$L161))</f>
        <v/>
      </c>
      <c r="V161" s="7">
        <f>IF($R161&lt;&gt;"Need to Improve","",COUNTIFS($R$6:$R$505,"Need to Improve",$L$6:$L$505,"&lt;"&amp;$L161)+COUNTIFS($R$6:$R161,"Need to Improve",$L$6:$L161,$L161))</f>
        <v/>
      </c>
      <c r="W161" s="7">
        <f>IF($R161&lt;&gt;"Not Performing","",COUNTIFS($R$6:$R$505,"Not Performing",$L$6:$L$505,"&lt;"&amp;$L161)+COUNTIFS($R$6:$R161,"Not Performing",$L$6:$L161,$L161))</f>
        <v/>
      </c>
    </row>
    <row r="162" ht="15" customHeight="1">
      <c r="A162" s="27" t="n"/>
      <c r="B162" s="27" t="n"/>
      <c r="C162" s="27" t="n"/>
      <c r="D162" s="28">
        <f>IF($C162="","",IFERROR(TRIM(LEFT($C162,FIND("-",$C162)-1)),""))</f>
        <v/>
      </c>
      <c r="E162" s="27" t="n"/>
      <c r="F162" s="29" t="n"/>
      <c r="G162" s="30" t="n"/>
      <c r="H162" s="30" t="n"/>
      <c r="I162" s="31">
        <f>IF($B162="","",$H162-$G162)</f>
        <v/>
      </c>
      <c r="J162" s="32">
        <f>IF(OR($B162="",$G162=0,$G162=""),"",$I162/$G162)</f>
        <v/>
      </c>
      <c r="K162" s="33" t="n"/>
      <c r="L162" s="33" t="n"/>
      <c r="M162" s="33" t="n"/>
      <c r="N162" s="33" t="n"/>
      <c r="O162" s="33" t="n"/>
      <c r="P162" s="32">
        <f>IF(OR($L162="",$N162=""),"",$L162-$N162)</f>
        <v/>
      </c>
      <c r="Q162" s="28">
        <f>IF($B162="","",IF(N($H162)&gt;0,"Live","Exited"))</f>
        <v/>
      </c>
      <c r="R162" s="28">
        <f>IF($B162="","",IF($L162="","Data Pending",IF($L162&gt;=Instructions!$D$19,"Best Fund",IF($L162&gt;=Instructions!$D$20,"Need to Improve","Not Performing"))))</f>
        <v/>
      </c>
      <c r="S162" s="7">
        <f>IF($R162="","",IF($R162="Data Pending","Enter the 3Y return",IF($R162="Best Fund","Hold / consider top-up",IF($R162="Need to Improve","Watch 2 quarters, then decide","Review with client - switch or exit"))))</f>
        <v/>
      </c>
      <c r="T162" s="27" t="n"/>
      <c r="U162" s="7">
        <f>IF($R162&lt;&gt;"Best Fund","",COUNTIFS($R$6:$R$505,"Best Fund",$L$6:$L$505,"&gt;"&amp;$L162)+COUNTIFS($R$6:$R162,"Best Fund",$L$6:$L162,$L162))</f>
        <v/>
      </c>
      <c r="V162" s="7">
        <f>IF($R162&lt;&gt;"Need to Improve","",COUNTIFS($R$6:$R$505,"Need to Improve",$L$6:$L$505,"&lt;"&amp;$L162)+COUNTIFS($R$6:$R162,"Need to Improve",$L$6:$L162,$L162))</f>
        <v/>
      </c>
      <c r="W162" s="7">
        <f>IF($R162&lt;&gt;"Not Performing","",COUNTIFS($R$6:$R$505,"Not Performing",$L$6:$L$505,"&lt;"&amp;$L162)+COUNTIFS($R$6:$R162,"Not Performing",$L$6:$L162,$L162))</f>
        <v/>
      </c>
    </row>
    <row r="163" ht="15" customHeight="1">
      <c r="A163" s="27" t="n"/>
      <c r="B163" s="27" t="n"/>
      <c r="C163" s="27" t="n"/>
      <c r="D163" s="28">
        <f>IF($C163="","",IFERROR(TRIM(LEFT($C163,FIND("-",$C163)-1)),""))</f>
        <v/>
      </c>
      <c r="E163" s="27" t="n"/>
      <c r="F163" s="29" t="n"/>
      <c r="G163" s="30" t="n"/>
      <c r="H163" s="30" t="n"/>
      <c r="I163" s="31">
        <f>IF($B163="","",$H163-$G163)</f>
        <v/>
      </c>
      <c r="J163" s="32">
        <f>IF(OR($B163="",$G163=0,$G163=""),"",$I163/$G163)</f>
        <v/>
      </c>
      <c r="K163" s="33" t="n"/>
      <c r="L163" s="33" t="n"/>
      <c r="M163" s="33" t="n"/>
      <c r="N163" s="33" t="n"/>
      <c r="O163" s="33" t="n"/>
      <c r="P163" s="32">
        <f>IF(OR($L163="",$N163=""),"",$L163-$N163)</f>
        <v/>
      </c>
      <c r="Q163" s="28">
        <f>IF($B163="","",IF(N($H163)&gt;0,"Live","Exited"))</f>
        <v/>
      </c>
      <c r="R163" s="28">
        <f>IF($B163="","",IF($L163="","Data Pending",IF($L163&gt;=Instructions!$D$19,"Best Fund",IF($L163&gt;=Instructions!$D$20,"Need to Improve","Not Performing"))))</f>
        <v/>
      </c>
      <c r="S163" s="7">
        <f>IF($R163="","",IF($R163="Data Pending","Enter the 3Y return",IF($R163="Best Fund","Hold / consider top-up",IF($R163="Need to Improve","Watch 2 quarters, then decide","Review with client - switch or exit"))))</f>
        <v/>
      </c>
      <c r="T163" s="27" t="n"/>
      <c r="U163" s="7">
        <f>IF($R163&lt;&gt;"Best Fund","",COUNTIFS($R$6:$R$505,"Best Fund",$L$6:$L$505,"&gt;"&amp;$L163)+COUNTIFS($R$6:$R163,"Best Fund",$L$6:$L163,$L163))</f>
        <v/>
      </c>
      <c r="V163" s="7">
        <f>IF($R163&lt;&gt;"Need to Improve","",COUNTIFS($R$6:$R$505,"Need to Improve",$L$6:$L$505,"&lt;"&amp;$L163)+COUNTIFS($R$6:$R163,"Need to Improve",$L$6:$L163,$L163))</f>
        <v/>
      </c>
      <c r="W163" s="7">
        <f>IF($R163&lt;&gt;"Not Performing","",COUNTIFS($R$6:$R$505,"Not Performing",$L$6:$L$505,"&lt;"&amp;$L163)+COUNTIFS($R$6:$R163,"Not Performing",$L$6:$L163,$L163))</f>
        <v/>
      </c>
    </row>
    <row r="164" ht="15" customHeight="1">
      <c r="A164" s="27" t="n"/>
      <c r="B164" s="27" t="n"/>
      <c r="C164" s="27" t="n"/>
      <c r="D164" s="28">
        <f>IF($C164="","",IFERROR(TRIM(LEFT($C164,FIND("-",$C164)-1)),""))</f>
        <v/>
      </c>
      <c r="E164" s="27" t="n"/>
      <c r="F164" s="29" t="n"/>
      <c r="G164" s="30" t="n"/>
      <c r="H164" s="30" t="n"/>
      <c r="I164" s="31">
        <f>IF($B164="","",$H164-$G164)</f>
        <v/>
      </c>
      <c r="J164" s="32">
        <f>IF(OR($B164="",$G164=0,$G164=""),"",$I164/$G164)</f>
        <v/>
      </c>
      <c r="K164" s="33" t="n"/>
      <c r="L164" s="33" t="n"/>
      <c r="M164" s="33" t="n"/>
      <c r="N164" s="33" t="n"/>
      <c r="O164" s="33" t="n"/>
      <c r="P164" s="32">
        <f>IF(OR($L164="",$N164=""),"",$L164-$N164)</f>
        <v/>
      </c>
      <c r="Q164" s="28">
        <f>IF($B164="","",IF(N($H164)&gt;0,"Live","Exited"))</f>
        <v/>
      </c>
      <c r="R164" s="28">
        <f>IF($B164="","",IF($L164="","Data Pending",IF($L164&gt;=Instructions!$D$19,"Best Fund",IF($L164&gt;=Instructions!$D$20,"Need to Improve","Not Performing"))))</f>
        <v/>
      </c>
      <c r="S164" s="7">
        <f>IF($R164="","",IF($R164="Data Pending","Enter the 3Y return",IF($R164="Best Fund","Hold / consider top-up",IF($R164="Need to Improve","Watch 2 quarters, then decide","Review with client - switch or exit"))))</f>
        <v/>
      </c>
      <c r="T164" s="27" t="n"/>
      <c r="U164" s="7">
        <f>IF($R164&lt;&gt;"Best Fund","",COUNTIFS($R$6:$R$505,"Best Fund",$L$6:$L$505,"&gt;"&amp;$L164)+COUNTIFS($R$6:$R164,"Best Fund",$L$6:$L164,$L164))</f>
        <v/>
      </c>
      <c r="V164" s="7">
        <f>IF($R164&lt;&gt;"Need to Improve","",COUNTIFS($R$6:$R$505,"Need to Improve",$L$6:$L$505,"&lt;"&amp;$L164)+COUNTIFS($R$6:$R164,"Need to Improve",$L$6:$L164,$L164))</f>
        <v/>
      </c>
      <c r="W164" s="7">
        <f>IF($R164&lt;&gt;"Not Performing","",COUNTIFS($R$6:$R$505,"Not Performing",$L$6:$L$505,"&lt;"&amp;$L164)+COUNTIFS($R$6:$R164,"Not Performing",$L$6:$L164,$L164))</f>
        <v/>
      </c>
    </row>
    <row r="165" ht="15" customHeight="1">
      <c r="A165" s="27" t="n"/>
      <c r="B165" s="27" t="n"/>
      <c r="C165" s="27" t="n"/>
      <c r="D165" s="28">
        <f>IF($C165="","",IFERROR(TRIM(LEFT($C165,FIND("-",$C165)-1)),""))</f>
        <v/>
      </c>
      <c r="E165" s="27" t="n"/>
      <c r="F165" s="29" t="n"/>
      <c r="G165" s="30" t="n"/>
      <c r="H165" s="30" t="n"/>
      <c r="I165" s="31">
        <f>IF($B165="","",$H165-$G165)</f>
        <v/>
      </c>
      <c r="J165" s="32">
        <f>IF(OR($B165="",$G165=0,$G165=""),"",$I165/$G165)</f>
        <v/>
      </c>
      <c r="K165" s="33" t="n"/>
      <c r="L165" s="33" t="n"/>
      <c r="M165" s="33" t="n"/>
      <c r="N165" s="33" t="n"/>
      <c r="O165" s="33" t="n"/>
      <c r="P165" s="32">
        <f>IF(OR($L165="",$N165=""),"",$L165-$N165)</f>
        <v/>
      </c>
      <c r="Q165" s="28">
        <f>IF($B165="","",IF(N($H165)&gt;0,"Live","Exited"))</f>
        <v/>
      </c>
      <c r="R165" s="28">
        <f>IF($B165="","",IF($L165="","Data Pending",IF($L165&gt;=Instructions!$D$19,"Best Fund",IF($L165&gt;=Instructions!$D$20,"Need to Improve","Not Performing"))))</f>
        <v/>
      </c>
      <c r="S165" s="7">
        <f>IF($R165="","",IF($R165="Data Pending","Enter the 3Y return",IF($R165="Best Fund","Hold / consider top-up",IF($R165="Need to Improve","Watch 2 quarters, then decide","Review with client - switch or exit"))))</f>
        <v/>
      </c>
      <c r="T165" s="27" t="n"/>
      <c r="U165" s="7">
        <f>IF($R165&lt;&gt;"Best Fund","",COUNTIFS($R$6:$R$505,"Best Fund",$L$6:$L$505,"&gt;"&amp;$L165)+COUNTIFS($R$6:$R165,"Best Fund",$L$6:$L165,$L165))</f>
        <v/>
      </c>
      <c r="V165" s="7">
        <f>IF($R165&lt;&gt;"Need to Improve","",COUNTIFS($R$6:$R$505,"Need to Improve",$L$6:$L$505,"&lt;"&amp;$L165)+COUNTIFS($R$6:$R165,"Need to Improve",$L$6:$L165,$L165))</f>
        <v/>
      </c>
      <c r="W165" s="7">
        <f>IF($R165&lt;&gt;"Not Performing","",COUNTIFS($R$6:$R$505,"Not Performing",$L$6:$L$505,"&lt;"&amp;$L165)+COUNTIFS($R$6:$R165,"Not Performing",$L$6:$L165,$L165))</f>
        <v/>
      </c>
    </row>
    <row r="166" ht="15" customHeight="1">
      <c r="A166" s="27" t="n"/>
      <c r="B166" s="27" t="n"/>
      <c r="C166" s="27" t="n"/>
      <c r="D166" s="28">
        <f>IF($C166="","",IFERROR(TRIM(LEFT($C166,FIND("-",$C166)-1)),""))</f>
        <v/>
      </c>
      <c r="E166" s="27" t="n"/>
      <c r="F166" s="29" t="n"/>
      <c r="G166" s="30" t="n"/>
      <c r="H166" s="30" t="n"/>
      <c r="I166" s="31">
        <f>IF($B166="","",$H166-$G166)</f>
        <v/>
      </c>
      <c r="J166" s="32">
        <f>IF(OR($B166="",$G166=0,$G166=""),"",$I166/$G166)</f>
        <v/>
      </c>
      <c r="K166" s="33" t="n"/>
      <c r="L166" s="33" t="n"/>
      <c r="M166" s="33" t="n"/>
      <c r="N166" s="33" t="n"/>
      <c r="O166" s="33" t="n"/>
      <c r="P166" s="32">
        <f>IF(OR($L166="",$N166=""),"",$L166-$N166)</f>
        <v/>
      </c>
      <c r="Q166" s="28">
        <f>IF($B166="","",IF(N($H166)&gt;0,"Live","Exited"))</f>
        <v/>
      </c>
      <c r="R166" s="28">
        <f>IF($B166="","",IF($L166="","Data Pending",IF($L166&gt;=Instructions!$D$19,"Best Fund",IF($L166&gt;=Instructions!$D$20,"Need to Improve","Not Performing"))))</f>
        <v/>
      </c>
      <c r="S166" s="7">
        <f>IF($R166="","",IF($R166="Data Pending","Enter the 3Y return",IF($R166="Best Fund","Hold / consider top-up",IF($R166="Need to Improve","Watch 2 quarters, then decide","Review with client - switch or exit"))))</f>
        <v/>
      </c>
      <c r="T166" s="27" t="n"/>
      <c r="U166" s="7">
        <f>IF($R166&lt;&gt;"Best Fund","",COUNTIFS($R$6:$R$505,"Best Fund",$L$6:$L$505,"&gt;"&amp;$L166)+COUNTIFS($R$6:$R166,"Best Fund",$L$6:$L166,$L166))</f>
        <v/>
      </c>
      <c r="V166" s="7">
        <f>IF($R166&lt;&gt;"Need to Improve","",COUNTIFS($R$6:$R$505,"Need to Improve",$L$6:$L$505,"&lt;"&amp;$L166)+COUNTIFS($R$6:$R166,"Need to Improve",$L$6:$L166,$L166))</f>
        <v/>
      </c>
      <c r="W166" s="7">
        <f>IF($R166&lt;&gt;"Not Performing","",COUNTIFS($R$6:$R$505,"Not Performing",$L$6:$L$505,"&lt;"&amp;$L166)+COUNTIFS($R$6:$R166,"Not Performing",$L$6:$L166,$L166))</f>
        <v/>
      </c>
    </row>
    <row r="167" ht="15" customHeight="1">
      <c r="A167" s="27" t="n"/>
      <c r="B167" s="27" t="n"/>
      <c r="C167" s="27" t="n"/>
      <c r="D167" s="28">
        <f>IF($C167="","",IFERROR(TRIM(LEFT($C167,FIND("-",$C167)-1)),""))</f>
        <v/>
      </c>
      <c r="E167" s="27" t="n"/>
      <c r="F167" s="29" t="n"/>
      <c r="G167" s="30" t="n"/>
      <c r="H167" s="30" t="n"/>
      <c r="I167" s="31">
        <f>IF($B167="","",$H167-$G167)</f>
        <v/>
      </c>
      <c r="J167" s="32">
        <f>IF(OR($B167="",$G167=0,$G167=""),"",$I167/$G167)</f>
        <v/>
      </c>
      <c r="K167" s="33" t="n"/>
      <c r="L167" s="33" t="n"/>
      <c r="M167" s="33" t="n"/>
      <c r="N167" s="33" t="n"/>
      <c r="O167" s="33" t="n"/>
      <c r="P167" s="32">
        <f>IF(OR($L167="",$N167=""),"",$L167-$N167)</f>
        <v/>
      </c>
      <c r="Q167" s="28">
        <f>IF($B167="","",IF(N($H167)&gt;0,"Live","Exited"))</f>
        <v/>
      </c>
      <c r="R167" s="28">
        <f>IF($B167="","",IF($L167="","Data Pending",IF($L167&gt;=Instructions!$D$19,"Best Fund",IF($L167&gt;=Instructions!$D$20,"Need to Improve","Not Performing"))))</f>
        <v/>
      </c>
      <c r="S167" s="7">
        <f>IF($R167="","",IF($R167="Data Pending","Enter the 3Y return",IF($R167="Best Fund","Hold / consider top-up",IF($R167="Need to Improve","Watch 2 quarters, then decide","Review with client - switch or exit"))))</f>
        <v/>
      </c>
      <c r="T167" s="27" t="n"/>
      <c r="U167" s="7">
        <f>IF($R167&lt;&gt;"Best Fund","",COUNTIFS($R$6:$R$505,"Best Fund",$L$6:$L$505,"&gt;"&amp;$L167)+COUNTIFS($R$6:$R167,"Best Fund",$L$6:$L167,$L167))</f>
        <v/>
      </c>
      <c r="V167" s="7">
        <f>IF($R167&lt;&gt;"Need to Improve","",COUNTIFS($R$6:$R$505,"Need to Improve",$L$6:$L$505,"&lt;"&amp;$L167)+COUNTIFS($R$6:$R167,"Need to Improve",$L$6:$L167,$L167))</f>
        <v/>
      </c>
      <c r="W167" s="7">
        <f>IF($R167&lt;&gt;"Not Performing","",COUNTIFS($R$6:$R$505,"Not Performing",$L$6:$L$505,"&lt;"&amp;$L167)+COUNTIFS($R$6:$R167,"Not Performing",$L$6:$L167,$L167))</f>
        <v/>
      </c>
    </row>
    <row r="168" ht="15" customHeight="1">
      <c r="A168" s="27" t="n"/>
      <c r="B168" s="27" t="n"/>
      <c r="C168" s="27" t="n"/>
      <c r="D168" s="28">
        <f>IF($C168="","",IFERROR(TRIM(LEFT($C168,FIND("-",$C168)-1)),""))</f>
        <v/>
      </c>
      <c r="E168" s="27" t="n"/>
      <c r="F168" s="29" t="n"/>
      <c r="G168" s="30" t="n"/>
      <c r="H168" s="30" t="n"/>
      <c r="I168" s="31">
        <f>IF($B168="","",$H168-$G168)</f>
        <v/>
      </c>
      <c r="J168" s="32">
        <f>IF(OR($B168="",$G168=0,$G168=""),"",$I168/$G168)</f>
        <v/>
      </c>
      <c r="K168" s="33" t="n"/>
      <c r="L168" s="33" t="n"/>
      <c r="M168" s="33" t="n"/>
      <c r="N168" s="33" t="n"/>
      <c r="O168" s="33" t="n"/>
      <c r="P168" s="32">
        <f>IF(OR($L168="",$N168=""),"",$L168-$N168)</f>
        <v/>
      </c>
      <c r="Q168" s="28">
        <f>IF($B168="","",IF(N($H168)&gt;0,"Live","Exited"))</f>
        <v/>
      </c>
      <c r="R168" s="28">
        <f>IF($B168="","",IF($L168="","Data Pending",IF($L168&gt;=Instructions!$D$19,"Best Fund",IF($L168&gt;=Instructions!$D$20,"Need to Improve","Not Performing"))))</f>
        <v/>
      </c>
      <c r="S168" s="7">
        <f>IF($R168="","",IF($R168="Data Pending","Enter the 3Y return",IF($R168="Best Fund","Hold / consider top-up",IF($R168="Need to Improve","Watch 2 quarters, then decide","Review with client - switch or exit"))))</f>
        <v/>
      </c>
      <c r="T168" s="27" t="n"/>
      <c r="U168" s="7">
        <f>IF($R168&lt;&gt;"Best Fund","",COUNTIFS($R$6:$R$505,"Best Fund",$L$6:$L$505,"&gt;"&amp;$L168)+COUNTIFS($R$6:$R168,"Best Fund",$L$6:$L168,$L168))</f>
        <v/>
      </c>
      <c r="V168" s="7">
        <f>IF($R168&lt;&gt;"Need to Improve","",COUNTIFS($R$6:$R$505,"Need to Improve",$L$6:$L$505,"&lt;"&amp;$L168)+COUNTIFS($R$6:$R168,"Need to Improve",$L$6:$L168,$L168))</f>
        <v/>
      </c>
      <c r="W168" s="7">
        <f>IF($R168&lt;&gt;"Not Performing","",COUNTIFS($R$6:$R$505,"Not Performing",$L$6:$L$505,"&lt;"&amp;$L168)+COUNTIFS($R$6:$R168,"Not Performing",$L$6:$L168,$L168))</f>
        <v/>
      </c>
    </row>
    <row r="169" ht="15" customHeight="1">
      <c r="A169" s="27" t="n"/>
      <c r="B169" s="27" t="n"/>
      <c r="C169" s="27" t="n"/>
      <c r="D169" s="28">
        <f>IF($C169="","",IFERROR(TRIM(LEFT($C169,FIND("-",$C169)-1)),""))</f>
        <v/>
      </c>
      <c r="E169" s="27" t="n"/>
      <c r="F169" s="29" t="n"/>
      <c r="G169" s="30" t="n"/>
      <c r="H169" s="30" t="n"/>
      <c r="I169" s="31">
        <f>IF($B169="","",$H169-$G169)</f>
        <v/>
      </c>
      <c r="J169" s="32">
        <f>IF(OR($B169="",$G169=0,$G169=""),"",$I169/$G169)</f>
        <v/>
      </c>
      <c r="K169" s="33" t="n"/>
      <c r="L169" s="33" t="n"/>
      <c r="M169" s="33" t="n"/>
      <c r="N169" s="33" t="n"/>
      <c r="O169" s="33" t="n"/>
      <c r="P169" s="32">
        <f>IF(OR($L169="",$N169=""),"",$L169-$N169)</f>
        <v/>
      </c>
      <c r="Q169" s="28">
        <f>IF($B169="","",IF(N($H169)&gt;0,"Live","Exited"))</f>
        <v/>
      </c>
      <c r="R169" s="28">
        <f>IF($B169="","",IF($L169="","Data Pending",IF($L169&gt;=Instructions!$D$19,"Best Fund",IF($L169&gt;=Instructions!$D$20,"Need to Improve","Not Performing"))))</f>
        <v/>
      </c>
      <c r="S169" s="7">
        <f>IF($R169="","",IF($R169="Data Pending","Enter the 3Y return",IF($R169="Best Fund","Hold / consider top-up",IF($R169="Need to Improve","Watch 2 quarters, then decide","Review with client - switch or exit"))))</f>
        <v/>
      </c>
      <c r="T169" s="27" t="n"/>
      <c r="U169" s="7">
        <f>IF($R169&lt;&gt;"Best Fund","",COUNTIFS($R$6:$R$505,"Best Fund",$L$6:$L$505,"&gt;"&amp;$L169)+COUNTIFS($R$6:$R169,"Best Fund",$L$6:$L169,$L169))</f>
        <v/>
      </c>
      <c r="V169" s="7">
        <f>IF($R169&lt;&gt;"Need to Improve","",COUNTIFS($R$6:$R$505,"Need to Improve",$L$6:$L$505,"&lt;"&amp;$L169)+COUNTIFS($R$6:$R169,"Need to Improve",$L$6:$L169,$L169))</f>
        <v/>
      </c>
      <c r="W169" s="7">
        <f>IF($R169&lt;&gt;"Not Performing","",COUNTIFS($R$6:$R$505,"Not Performing",$L$6:$L$505,"&lt;"&amp;$L169)+COUNTIFS($R$6:$R169,"Not Performing",$L$6:$L169,$L169))</f>
        <v/>
      </c>
    </row>
    <row r="170" ht="15" customHeight="1">
      <c r="A170" s="27" t="n"/>
      <c r="B170" s="27" t="n"/>
      <c r="C170" s="27" t="n"/>
      <c r="D170" s="28">
        <f>IF($C170="","",IFERROR(TRIM(LEFT($C170,FIND("-",$C170)-1)),""))</f>
        <v/>
      </c>
      <c r="E170" s="27" t="n"/>
      <c r="F170" s="29" t="n"/>
      <c r="G170" s="30" t="n"/>
      <c r="H170" s="30" t="n"/>
      <c r="I170" s="31">
        <f>IF($B170="","",$H170-$G170)</f>
        <v/>
      </c>
      <c r="J170" s="32">
        <f>IF(OR($B170="",$G170=0,$G170=""),"",$I170/$G170)</f>
        <v/>
      </c>
      <c r="K170" s="33" t="n"/>
      <c r="L170" s="33" t="n"/>
      <c r="M170" s="33" t="n"/>
      <c r="N170" s="33" t="n"/>
      <c r="O170" s="33" t="n"/>
      <c r="P170" s="32">
        <f>IF(OR($L170="",$N170=""),"",$L170-$N170)</f>
        <v/>
      </c>
      <c r="Q170" s="28">
        <f>IF($B170="","",IF(N($H170)&gt;0,"Live","Exited"))</f>
        <v/>
      </c>
      <c r="R170" s="28">
        <f>IF($B170="","",IF($L170="","Data Pending",IF($L170&gt;=Instructions!$D$19,"Best Fund",IF($L170&gt;=Instructions!$D$20,"Need to Improve","Not Performing"))))</f>
        <v/>
      </c>
      <c r="S170" s="7">
        <f>IF($R170="","",IF($R170="Data Pending","Enter the 3Y return",IF($R170="Best Fund","Hold / consider top-up",IF($R170="Need to Improve","Watch 2 quarters, then decide","Review with client - switch or exit"))))</f>
        <v/>
      </c>
      <c r="T170" s="27" t="n"/>
      <c r="U170" s="7">
        <f>IF($R170&lt;&gt;"Best Fund","",COUNTIFS($R$6:$R$505,"Best Fund",$L$6:$L$505,"&gt;"&amp;$L170)+COUNTIFS($R$6:$R170,"Best Fund",$L$6:$L170,$L170))</f>
        <v/>
      </c>
      <c r="V170" s="7">
        <f>IF($R170&lt;&gt;"Need to Improve","",COUNTIFS($R$6:$R$505,"Need to Improve",$L$6:$L$505,"&lt;"&amp;$L170)+COUNTIFS($R$6:$R170,"Need to Improve",$L$6:$L170,$L170))</f>
        <v/>
      </c>
      <c r="W170" s="7">
        <f>IF($R170&lt;&gt;"Not Performing","",COUNTIFS($R$6:$R$505,"Not Performing",$L$6:$L$505,"&lt;"&amp;$L170)+COUNTIFS($R$6:$R170,"Not Performing",$L$6:$L170,$L170))</f>
        <v/>
      </c>
    </row>
    <row r="171" ht="15" customHeight="1">
      <c r="A171" s="27" t="n"/>
      <c r="B171" s="27" t="n"/>
      <c r="C171" s="27" t="n"/>
      <c r="D171" s="28">
        <f>IF($C171="","",IFERROR(TRIM(LEFT($C171,FIND("-",$C171)-1)),""))</f>
        <v/>
      </c>
      <c r="E171" s="27" t="n"/>
      <c r="F171" s="29" t="n"/>
      <c r="G171" s="30" t="n"/>
      <c r="H171" s="30" t="n"/>
      <c r="I171" s="31">
        <f>IF($B171="","",$H171-$G171)</f>
        <v/>
      </c>
      <c r="J171" s="32">
        <f>IF(OR($B171="",$G171=0,$G171=""),"",$I171/$G171)</f>
        <v/>
      </c>
      <c r="K171" s="33" t="n"/>
      <c r="L171" s="33" t="n"/>
      <c r="M171" s="33" t="n"/>
      <c r="N171" s="33" t="n"/>
      <c r="O171" s="33" t="n"/>
      <c r="P171" s="32">
        <f>IF(OR($L171="",$N171=""),"",$L171-$N171)</f>
        <v/>
      </c>
      <c r="Q171" s="28">
        <f>IF($B171="","",IF(N($H171)&gt;0,"Live","Exited"))</f>
        <v/>
      </c>
      <c r="R171" s="28">
        <f>IF($B171="","",IF($L171="","Data Pending",IF($L171&gt;=Instructions!$D$19,"Best Fund",IF($L171&gt;=Instructions!$D$20,"Need to Improve","Not Performing"))))</f>
        <v/>
      </c>
      <c r="S171" s="7">
        <f>IF($R171="","",IF($R171="Data Pending","Enter the 3Y return",IF($R171="Best Fund","Hold / consider top-up",IF($R171="Need to Improve","Watch 2 quarters, then decide","Review with client - switch or exit"))))</f>
        <v/>
      </c>
      <c r="T171" s="27" t="n"/>
      <c r="U171" s="7">
        <f>IF($R171&lt;&gt;"Best Fund","",COUNTIFS($R$6:$R$505,"Best Fund",$L$6:$L$505,"&gt;"&amp;$L171)+COUNTIFS($R$6:$R171,"Best Fund",$L$6:$L171,$L171))</f>
        <v/>
      </c>
      <c r="V171" s="7">
        <f>IF($R171&lt;&gt;"Need to Improve","",COUNTIFS($R$6:$R$505,"Need to Improve",$L$6:$L$505,"&lt;"&amp;$L171)+COUNTIFS($R$6:$R171,"Need to Improve",$L$6:$L171,$L171))</f>
        <v/>
      </c>
      <c r="W171" s="7">
        <f>IF($R171&lt;&gt;"Not Performing","",COUNTIFS($R$6:$R$505,"Not Performing",$L$6:$L$505,"&lt;"&amp;$L171)+COUNTIFS($R$6:$R171,"Not Performing",$L$6:$L171,$L171))</f>
        <v/>
      </c>
    </row>
    <row r="172" ht="15" customHeight="1">
      <c r="A172" s="27" t="n"/>
      <c r="B172" s="27" t="n"/>
      <c r="C172" s="27" t="n"/>
      <c r="D172" s="28">
        <f>IF($C172="","",IFERROR(TRIM(LEFT($C172,FIND("-",$C172)-1)),""))</f>
        <v/>
      </c>
      <c r="E172" s="27" t="n"/>
      <c r="F172" s="29" t="n"/>
      <c r="G172" s="30" t="n"/>
      <c r="H172" s="30" t="n"/>
      <c r="I172" s="31">
        <f>IF($B172="","",$H172-$G172)</f>
        <v/>
      </c>
      <c r="J172" s="32">
        <f>IF(OR($B172="",$G172=0,$G172=""),"",$I172/$G172)</f>
        <v/>
      </c>
      <c r="K172" s="33" t="n"/>
      <c r="L172" s="33" t="n"/>
      <c r="M172" s="33" t="n"/>
      <c r="N172" s="33" t="n"/>
      <c r="O172" s="33" t="n"/>
      <c r="P172" s="32">
        <f>IF(OR($L172="",$N172=""),"",$L172-$N172)</f>
        <v/>
      </c>
      <c r="Q172" s="28">
        <f>IF($B172="","",IF(N($H172)&gt;0,"Live","Exited"))</f>
        <v/>
      </c>
      <c r="R172" s="28">
        <f>IF($B172="","",IF($L172="","Data Pending",IF($L172&gt;=Instructions!$D$19,"Best Fund",IF($L172&gt;=Instructions!$D$20,"Need to Improve","Not Performing"))))</f>
        <v/>
      </c>
      <c r="S172" s="7">
        <f>IF($R172="","",IF($R172="Data Pending","Enter the 3Y return",IF($R172="Best Fund","Hold / consider top-up",IF($R172="Need to Improve","Watch 2 quarters, then decide","Review with client - switch or exit"))))</f>
        <v/>
      </c>
      <c r="T172" s="27" t="n"/>
      <c r="U172" s="7">
        <f>IF($R172&lt;&gt;"Best Fund","",COUNTIFS($R$6:$R$505,"Best Fund",$L$6:$L$505,"&gt;"&amp;$L172)+COUNTIFS($R$6:$R172,"Best Fund",$L$6:$L172,$L172))</f>
        <v/>
      </c>
      <c r="V172" s="7">
        <f>IF($R172&lt;&gt;"Need to Improve","",COUNTIFS($R$6:$R$505,"Need to Improve",$L$6:$L$505,"&lt;"&amp;$L172)+COUNTIFS($R$6:$R172,"Need to Improve",$L$6:$L172,$L172))</f>
        <v/>
      </c>
      <c r="W172" s="7">
        <f>IF($R172&lt;&gt;"Not Performing","",COUNTIFS($R$6:$R$505,"Not Performing",$L$6:$L$505,"&lt;"&amp;$L172)+COUNTIFS($R$6:$R172,"Not Performing",$L$6:$L172,$L172))</f>
        <v/>
      </c>
    </row>
    <row r="173" ht="15" customHeight="1">
      <c r="A173" s="27" t="n"/>
      <c r="B173" s="27" t="n"/>
      <c r="C173" s="27" t="n"/>
      <c r="D173" s="28">
        <f>IF($C173="","",IFERROR(TRIM(LEFT($C173,FIND("-",$C173)-1)),""))</f>
        <v/>
      </c>
      <c r="E173" s="27" t="n"/>
      <c r="F173" s="29" t="n"/>
      <c r="G173" s="30" t="n"/>
      <c r="H173" s="30" t="n"/>
      <c r="I173" s="31">
        <f>IF($B173="","",$H173-$G173)</f>
        <v/>
      </c>
      <c r="J173" s="32">
        <f>IF(OR($B173="",$G173=0,$G173=""),"",$I173/$G173)</f>
        <v/>
      </c>
      <c r="K173" s="33" t="n"/>
      <c r="L173" s="33" t="n"/>
      <c r="M173" s="33" t="n"/>
      <c r="N173" s="33" t="n"/>
      <c r="O173" s="33" t="n"/>
      <c r="P173" s="32">
        <f>IF(OR($L173="",$N173=""),"",$L173-$N173)</f>
        <v/>
      </c>
      <c r="Q173" s="28">
        <f>IF($B173="","",IF(N($H173)&gt;0,"Live","Exited"))</f>
        <v/>
      </c>
      <c r="R173" s="28">
        <f>IF($B173="","",IF($L173="","Data Pending",IF($L173&gt;=Instructions!$D$19,"Best Fund",IF($L173&gt;=Instructions!$D$20,"Need to Improve","Not Performing"))))</f>
        <v/>
      </c>
      <c r="S173" s="7">
        <f>IF($R173="","",IF($R173="Data Pending","Enter the 3Y return",IF($R173="Best Fund","Hold / consider top-up",IF($R173="Need to Improve","Watch 2 quarters, then decide","Review with client - switch or exit"))))</f>
        <v/>
      </c>
      <c r="T173" s="27" t="n"/>
      <c r="U173" s="7">
        <f>IF($R173&lt;&gt;"Best Fund","",COUNTIFS($R$6:$R$505,"Best Fund",$L$6:$L$505,"&gt;"&amp;$L173)+COUNTIFS($R$6:$R173,"Best Fund",$L$6:$L173,$L173))</f>
        <v/>
      </c>
      <c r="V173" s="7">
        <f>IF($R173&lt;&gt;"Need to Improve","",COUNTIFS($R$6:$R$505,"Need to Improve",$L$6:$L$505,"&lt;"&amp;$L173)+COUNTIFS($R$6:$R173,"Need to Improve",$L$6:$L173,$L173))</f>
        <v/>
      </c>
      <c r="W173" s="7">
        <f>IF($R173&lt;&gt;"Not Performing","",COUNTIFS($R$6:$R$505,"Not Performing",$L$6:$L$505,"&lt;"&amp;$L173)+COUNTIFS($R$6:$R173,"Not Performing",$L$6:$L173,$L173))</f>
        <v/>
      </c>
    </row>
    <row r="174" ht="15" customHeight="1">
      <c r="A174" s="27" t="n"/>
      <c r="B174" s="27" t="n"/>
      <c r="C174" s="27" t="n"/>
      <c r="D174" s="28">
        <f>IF($C174="","",IFERROR(TRIM(LEFT($C174,FIND("-",$C174)-1)),""))</f>
        <v/>
      </c>
      <c r="E174" s="27" t="n"/>
      <c r="F174" s="29" t="n"/>
      <c r="G174" s="30" t="n"/>
      <c r="H174" s="30" t="n"/>
      <c r="I174" s="31">
        <f>IF($B174="","",$H174-$G174)</f>
        <v/>
      </c>
      <c r="J174" s="32">
        <f>IF(OR($B174="",$G174=0,$G174=""),"",$I174/$G174)</f>
        <v/>
      </c>
      <c r="K174" s="33" t="n"/>
      <c r="L174" s="33" t="n"/>
      <c r="M174" s="33" t="n"/>
      <c r="N174" s="33" t="n"/>
      <c r="O174" s="33" t="n"/>
      <c r="P174" s="32">
        <f>IF(OR($L174="",$N174=""),"",$L174-$N174)</f>
        <v/>
      </c>
      <c r="Q174" s="28">
        <f>IF($B174="","",IF(N($H174)&gt;0,"Live","Exited"))</f>
        <v/>
      </c>
      <c r="R174" s="28">
        <f>IF($B174="","",IF($L174="","Data Pending",IF($L174&gt;=Instructions!$D$19,"Best Fund",IF($L174&gt;=Instructions!$D$20,"Need to Improve","Not Performing"))))</f>
        <v/>
      </c>
      <c r="S174" s="7">
        <f>IF($R174="","",IF($R174="Data Pending","Enter the 3Y return",IF($R174="Best Fund","Hold / consider top-up",IF($R174="Need to Improve","Watch 2 quarters, then decide","Review with client - switch or exit"))))</f>
        <v/>
      </c>
      <c r="T174" s="27" t="n"/>
      <c r="U174" s="7">
        <f>IF($R174&lt;&gt;"Best Fund","",COUNTIFS($R$6:$R$505,"Best Fund",$L$6:$L$505,"&gt;"&amp;$L174)+COUNTIFS($R$6:$R174,"Best Fund",$L$6:$L174,$L174))</f>
        <v/>
      </c>
      <c r="V174" s="7">
        <f>IF($R174&lt;&gt;"Need to Improve","",COUNTIFS($R$6:$R$505,"Need to Improve",$L$6:$L$505,"&lt;"&amp;$L174)+COUNTIFS($R$6:$R174,"Need to Improve",$L$6:$L174,$L174))</f>
        <v/>
      </c>
      <c r="W174" s="7">
        <f>IF($R174&lt;&gt;"Not Performing","",COUNTIFS($R$6:$R$505,"Not Performing",$L$6:$L$505,"&lt;"&amp;$L174)+COUNTIFS($R$6:$R174,"Not Performing",$L$6:$L174,$L174))</f>
        <v/>
      </c>
    </row>
    <row r="175" ht="15" customHeight="1">
      <c r="A175" s="27" t="n"/>
      <c r="B175" s="27" t="n"/>
      <c r="C175" s="27" t="n"/>
      <c r="D175" s="28">
        <f>IF($C175="","",IFERROR(TRIM(LEFT($C175,FIND("-",$C175)-1)),""))</f>
        <v/>
      </c>
      <c r="E175" s="27" t="n"/>
      <c r="F175" s="29" t="n"/>
      <c r="G175" s="30" t="n"/>
      <c r="H175" s="30" t="n"/>
      <c r="I175" s="31">
        <f>IF($B175="","",$H175-$G175)</f>
        <v/>
      </c>
      <c r="J175" s="32">
        <f>IF(OR($B175="",$G175=0,$G175=""),"",$I175/$G175)</f>
        <v/>
      </c>
      <c r="K175" s="33" t="n"/>
      <c r="L175" s="33" t="n"/>
      <c r="M175" s="33" t="n"/>
      <c r="N175" s="33" t="n"/>
      <c r="O175" s="33" t="n"/>
      <c r="P175" s="32">
        <f>IF(OR($L175="",$N175=""),"",$L175-$N175)</f>
        <v/>
      </c>
      <c r="Q175" s="28">
        <f>IF($B175="","",IF(N($H175)&gt;0,"Live","Exited"))</f>
        <v/>
      </c>
      <c r="R175" s="28">
        <f>IF($B175="","",IF($L175="","Data Pending",IF($L175&gt;=Instructions!$D$19,"Best Fund",IF($L175&gt;=Instructions!$D$20,"Need to Improve","Not Performing"))))</f>
        <v/>
      </c>
      <c r="S175" s="7">
        <f>IF($R175="","",IF($R175="Data Pending","Enter the 3Y return",IF($R175="Best Fund","Hold / consider top-up",IF($R175="Need to Improve","Watch 2 quarters, then decide","Review with client - switch or exit"))))</f>
        <v/>
      </c>
      <c r="T175" s="27" t="n"/>
      <c r="U175" s="7">
        <f>IF($R175&lt;&gt;"Best Fund","",COUNTIFS($R$6:$R$505,"Best Fund",$L$6:$L$505,"&gt;"&amp;$L175)+COUNTIFS($R$6:$R175,"Best Fund",$L$6:$L175,$L175))</f>
        <v/>
      </c>
      <c r="V175" s="7">
        <f>IF($R175&lt;&gt;"Need to Improve","",COUNTIFS($R$6:$R$505,"Need to Improve",$L$6:$L$505,"&lt;"&amp;$L175)+COUNTIFS($R$6:$R175,"Need to Improve",$L$6:$L175,$L175))</f>
        <v/>
      </c>
      <c r="W175" s="7">
        <f>IF($R175&lt;&gt;"Not Performing","",COUNTIFS($R$6:$R$505,"Not Performing",$L$6:$L$505,"&lt;"&amp;$L175)+COUNTIFS($R$6:$R175,"Not Performing",$L$6:$L175,$L175))</f>
        <v/>
      </c>
    </row>
    <row r="176" ht="15" customHeight="1">
      <c r="A176" s="27" t="n"/>
      <c r="B176" s="27" t="n"/>
      <c r="C176" s="27" t="n"/>
      <c r="D176" s="28">
        <f>IF($C176="","",IFERROR(TRIM(LEFT($C176,FIND("-",$C176)-1)),""))</f>
        <v/>
      </c>
      <c r="E176" s="27" t="n"/>
      <c r="F176" s="29" t="n"/>
      <c r="G176" s="30" t="n"/>
      <c r="H176" s="30" t="n"/>
      <c r="I176" s="31">
        <f>IF($B176="","",$H176-$G176)</f>
        <v/>
      </c>
      <c r="J176" s="32">
        <f>IF(OR($B176="",$G176=0,$G176=""),"",$I176/$G176)</f>
        <v/>
      </c>
      <c r="K176" s="33" t="n"/>
      <c r="L176" s="33" t="n"/>
      <c r="M176" s="33" t="n"/>
      <c r="N176" s="33" t="n"/>
      <c r="O176" s="33" t="n"/>
      <c r="P176" s="32">
        <f>IF(OR($L176="",$N176=""),"",$L176-$N176)</f>
        <v/>
      </c>
      <c r="Q176" s="28">
        <f>IF($B176="","",IF(N($H176)&gt;0,"Live","Exited"))</f>
        <v/>
      </c>
      <c r="R176" s="28">
        <f>IF($B176="","",IF($L176="","Data Pending",IF($L176&gt;=Instructions!$D$19,"Best Fund",IF($L176&gt;=Instructions!$D$20,"Need to Improve","Not Performing"))))</f>
        <v/>
      </c>
      <c r="S176" s="7">
        <f>IF($R176="","",IF($R176="Data Pending","Enter the 3Y return",IF($R176="Best Fund","Hold / consider top-up",IF($R176="Need to Improve","Watch 2 quarters, then decide","Review with client - switch or exit"))))</f>
        <v/>
      </c>
      <c r="T176" s="27" t="n"/>
      <c r="U176" s="7">
        <f>IF($R176&lt;&gt;"Best Fund","",COUNTIFS($R$6:$R$505,"Best Fund",$L$6:$L$505,"&gt;"&amp;$L176)+COUNTIFS($R$6:$R176,"Best Fund",$L$6:$L176,$L176))</f>
        <v/>
      </c>
      <c r="V176" s="7">
        <f>IF($R176&lt;&gt;"Need to Improve","",COUNTIFS($R$6:$R$505,"Need to Improve",$L$6:$L$505,"&lt;"&amp;$L176)+COUNTIFS($R$6:$R176,"Need to Improve",$L$6:$L176,$L176))</f>
        <v/>
      </c>
      <c r="W176" s="7">
        <f>IF($R176&lt;&gt;"Not Performing","",COUNTIFS($R$6:$R$505,"Not Performing",$L$6:$L$505,"&lt;"&amp;$L176)+COUNTIFS($R$6:$R176,"Not Performing",$L$6:$L176,$L176))</f>
        <v/>
      </c>
    </row>
    <row r="177" ht="15" customHeight="1">
      <c r="A177" s="27" t="n"/>
      <c r="B177" s="27" t="n"/>
      <c r="C177" s="27" t="n"/>
      <c r="D177" s="28">
        <f>IF($C177="","",IFERROR(TRIM(LEFT($C177,FIND("-",$C177)-1)),""))</f>
        <v/>
      </c>
      <c r="E177" s="27" t="n"/>
      <c r="F177" s="29" t="n"/>
      <c r="G177" s="30" t="n"/>
      <c r="H177" s="30" t="n"/>
      <c r="I177" s="31">
        <f>IF($B177="","",$H177-$G177)</f>
        <v/>
      </c>
      <c r="J177" s="32">
        <f>IF(OR($B177="",$G177=0,$G177=""),"",$I177/$G177)</f>
        <v/>
      </c>
      <c r="K177" s="33" t="n"/>
      <c r="L177" s="33" t="n"/>
      <c r="M177" s="33" t="n"/>
      <c r="N177" s="33" t="n"/>
      <c r="O177" s="33" t="n"/>
      <c r="P177" s="32">
        <f>IF(OR($L177="",$N177=""),"",$L177-$N177)</f>
        <v/>
      </c>
      <c r="Q177" s="28">
        <f>IF($B177="","",IF(N($H177)&gt;0,"Live","Exited"))</f>
        <v/>
      </c>
      <c r="R177" s="28">
        <f>IF($B177="","",IF($L177="","Data Pending",IF($L177&gt;=Instructions!$D$19,"Best Fund",IF($L177&gt;=Instructions!$D$20,"Need to Improve","Not Performing"))))</f>
        <v/>
      </c>
      <c r="S177" s="7">
        <f>IF($R177="","",IF($R177="Data Pending","Enter the 3Y return",IF($R177="Best Fund","Hold / consider top-up",IF($R177="Need to Improve","Watch 2 quarters, then decide","Review with client - switch or exit"))))</f>
        <v/>
      </c>
      <c r="T177" s="27" t="n"/>
      <c r="U177" s="7">
        <f>IF($R177&lt;&gt;"Best Fund","",COUNTIFS($R$6:$R$505,"Best Fund",$L$6:$L$505,"&gt;"&amp;$L177)+COUNTIFS($R$6:$R177,"Best Fund",$L$6:$L177,$L177))</f>
        <v/>
      </c>
      <c r="V177" s="7">
        <f>IF($R177&lt;&gt;"Need to Improve","",COUNTIFS($R$6:$R$505,"Need to Improve",$L$6:$L$505,"&lt;"&amp;$L177)+COUNTIFS($R$6:$R177,"Need to Improve",$L$6:$L177,$L177))</f>
        <v/>
      </c>
      <c r="W177" s="7">
        <f>IF($R177&lt;&gt;"Not Performing","",COUNTIFS($R$6:$R$505,"Not Performing",$L$6:$L$505,"&lt;"&amp;$L177)+COUNTIFS($R$6:$R177,"Not Performing",$L$6:$L177,$L177))</f>
        <v/>
      </c>
    </row>
    <row r="178" ht="15" customHeight="1">
      <c r="A178" s="27" t="n"/>
      <c r="B178" s="27" t="n"/>
      <c r="C178" s="27" t="n"/>
      <c r="D178" s="28">
        <f>IF($C178="","",IFERROR(TRIM(LEFT($C178,FIND("-",$C178)-1)),""))</f>
        <v/>
      </c>
      <c r="E178" s="27" t="n"/>
      <c r="F178" s="29" t="n"/>
      <c r="G178" s="30" t="n"/>
      <c r="H178" s="30" t="n"/>
      <c r="I178" s="31">
        <f>IF($B178="","",$H178-$G178)</f>
        <v/>
      </c>
      <c r="J178" s="32">
        <f>IF(OR($B178="",$G178=0,$G178=""),"",$I178/$G178)</f>
        <v/>
      </c>
      <c r="K178" s="33" t="n"/>
      <c r="L178" s="33" t="n"/>
      <c r="M178" s="33" t="n"/>
      <c r="N178" s="33" t="n"/>
      <c r="O178" s="33" t="n"/>
      <c r="P178" s="32">
        <f>IF(OR($L178="",$N178=""),"",$L178-$N178)</f>
        <v/>
      </c>
      <c r="Q178" s="28">
        <f>IF($B178="","",IF(N($H178)&gt;0,"Live","Exited"))</f>
        <v/>
      </c>
      <c r="R178" s="28">
        <f>IF($B178="","",IF($L178="","Data Pending",IF($L178&gt;=Instructions!$D$19,"Best Fund",IF($L178&gt;=Instructions!$D$20,"Need to Improve","Not Performing"))))</f>
        <v/>
      </c>
      <c r="S178" s="7">
        <f>IF($R178="","",IF($R178="Data Pending","Enter the 3Y return",IF($R178="Best Fund","Hold / consider top-up",IF($R178="Need to Improve","Watch 2 quarters, then decide","Review with client - switch or exit"))))</f>
        <v/>
      </c>
      <c r="T178" s="27" t="n"/>
      <c r="U178" s="7">
        <f>IF($R178&lt;&gt;"Best Fund","",COUNTIFS($R$6:$R$505,"Best Fund",$L$6:$L$505,"&gt;"&amp;$L178)+COUNTIFS($R$6:$R178,"Best Fund",$L$6:$L178,$L178))</f>
        <v/>
      </c>
      <c r="V178" s="7">
        <f>IF($R178&lt;&gt;"Need to Improve","",COUNTIFS($R$6:$R$505,"Need to Improve",$L$6:$L$505,"&lt;"&amp;$L178)+COUNTIFS($R$6:$R178,"Need to Improve",$L$6:$L178,$L178))</f>
        <v/>
      </c>
      <c r="W178" s="7">
        <f>IF($R178&lt;&gt;"Not Performing","",COUNTIFS($R$6:$R$505,"Not Performing",$L$6:$L$505,"&lt;"&amp;$L178)+COUNTIFS($R$6:$R178,"Not Performing",$L$6:$L178,$L178))</f>
        <v/>
      </c>
    </row>
    <row r="179" ht="15" customHeight="1">
      <c r="A179" s="27" t="n"/>
      <c r="B179" s="27" t="n"/>
      <c r="C179" s="27" t="n"/>
      <c r="D179" s="28">
        <f>IF($C179="","",IFERROR(TRIM(LEFT($C179,FIND("-",$C179)-1)),""))</f>
        <v/>
      </c>
      <c r="E179" s="27" t="n"/>
      <c r="F179" s="29" t="n"/>
      <c r="G179" s="30" t="n"/>
      <c r="H179" s="30" t="n"/>
      <c r="I179" s="31">
        <f>IF($B179="","",$H179-$G179)</f>
        <v/>
      </c>
      <c r="J179" s="32">
        <f>IF(OR($B179="",$G179=0,$G179=""),"",$I179/$G179)</f>
        <v/>
      </c>
      <c r="K179" s="33" t="n"/>
      <c r="L179" s="33" t="n"/>
      <c r="M179" s="33" t="n"/>
      <c r="N179" s="33" t="n"/>
      <c r="O179" s="33" t="n"/>
      <c r="P179" s="32">
        <f>IF(OR($L179="",$N179=""),"",$L179-$N179)</f>
        <v/>
      </c>
      <c r="Q179" s="28">
        <f>IF($B179="","",IF(N($H179)&gt;0,"Live","Exited"))</f>
        <v/>
      </c>
      <c r="R179" s="28">
        <f>IF($B179="","",IF($L179="","Data Pending",IF($L179&gt;=Instructions!$D$19,"Best Fund",IF($L179&gt;=Instructions!$D$20,"Need to Improve","Not Performing"))))</f>
        <v/>
      </c>
      <c r="S179" s="7">
        <f>IF($R179="","",IF($R179="Data Pending","Enter the 3Y return",IF($R179="Best Fund","Hold / consider top-up",IF($R179="Need to Improve","Watch 2 quarters, then decide","Review with client - switch or exit"))))</f>
        <v/>
      </c>
      <c r="T179" s="27" t="n"/>
      <c r="U179" s="7">
        <f>IF($R179&lt;&gt;"Best Fund","",COUNTIFS($R$6:$R$505,"Best Fund",$L$6:$L$505,"&gt;"&amp;$L179)+COUNTIFS($R$6:$R179,"Best Fund",$L$6:$L179,$L179))</f>
        <v/>
      </c>
      <c r="V179" s="7">
        <f>IF($R179&lt;&gt;"Need to Improve","",COUNTIFS($R$6:$R$505,"Need to Improve",$L$6:$L$505,"&lt;"&amp;$L179)+COUNTIFS($R$6:$R179,"Need to Improve",$L$6:$L179,$L179))</f>
        <v/>
      </c>
      <c r="W179" s="7">
        <f>IF($R179&lt;&gt;"Not Performing","",COUNTIFS($R$6:$R$505,"Not Performing",$L$6:$L$505,"&lt;"&amp;$L179)+COUNTIFS($R$6:$R179,"Not Performing",$L$6:$L179,$L179))</f>
        <v/>
      </c>
    </row>
    <row r="180" ht="15" customHeight="1">
      <c r="A180" s="27" t="n"/>
      <c r="B180" s="27" t="n"/>
      <c r="C180" s="27" t="n"/>
      <c r="D180" s="28">
        <f>IF($C180="","",IFERROR(TRIM(LEFT($C180,FIND("-",$C180)-1)),""))</f>
        <v/>
      </c>
      <c r="E180" s="27" t="n"/>
      <c r="F180" s="29" t="n"/>
      <c r="G180" s="30" t="n"/>
      <c r="H180" s="30" t="n"/>
      <c r="I180" s="31">
        <f>IF($B180="","",$H180-$G180)</f>
        <v/>
      </c>
      <c r="J180" s="32">
        <f>IF(OR($B180="",$G180=0,$G180=""),"",$I180/$G180)</f>
        <v/>
      </c>
      <c r="K180" s="33" t="n"/>
      <c r="L180" s="33" t="n"/>
      <c r="M180" s="33" t="n"/>
      <c r="N180" s="33" t="n"/>
      <c r="O180" s="33" t="n"/>
      <c r="P180" s="32">
        <f>IF(OR($L180="",$N180=""),"",$L180-$N180)</f>
        <v/>
      </c>
      <c r="Q180" s="28">
        <f>IF($B180="","",IF(N($H180)&gt;0,"Live","Exited"))</f>
        <v/>
      </c>
      <c r="R180" s="28">
        <f>IF($B180="","",IF($L180="","Data Pending",IF($L180&gt;=Instructions!$D$19,"Best Fund",IF($L180&gt;=Instructions!$D$20,"Need to Improve","Not Performing"))))</f>
        <v/>
      </c>
      <c r="S180" s="7">
        <f>IF($R180="","",IF($R180="Data Pending","Enter the 3Y return",IF($R180="Best Fund","Hold / consider top-up",IF($R180="Need to Improve","Watch 2 quarters, then decide","Review with client - switch or exit"))))</f>
        <v/>
      </c>
      <c r="T180" s="27" t="n"/>
      <c r="U180" s="7">
        <f>IF($R180&lt;&gt;"Best Fund","",COUNTIFS($R$6:$R$505,"Best Fund",$L$6:$L$505,"&gt;"&amp;$L180)+COUNTIFS($R$6:$R180,"Best Fund",$L$6:$L180,$L180))</f>
        <v/>
      </c>
      <c r="V180" s="7">
        <f>IF($R180&lt;&gt;"Need to Improve","",COUNTIFS($R$6:$R$505,"Need to Improve",$L$6:$L$505,"&lt;"&amp;$L180)+COUNTIFS($R$6:$R180,"Need to Improve",$L$6:$L180,$L180))</f>
        <v/>
      </c>
      <c r="W180" s="7">
        <f>IF($R180&lt;&gt;"Not Performing","",COUNTIFS($R$6:$R$505,"Not Performing",$L$6:$L$505,"&lt;"&amp;$L180)+COUNTIFS($R$6:$R180,"Not Performing",$L$6:$L180,$L180))</f>
        <v/>
      </c>
    </row>
    <row r="181" ht="15" customHeight="1">
      <c r="A181" s="27" t="n"/>
      <c r="B181" s="27" t="n"/>
      <c r="C181" s="27" t="n"/>
      <c r="D181" s="28">
        <f>IF($C181="","",IFERROR(TRIM(LEFT($C181,FIND("-",$C181)-1)),""))</f>
        <v/>
      </c>
      <c r="E181" s="27" t="n"/>
      <c r="F181" s="29" t="n"/>
      <c r="G181" s="30" t="n"/>
      <c r="H181" s="30" t="n"/>
      <c r="I181" s="31">
        <f>IF($B181="","",$H181-$G181)</f>
        <v/>
      </c>
      <c r="J181" s="32">
        <f>IF(OR($B181="",$G181=0,$G181=""),"",$I181/$G181)</f>
        <v/>
      </c>
      <c r="K181" s="33" t="n"/>
      <c r="L181" s="33" t="n"/>
      <c r="M181" s="33" t="n"/>
      <c r="N181" s="33" t="n"/>
      <c r="O181" s="33" t="n"/>
      <c r="P181" s="32">
        <f>IF(OR($L181="",$N181=""),"",$L181-$N181)</f>
        <v/>
      </c>
      <c r="Q181" s="28">
        <f>IF($B181="","",IF(N($H181)&gt;0,"Live","Exited"))</f>
        <v/>
      </c>
      <c r="R181" s="28">
        <f>IF($B181="","",IF($L181="","Data Pending",IF($L181&gt;=Instructions!$D$19,"Best Fund",IF($L181&gt;=Instructions!$D$20,"Need to Improve","Not Performing"))))</f>
        <v/>
      </c>
      <c r="S181" s="7">
        <f>IF($R181="","",IF($R181="Data Pending","Enter the 3Y return",IF($R181="Best Fund","Hold / consider top-up",IF($R181="Need to Improve","Watch 2 quarters, then decide","Review with client - switch or exit"))))</f>
        <v/>
      </c>
      <c r="T181" s="27" t="n"/>
      <c r="U181" s="7">
        <f>IF($R181&lt;&gt;"Best Fund","",COUNTIFS($R$6:$R$505,"Best Fund",$L$6:$L$505,"&gt;"&amp;$L181)+COUNTIFS($R$6:$R181,"Best Fund",$L$6:$L181,$L181))</f>
        <v/>
      </c>
      <c r="V181" s="7">
        <f>IF($R181&lt;&gt;"Need to Improve","",COUNTIFS($R$6:$R$505,"Need to Improve",$L$6:$L$505,"&lt;"&amp;$L181)+COUNTIFS($R$6:$R181,"Need to Improve",$L$6:$L181,$L181))</f>
        <v/>
      </c>
      <c r="W181" s="7">
        <f>IF($R181&lt;&gt;"Not Performing","",COUNTIFS($R$6:$R$505,"Not Performing",$L$6:$L$505,"&lt;"&amp;$L181)+COUNTIFS($R$6:$R181,"Not Performing",$L$6:$L181,$L181))</f>
        <v/>
      </c>
    </row>
    <row r="182" ht="15" customHeight="1">
      <c r="A182" s="27" t="n"/>
      <c r="B182" s="27" t="n"/>
      <c r="C182" s="27" t="n"/>
      <c r="D182" s="28">
        <f>IF($C182="","",IFERROR(TRIM(LEFT($C182,FIND("-",$C182)-1)),""))</f>
        <v/>
      </c>
      <c r="E182" s="27" t="n"/>
      <c r="F182" s="29" t="n"/>
      <c r="G182" s="30" t="n"/>
      <c r="H182" s="30" t="n"/>
      <c r="I182" s="31">
        <f>IF($B182="","",$H182-$G182)</f>
        <v/>
      </c>
      <c r="J182" s="32">
        <f>IF(OR($B182="",$G182=0,$G182=""),"",$I182/$G182)</f>
        <v/>
      </c>
      <c r="K182" s="33" t="n"/>
      <c r="L182" s="33" t="n"/>
      <c r="M182" s="33" t="n"/>
      <c r="N182" s="33" t="n"/>
      <c r="O182" s="33" t="n"/>
      <c r="P182" s="32">
        <f>IF(OR($L182="",$N182=""),"",$L182-$N182)</f>
        <v/>
      </c>
      <c r="Q182" s="28">
        <f>IF($B182="","",IF(N($H182)&gt;0,"Live","Exited"))</f>
        <v/>
      </c>
      <c r="R182" s="28">
        <f>IF($B182="","",IF($L182="","Data Pending",IF($L182&gt;=Instructions!$D$19,"Best Fund",IF($L182&gt;=Instructions!$D$20,"Need to Improve","Not Performing"))))</f>
        <v/>
      </c>
      <c r="S182" s="7">
        <f>IF($R182="","",IF($R182="Data Pending","Enter the 3Y return",IF($R182="Best Fund","Hold / consider top-up",IF($R182="Need to Improve","Watch 2 quarters, then decide","Review with client - switch or exit"))))</f>
        <v/>
      </c>
      <c r="T182" s="27" t="n"/>
      <c r="U182" s="7">
        <f>IF($R182&lt;&gt;"Best Fund","",COUNTIFS($R$6:$R$505,"Best Fund",$L$6:$L$505,"&gt;"&amp;$L182)+COUNTIFS($R$6:$R182,"Best Fund",$L$6:$L182,$L182))</f>
        <v/>
      </c>
      <c r="V182" s="7">
        <f>IF($R182&lt;&gt;"Need to Improve","",COUNTIFS($R$6:$R$505,"Need to Improve",$L$6:$L$505,"&lt;"&amp;$L182)+COUNTIFS($R$6:$R182,"Need to Improve",$L$6:$L182,$L182))</f>
        <v/>
      </c>
      <c r="W182" s="7">
        <f>IF($R182&lt;&gt;"Not Performing","",COUNTIFS($R$6:$R$505,"Not Performing",$L$6:$L$505,"&lt;"&amp;$L182)+COUNTIFS($R$6:$R182,"Not Performing",$L$6:$L182,$L182))</f>
        <v/>
      </c>
    </row>
    <row r="183" ht="15" customHeight="1">
      <c r="A183" s="27" t="n"/>
      <c r="B183" s="27" t="n"/>
      <c r="C183" s="27" t="n"/>
      <c r="D183" s="28">
        <f>IF($C183="","",IFERROR(TRIM(LEFT($C183,FIND("-",$C183)-1)),""))</f>
        <v/>
      </c>
      <c r="E183" s="27" t="n"/>
      <c r="F183" s="29" t="n"/>
      <c r="G183" s="30" t="n"/>
      <c r="H183" s="30" t="n"/>
      <c r="I183" s="31">
        <f>IF($B183="","",$H183-$G183)</f>
        <v/>
      </c>
      <c r="J183" s="32">
        <f>IF(OR($B183="",$G183=0,$G183=""),"",$I183/$G183)</f>
        <v/>
      </c>
      <c r="K183" s="33" t="n"/>
      <c r="L183" s="33" t="n"/>
      <c r="M183" s="33" t="n"/>
      <c r="N183" s="33" t="n"/>
      <c r="O183" s="33" t="n"/>
      <c r="P183" s="32">
        <f>IF(OR($L183="",$N183=""),"",$L183-$N183)</f>
        <v/>
      </c>
      <c r="Q183" s="28">
        <f>IF($B183="","",IF(N($H183)&gt;0,"Live","Exited"))</f>
        <v/>
      </c>
      <c r="R183" s="28">
        <f>IF($B183="","",IF($L183="","Data Pending",IF($L183&gt;=Instructions!$D$19,"Best Fund",IF($L183&gt;=Instructions!$D$20,"Need to Improve","Not Performing"))))</f>
        <v/>
      </c>
      <c r="S183" s="7">
        <f>IF($R183="","",IF($R183="Data Pending","Enter the 3Y return",IF($R183="Best Fund","Hold / consider top-up",IF($R183="Need to Improve","Watch 2 quarters, then decide","Review with client - switch or exit"))))</f>
        <v/>
      </c>
      <c r="T183" s="27" t="n"/>
      <c r="U183" s="7">
        <f>IF($R183&lt;&gt;"Best Fund","",COUNTIFS($R$6:$R$505,"Best Fund",$L$6:$L$505,"&gt;"&amp;$L183)+COUNTIFS($R$6:$R183,"Best Fund",$L$6:$L183,$L183))</f>
        <v/>
      </c>
      <c r="V183" s="7">
        <f>IF($R183&lt;&gt;"Need to Improve","",COUNTIFS($R$6:$R$505,"Need to Improve",$L$6:$L$505,"&lt;"&amp;$L183)+COUNTIFS($R$6:$R183,"Need to Improve",$L$6:$L183,$L183))</f>
        <v/>
      </c>
      <c r="W183" s="7">
        <f>IF($R183&lt;&gt;"Not Performing","",COUNTIFS($R$6:$R$505,"Not Performing",$L$6:$L$505,"&lt;"&amp;$L183)+COUNTIFS($R$6:$R183,"Not Performing",$L$6:$L183,$L183))</f>
        <v/>
      </c>
    </row>
    <row r="184" ht="15" customHeight="1">
      <c r="A184" s="27" t="n"/>
      <c r="B184" s="27" t="n"/>
      <c r="C184" s="27" t="n"/>
      <c r="D184" s="28">
        <f>IF($C184="","",IFERROR(TRIM(LEFT($C184,FIND("-",$C184)-1)),""))</f>
        <v/>
      </c>
      <c r="E184" s="27" t="n"/>
      <c r="F184" s="29" t="n"/>
      <c r="G184" s="30" t="n"/>
      <c r="H184" s="30" t="n"/>
      <c r="I184" s="31">
        <f>IF($B184="","",$H184-$G184)</f>
        <v/>
      </c>
      <c r="J184" s="32">
        <f>IF(OR($B184="",$G184=0,$G184=""),"",$I184/$G184)</f>
        <v/>
      </c>
      <c r="K184" s="33" t="n"/>
      <c r="L184" s="33" t="n"/>
      <c r="M184" s="33" t="n"/>
      <c r="N184" s="33" t="n"/>
      <c r="O184" s="33" t="n"/>
      <c r="P184" s="32">
        <f>IF(OR($L184="",$N184=""),"",$L184-$N184)</f>
        <v/>
      </c>
      <c r="Q184" s="28">
        <f>IF($B184="","",IF(N($H184)&gt;0,"Live","Exited"))</f>
        <v/>
      </c>
      <c r="R184" s="28">
        <f>IF($B184="","",IF($L184="","Data Pending",IF($L184&gt;=Instructions!$D$19,"Best Fund",IF($L184&gt;=Instructions!$D$20,"Need to Improve","Not Performing"))))</f>
        <v/>
      </c>
      <c r="S184" s="7">
        <f>IF($R184="","",IF($R184="Data Pending","Enter the 3Y return",IF($R184="Best Fund","Hold / consider top-up",IF($R184="Need to Improve","Watch 2 quarters, then decide","Review with client - switch or exit"))))</f>
        <v/>
      </c>
      <c r="T184" s="27" t="n"/>
      <c r="U184" s="7">
        <f>IF($R184&lt;&gt;"Best Fund","",COUNTIFS($R$6:$R$505,"Best Fund",$L$6:$L$505,"&gt;"&amp;$L184)+COUNTIFS($R$6:$R184,"Best Fund",$L$6:$L184,$L184))</f>
        <v/>
      </c>
      <c r="V184" s="7">
        <f>IF($R184&lt;&gt;"Need to Improve","",COUNTIFS($R$6:$R$505,"Need to Improve",$L$6:$L$505,"&lt;"&amp;$L184)+COUNTIFS($R$6:$R184,"Need to Improve",$L$6:$L184,$L184))</f>
        <v/>
      </c>
      <c r="W184" s="7">
        <f>IF($R184&lt;&gt;"Not Performing","",COUNTIFS($R$6:$R$505,"Not Performing",$L$6:$L$505,"&lt;"&amp;$L184)+COUNTIFS($R$6:$R184,"Not Performing",$L$6:$L184,$L184))</f>
        <v/>
      </c>
    </row>
    <row r="185" ht="15" customHeight="1">
      <c r="A185" s="27" t="n"/>
      <c r="B185" s="27" t="n"/>
      <c r="C185" s="27" t="n"/>
      <c r="D185" s="28">
        <f>IF($C185="","",IFERROR(TRIM(LEFT($C185,FIND("-",$C185)-1)),""))</f>
        <v/>
      </c>
      <c r="E185" s="27" t="n"/>
      <c r="F185" s="29" t="n"/>
      <c r="G185" s="30" t="n"/>
      <c r="H185" s="30" t="n"/>
      <c r="I185" s="31">
        <f>IF($B185="","",$H185-$G185)</f>
        <v/>
      </c>
      <c r="J185" s="32">
        <f>IF(OR($B185="",$G185=0,$G185=""),"",$I185/$G185)</f>
        <v/>
      </c>
      <c r="K185" s="33" t="n"/>
      <c r="L185" s="33" t="n"/>
      <c r="M185" s="33" t="n"/>
      <c r="N185" s="33" t="n"/>
      <c r="O185" s="33" t="n"/>
      <c r="P185" s="32">
        <f>IF(OR($L185="",$N185=""),"",$L185-$N185)</f>
        <v/>
      </c>
      <c r="Q185" s="28">
        <f>IF($B185="","",IF(N($H185)&gt;0,"Live","Exited"))</f>
        <v/>
      </c>
      <c r="R185" s="28">
        <f>IF($B185="","",IF($L185="","Data Pending",IF($L185&gt;=Instructions!$D$19,"Best Fund",IF($L185&gt;=Instructions!$D$20,"Need to Improve","Not Performing"))))</f>
        <v/>
      </c>
      <c r="S185" s="7">
        <f>IF($R185="","",IF($R185="Data Pending","Enter the 3Y return",IF($R185="Best Fund","Hold / consider top-up",IF($R185="Need to Improve","Watch 2 quarters, then decide","Review with client - switch or exit"))))</f>
        <v/>
      </c>
      <c r="T185" s="27" t="n"/>
      <c r="U185" s="7">
        <f>IF($R185&lt;&gt;"Best Fund","",COUNTIFS($R$6:$R$505,"Best Fund",$L$6:$L$505,"&gt;"&amp;$L185)+COUNTIFS($R$6:$R185,"Best Fund",$L$6:$L185,$L185))</f>
        <v/>
      </c>
      <c r="V185" s="7">
        <f>IF($R185&lt;&gt;"Need to Improve","",COUNTIFS($R$6:$R$505,"Need to Improve",$L$6:$L$505,"&lt;"&amp;$L185)+COUNTIFS($R$6:$R185,"Need to Improve",$L$6:$L185,$L185))</f>
        <v/>
      </c>
      <c r="W185" s="7">
        <f>IF($R185&lt;&gt;"Not Performing","",COUNTIFS($R$6:$R$505,"Not Performing",$L$6:$L$505,"&lt;"&amp;$L185)+COUNTIFS($R$6:$R185,"Not Performing",$L$6:$L185,$L185))</f>
        <v/>
      </c>
    </row>
    <row r="186" ht="15" customHeight="1">
      <c r="A186" s="27" t="n"/>
      <c r="B186" s="27" t="n"/>
      <c r="C186" s="27" t="n"/>
      <c r="D186" s="28">
        <f>IF($C186="","",IFERROR(TRIM(LEFT($C186,FIND("-",$C186)-1)),""))</f>
        <v/>
      </c>
      <c r="E186" s="27" t="n"/>
      <c r="F186" s="29" t="n"/>
      <c r="G186" s="30" t="n"/>
      <c r="H186" s="30" t="n"/>
      <c r="I186" s="31">
        <f>IF($B186="","",$H186-$G186)</f>
        <v/>
      </c>
      <c r="J186" s="32">
        <f>IF(OR($B186="",$G186=0,$G186=""),"",$I186/$G186)</f>
        <v/>
      </c>
      <c r="K186" s="33" t="n"/>
      <c r="L186" s="33" t="n"/>
      <c r="M186" s="33" t="n"/>
      <c r="N186" s="33" t="n"/>
      <c r="O186" s="33" t="n"/>
      <c r="P186" s="32">
        <f>IF(OR($L186="",$N186=""),"",$L186-$N186)</f>
        <v/>
      </c>
      <c r="Q186" s="28">
        <f>IF($B186="","",IF(N($H186)&gt;0,"Live","Exited"))</f>
        <v/>
      </c>
      <c r="R186" s="28">
        <f>IF($B186="","",IF($L186="","Data Pending",IF($L186&gt;=Instructions!$D$19,"Best Fund",IF($L186&gt;=Instructions!$D$20,"Need to Improve","Not Performing"))))</f>
        <v/>
      </c>
      <c r="S186" s="7">
        <f>IF($R186="","",IF($R186="Data Pending","Enter the 3Y return",IF($R186="Best Fund","Hold / consider top-up",IF($R186="Need to Improve","Watch 2 quarters, then decide","Review with client - switch or exit"))))</f>
        <v/>
      </c>
      <c r="T186" s="27" t="n"/>
      <c r="U186" s="7">
        <f>IF($R186&lt;&gt;"Best Fund","",COUNTIFS($R$6:$R$505,"Best Fund",$L$6:$L$505,"&gt;"&amp;$L186)+COUNTIFS($R$6:$R186,"Best Fund",$L$6:$L186,$L186))</f>
        <v/>
      </c>
      <c r="V186" s="7">
        <f>IF($R186&lt;&gt;"Need to Improve","",COUNTIFS($R$6:$R$505,"Need to Improve",$L$6:$L$505,"&lt;"&amp;$L186)+COUNTIFS($R$6:$R186,"Need to Improve",$L$6:$L186,$L186))</f>
        <v/>
      </c>
      <c r="W186" s="7">
        <f>IF($R186&lt;&gt;"Not Performing","",COUNTIFS($R$6:$R$505,"Not Performing",$L$6:$L$505,"&lt;"&amp;$L186)+COUNTIFS($R$6:$R186,"Not Performing",$L$6:$L186,$L186))</f>
        <v/>
      </c>
    </row>
    <row r="187" ht="15" customHeight="1">
      <c r="A187" s="27" t="n"/>
      <c r="B187" s="27" t="n"/>
      <c r="C187" s="27" t="n"/>
      <c r="D187" s="28">
        <f>IF($C187="","",IFERROR(TRIM(LEFT($C187,FIND("-",$C187)-1)),""))</f>
        <v/>
      </c>
      <c r="E187" s="27" t="n"/>
      <c r="F187" s="29" t="n"/>
      <c r="G187" s="30" t="n"/>
      <c r="H187" s="30" t="n"/>
      <c r="I187" s="31">
        <f>IF($B187="","",$H187-$G187)</f>
        <v/>
      </c>
      <c r="J187" s="32">
        <f>IF(OR($B187="",$G187=0,$G187=""),"",$I187/$G187)</f>
        <v/>
      </c>
      <c r="K187" s="33" t="n"/>
      <c r="L187" s="33" t="n"/>
      <c r="M187" s="33" t="n"/>
      <c r="N187" s="33" t="n"/>
      <c r="O187" s="33" t="n"/>
      <c r="P187" s="32">
        <f>IF(OR($L187="",$N187=""),"",$L187-$N187)</f>
        <v/>
      </c>
      <c r="Q187" s="28">
        <f>IF($B187="","",IF(N($H187)&gt;0,"Live","Exited"))</f>
        <v/>
      </c>
      <c r="R187" s="28">
        <f>IF($B187="","",IF($L187="","Data Pending",IF($L187&gt;=Instructions!$D$19,"Best Fund",IF($L187&gt;=Instructions!$D$20,"Need to Improve","Not Performing"))))</f>
        <v/>
      </c>
      <c r="S187" s="7">
        <f>IF($R187="","",IF($R187="Data Pending","Enter the 3Y return",IF($R187="Best Fund","Hold / consider top-up",IF($R187="Need to Improve","Watch 2 quarters, then decide","Review with client - switch or exit"))))</f>
        <v/>
      </c>
      <c r="T187" s="27" t="n"/>
      <c r="U187" s="7">
        <f>IF($R187&lt;&gt;"Best Fund","",COUNTIFS($R$6:$R$505,"Best Fund",$L$6:$L$505,"&gt;"&amp;$L187)+COUNTIFS($R$6:$R187,"Best Fund",$L$6:$L187,$L187))</f>
        <v/>
      </c>
      <c r="V187" s="7">
        <f>IF($R187&lt;&gt;"Need to Improve","",COUNTIFS($R$6:$R$505,"Need to Improve",$L$6:$L$505,"&lt;"&amp;$L187)+COUNTIFS($R$6:$R187,"Need to Improve",$L$6:$L187,$L187))</f>
        <v/>
      </c>
      <c r="W187" s="7">
        <f>IF($R187&lt;&gt;"Not Performing","",COUNTIFS($R$6:$R$505,"Not Performing",$L$6:$L$505,"&lt;"&amp;$L187)+COUNTIFS($R$6:$R187,"Not Performing",$L$6:$L187,$L187))</f>
        <v/>
      </c>
    </row>
    <row r="188" ht="15" customHeight="1">
      <c r="A188" s="27" t="n"/>
      <c r="B188" s="27" t="n"/>
      <c r="C188" s="27" t="n"/>
      <c r="D188" s="28">
        <f>IF($C188="","",IFERROR(TRIM(LEFT($C188,FIND("-",$C188)-1)),""))</f>
        <v/>
      </c>
      <c r="E188" s="27" t="n"/>
      <c r="F188" s="29" t="n"/>
      <c r="G188" s="30" t="n"/>
      <c r="H188" s="30" t="n"/>
      <c r="I188" s="31">
        <f>IF($B188="","",$H188-$G188)</f>
        <v/>
      </c>
      <c r="J188" s="32">
        <f>IF(OR($B188="",$G188=0,$G188=""),"",$I188/$G188)</f>
        <v/>
      </c>
      <c r="K188" s="33" t="n"/>
      <c r="L188" s="33" t="n"/>
      <c r="M188" s="33" t="n"/>
      <c r="N188" s="33" t="n"/>
      <c r="O188" s="33" t="n"/>
      <c r="P188" s="32">
        <f>IF(OR($L188="",$N188=""),"",$L188-$N188)</f>
        <v/>
      </c>
      <c r="Q188" s="28">
        <f>IF($B188="","",IF(N($H188)&gt;0,"Live","Exited"))</f>
        <v/>
      </c>
      <c r="R188" s="28">
        <f>IF($B188="","",IF($L188="","Data Pending",IF($L188&gt;=Instructions!$D$19,"Best Fund",IF($L188&gt;=Instructions!$D$20,"Need to Improve","Not Performing"))))</f>
        <v/>
      </c>
      <c r="S188" s="7">
        <f>IF($R188="","",IF($R188="Data Pending","Enter the 3Y return",IF($R188="Best Fund","Hold / consider top-up",IF($R188="Need to Improve","Watch 2 quarters, then decide","Review with client - switch or exit"))))</f>
        <v/>
      </c>
      <c r="T188" s="27" t="n"/>
      <c r="U188" s="7">
        <f>IF($R188&lt;&gt;"Best Fund","",COUNTIFS($R$6:$R$505,"Best Fund",$L$6:$L$505,"&gt;"&amp;$L188)+COUNTIFS($R$6:$R188,"Best Fund",$L$6:$L188,$L188))</f>
        <v/>
      </c>
      <c r="V188" s="7">
        <f>IF($R188&lt;&gt;"Need to Improve","",COUNTIFS($R$6:$R$505,"Need to Improve",$L$6:$L$505,"&lt;"&amp;$L188)+COUNTIFS($R$6:$R188,"Need to Improve",$L$6:$L188,$L188))</f>
        <v/>
      </c>
      <c r="W188" s="7">
        <f>IF($R188&lt;&gt;"Not Performing","",COUNTIFS($R$6:$R$505,"Not Performing",$L$6:$L$505,"&lt;"&amp;$L188)+COUNTIFS($R$6:$R188,"Not Performing",$L$6:$L188,$L188))</f>
        <v/>
      </c>
    </row>
    <row r="189" ht="15" customHeight="1">
      <c r="A189" s="27" t="n"/>
      <c r="B189" s="27" t="n"/>
      <c r="C189" s="27" t="n"/>
      <c r="D189" s="28">
        <f>IF($C189="","",IFERROR(TRIM(LEFT($C189,FIND("-",$C189)-1)),""))</f>
        <v/>
      </c>
      <c r="E189" s="27" t="n"/>
      <c r="F189" s="29" t="n"/>
      <c r="G189" s="30" t="n"/>
      <c r="H189" s="30" t="n"/>
      <c r="I189" s="31">
        <f>IF($B189="","",$H189-$G189)</f>
        <v/>
      </c>
      <c r="J189" s="32">
        <f>IF(OR($B189="",$G189=0,$G189=""),"",$I189/$G189)</f>
        <v/>
      </c>
      <c r="K189" s="33" t="n"/>
      <c r="L189" s="33" t="n"/>
      <c r="M189" s="33" t="n"/>
      <c r="N189" s="33" t="n"/>
      <c r="O189" s="33" t="n"/>
      <c r="P189" s="32">
        <f>IF(OR($L189="",$N189=""),"",$L189-$N189)</f>
        <v/>
      </c>
      <c r="Q189" s="28">
        <f>IF($B189="","",IF(N($H189)&gt;0,"Live","Exited"))</f>
        <v/>
      </c>
      <c r="R189" s="28">
        <f>IF($B189="","",IF($L189="","Data Pending",IF($L189&gt;=Instructions!$D$19,"Best Fund",IF($L189&gt;=Instructions!$D$20,"Need to Improve","Not Performing"))))</f>
        <v/>
      </c>
      <c r="S189" s="7">
        <f>IF($R189="","",IF($R189="Data Pending","Enter the 3Y return",IF($R189="Best Fund","Hold / consider top-up",IF($R189="Need to Improve","Watch 2 quarters, then decide","Review with client - switch or exit"))))</f>
        <v/>
      </c>
      <c r="T189" s="27" t="n"/>
      <c r="U189" s="7">
        <f>IF($R189&lt;&gt;"Best Fund","",COUNTIFS($R$6:$R$505,"Best Fund",$L$6:$L$505,"&gt;"&amp;$L189)+COUNTIFS($R$6:$R189,"Best Fund",$L$6:$L189,$L189))</f>
        <v/>
      </c>
      <c r="V189" s="7">
        <f>IF($R189&lt;&gt;"Need to Improve","",COUNTIFS($R$6:$R$505,"Need to Improve",$L$6:$L$505,"&lt;"&amp;$L189)+COUNTIFS($R$6:$R189,"Need to Improve",$L$6:$L189,$L189))</f>
        <v/>
      </c>
      <c r="W189" s="7">
        <f>IF($R189&lt;&gt;"Not Performing","",COUNTIFS($R$6:$R$505,"Not Performing",$L$6:$L$505,"&lt;"&amp;$L189)+COUNTIFS($R$6:$R189,"Not Performing",$L$6:$L189,$L189))</f>
        <v/>
      </c>
    </row>
    <row r="190" ht="15" customHeight="1">
      <c r="A190" s="27" t="n"/>
      <c r="B190" s="27" t="n"/>
      <c r="C190" s="27" t="n"/>
      <c r="D190" s="28">
        <f>IF($C190="","",IFERROR(TRIM(LEFT($C190,FIND("-",$C190)-1)),""))</f>
        <v/>
      </c>
      <c r="E190" s="27" t="n"/>
      <c r="F190" s="29" t="n"/>
      <c r="G190" s="30" t="n"/>
      <c r="H190" s="30" t="n"/>
      <c r="I190" s="31">
        <f>IF($B190="","",$H190-$G190)</f>
        <v/>
      </c>
      <c r="J190" s="32">
        <f>IF(OR($B190="",$G190=0,$G190=""),"",$I190/$G190)</f>
        <v/>
      </c>
      <c r="K190" s="33" t="n"/>
      <c r="L190" s="33" t="n"/>
      <c r="M190" s="33" t="n"/>
      <c r="N190" s="33" t="n"/>
      <c r="O190" s="33" t="n"/>
      <c r="P190" s="32">
        <f>IF(OR($L190="",$N190=""),"",$L190-$N190)</f>
        <v/>
      </c>
      <c r="Q190" s="28">
        <f>IF($B190="","",IF(N($H190)&gt;0,"Live","Exited"))</f>
        <v/>
      </c>
      <c r="R190" s="28">
        <f>IF($B190="","",IF($L190="","Data Pending",IF($L190&gt;=Instructions!$D$19,"Best Fund",IF($L190&gt;=Instructions!$D$20,"Need to Improve","Not Performing"))))</f>
        <v/>
      </c>
      <c r="S190" s="7">
        <f>IF($R190="","",IF($R190="Data Pending","Enter the 3Y return",IF($R190="Best Fund","Hold / consider top-up",IF($R190="Need to Improve","Watch 2 quarters, then decide","Review with client - switch or exit"))))</f>
        <v/>
      </c>
      <c r="T190" s="27" t="n"/>
      <c r="U190" s="7">
        <f>IF($R190&lt;&gt;"Best Fund","",COUNTIFS($R$6:$R$505,"Best Fund",$L$6:$L$505,"&gt;"&amp;$L190)+COUNTIFS($R$6:$R190,"Best Fund",$L$6:$L190,$L190))</f>
        <v/>
      </c>
      <c r="V190" s="7">
        <f>IF($R190&lt;&gt;"Need to Improve","",COUNTIFS($R$6:$R$505,"Need to Improve",$L$6:$L$505,"&lt;"&amp;$L190)+COUNTIFS($R$6:$R190,"Need to Improve",$L$6:$L190,$L190))</f>
        <v/>
      </c>
      <c r="W190" s="7">
        <f>IF($R190&lt;&gt;"Not Performing","",COUNTIFS($R$6:$R$505,"Not Performing",$L$6:$L$505,"&lt;"&amp;$L190)+COUNTIFS($R$6:$R190,"Not Performing",$L$6:$L190,$L190))</f>
        <v/>
      </c>
    </row>
    <row r="191" ht="15" customHeight="1">
      <c r="A191" s="27" t="n"/>
      <c r="B191" s="27" t="n"/>
      <c r="C191" s="27" t="n"/>
      <c r="D191" s="28">
        <f>IF($C191="","",IFERROR(TRIM(LEFT($C191,FIND("-",$C191)-1)),""))</f>
        <v/>
      </c>
      <c r="E191" s="27" t="n"/>
      <c r="F191" s="29" t="n"/>
      <c r="G191" s="30" t="n"/>
      <c r="H191" s="30" t="n"/>
      <c r="I191" s="31">
        <f>IF($B191="","",$H191-$G191)</f>
        <v/>
      </c>
      <c r="J191" s="32">
        <f>IF(OR($B191="",$G191=0,$G191=""),"",$I191/$G191)</f>
        <v/>
      </c>
      <c r="K191" s="33" t="n"/>
      <c r="L191" s="33" t="n"/>
      <c r="M191" s="33" t="n"/>
      <c r="N191" s="33" t="n"/>
      <c r="O191" s="33" t="n"/>
      <c r="P191" s="32">
        <f>IF(OR($L191="",$N191=""),"",$L191-$N191)</f>
        <v/>
      </c>
      <c r="Q191" s="28">
        <f>IF($B191="","",IF(N($H191)&gt;0,"Live","Exited"))</f>
        <v/>
      </c>
      <c r="R191" s="28">
        <f>IF($B191="","",IF($L191="","Data Pending",IF($L191&gt;=Instructions!$D$19,"Best Fund",IF($L191&gt;=Instructions!$D$20,"Need to Improve","Not Performing"))))</f>
        <v/>
      </c>
      <c r="S191" s="7">
        <f>IF($R191="","",IF($R191="Data Pending","Enter the 3Y return",IF($R191="Best Fund","Hold / consider top-up",IF($R191="Need to Improve","Watch 2 quarters, then decide","Review with client - switch or exit"))))</f>
        <v/>
      </c>
      <c r="T191" s="27" t="n"/>
      <c r="U191" s="7">
        <f>IF($R191&lt;&gt;"Best Fund","",COUNTIFS($R$6:$R$505,"Best Fund",$L$6:$L$505,"&gt;"&amp;$L191)+COUNTIFS($R$6:$R191,"Best Fund",$L$6:$L191,$L191))</f>
        <v/>
      </c>
      <c r="V191" s="7">
        <f>IF($R191&lt;&gt;"Need to Improve","",COUNTIFS($R$6:$R$505,"Need to Improve",$L$6:$L$505,"&lt;"&amp;$L191)+COUNTIFS($R$6:$R191,"Need to Improve",$L$6:$L191,$L191))</f>
        <v/>
      </c>
      <c r="W191" s="7">
        <f>IF($R191&lt;&gt;"Not Performing","",COUNTIFS($R$6:$R$505,"Not Performing",$L$6:$L$505,"&lt;"&amp;$L191)+COUNTIFS($R$6:$R191,"Not Performing",$L$6:$L191,$L191))</f>
        <v/>
      </c>
    </row>
    <row r="192" ht="15" customHeight="1">
      <c r="A192" s="27" t="n"/>
      <c r="B192" s="27" t="n"/>
      <c r="C192" s="27" t="n"/>
      <c r="D192" s="28">
        <f>IF($C192="","",IFERROR(TRIM(LEFT($C192,FIND("-",$C192)-1)),""))</f>
        <v/>
      </c>
      <c r="E192" s="27" t="n"/>
      <c r="F192" s="29" t="n"/>
      <c r="G192" s="30" t="n"/>
      <c r="H192" s="30" t="n"/>
      <c r="I192" s="31">
        <f>IF($B192="","",$H192-$G192)</f>
        <v/>
      </c>
      <c r="J192" s="32">
        <f>IF(OR($B192="",$G192=0,$G192=""),"",$I192/$G192)</f>
        <v/>
      </c>
      <c r="K192" s="33" t="n"/>
      <c r="L192" s="33" t="n"/>
      <c r="M192" s="33" t="n"/>
      <c r="N192" s="33" t="n"/>
      <c r="O192" s="33" t="n"/>
      <c r="P192" s="32">
        <f>IF(OR($L192="",$N192=""),"",$L192-$N192)</f>
        <v/>
      </c>
      <c r="Q192" s="28">
        <f>IF($B192="","",IF(N($H192)&gt;0,"Live","Exited"))</f>
        <v/>
      </c>
      <c r="R192" s="28">
        <f>IF($B192="","",IF($L192="","Data Pending",IF($L192&gt;=Instructions!$D$19,"Best Fund",IF($L192&gt;=Instructions!$D$20,"Need to Improve","Not Performing"))))</f>
        <v/>
      </c>
      <c r="S192" s="7">
        <f>IF($R192="","",IF($R192="Data Pending","Enter the 3Y return",IF($R192="Best Fund","Hold / consider top-up",IF($R192="Need to Improve","Watch 2 quarters, then decide","Review with client - switch or exit"))))</f>
        <v/>
      </c>
      <c r="T192" s="27" t="n"/>
      <c r="U192" s="7">
        <f>IF($R192&lt;&gt;"Best Fund","",COUNTIFS($R$6:$R$505,"Best Fund",$L$6:$L$505,"&gt;"&amp;$L192)+COUNTIFS($R$6:$R192,"Best Fund",$L$6:$L192,$L192))</f>
        <v/>
      </c>
      <c r="V192" s="7">
        <f>IF($R192&lt;&gt;"Need to Improve","",COUNTIFS($R$6:$R$505,"Need to Improve",$L$6:$L$505,"&lt;"&amp;$L192)+COUNTIFS($R$6:$R192,"Need to Improve",$L$6:$L192,$L192))</f>
        <v/>
      </c>
      <c r="W192" s="7">
        <f>IF($R192&lt;&gt;"Not Performing","",COUNTIFS($R$6:$R$505,"Not Performing",$L$6:$L$505,"&lt;"&amp;$L192)+COUNTIFS($R$6:$R192,"Not Performing",$L$6:$L192,$L192))</f>
        <v/>
      </c>
    </row>
    <row r="193" ht="15" customHeight="1">
      <c r="A193" s="27" t="n"/>
      <c r="B193" s="27" t="n"/>
      <c r="C193" s="27" t="n"/>
      <c r="D193" s="28">
        <f>IF($C193="","",IFERROR(TRIM(LEFT($C193,FIND("-",$C193)-1)),""))</f>
        <v/>
      </c>
      <c r="E193" s="27" t="n"/>
      <c r="F193" s="29" t="n"/>
      <c r="G193" s="30" t="n"/>
      <c r="H193" s="30" t="n"/>
      <c r="I193" s="31">
        <f>IF($B193="","",$H193-$G193)</f>
        <v/>
      </c>
      <c r="J193" s="32">
        <f>IF(OR($B193="",$G193=0,$G193=""),"",$I193/$G193)</f>
        <v/>
      </c>
      <c r="K193" s="33" t="n"/>
      <c r="L193" s="33" t="n"/>
      <c r="M193" s="33" t="n"/>
      <c r="N193" s="33" t="n"/>
      <c r="O193" s="33" t="n"/>
      <c r="P193" s="32">
        <f>IF(OR($L193="",$N193=""),"",$L193-$N193)</f>
        <v/>
      </c>
      <c r="Q193" s="28">
        <f>IF($B193="","",IF(N($H193)&gt;0,"Live","Exited"))</f>
        <v/>
      </c>
      <c r="R193" s="28">
        <f>IF($B193="","",IF($L193="","Data Pending",IF($L193&gt;=Instructions!$D$19,"Best Fund",IF($L193&gt;=Instructions!$D$20,"Need to Improve","Not Performing"))))</f>
        <v/>
      </c>
      <c r="S193" s="7">
        <f>IF($R193="","",IF($R193="Data Pending","Enter the 3Y return",IF($R193="Best Fund","Hold / consider top-up",IF($R193="Need to Improve","Watch 2 quarters, then decide","Review with client - switch or exit"))))</f>
        <v/>
      </c>
      <c r="T193" s="27" t="n"/>
      <c r="U193" s="7">
        <f>IF($R193&lt;&gt;"Best Fund","",COUNTIFS($R$6:$R$505,"Best Fund",$L$6:$L$505,"&gt;"&amp;$L193)+COUNTIFS($R$6:$R193,"Best Fund",$L$6:$L193,$L193))</f>
        <v/>
      </c>
      <c r="V193" s="7">
        <f>IF($R193&lt;&gt;"Need to Improve","",COUNTIFS($R$6:$R$505,"Need to Improve",$L$6:$L$505,"&lt;"&amp;$L193)+COUNTIFS($R$6:$R193,"Need to Improve",$L$6:$L193,$L193))</f>
        <v/>
      </c>
      <c r="W193" s="7">
        <f>IF($R193&lt;&gt;"Not Performing","",COUNTIFS($R$6:$R$505,"Not Performing",$L$6:$L$505,"&lt;"&amp;$L193)+COUNTIFS($R$6:$R193,"Not Performing",$L$6:$L193,$L193))</f>
        <v/>
      </c>
    </row>
    <row r="194" ht="15" customHeight="1">
      <c r="A194" s="27" t="n"/>
      <c r="B194" s="27" t="n"/>
      <c r="C194" s="27" t="n"/>
      <c r="D194" s="28">
        <f>IF($C194="","",IFERROR(TRIM(LEFT($C194,FIND("-",$C194)-1)),""))</f>
        <v/>
      </c>
      <c r="E194" s="27" t="n"/>
      <c r="F194" s="29" t="n"/>
      <c r="G194" s="30" t="n"/>
      <c r="H194" s="30" t="n"/>
      <c r="I194" s="31">
        <f>IF($B194="","",$H194-$G194)</f>
        <v/>
      </c>
      <c r="J194" s="32">
        <f>IF(OR($B194="",$G194=0,$G194=""),"",$I194/$G194)</f>
        <v/>
      </c>
      <c r="K194" s="33" t="n"/>
      <c r="L194" s="33" t="n"/>
      <c r="M194" s="33" t="n"/>
      <c r="N194" s="33" t="n"/>
      <c r="O194" s="33" t="n"/>
      <c r="P194" s="32">
        <f>IF(OR($L194="",$N194=""),"",$L194-$N194)</f>
        <v/>
      </c>
      <c r="Q194" s="28">
        <f>IF($B194="","",IF(N($H194)&gt;0,"Live","Exited"))</f>
        <v/>
      </c>
      <c r="R194" s="28">
        <f>IF($B194="","",IF($L194="","Data Pending",IF($L194&gt;=Instructions!$D$19,"Best Fund",IF($L194&gt;=Instructions!$D$20,"Need to Improve","Not Performing"))))</f>
        <v/>
      </c>
      <c r="S194" s="7">
        <f>IF($R194="","",IF($R194="Data Pending","Enter the 3Y return",IF($R194="Best Fund","Hold / consider top-up",IF($R194="Need to Improve","Watch 2 quarters, then decide","Review with client - switch or exit"))))</f>
        <v/>
      </c>
      <c r="T194" s="27" t="n"/>
      <c r="U194" s="7">
        <f>IF($R194&lt;&gt;"Best Fund","",COUNTIFS($R$6:$R$505,"Best Fund",$L$6:$L$505,"&gt;"&amp;$L194)+COUNTIFS($R$6:$R194,"Best Fund",$L$6:$L194,$L194))</f>
        <v/>
      </c>
      <c r="V194" s="7">
        <f>IF($R194&lt;&gt;"Need to Improve","",COUNTIFS($R$6:$R$505,"Need to Improve",$L$6:$L$505,"&lt;"&amp;$L194)+COUNTIFS($R$6:$R194,"Need to Improve",$L$6:$L194,$L194))</f>
        <v/>
      </c>
      <c r="W194" s="7">
        <f>IF($R194&lt;&gt;"Not Performing","",COUNTIFS($R$6:$R$505,"Not Performing",$L$6:$L$505,"&lt;"&amp;$L194)+COUNTIFS($R$6:$R194,"Not Performing",$L$6:$L194,$L194))</f>
        <v/>
      </c>
    </row>
    <row r="195" ht="15" customHeight="1">
      <c r="A195" s="27" t="n"/>
      <c r="B195" s="27" t="n"/>
      <c r="C195" s="27" t="n"/>
      <c r="D195" s="28">
        <f>IF($C195="","",IFERROR(TRIM(LEFT($C195,FIND("-",$C195)-1)),""))</f>
        <v/>
      </c>
      <c r="E195" s="27" t="n"/>
      <c r="F195" s="29" t="n"/>
      <c r="G195" s="30" t="n"/>
      <c r="H195" s="30" t="n"/>
      <c r="I195" s="31">
        <f>IF($B195="","",$H195-$G195)</f>
        <v/>
      </c>
      <c r="J195" s="32">
        <f>IF(OR($B195="",$G195=0,$G195=""),"",$I195/$G195)</f>
        <v/>
      </c>
      <c r="K195" s="33" t="n"/>
      <c r="L195" s="33" t="n"/>
      <c r="M195" s="33" t="n"/>
      <c r="N195" s="33" t="n"/>
      <c r="O195" s="33" t="n"/>
      <c r="P195" s="32">
        <f>IF(OR($L195="",$N195=""),"",$L195-$N195)</f>
        <v/>
      </c>
      <c r="Q195" s="28">
        <f>IF($B195="","",IF(N($H195)&gt;0,"Live","Exited"))</f>
        <v/>
      </c>
      <c r="R195" s="28">
        <f>IF($B195="","",IF($L195="","Data Pending",IF($L195&gt;=Instructions!$D$19,"Best Fund",IF($L195&gt;=Instructions!$D$20,"Need to Improve","Not Performing"))))</f>
        <v/>
      </c>
      <c r="S195" s="7">
        <f>IF($R195="","",IF($R195="Data Pending","Enter the 3Y return",IF($R195="Best Fund","Hold / consider top-up",IF($R195="Need to Improve","Watch 2 quarters, then decide","Review with client - switch or exit"))))</f>
        <v/>
      </c>
      <c r="T195" s="27" t="n"/>
      <c r="U195" s="7">
        <f>IF($R195&lt;&gt;"Best Fund","",COUNTIFS($R$6:$R$505,"Best Fund",$L$6:$L$505,"&gt;"&amp;$L195)+COUNTIFS($R$6:$R195,"Best Fund",$L$6:$L195,$L195))</f>
        <v/>
      </c>
      <c r="V195" s="7">
        <f>IF($R195&lt;&gt;"Need to Improve","",COUNTIFS($R$6:$R$505,"Need to Improve",$L$6:$L$505,"&lt;"&amp;$L195)+COUNTIFS($R$6:$R195,"Need to Improve",$L$6:$L195,$L195))</f>
        <v/>
      </c>
      <c r="W195" s="7">
        <f>IF($R195&lt;&gt;"Not Performing","",COUNTIFS($R$6:$R$505,"Not Performing",$L$6:$L$505,"&lt;"&amp;$L195)+COUNTIFS($R$6:$R195,"Not Performing",$L$6:$L195,$L195))</f>
        <v/>
      </c>
    </row>
    <row r="196" ht="15" customHeight="1">
      <c r="A196" s="27" t="n"/>
      <c r="B196" s="27" t="n"/>
      <c r="C196" s="27" t="n"/>
      <c r="D196" s="28">
        <f>IF($C196="","",IFERROR(TRIM(LEFT($C196,FIND("-",$C196)-1)),""))</f>
        <v/>
      </c>
      <c r="E196" s="27" t="n"/>
      <c r="F196" s="29" t="n"/>
      <c r="G196" s="30" t="n"/>
      <c r="H196" s="30" t="n"/>
      <c r="I196" s="31">
        <f>IF($B196="","",$H196-$G196)</f>
        <v/>
      </c>
      <c r="J196" s="32">
        <f>IF(OR($B196="",$G196=0,$G196=""),"",$I196/$G196)</f>
        <v/>
      </c>
      <c r="K196" s="33" t="n"/>
      <c r="L196" s="33" t="n"/>
      <c r="M196" s="33" t="n"/>
      <c r="N196" s="33" t="n"/>
      <c r="O196" s="33" t="n"/>
      <c r="P196" s="32">
        <f>IF(OR($L196="",$N196=""),"",$L196-$N196)</f>
        <v/>
      </c>
      <c r="Q196" s="28">
        <f>IF($B196="","",IF(N($H196)&gt;0,"Live","Exited"))</f>
        <v/>
      </c>
      <c r="R196" s="28">
        <f>IF($B196="","",IF($L196="","Data Pending",IF($L196&gt;=Instructions!$D$19,"Best Fund",IF($L196&gt;=Instructions!$D$20,"Need to Improve","Not Performing"))))</f>
        <v/>
      </c>
      <c r="S196" s="7">
        <f>IF($R196="","",IF($R196="Data Pending","Enter the 3Y return",IF($R196="Best Fund","Hold / consider top-up",IF($R196="Need to Improve","Watch 2 quarters, then decide","Review with client - switch or exit"))))</f>
        <v/>
      </c>
      <c r="T196" s="27" t="n"/>
      <c r="U196" s="7">
        <f>IF($R196&lt;&gt;"Best Fund","",COUNTIFS($R$6:$R$505,"Best Fund",$L$6:$L$505,"&gt;"&amp;$L196)+COUNTIFS($R$6:$R196,"Best Fund",$L$6:$L196,$L196))</f>
        <v/>
      </c>
      <c r="V196" s="7">
        <f>IF($R196&lt;&gt;"Need to Improve","",COUNTIFS($R$6:$R$505,"Need to Improve",$L$6:$L$505,"&lt;"&amp;$L196)+COUNTIFS($R$6:$R196,"Need to Improve",$L$6:$L196,$L196))</f>
        <v/>
      </c>
      <c r="W196" s="7">
        <f>IF($R196&lt;&gt;"Not Performing","",COUNTIFS($R$6:$R$505,"Not Performing",$L$6:$L$505,"&lt;"&amp;$L196)+COUNTIFS($R$6:$R196,"Not Performing",$L$6:$L196,$L196))</f>
        <v/>
      </c>
    </row>
    <row r="197" ht="15" customHeight="1">
      <c r="A197" s="27" t="n"/>
      <c r="B197" s="27" t="n"/>
      <c r="C197" s="27" t="n"/>
      <c r="D197" s="28">
        <f>IF($C197="","",IFERROR(TRIM(LEFT($C197,FIND("-",$C197)-1)),""))</f>
        <v/>
      </c>
      <c r="E197" s="27" t="n"/>
      <c r="F197" s="29" t="n"/>
      <c r="G197" s="30" t="n"/>
      <c r="H197" s="30" t="n"/>
      <c r="I197" s="31">
        <f>IF($B197="","",$H197-$G197)</f>
        <v/>
      </c>
      <c r="J197" s="32">
        <f>IF(OR($B197="",$G197=0,$G197=""),"",$I197/$G197)</f>
        <v/>
      </c>
      <c r="K197" s="33" t="n"/>
      <c r="L197" s="33" t="n"/>
      <c r="M197" s="33" t="n"/>
      <c r="N197" s="33" t="n"/>
      <c r="O197" s="33" t="n"/>
      <c r="P197" s="32">
        <f>IF(OR($L197="",$N197=""),"",$L197-$N197)</f>
        <v/>
      </c>
      <c r="Q197" s="28">
        <f>IF($B197="","",IF(N($H197)&gt;0,"Live","Exited"))</f>
        <v/>
      </c>
      <c r="R197" s="28">
        <f>IF($B197="","",IF($L197="","Data Pending",IF($L197&gt;=Instructions!$D$19,"Best Fund",IF($L197&gt;=Instructions!$D$20,"Need to Improve","Not Performing"))))</f>
        <v/>
      </c>
      <c r="S197" s="7">
        <f>IF($R197="","",IF($R197="Data Pending","Enter the 3Y return",IF($R197="Best Fund","Hold / consider top-up",IF($R197="Need to Improve","Watch 2 quarters, then decide","Review with client - switch or exit"))))</f>
        <v/>
      </c>
      <c r="T197" s="27" t="n"/>
      <c r="U197" s="7">
        <f>IF($R197&lt;&gt;"Best Fund","",COUNTIFS($R$6:$R$505,"Best Fund",$L$6:$L$505,"&gt;"&amp;$L197)+COUNTIFS($R$6:$R197,"Best Fund",$L$6:$L197,$L197))</f>
        <v/>
      </c>
      <c r="V197" s="7">
        <f>IF($R197&lt;&gt;"Need to Improve","",COUNTIFS($R$6:$R$505,"Need to Improve",$L$6:$L$505,"&lt;"&amp;$L197)+COUNTIFS($R$6:$R197,"Need to Improve",$L$6:$L197,$L197))</f>
        <v/>
      </c>
      <c r="W197" s="7">
        <f>IF($R197&lt;&gt;"Not Performing","",COUNTIFS($R$6:$R$505,"Not Performing",$L$6:$L$505,"&lt;"&amp;$L197)+COUNTIFS($R$6:$R197,"Not Performing",$L$6:$L197,$L197))</f>
        <v/>
      </c>
    </row>
    <row r="198" ht="15" customHeight="1">
      <c r="A198" s="27" t="n"/>
      <c r="B198" s="27" t="n"/>
      <c r="C198" s="27" t="n"/>
      <c r="D198" s="28">
        <f>IF($C198="","",IFERROR(TRIM(LEFT($C198,FIND("-",$C198)-1)),""))</f>
        <v/>
      </c>
      <c r="E198" s="27" t="n"/>
      <c r="F198" s="29" t="n"/>
      <c r="G198" s="30" t="n"/>
      <c r="H198" s="30" t="n"/>
      <c r="I198" s="31">
        <f>IF($B198="","",$H198-$G198)</f>
        <v/>
      </c>
      <c r="J198" s="32">
        <f>IF(OR($B198="",$G198=0,$G198=""),"",$I198/$G198)</f>
        <v/>
      </c>
      <c r="K198" s="33" t="n"/>
      <c r="L198" s="33" t="n"/>
      <c r="M198" s="33" t="n"/>
      <c r="N198" s="33" t="n"/>
      <c r="O198" s="33" t="n"/>
      <c r="P198" s="32">
        <f>IF(OR($L198="",$N198=""),"",$L198-$N198)</f>
        <v/>
      </c>
      <c r="Q198" s="28">
        <f>IF($B198="","",IF(N($H198)&gt;0,"Live","Exited"))</f>
        <v/>
      </c>
      <c r="R198" s="28">
        <f>IF($B198="","",IF($L198="","Data Pending",IF($L198&gt;=Instructions!$D$19,"Best Fund",IF($L198&gt;=Instructions!$D$20,"Need to Improve","Not Performing"))))</f>
        <v/>
      </c>
      <c r="S198" s="7">
        <f>IF($R198="","",IF($R198="Data Pending","Enter the 3Y return",IF($R198="Best Fund","Hold / consider top-up",IF($R198="Need to Improve","Watch 2 quarters, then decide","Review with client - switch or exit"))))</f>
        <v/>
      </c>
      <c r="T198" s="27" t="n"/>
      <c r="U198" s="7">
        <f>IF($R198&lt;&gt;"Best Fund","",COUNTIFS($R$6:$R$505,"Best Fund",$L$6:$L$505,"&gt;"&amp;$L198)+COUNTIFS($R$6:$R198,"Best Fund",$L$6:$L198,$L198))</f>
        <v/>
      </c>
      <c r="V198" s="7">
        <f>IF($R198&lt;&gt;"Need to Improve","",COUNTIFS($R$6:$R$505,"Need to Improve",$L$6:$L$505,"&lt;"&amp;$L198)+COUNTIFS($R$6:$R198,"Need to Improve",$L$6:$L198,$L198))</f>
        <v/>
      </c>
      <c r="W198" s="7">
        <f>IF($R198&lt;&gt;"Not Performing","",COUNTIFS($R$6:$R$505,"Not Performing",$L$6:$L$505,"&lt;"&amp;$L198)+COUNTIFS($R$6:$R198,"Not Performing",$L$6:$L198,$L198))</f>
        <v/>
      </c>
    </row>
    <row r="199" ht="15" customHeight="1">
      <c r="A199" s="27" t="n"/>
      <c r="B199" s="27" t="n"/>
      <c r="C199" s="27" t="n"/>
      <c r="D199" s="28">
        <f>IF($C199="","",IFERROR(TRIM(LEFT($C199,FIND("-",$C199)-1)),""))</f>
        <v/>
      </c>
      <c r="E199" s="27" t="n"/>
      <c r="F199" s="29" t="n"/>
      <c r="G199" s="30" t="n"/>
      <c r="H199" s="30" t="n"/>
      <c r="I199" s="31">
        <f>IF($B199="","",$H199-$G199)</f>
        <v/>
      </c>
      <c r="J199" s="32">
        <f>IF(OR($B199="",$G199=0,$G199=""),"",$I199/$G199)</f>
        <v/>
      </c>
      <c r="K199" s="33" t="n"/>
      <c r="L199" s="33" t="n"/>
      <c r="M199" s="33" t="n"/>
      <c r="N199" s="33" t="n"/>
      <c r="O199" s="33" t="n"/>
      <c r="P199" s="32">
        <f>IF(OR($L199="",$N199=""),"",$L199-$N199)</f>
        <v/>
      </c>
      <c r="Q199" s="28">
        <f>IF($B199="","",IF(N($H199)&gt;0,"Live","Exited"))</f>
        <v/>
      </c>
      <c r="R199" s="28">
        <f>IF($B199="","",IF($L199="","Data Pending",IF($L199&gt;=Instructions!$D$19,"Best Fund",IF($L199&gt;=Instructions!$D$20,"Need to Improve","Not Performing"))))</f>
        <v/>
      </c>
      <c r="S199" s="7">
        <f>IF($R199="","",IF($R199="Data Pending","Enter the 3Y return",IF($R199="Best Fund","Hold / consider top-up",IF($R199="Need to Improve","Watch 2 quarters, then decide","Review with client - switch or exit"))))</f>
        <v/>
      </c>
      <c r="T199" s="27" t="n"/>
      <c r="U199" s="7">
        <f>IF($R199&lt;&gt;"Best Fund","",COUNTIFS($R$6:$R$505,"Best Fund",$L$6:$L$505,"&gt;"&amp;$L199)+COUNTIFS($R$6:$R199,"Best Fund",$L$6:$L199,$L199))</f>
        <v/>
      </c>
      <c r="V199" s="7">
        <f>IF($R199&lt;&gt;"Need to Improve","",COUNTIFS($R$6:$R$505,"Need to Improve",$L$6:$L$505,"&lt;"&amp;$L199)+COUNTIFS($R$6:$R199,"Need to Improve",$L$6:$L199,$L199))</f>
        <v/>
      </c>
      <c r="W199" s="7">
        <f>IF($R199&lt;&gt;"Not Performing","",COUNTIFS($R$6:$R$505,"Not Performing",$L$6:$L$505,"&lt;"&amp;$L199)+COUNTIFS($R$6:$R199,"Not Performing",$L$6:$L199,$L199))</f>
        <v/>
      </c>
    </row>
    <row r="200" ht="15" customHeight="1">
      <c r="A200" s="27" t="n"/>
      <c r="B200" s="27" t="n"/>
      <c r="C200" s="27" t="n"/>
      <c r="D200" s="28">
        <f>IF($C200="","",IFERROR(TRIM(LEFT($C200,FIND("-",$C200)-1)),""))</f>
        <v/>
      </c>
      <c r="E200" s="27" t="n"/>
      <c r="F200" s="29" t="n"/>
      <c r="G200" s="30" t="n"/>
      <c r="H200" s="30" t="n"/>
      <c r="I200" s="31">
        <f>IF($B200="","",$H200-$G200)</f>
        <v/>
      </c>
      <c r="J200" s="32">
        <f>IF(OR($B200="",$G200=0,$G200=""),"",$I200/$G200)</f>
        <v/>
      </c>
      <c r="K200" s="33" t="n"/>
      <c r="L200" s="33" t="n"/>
      <c r="M200" s="33" t="n"/>
      <c r="N200" s="33" t="n"/>
      <c r="O200" s="33" t="n"/>
      <c r="P200" s="32">
        <f>IF(OR($L200="",$N200=""),"",$L200-$N200)</f>
        <v/>
      </c>
      <c r="Q200" s="28">
        <f>IF($B200="","",IF(N($H200)&gt;0,"Live","Exited"))</f>
        <v/>
      </c>
      <c r="R200" s="28">
        <f>IF($B200="","",IF($L200="","Data Pending",IF($L200&gt;=Instructions!$D$19,"Best Fund",IF($L200&gt;=Instructions!$D$20,"Need to Improve","Not Performing"))))</f>
        <v/>
      </c>
      <c r="S200" s="7">
        <f>IF($R200="","",IF($R200="Data Pending","Enter the 3Y return",IF($R200="Best Fund","Hold / consider top-up",IF($R200="Need to Improve","Watch 2 quarters, then decide","Review with client - switch or exit"))))</f>
        <v/>
      </c>
      <c r="T200" s="27" t="n"/>
      <c r="U200" s="7">
        <f>IF($R200&lt;&gt;"Best Fund","",COUNTIFS($R$6:$R$505,"Best Fund",$L$6:$L$505,"&gt;"&amp;$L200)+COUNTIFS($R$6:$R200,"Best Fund",$L$6:$L200,$L200))</f>
        <v/>
      </c>
      <c r="V200" s="7">
        <f>IF($R200&lt;&gt;"Need to Improve","",COUNTIFS($R$6:$R$505,"Need to Improve",$L$6:$L$505,"&lt;"&amp;$L200)+COUNTIFS($R$6:$R200,"Need to Improve",$L$6:$L200,$L200))</f>
        <v/>
      </c>
      <c r="W200" s="7">
        <f>IF($R200&lt;&gt;"Not Performing","",COUNTIFS($R$6:$R$505,"Not Performing",$L$6:$L$505,"&lt;"&amp;$L200)+COUNTIFS($R$6:$R200,"Not Performing",$L$6:$L200,$L200))</f>
        <v/>
      </c>
    </row>
    <row r="201" ht="15" customHeight="1">
      <c r="A201" s="27" t="n"/>
      <c r="B201" s="27" t="n"/>
      <c r="C201" s="27" t="n"/>
      <c r="D201" s="28">
        <f>IF($C201="","",IFERROR(TRIM(LEFT($C201,FIND("-",$C201)-1)),""))</f>
        <v/>
      </c>
      <c r="E201" s="27" t="n"/>
      <c r="F201" s="29" t="n"/>
      <c r="G201" s="30" t="n"/>
      <c r="H201" s="30" t="n"/>
      <c r="I201" s="31">
        <f>IF($B201="","",$H201-$G201)</f>
        <v/>
      </c>
      <c r="J201" s="32">
        <f>IF(OR($B201="",$G201=0,$G201=""),"",$I201/$G201)</f>
        <v/>
      </c>
      <c r="K201" s="33" t="n"/>
      <c r="L201" s="33" t="n"/>
      <c r="M201" s="33" t="n"/>
      <c r="N201" s="33" t="n"/>
      <c r="O201" s="33" t="n"/>
      <c r="P201" s="32">
        <f>IF(OR($L201="",$N201=""),"",$L201-$N201)</f>
        <v/>
      </c>
      <c r="Q201" s="28">
        <f>IF($B201="","",IF(N($H201)&gt;0,"Live","Exited"))</f>
        <v/>
      </c>
      <c r="R201" s="28">
        <f>IF($B201="","",IF($L201="","Data Pending",IF($L201&gt;=Instructions!$D$19,"Best Fund",IF($L201&gt;=Instructions!$D$20,"Need to Improve","Not Performing"))))</f>
        <v/>
      </c>
      <c r="S201" s="7">
        <f>IF($R201="","",IF($R201="Data Pending","Enter the 3Y return",IF($R201="Best Fund","Hold / consider top-up",IF($R201="Need to Improve","Watch 2 quarters, then decide","Review with client - switch or exit"))))</f>
        <v/>
      </c>
      <c r="T201" s="27" t="n"/>
      <c r="U201" s="7">
        <f>IF($R201&lt;&gt;"Best Fund","",COUNTIFS($R$6:$R$505,"Best Fund",$L$6:$L$505,"&gt;"&amp;$L201)+COUNTIFS($R$6:$R201,"Best Fund",$L$6:$L201,$L201))</f>
        <v/>
      </c>
      <c r="V201" s="7">
        <f>IF($R201&lt;&gt;"Need to Improve","",COUNTIFS($R$6:$R$505,"Need to Improve",$L$6:$L$505,"&lt;"&amp;$L201)+COUNTIFS($R$6:$R201,"Need to Improve",$L$6:$L201,$L201))</f>
        <v/>
      </c>
      <c r="W201" s="7">
        <f>IF($R201&lt;&gt;"Not Performing","",COUNTIFS($R$6:$R$505,"Not Performing",$L$6:$L$505,"&lt;"&amp;$L201)+COUNTIFS($R$6:$R201,"Not Performing",$L$6:$L201,$L201))</f>
        <v/>
      </c>
    </row>
    <row r="202" ht="15" customHeight="1">
      <c r="A202" s="27" t="n"/>
      <c r="B202" s="27" t="n"/>
      <c r="C202" s="27" t="n"/>
      <c r="D202" s="28">
        <f>IF($C202="","",IFERROR(TRIM(LEFT($C202,FIND("-",$C202)-1)),""))</f>
        <v/>
      </c>
      <c r="E202" s="27" t="n"/>
      <c r="F202" s="29" t="n"/>
      <c r="G202" s="30" t="n"/>
      <c r="H202" s="30" t="n"/>
      <c r="I202" s="31">
        <f>IF($B202="","",$H202-$G202)</f>
        <v/>
      </c>
      <c r="J202" s="32">
        <f>IF(OR($B202="",$G202=0,$G202=""),"",$I202/$G202)</f>
        <v/>
      </c>
      <c r="K202" s="33" t="n"/>
      <c r="L202" s="33" t="n"/>
      <c r="M202" s="33" t="n"/>
      <c r="N202" s="33" t="n"/>
      <c r="O202" s="33" t="n"/>
      <c r="P202" s="32">
        <f>IF(OR($L202="",$N202=""),"",$L202-$N202)</f>
        <v/>
      </c>
      <c r="Q202" s="28">
        <f>IF($B202="","",IF(N($H202)&gt;0,"Live","Exited"))</f>
        <v/>
      </c>
      <c r="R202" s="28">
        <f>IF($B202="","",IF($L202="","Data Pending",IF($L202&gt;=Instructions!$D$19,"Best Fund",IF($L202&gt;=Instructions!$D$20,"Need to Improve","Not Performing"))))</f>
        <v/>
      </c>
      <c r="S202" s="7">
        <f>IF($R202="","",IF($R202="Data Pending","Enter the 3Y return",IF($R202="Best Fund","Hold / consider top-up",IF($R202="Need to Improve","Watch 2 quarters, then decide","Review with client - switch or exit"))))</f>
        <v/>
      </c>
      <c r="T202" s="27" t="n"/>
      <c r="U202" s="7">
        <f>IF($R202&lt;&gt;"Best Fund","",COUNTIFS($R$6:$R$505,"Best Fund",$L$6:$L$505,"&gt;"&amp;$L202)+COUNTIFS($R$6:$R202,"Best Fund",$L$6:$L202,$L202))</f>
        <v/>
      </c>
      <c r="V202" s="7">
        <f>IF($R202&lt;&gt;"Need to Improve","",COUNTIFS($R$6:$R$505,"Need to Improve",$L$6:$L$505,"&lt;"&amp;$L202)+COUNTIFS($R$6:$R202,"Need to Improve",$L$6:$L202,$L202))</f>
        <v/>
      </c>
      <c r="W202" s="7">
        <f>IF($R202&lt;&gt;"Not Performing","",COUNTIFS($R$6:$R$505,"Not Performing",$L$6:$L$505,"&lt;"&amp;$L202)+COUNTIFS($R$6:$R202,"Not Performing",$L$6:$L202,$L202))</f>
        <v/>
      </c>
    </row>
    <row r="203" ht="15" customHeight="1">
      <c r="A203" s="27" t="n"/>
      <c r="B203" s="27" t="n"/>
      <c r="C203" s="27" t="n"/>
      <c r="D203" s="28">
        <f>IF($C203="","",IFERROR(TRIM(LEFT($C203,FIND("-",$C203)-1)),""))</f>
        <v/>
      </c>
      <c r="E203" s="27" t="n"/>
      <c r="F203" s="29" t="n"/>
      <c r="G203" s="30" t="n"/>
      <c r="H203" s="30" t="n"/>
      <c r="I203" s="31">
        <f>IF($B203="","",$H203-$G203)</f>
        <v/>
      </c>
      <c r="J203" s="32">
        <f>IF(OR($B203="",$G203=0,$G203=""),"",$I203/$G203)</f>
        <v/>
      </c>
      <c r="K203" s="33" t="n"/>
      <c r="L203" s="33" t="n"/>
      <c r="M203" s="33" t="n"/>
      <c r="N203" s="33" t="n"/>
      <c r="O203" s="33" t="n"/>
      <c r="P203" s="32">
        <f>IF(OR($L203="",$N203=""),"",$L203-$N203)</f>
        <v/>
      </c>
      <c r="Q203" s="28">
        <f>IF($B203="","",IF(N($H203)&gt;0,"Live","Exited"))</f>
        <v/>
      </c>
      <c r="R203" s="28">
        <f>IF($B203="","",IF($L203="","Data Pending",IF($L203&gt;=Instructions!$D$19,"Best Fund",IF($L203&gt;=Instructions!$D$20,"Need to Improve","Not Performing"))))</f>
        <v/>
      </c>
      <c r="S203" s="7">
        <f>IF($R203="","",IF($R203="Data Pending","Enter the 3Y return",IF($R203="Best Fund","Hold / consider top-up",IF($R203="Need to Improve","Watch 2 quarters, then decide","Review with client - switch or exit"))))</f>
        <v/>
      </c>
      <c r="T203" s="27" t="n"/>
      <c r="U203" s="7">
        <f>IF($R203&lt;&gt;"Best Fund","",COUNTIFS($R$6:$R$505,"Best Fund",$L$6:$L$505,"&gt;"&amp;$L203)+COUNTIFS($R$6:$R203,"Best Fund",$L$6:$L203,$L203))</f>
        <v/>
      </c>
      <c r="V203" s="7">
        <f>IF($R203&lt;&gt;"Need to Improve","",COUNTIFS($R$6:$R$505,"Need to Improve",$L$6:$L$505,"&lt;"&amp;$L203)+COUNTIFS($R$6:$R203,"Need to Improve",$L$6:$L203,$L203))</f>
        <v/>
      </c>
      <c r="W203" s="7">
        <f>IF($R203&lt;&gt;"Not Performing","",COUNTIFS($R$6:$R$505,"Not Performing",$L$6:$L$505,"&lt;"&amp;$L203)+COUNTIFS($R$6:$R203,"Not Performing",$L$6:$L203,$L203))</f>
        <v/>
      </c>
    </row>
    <row r="204" ht="15" customHeight="1">
      <c r="A204" s="27" t="n"/>
      <c r="B204" s="27" t="n"/>
      <c r="C204" s="27" t="n"/>
      <c r="D204" s="28">
        <f>IF($C204="","",IFERROR(TRIM(LEFT($C204,FIND("-",$C204)-1)),""))</f>
        <v/>
      </c>
      <c r="E204" s="27" t="n"/>
      <c r="F204" s="29" t="n"/>
      <c r="G204" s="30" t="n"/>
      <c r="H204" s="30" t="n"/>
      <c r="I204" s="31">
        <f>IF($B204="","",$H204-$G204)</f>
        <v/>
      </c>
      <c r="J204" s="32">
        <f>IF(OR($B204="",$G204=0,$G204=""),"",$I204/$G204)</f>
        <v/>
      </c>
      <c r="K204" s="33" t="n"/>
      <c r="L204" s="33" t="n"/>
      <c r="M204" s="33" t="n"/>
      <c r="N204" s="33" t="n"/>
      <c r="O204" s="33" t="n"/>
      <c r="P204" s="32">
        <f>IF(OR($L204="",$N204=""),"",$L204-$N204)</f>
        <v/>
      </c>
      <c r="Q204" s="28">
        <f>IF($B204="","",IF(N($H204)&gt;0,"Live","Exited"))</f>
        <v/>
      </c>
      <c r="R204" s="28">
        <f>IF($B204="","",IF($L204="","Data Pending",IF($L204&gt;=Instructions!$D$19,"Best Fund",IF($L204&gt;=Instructions!$D$20,"Need to Improve","Not Performing"))))</f>
        <v/>
      </c>
      <c r="S204" s="7">
        <f>IF($R204="","",IF($R204="Data Pending","Enter the 3Y return",IF($R204="Best Fund","Hold / consider top-up",IF($R204="Need to Improve","Watch 2 quarters, then decide","Review with client - switch or exit"))))</f>
        <v/>
      </c>
      <c r="T204" s="27" t="n"/>
      <c r="U204" s="7">
        <f>IF($R204&lt;&gt;"Best Fund","",COUNTIFS($R$6:$R$505,"Best Fund",$L$6:$L$505,"&gt;"&amp;$L204)+COUNTIFS($R$6:$R204,"Best Fund",$L$6:$L204,$L204))</f>
        <v/>
      </c>
      <c r="V204" s="7">
        <f>IF($R204&lt;&gt;"Need to Improve","",COUNTIFS($R$6:$R$505,"Need to Improve",$L$6:$L$505,"&lt;"&amp;$L204)+COUNTIFS($R$6:$R204,"Need to Improve",$L$6:$L204,$L204))</f>
        <v/>
      </c>
      <c r="W204" s="7">
        <f>IF($R204&lt;&gt;"Not Performing","",COUNTIFS($R$6:$R$505,"Not Performing",$L$6:$L$505,"&lt;"&amp;$L204)+COUNTIFS($R$6:$R204,"Not Performing",$L$6:$L204,$L204))</f>
        <v/>
      </c>
    </row>
    <row r="205" ht="15" customHeight="1">
      <c r="A205" s="27" t="n"/>
      <c r="B205" s="27" t="n"/>
      <c r="C205" s="27" t="n"/>
      <c r="D205" s="28">
        <f>IF($C205="","",IFERROR(TRIM(LEFT($C205,FIND("-",$C205)-1)),""))</f>
        <v/>
      </c>
      <c r="E205" s="27" t="n"/>
      <c r="F205" s="29" t="n"/>
      <c r="G205" s="30" t="n"/>
      <c r="H205" s="30" t="n"/>
      <c r="I205" s="31">
        <f>IF($B205="","",$H205-$G205)</f>
        <v/>
      </c>
      <c r="J205" s="32">
        <f>IF(OR($B205="",$G205=0,$G205=""),"",$I205/$G205)</f>
        <v/>
      </c>
      <c r="K205" s="33" t="n"/>
      <c r="L205" s="33" t="n"/>
      <c r="M205" s="33" t="n"/>
      <c r="N205" s="33" t="n"/>
      <c r="O205" s="33" t="n"/>
      <c r="P205" s="32">
        <f>IF(OR($L205="",$N205=""),"",$L205-$N205)</f>
        <v/>
      </c>
      <c r="Q205" s="28">
        <f>IF($B205="","",IF(N($H205)&gt;0,"Live","Exited"))</f>
        <v/>
      </c>
      <c r="R205" s="28">
        <f>IF($B205="","",IF($L205="","Data Pending",IF($L205&gt;=Instructions!$D$19,"Best Fund",IF($L205&gt;=Instructions!$D$20,"Need to Improve","Not Performing"))))</f>
        <v/>
      </c>
      <c r="S205" s="7">
        <f>IF($R205="","",IF($R205="Data Pending","Enter the 3Y return",IF($R205="Best Fund","Hold / consider top-up",IF($R205="Need to Improve","Watch 2 quarters, then decide","Review with client - switch or exit"))))</f>
        <v/>
      </c>
      <c r="T205" s="27" t="n"/>
      <c r="U205" s="7">
        <f>IF($R205&lt;&gt;"Best Fund","",COUNTIFS($R$6:$R$505,"Best Fund",$L$6:$L$505,"&gt;"&amp;$L205)+COUNTIFS($R$6:$R205,"Best Fund",$L$6:$L205,$L205))</f>
        <v/>
      </c>
      <c r="V205" s="7">
        <f>IF($R205&lt;&gt;"Need to Improve","",COUNTIFS($R$6:$R$505,"Need to Improve",$L$6:$L$505,"&lt;"&amp;$L205)+COUNTIFS($R$6:$R205,"Need to Improve",$L$6:$L205,$L205))</f>
        <v/>
      </c>
      <c r="W205" s="7">
        <f>IF($R205&lt;&gt;"Not Performing","",COUNTIFS($R$6:$R$505,"Not Performing",$L$6:$L$505,"&lt;"&amp;$L205)+COUNTIFS($R$6:$R205,"Not Performing",$L$6:$L205,$L205))</f>
        <v/>
      </c>
    </row>
    <row r="206" ht="15" customHeight="1">
      <c r="A206" s="27" t="n"/>
      <c r="B206" s="27" t="n"/>
      <c r="C206" s="27" t="n"/>
      <c r="D206" s="28">
        <f>IF($C206="","",IFERROR(TRIM(LEFT($C206,FIND("-",$C206)-1)),""))</f>
        <v/>
      </c>
      <c r="E206" s="27" t="n"/>
      <c r="F206" s="29" t="n"/>
      <c r="G206" s="30" t="n"/>
      <c r="H206" s="30" t="n"/>
      <c r="I206" s="31">
        <f>IF($B206="","",$H206-$G206)</f>
        <v/>
      </c>
      <c r="J206" s="32">
        <f>IF(OR($B206="",$G206=0,$G206=""),"",$I206/$G206)</f>
        <v/>
      </c>
      <c r="K206" s="33" t="n"/>
      <c r="L206" s="33" t="n"/>
      <c r="M206" s="33" t="n"/>
      <c r="N206" s="33" t="n"/>
      <c r="O206" s="33" t="n"/>
      <c r="P206" s="32">
        <f>IF(OR($L206="",$N206=""),"",$L206-$N206)</f>
        <v/>
      </c>
      <c r="Q206" s="28">
        <f>IF($B206="","",IF(N($H206)&gt;0,"Live","Exited"))</f>
        <v/>
      </c>
      <c r="R206" s="28">
        <f>IF($B206="","",IF($L206="","Data Pending",IF($L206&gt;=Instructions!$D$19,"Best Fund",IF($L206&gt;=Instructions!$D$20,"Need to Improve","Not Performing"))))</f>
        <v/>
      </c>
      <c r="S206" s="7">
        <f>IF($R206="","",IF($R206="Data Pending","Enter the 3Y return",IF($R206="Best Fund","Hold / consider top-up",IF($R206="Need to Improve","Watch 2 quarters, then decide","Review with client - switch or exit"))))</f>
        <v/>
      </c>
      <c r="T206" s="27" t="n"/>
      <c r="U206" s="7">
        <f>IF($R206&lt;&gt;"Best Fund","",COUNTIFS($R$6:$R$505,"Best Fund",$L$6:$L$505,"&gt;"&amp;$L206)+COUNTIFS($R$6:$R206,"Best Fund",$L$6:$L206,$L206))</f>
        <v/>
      </c>
      <c r="V206" s="7">
        <f>IF($R206&lt;&gt;"Need to Improve","",COUNTIFS($R$6:$R$505,"Need to Improve",$L$6:$L$505,"&lt;"&amp;$L206)+COUNTIFS($R$6:$R206,"Need to Improve",$L$6:$L206,$L206))</f>
        <v/>
      </c>
      <c r="W206" s="7">
        <f>IF($R206&lt;&gt;"Not Performing","",COUNTIFS($R$6:$R$505,"Not Performing",$L$6:$L$505,"&lt;"&amp;$L206)+COUNTIFS($R$6:$R206,"Not Performing",$L$6:$L206,$L206))</f>
        <v/>
      </c>
    </row>
    <row r="207" ht="15" customHeight="1">
      <c r="A207" s="27" t="n"/>
      <c r="B207" s="27" t="n"/>
      <c r="C207" s="27" t="n"/>
      <c r="D207" s="28">
        <f>IF($C207="","",IFERROR(TRIM(LEFT($C207,FIND("-",$C207)-1)),""))</f>
        <v/>
      </c>
      <c r="E207" s="27" t="n"/>
      <c r="F207" s="29" t="n"/>
      <c r="G207" s="30" t="n"/>
      <c r="H207" s="30" t="n"/>
      <c r="I207" s="31">
        <f>IF($B207="","",$H207-$G207)</f>
        <v/>
      </c>
      <c r="J207" s="32">
        <f>IF(OR($B207="",$G207=0,$G207=""),"",$I207/$G207)</f>
        <v/>
      </c>
      <c r="K207" s="33" t="n"/>
      <c r="L207" s="33" t="n"/>
      <c r="M207" s="33" t="n"/>
      <c r="N207" s="33" t="n"/>
      <c r="O207" s="33" t="n"/>
      <c r="P207" s="32">
        <f>IF(OR($L207="",$N207=""),"",$L207-$N207)</f>
        <v/>
      </c>
      <c r="Q207" s="28">
        <f>IF($B207="","",IF(N($H207)&gt;0,"Live","Exited"))</f>
        <v/>
      </c>
      <c r="R207" s="28">
        <f>IF($B207="","",IF($L207="","Data Pending",IF($L207&gt;=Instructions!$D$19,"Best Fund",IF($L207&gt;=Instructions!$D$20,"Need to Improve","Not Performing"))))</f>
        <v/>
      </c>
      <c r="S207" s="7">
        <f>IF($R207="","",IF($R207="Data Pending","Enter the 3Y return",IF($R207="Best Fund","Hold / consider top-up",IF($R207="Need to Improve","Watch 2 quarters, then decide","Review with client - switch or exit"))))</f>
        <v/>
      </c>
      <c r="T207" s="27" t="n"/>
      <c r="U207" s="7">
        <f>IF($R207&lt;&gt;"Best Fund","",COUNTIFS($R$6:$R$505,"Best Fund",$L$6:$L$505,"&gt;"&amp;$L207)+COUNTIFS($R$6:$R207,"Best Fund",$L$6:$L207,$L207))</f>
        <v/>
      </c>
      <c r="V207" s="7">
        <f>IF($R207&lt;&gt;"Need to Improve","",COUNTIFS($R$6:$R$505,"Need to Improve",$L$6:$L$505,"&lt;"&amp;$L207)+COUNTIFS($R$6:$R207,"Need to Improve",$L$6:$L207,$L207))</f>
        <v/>
      </c>
      <c r="W207" s="7">
        <f>IF($R207&lt;&gt;"Not Performing","",COUNTIFS($R$6:$R$505,"Not Performing",$L$6:$L$505,"&lt;"&amp;$L207)+COUNTIFS($R$6:$R207,"Not Performing",$L$6:$L207,$L207))</f>
        <v/>
      </c>
    </row>
    <row r="208" ht="15" customHeight="1">
      <c r="A208" s="27" t="n"/>
      <c r="B208" s="27" t="n"/>
      <c r="C208" s="27" t="n"/>
      <c r="D208" s="28">
        <f>IF($C208="","",IFERROR(TRIM(LEFT($C208,FIND("-",$C208)-1)),""))</f>
        <v/>
      </c>
      <c r="E208" s="27" t="n"/>
      <c r="F208" s="29" t="n"/>
      <c r="G208" s="30" t="n"/>
      <c r="H208" s="30" t="n"/>
      <c r="I208" s="31">
        <f>IF($B208="","",$H208-$G208)</f>
        <v/>
      </c>
      <c r="J208" s="32">
        <f>IF(OR($B208="",$G208=0,$G208=""),"",$I208/$G208)</f>
        <v/>
      </c>
      <c r="K208" s="33" t="n"/>
      <c r="L208" s="33" t="n"/>
      <c r="M208" s="33" t="n"/>
      <c r="N208" s="33" t="n"/>
      <c r="O208" s="33" t="n"/>
      <c r="P208" s="32">
        <f>IF(OR($L208="",$N208=""),"",$L208-$N208)</f>
        <v/>
      </c>
      <c r="Q208" s="28">
        <f>IF($B208="","",IF(N($H208)&gt;0,"Live","Exited"))</f>
        <v/>
      </c>
      <c r="R208" s="28">
        <f>IF($B208="","",IF($L208="","Data Pending",IF($L208&gt;=Instructions!$D$19,"Best Fund",IF($L208&gt;=Instructions!$D$20,"Need to Improve","Not Performing"))))</f>
        <v/>
      </c>
      <c r="S208" s="7">
        <f>IF($R208="","",IF($R208="Data Pending","Enter the 3Y return",IF($R208="Best Fund","Hold / consider top-up",IF($R208="Need to Improve","Watch 2 quarters, then decide","Review with client - switch or exit"))))</f>
        <v/>
      </c>
      <c r="T208" s="27" t="n"/>
      <c r="U208" s="7">
        <f>IF($R208&lt;&gt;"Best Fund","",COUNTIFS($R$6:$R$505,"Best Fund",$L$6:$L$505,"&gt;"&amp;$L208)+COUNTIFS($R$6:$R208,"Best Fund",$L$6:$L208,$L208))</f>
        <v/>
      </c>
      <c r="V208" s="7">
        <f>IF($R208&lt;&gt;"Need to Improve","",COUNTIFS($R$6:$R$505,"Need to Improve",$L$6:$L$505,"&lt;"&amp;$L208)+COUNTIFS($R$6:$R208,"Need to Improve",$L$6:$L208,$L208))</f>
        <v/>
      </c>
      <c r="W208" s="7">
        <f>IF($R208&lt;&gt;"Not Performing","",COUNTIFS($R$6:$R$505,"Not Performing",$L$6:$L$505,"&lt;"&amp;$L208)+COUNTIFS($R$6:$R208,"Not Performing",$L$6:$L208,$L208))</f>
        <v/>
      </c>
    </row>
    <row r="209" ht="15" customHeight="1">
      <c r="A209" s="27" t="n"/>
      <c r="B209" s="27" t="n"/>
      <c r="C209" s="27" t="n"/>
      <c r="D209" s="28">
        <f>IF($C209="","",IFERROR(TRIM(LEFT($C209,FIND("-",$C209)-1)),""))</f>
        <v/>
      </c>
      <c r="E209" s="27" t="n"/>
      <c r="F209" s="29" t="n"/>
      <c r="G209" s="30" t="n"/>
      <c r="H209" s="30" t="n"/>
      <c r="I209" s="31">
        <f>IF($B209="","",$H209-$G209)</f>
        <v/>
      </c>
      <c r="J209" s="32">
        <f>IF(OR($B209="",$G209=0,$G209=""),"",$I209/$G209)</f>
        <v/>
      </c>
      <c r="K209" s="33" t="n"/>
      <c r="L209" s="33" t="n"/>
      <c r="M209" s="33" t="n"/>
      <c r="N209" s="33" t="n"/>
      <c r="O209" s="33" t="n"/>
      <c r="P209" s="32">
        <f>IF(OR($L209="",$N209=""),"",$L209-$N209)</f>
        <v/>
      </c>
      <c r="Q209" s="28">
        <f>IF($B209="","",IF(N($H209)&gt;0,"Live","Exited"))</f>
        <v/>
      </c>
      <c r="R209" s="28">
        <f>IF($B209="","",IF($L209="","Data Pending",IF($L209&gt;=Instructions!$D$19,"Best Fund",IF($L209&gt;=Instructions!$D$20,"Need to Improve","Not Performing"))))</f>
        <v/>
      </c>
      <c r="S209" s="7">
        <f>IF($R209="","",IF($R209="Data Pending","Enter the 3Y return",IF($R209="Best Fund","Hold / consider top-up",IF($R209="Need to Improve","Watch 2 quarters, then decide","Review with client - switch or exit"))))</f>
        <v/>
      </c>
      <c r="T209" s="27" t="n"/>
      <c r="U209" s="7">
        <f>IF($R209&lt;&gt;"Best Fund","",COUNTIFS($R$6:$R$505,"Best Fund",$L$6:$L$505,"&gt;"&amp;$L209)+COUNTIFS($R$6:$R209,"Best Fund",$L$6:$L209,$L209))</f>
        <v/>
      </c>
      <c r="V209" s="7">
        <f>IF($R209&lt;&gt;"Need to Improve","",COUNTIFS($R$6:$R$505,"Need to Improve",$L$6:$L$505,"&lt;"&amp;$L209)+COUNTIFS($R$6:$R209,"Need to Improve",$L$6:$L209,$L209))</f>
        <v/>
      </c>
      <c r="W209" s="7">
        <f>IF($R209&lt;&gt;"Not Performing","",COUNTIFS($R$6:$R$505,"Not Performing",$L$6:$L$505,"&lt;"&amp;$L209)+COUNTIFS($R$6:$R209,"Not Performing",$L$6:$L209,$L209))</f>
        <v/>
      </c>
    </row>
    <row r="210" ht="15" customHeight="1">
      <c r="A210" s="27" t="n"/>
      <c r="B210" s="27" t="n"/>
      <c r="C210" s="27" t="n"/>
      <c r="D210" s="28">
        <f>IF($C210="","",IFERROR(TRIM(LEFT($C210,FIND("-",$C210)-1)),""))</f>
        <v/>
      </c>
      <c r="E210" s="27" t="n"/>
      <c r="F210" s="29" t="n"/>
      <c r="G210" s="30" t="n"/>
      <c r="H210" s="30" t="n"/>
      <c r="I210" s="31">
        <f>IF($B210="","",$H210-$G210)</f>
        <v/>
      </c>
      <c r="J210" s="32">
        <f>IF(OR($B210="",$G210=0,$G210=""),"",$I210/$G210)</f>
        <v/>
      </c>
      <c r="K210" s="33" t="n"/>
      <c r="L210" s="33" t="n"/>
      <c r="M210" s="33" t="n"/>
      <c r="N210" s="33" t="n"/>
      <c r="O210" s="33" t="n"/>
      <c r="P210" s="32">
        <f>IF(OR($L210="",$N210=""),"",$L210-$N210)</f>
        <v/>
      </c>
      <c r="Q210" s="28">
        <f>IF($B210="","",IF(N($H210)&gt;0,"Live","Exited"))</f>
        <v/>
      </c>
      <c r="R210" s="28">
        <f>IF($B210="","",IF($L210="","Data Pending",IF($L210&gt;=Instructions!$D$19,"Best Fund",IF($L210&gt;=Instructions!$D$20,"Need to Improve","Not Performing"))))</f>
        <v/>
      </c>
      <c r="S210" s="7">
        <f>IF($R210="","",IF($R210="Data Pending","Enter the 3Y return",IF($R210="Best Fund","Hold / consider top-up",IF($R210="Need to Improve","Watch 2 quarters, then decide","Review with client - switch or exit"))))</f>
        <v/>
      </c>
      <c r="T210" s="27" t="n"/>
      <c r="U210" s="7">
        <f>IF($R210&lt;&gt;"Best Fund","",COUNTIFS($R$6:$R$505,"Best Fund",$L$6:$L$505,"&gt;"&amp;$L210)+COUNTIFS($R$6:$R210,"Best Fund",$L$6:$L210,$L210))</f>
        <v/>
      </c>
      <c r="V210" s="7">
        <f>IF($R210&lt;&gt;"Need to Improve","",COUNTIFS($R$6:$R$505,"Need to Improve",$L$6:$L$505,"&lt;"&amp;$L210)+COUNTIFS($R$6:$R210,"Need to Improve",$L$6:$L210,$L210))</f>
        <v/>
      </c>
      <c r="W210" s="7">
        <f>IF($R210&lt;&gt;"Not Performing","",COUNTIFS($R$6:$R$505,"Not Performing",$L$6:$L$505,"&lt;"&amp;$L210)+COUNTIFS($R$6:$R210,"Not Performing",$L$6:$L210,$L210))</f>
        <v/>
      </c>
    </row>
    <row r="211" ht="15" customHeight="1">
      <c r="A211" s="27" t="n"/>
      <c r="B211" s="27" t="n"/>
      <c r="C211" s="27" t="n"/>
      <c r="D211" s="28">
        <f>IF($C211="","",IFERROR(TRIM(LEFT($C211,FIND("-",$C211)-1)),""))</f>
        <v/>
      </c>
      <c r="E211" s="27" t="n"/>
      <c r="F211" s="29" t="n"/>
      <c r="G211" s="30" t="n"/>
      <c r="H211" s="30" t="n"/>
      <c r="I211" s="31">
        <f>IF($B211="","",$H211-$G211)</f>
        <v/>
      </c>
      <c r="J211" s="32">
        <f>IF(OR($B211="",$G211=0,$G211=""),"",$I211/$G211)</f>
        <v/>
      </c>
      <c r="K211" s="33" t="n"/>
      <c r="L211" s="33" t="n"/>
      <c r="M211" s="33" t="n"/>
      <c r="N211" s="33" t="n"/>
      <c r="O211" s="33" t="n"/>
      <c r="P211" s="32">
        <f>IF(OR($L211="",$N211=""),"",$L211-$N211)</f>
        <v/>
      </c>
      <c r="Q211" s="28">
        <f>IF($B211="","",IF(N($H211)&gt;0,"Live","Exited"))</f>
        <v/>
      </c>
      <c r="R211" s="28">
        <f>IF($B211="","",IF($L211="","Data Pending",IF($L211&gt;=Instructions!$D$19,"Best Fund",IF($L211&gt;=Instructions!$D$20,"Need to Improve","Not Performing"))))</f>
        <v/>
      </c>
      <c r="S211" s="7">
        <f>IF($R211="","",IF($R211="Data Pending","Enter the 3Y return",IF($R211="Best Fund","Hold / consider top-up",IF($R211="Need to Improve","Watch 2 quarters, then decide","Review with client - switch or exit"))))</f>
        <v/>
      </c>
      <c r="T211" s="27" t="n"/>
      <c r="U211" s="7">
        <f>IF($R211&lt;&gt;"Best Fund","",COUNTIFS($R$6:$R$505,"Best Fund",$L$6:$L$505,"&gt;"&amp;$L211)+COUNTIFS($R$6:$R211,"Best Fund",$L$6:$L211,$L211))</f>
        <v/>
      </c>
      <c r="V211" s="7">
        <f>IF($R211&lt;&gt;"Need to Improve","",COUNTIFS($R$6:$R$505,"Need to Improve",$L$6:$L$505,"&lt;"&amp;$L211)+COUNTIFS($R$6:$R211,"Need to Improve",$L$6:$L211,$L211))</f>
        <v/>
      </c>
      <c r="W211" s="7">
        <f>IF($R211&lt;&gt;"Not Performing","",COUNTIFS($R$6:$R$505,"Not Performing",$L$6:$L$505,"&lt;"&amp;$L211)+COUNTIFS($R$6:$R211,"Not Performing",$L$6:$L211,$L211))</f>
        <v/>
      </c>
    </row>
    <row r="212" ht="15" customHeight="1">
      <c r="A212" s="27" t="n"/>
      <c r="B212" s="27" t="n"/>
      <c r="C212" s="27" t="n"/>
      <c r="D212" s="28">
        <f>IF($C212="","",IFERROR(TRIM(LEFT($C212,FIND("-",$C212)-1)),""))</f>
        <v/>
      </c>
      <c r="E212" s="27" t="n"/>
      <c r="F212" s="29" t="n"/>
      <c r="G212" s="30" t="n"/>
      <c r="H212" s="30" t="n"/>
      <c r="I212" s="31">
        <f>IF($B212="","",$H212-$G212)</f>
        <v/>
      </c>
      <c r="J212" s="32">
        <f>IF(OR($B212="",$G212=0,$G212=""),"",$I212/$G212)</f>
        <v/>
      </c>
      <c r="K212" s="33" t="n"/>
      <c r="L212" s="33" t="n"/>
      <c r="M212" s="33" t="n"/>
      <c r="N212" s="33" t="n"/>
      <c r="O212" s="33" t="n"/>
      <c r="P212" s="32">
        <f>IF(OR($L212="",$N212=""),"",$L212-$N212)</f>
        <v/>
      </c>
      <c r="Q212" s="28">
        <f>IF($B212="","",IF(N($H212)&gt;0,"Live","Exited"))</f>
        <v/>
      </c>
      <c r="R212" s="28">
        <f>IF($B212="","",IF($L212="","Data Pending",IF($L212&gt;=Instructions!$D$19,"Best Fund",IF($L212&gt;=Instructions!$D$20,"Need to Improve","Not Performing"))))</f>
        <v/>
      </c>
      <c r="S212" s="7">
        <f>IF($R212="","",IF($R212="Data Pending","Enter the 3Y return",IF($R212="Best Fund","Hold / consider top-up",IF($R212="Need to Improve","Watch 2 quarters, then decide","Review with client - switch or exit"))))</f>
        <v/>
      </c>
      <c r="T212" s="27" t="n"/>
      <c r="U212" s="7">
        <f>IF($R212&lt;&gt;"Best Fund","",COUNTIFS($R$6:$R$505,"Best Fund",$L$6:$L$505,"&gt;"&amp;$L212)+COUNTIFS($R$6:$R212,"Best Fund",$L$6:$L212,$L212))</f>
        <v/>
      </c>
      <c r="V212" s="7">
        <f>IF($R212&lt;&gt;"Need to Improve","",COUNTIFS($R$6:$R$505,"Need to Improve",$L$6:$L$505,"&lt;"&amp;$L212)+COUNTIFS($R$6:$R212,"Need to Improve",$L$6:$L212,$L212))</f>
        <v/>
      </c>
      <c r="W212" s="7">
        <f>IF($R212&lt;&gt;"Not Performing","",COUNTIFS($R$6:$R$505,"Not Performing",$L$6:$L$505,"&lt;"&amp;$L212)+COUNTIFS($R$6:$R212,"Not Performing",$L$6:$L212,$L212))</f>
        <v/>
      </c>
    </row>
    <row r="213" ht="15" customHeight="1">
      <c r="A213" s="27" t="n"/>
      <c r="B213" s="27" t="n"/>
      <c r="C213" s="27" t="n"/>
      <c r="D213" s="28">
        <f>IF($C213="","",IFERROR(TRIM(LEFT($C213,FIND("-",$C213)-1)),""))</f>
        <v/>
      </c>
      <c r="E213" s="27" t="n"/>
      <c r="F213" s="29" t="n"/>
      <c r="G213" s="30" t="n"/>
      <c r="H213" s="30" t="n"/>
      <c r="I213" s="31">
        <f>IF($B213="","",$H213-$G213)</f>
        <v/>
      </c>
      <c r="J213" s="32">
        <f>IF(OR($B213="",$G213=0,$G213=""),"",$I213/$G213)</f>
        <v/>
      </c>
      <c r="K213" s="33" t="n"/>
      <c r="L213" s="33" t="n"/>
      <c r="M213" s="33" t="n"/>
      <c r="N213" s="33" t="n"/>
      <c r="O213" s="33" t="n"/>
      <c r="P213" s="32">
        <f>IF(OR($L213="",$N213=""),"",$L213-$N213)</f>
        <v/>
      </c>
      <c r="Q213" s="28">
        <f>IF($B213="","",IF(N($H213)&gt;0,"Live","Exited"))</f>
        <v/>
      </c>
      <c r="R213" s="28">
        <f>IF($B213="","",IF($L213="","Data Pending",IF($L213&gt;=Instructions!$D$19,"Best Fund",IF($L213&gt;=Instructions!$D$20,"Need to Improve","Not Performing"))))</f>
        <v/>
      </c>
      <c r="S213" s="7">
        <f>IF($R213="","",IF($R213="Data Pending","Enter the 3Y return",IF($R213="Best Fund","Hold / consider top-up",IF($R213="Need to Improve","Watch 2 quarters, then decide","Review with client - switch or exit"))))</f>
        <v/>
      </c>
      <c r="T213" s="27" t="n"/>
      <c r="U213" s="7">
        <f>IF($R213&lt;&gt;"Best Fund","",COUNTIFS($R$6:$R$505,"Best Fund",$L$6:$L$505,"&gt;"&amp;$L213)+COUNTIFS($R$6:$R213,"Best Fund",$L$6:$L213,$L213))</f>
        <v/>
      </c>
      <c r="V213" s="7">
        <f>IF($R213&lt;&gt;"Need to Improve","",COUNTIFS($R$6:$R$505,"Need to Improve",$L$6:$L$505,"&lt;"&amp;$L213)+COUNTIFS($R$6:$R213,"Need to Improve",$L$6:$L213,$L213))</f>
        <v/>
      </c>
      <c r="W213" s="7">
        <f>IF($R213&lt;&gt;"Not Performing","",COUNTIFS($R$6:$R$505,"Not Performing",$L$6:$L$505,"&lt;"&amp;$L213)+COUNTIFS($R$6:$R213,"Not Performing",$L$6:$L213,$L213))</f>
        <v/>
      </c>
    </row>
    <row r="214" ht="15" customHeight="1">
      <c r="A214" s="27" t="n"/>
      <c r="B214" s="27" t="n"/>
      <c r="C214" s="27" t="n"/>
      <c r="D214" s="28">
        <f>IF($C214="","",IFERROR(TRIM(LEFT($C214,FIND("-",$C214)-1)),""))</f>
        <v/>
      </c>
      <c r="E214" s="27" t="n"/>
      <c r="F214" s="29" t="n"/>
      <c r="G214" s="30" t="n"/>
      <c r="H214" s="30" t="n"/>
      <c r="I214" s="31">
        <f>IF($B214="","",$H214-$G214)</f>
        <v/>
      </c>
      <c r="J214" s="32">
        <f>IF(OR($B214="",$G214=0,$G214=""),"",$I214/$G214)</f>
        <v/>
      </c>
      <c r="K214" s="33" t="n"/>
      <c r="L214" s="33" t="n"/>
      <c r="M214" s="33" t="n"/>
      <c r="N214" s="33" t="n"/>
      <c r="O214" s="33" t="n"/>
      <c r="P214" s="32">
        <f>IF(OR($L214="",$N214=""),"",$L214-$N214)</f>
        <v/>
      </c>
      <c r="Q214" s="28">
        <f>IF($B214="","",IF(N($H214)&gt;0,"Live","Exited"))</f>
        <v/>
      </c>
      <c r="R214" s="28">
        <f>IF($B214="","",IF($L214="","Data Pending",IF($L214&gt;=Instructions!$D$19,"Best Fund",IF($L214&gt;=Instructions!$D$20,"Need to Improve","Not Performing"))))</f>
        <v/>
      </c>
      <c r="S214" s="7">
        <f>IF($R214="","",IF($R214="Data Pending","Enter the 3Y return",IF($R214="Best Fund","Hold / consider top-up",IF($R214="Need to Improve","Watch 2 quarters, then decide","Review with client - switch or exit"))))</f>
        <v/>
      </c>
      <c r="T214" s="27" t="n"/>
      <c r="U214" s="7">
        <f>IF($R214&lt;&gt;"Best Fund","",COUNTIFS($R$6:$R$505,"Best Fund",$L$6:$L$505,"&gt;"&amp;$L214)+COUNTIFS($R$6:$R214,"Best Fund",$L$6:$L214,$L214))</f>
        <v/>
      </c>
      <c r="V214" s="7">
        <f>IF($R214&lt;&gt;"Need to Improve","",COUNTIFS($R$6:$R$505,"Need to Improve",$L$6:$L$505,"&lt;"&amp;$L214)+COUNTIFS($R$6:$R214,"Need to Improve",$L$6:$L214,$L214))</f>
        <v/>
      </c>
      <c r="W214" s="7">
        <f>IF($R214&lt;&gt;"Not Performing","",COUNTIFS($R$6:$R$505,"Not Performing",$L$6:$L$505,"&lt;"&amp;$L214)+COUNTIFS($R$6:$R214,"Not Performing",$L$6:$L214,$L214))</f>
        <v/>
      </c>
    </row>
    <row r="215" ht="15" customHeight="1">
      <c r="A215" s="27" t="n"/>
      <c r="B215" s="27" t="n"/>
      <c r="C215" s="27" t="n"/>
      <c r="D215" s="28">
        <f>IF($C215="","",IFERROR(TRIM(LEFT($C215,FIND("-",$C215)-1)),""))</f>
        <v/>
      </c>
      <c r="E215" s="27" t="n"/>
      <c r="F215" s="29" t="n"/>
      <c r="G215" s="30" t="n"/>
      <c r="H215" s="30" t="n"/>
      <c r="I215" s="31">
        <f>IF($B215="","",$H215-$G215)</f>
        <v/>
      </c>
      <c r="J215" s="32">
        <f>IF(OR($B215="",$G215=0,$G215=""),"",$I215/$G215)</f>
        <v/>
      </c>
      <c r="K215" s="33" t="n"/>
      <c r="L215" s="33" t="n"/>
      <c r="M215" s="33" t="n"/>
      <c r="N215" s="33" t="n"/>
      <c r="O215" s="33" t="n"/>
      <c r="P215" s="32">
        <f>IF(OR($L215="",$N215=""),"",$L215-$N215)</f>
        <v/>
      </c>
      <c r="Q215" s="28">
        <f>IF($B215="","",IF(N($H215)&gt;0,"Live","Exited"))</f>
        <v/>
      </c>
      <c r="R215" s="28">
        <f>IF($B215="","",IF($L215="","Data Pending",IF($L215&gt;=Instructions!$D$19,"Best Fund",IF($L215&gt;=Instructions!$D$20,"Need to Improve","Not Performing"))))</f>
        <v/>
      </c>
      <c r="S215" s="7">
        <f>IF($R215="","",IF($R215="Data Pending","Enter the 3Y return",IF($R215="Best Fund","Hold / consider top-up",IF($R215="Need to Improve","Watch 2 quarters, then decide","Review with client - switch or exit"))))</f>
        <v/>
      </c>
      <c r="T215" s="27" t="n"/>
      <c r="U215" s="7">
        <f>IF($R215&lt;&gt;"Best Fund","",COUNTIFS($R$6:$R$505,"Best Fund",$L$6:$L$505,"&gt;"&amp;$L215)+COUNTIFS($R$6:$R215,"Best Fund",$L$6:$L215,$L215))</f>
        <v/>
      </c>
      <c r="V215" s="7">
        <f>IF($R215&lt;&gt;"Need to Improve","",COUNTIFS($R$6:$R$505,"Need to Improve",$L$6:$L$505,"&lt;"&amp;$L215)+COUNTIFS($R$6:$R215,"Need to Improve",$L$6:$L215,$L215))</f>
        <v/>
      </c>
      <c r="W215" s="7">
        <f>IF($R215&lt;&gt;"Not Performing","",COUNTIFS($R$6:$R$505,"Not Performing",$L$6:$L$505,"&lt;"&amp;$L215)+COUNTIFS($R$6:$R215,"Not Performing",$L$6:$L215,$L215))</f>
        <v/>
      </c>
    </row>
    <row r="216" ht="15" customHeight="1">
      <c r="A216" s="27" t="n"/>
      <c r="B216" s="27" t="n"/>
      <c r="C216" s="27" t="n"/>
      <c r="D216" s="28">
        <f>IF($C216="","",IFERROR(TRIM(LEFT($C216,FIND("-",$C216)-1)),""))</f>
        <v/>
      </c>
      <c r="E216" s="27" t="n"/>
      <c r="F216" s="29" t="n"/>
      <c r="G216" s="30" t="n"/>
      <c r="H216" s="30" t="n"/>
      <c r="I216" s="31">
        <f>IF($B216="","",$H216-$G216)</f>
        <v/>
      </c>
      <c r="J216" s="32">
        <f>IF(OR($B216="",$G216=0,$G216=""),"",$I216/$G216)</f>
        <v/>
      </c>
      <c r="K216" s="33" t="n"/>
      <c r="L216" s="33" t="n"/>
      <c r="M216" s="33" t="n"/>
      <c r="N216" s="33" t="n"/>
      <c r="O216" s="33" t="n"/>
      <c r="P216" s="32">
        <f>IF(OR($L216="",$N216=""),"",$L216-$N216)</f>
        <v/>
      </c>
      <c r="Q216" s="28">
        <f>IF($B216="","",IF(N($H216)&gt;0,"Live","Exited"))</f>
        <v/>
      </c>
      <c r="R216" s="28">
        <f>IF($B216="","",IF($L216="","Data Pending",IF($L216&gt;=Instructions!$D$19,"Best Fund",IF($L216&gt;=Instructions!$D$20,"Need to Improve","Not Performing"))))</f>
        <v/>
      </c>
      <c r="S216" s="7">
        <f>IF($R216="","",IF($R216="Data Pending","Enter the 3Y return",IF($R216="Best Fund","Hold / consider top-up",IF($R216="Need to Improve","Watch 2 quarters, then decide","Review with client - switch or exit"))))</f>
        <v/>
      </c>
      <c r="T216" s="27" t="n"/>
      <c r="U216" s="7">
        <f>IF($R216&lt;&gt;"Best Fund","",COUNTIFS($R$6:$R$505,"Best Fund",$L$6:$L$505,"&gt;"&amp;$L216)+COUNTIFS($R$6:$R216,"Best Fund",$L$6:$L216,$L216))</f>
        <v/>
      </c>
      <c r="V216" s="7">
        <f>IF($R216&lt;&gt;"Need to Improve","",COUNTIFS($R$6:$R$505,"Need to Improve",$L$6:$L$505,"&lt;"&amp;$L216)+COUNTIFS($R$6:$R216,"Need to Improve",$L$6:$L216,$L216))</f>
        <v/>
      </c>
      <c r="W216" s="7">
        <f>IF($R216&lt;&gt;"Not Performing","",COUNTIFS($R$6:$R$505,"Not Performing",$L$6:$L$505,"&lt;"&amp;$L216)+COUNTIFS($R$6:$R216,"Not Performing",$L$6:$L216,$L216))</f>
        <v/>
      </c>
    </row>
    <row r="217" ht="15" customHeight="1">
      <c r="A217" s="27" t="n"/>
      <c r="B217" s="27" t="n"/>
      <c r="C217" s="27" t="n"/>
      <c r="D217" s="28">
        <f>IF($C217="","",IFERROR(TRIM(LEFT($C217,FIND("-",$C217)-1)),""))</f>
        <v/>
      </c>
      <c r="E217" s="27" t="n"/>
      <c r="F217" s="29" t="n"/>
      <c r="G217" s="30" t="n"/>
      <c r="H217" s="30" t="n"/>
      <c r="I217" s="31">
        <f>IF($B217="","",$H217-$G217)</f>
        <v/>
      </c>
      <c r="J217" s="32">
        <f>IF(OR($B217="",$G217=0,$G217=""),"",$I217/$G217)</f>
        <v/>
      </c>
      <c r="K217" s="33" t="n"/>
      <c r="L217" s="33" t="n"/>
      <c r="M217" s="33" t="n"/>
      <c r="N217" s="33" t="n"/>
      <c r="O217" s="33" t="n"/>
      <c r="P217" s="32">
        <f>IF(OR($L217="",$N217=""),"",$L217-$N217)</f>
        <v/>
      </c>
      <c r="Q217" s="28">
        <f>IF($B217="","",IF(N($H217)&gt;0,"Live","Exited"))</f>
        <v/>
      </c>
      <c r="R217" s="28">
        <f>IF($B217="","",IF($L217="","Data Pending",IF($L217&gt;=Instructions!$D$19,"Best Fund",IF($L217&gt;=Instructions!$D$20,"Need to Improve","Not Performing"))))</f>
        <v/>
      </c>
      <c r="S217" s="7">
        <f>IF($R217="","",IF($R217="Data Pending","Enter the 3Y return",IF($R217="Best Fund","Hold / consider top-up",IF($R217="Need to Improve","Watch 2 quarters, then decide","Review with client - switch or exit"))))</f>
        <v/>
      </c>
      <c r="T217" s="27" t="n"/>
      <c r="U217" s="7">
        <f>IF($R217&lt;&gt;"Best Fund","",COUNTIFS($R$6:$R$505,"Best Fund",$L$6:$L$505,"&gt;"&amp;$L217)+COUNTIFS($R$6:$R217,"Best Fund",$L$6:$L217,$L217))</f>
        <v/>
      </c>
      <c r="V217" s="7">
        <f>IF($R217&lt;&gt;"Need to Improve","",COUNTIFS($R$6:$R$505,"Need to Improve",$L$6:$L$505,"&lt;"&amp;$L217)+COUNTIFS($R$6:$R217,"Need to Improve",$L$6:$L217,$L217))</f>
        <v/>
      </c>
      <c r="W217" s="7">
        <f>IF($R217&lt;&gt;"Not Performing","",COUNTIFS($R$6:$R$505,"Not Performing",$L$6:$L$505,"&lt;"&amp;$L217)+COUNTIFS($R$6:$R217,"Not Performing",$L$6:$L217,$L217))</f>
        <v/>
      </c>
    </row>
    <row r="218" ht="15" customHeight="1">
      <c r="A218" s="27" t="n"/>
      <c r="B218" s="27" t="n"/>
      <c r="C218" s="27" t="n"/>
      <c r="D218" s="28">
        <f>IF($C218="","",IFERROR(TRIM(LEFT($C218,FIND("-",$C218)-1)),""))</f>
        <v/>
      </c>
      <c r="E218" s="27" t="n"/>
      <c r="F218" s="29" t="n"/>
      <c r="G218" s="30" t="n"/>
      <c r="H218" s="30" t="n"/>
      <c r="I218" s="31">
        <f>IF($B218="","",$H218-$G218)</f>
        <v/>
      </c>
      <c r="J218" s="32">
        <f>IF(OR($B218="",$G218=0,$G218=""),"",$I218/$G218)</f>
        <v/>
      </c>
      <c r="K218" s="33" t="n"/>
      <c r="L218" s="33" t="n"/>
      <c r="M218" s="33" t="n"/>
      <c r="N218" s="33" t="n"/>
      <c r="O218" s="33" t="n"/>
      <c r="P218" s="32">
        <f>IF(OR($L218="",$N218=""),"",$L218-$N218)</f>
        <v/>
      </c>
      <c r="Q218" s="28">
        <f>IF($B218="","",IF(N($H218)&gt;0,"Live","Exited"))</f>
        <v/>
      </c>
      <c r="R218" s="28">
        <f>IF($B218="","",IF($L218="","Data Pending",IF($L218&gt;=Instructions!$D$19,"Best Fund",IF($L218&gt;=Instructions!$D$20,"Need to Improve","Not Performing"))))</f>
        <v/>
      </c>
      <c r="S218" s="7">
        <f>IF($R218="","",IF($R218="Data Pending","Enter the 3Y return",IF($R218="Best Fund","Hold / consider top-up",IF($R218="Need to Improve","Watch 2 quarters, then decide","Review with client - switch or exit"))))</f>
        <v/>
      </c>
      <c r="T218" s="27" t="n"/>
      <c r="U218" s="7">
        <f>IF($R218&lt;&gt;"Best Fund","",COUNTIFS($R$6:$R$505,"Best Fund",$L$6:$L$505,"&gt;"&amp;$L218)+COUNTIFS($R$6:$R218,"Best Fund",$L$6:$L218,$L218))</f>
        <v/>
      </c>
      <c r="V218" s="7">
        <f>IF($R218&lt;&gt;"Need to Improve","",COUNTIFS($R$6:$R$505,"Need to Improve",$L$6:$L$505,"&lt;"&amp;$L218)+COUNTIFS($R$6:$R218,"Need to Improve",$L$6:$L218,$L218))</f>
        <v/>
      </c>
      <c r="W218" s="7">
        <f>IF($R218&lt;&gt;"Not Performing","",COUNTIFS($R$6:$R$505,"Not Performing",$L$6:$L$505,"&lt;"&amp;$L218)+COUNTIFS($R$6:$R218,"Not Performing",$L$6:$L218,$L218))</f>
        <v/>
      </c>
    </row>
    <row r="219" ht="15" customHeight="1">
      <c r="A219" s="27" t="n"/>
      <c r="B219" s="27" t="n"/>
      <c r="C219" s="27" t="n"/>
      <c r="D219" s="28">
        <f>IF($C219="","",IFERROR(TRIM(LEFT($C219,FIND("-",$C219)-1)),""))</f>
        <v/>
      </c>
      <c r="E219" s="27" t="n"/>
      <c r="F219" s="29" t="n"/>
      <c r="G219" s="30" t="n"/>
      <c r="H219" s="30" t="n"/>
      <c r="I219" s="31">
        <f>IF($B219="","",$H219-$G219)</f>
        <v/>
      </c>
      <c r="J219" s="32">
        <f>IF(OR($B219="",$G219=0,$G219=""),"",$I219/$G219)</f>
        <v/>
      </c>
      <c r="K219" s="33" t="n"/>
      <c r="L219" s="33" t="n"/>
      <c r="M219" s="33" t="n"/>
      <c r="N219" s="33" t="n"/>
      <c r="O219" s="33" t="n"/>
      <c r="P219" s="32">
        <f>IF(OR($L219="",$N219=""),"",$L219-$N219)</f>
        <v/>
      </c>
      <c r="Q219" s="28">
        <f>IF($B219="","",IF(N($H219)&gt;0,"Live","Exited"))</f>
        <v/>
      </c>
      <c r="R219" s="28">
        <f>IF($B219="","",IF($L219="","Data Pending",IF($L219&gt;=Instructions!$D$19,"Best Fund",IF($L219&gt;=Instructions!$D$20,"Need to Improve","Not Performing"))))</f>
        <v/>
      </c>
      <c r="S219" s="7">
        <f>IF($R219="","",IF($R219="Data Pending","Enter the 3Y return",IF($R219="Best Fund","Hold / consider top-up",IF($R219="Need to Improve","Watch 2 quarters, then decide","Review with client - switch or exit"))))</f>
        <v/>
      </c>
      <c r="T219" s="27" t="n"/>
      <c r="U219" s="7">
        <f>IF($R219&lt;&gt;"Best Fund","",COUNTIFS($R$6:$R$505,"Best Fund",$L$6:$L$505,"&gt;"&amp;$L219)+COUNTIFS($R$6:$R219,"Best Fund",$L$6:$L219,$L219))</f>
        <v/>
      </c>
      <c r="V219" s="7">
        <f>IF($R219&lt;&gt;"Need to Improve","",COUNTIFS($R$6:$R$505,"Need to Improve",$L$6:$L$505,"&lt;"&amp;$L219)+COUNTIFS($R$6:$R219,"Need to Improve",$L$6:$L219,$L219))</f>
        <v/>
      </c>
      <c r="W219" s="7">
        <f>IF($R219&lt;&gt;"Not Performing","",COUNTIFS($R$6:$R$505,"Not Performing",$L$6:$L$505,"&lt;"&amp;$L219)+COUNTIFS($R$6:$R219,"Not Performing",$L$6:$L219,$L219))</f>
        <v/>
      </c>
    </row>
    <row r="220" ht="15" customHeight="1">
      <c r="A220" s="27" t="n"/>
      <c r="B220" s="27" t="n"/>
      <c r="C220" s="27" t="n"/>
      <c r="D220" s="28">
        <f>IF($C220="","",IFERROR(TRIM(LEFT($C220,FIND("-",$C220)-1)),""))</f>
        <v/>
      </c>
      <c r="E220" s="27" t="n"/>
      <c r="F220" s="29" t="n"/>
      <c r="G220" s="30" t="n"/>
      <c r="H220" s="30" t="n"/>
      <c r="I220" s="31">
        <f>IF($B220="","",$H220-$G220)</f>
        <v/>
      </c>
      <c r="J220" s="32">
        <f>IF(OR($B220="",$G220=0,$G220=""),"",$I220/$G220)</f>
        <v/>
      </c>
      <c r="K220" s="33" t="n"/>
      <c r="L220" s="33" t="n"/>
      <c r="M220" s="33" t="n"/>
      <c r="N220" s="33" t="n"/>
      <c r="O220" s="33" t="n"/>
      <c r="P220" s="32">
        <f>IF(OR($L220="",$N220=""),"",$L220-$N220)</f>
        <v/>
      </c>
      <c r="Q220" s="28">
        <f>IF($B220="","",IF(N($H220)&gt;0,"Live","Exited"))</f>
        <v/>
      </c>
      <c r="R220" s="28">
        <f>IF($B220="","",IF($L220="","Data Pending",IF($L220&gt;=Instructions!$D$19,"Best Fund",IF($L220&gt;=Instructions!$D$20,"Need to Improve","Not Performing"))))</f>
        <v/>
      </c>
      <c r="S220" s="7">
        <f>IF($R220="","",IF($R220="Data Pending","Enter the 3Y return",IF($R220="Best Fund","Hold / consider top-up",IF($R220="Need to Improve","Watch 2 quarters, then decide","Review with client - switch or exit"))))</f>
        <v/>
      </c>
      <c r="T220" s="27" t="n"/>
      <c r="U220" s="7">
        <f>IF($R220&lt;&gt;"Best Fund","",COUNTIFS($R$6:$R$505,"Best Fund",$L$6:$L$505,"&gt;"&amp;$L220)+COUNTIFS($R$6:$R220,"Best Fund",$L$6:$L220,$L220))</f>
        <v/>
      </c>
      <c r="V220" s="7">
        <f>IF($R220&lt;&gt;"Need to Improve","",COUNTIFS($R$6:$R$505,"Need to Improve",$L$6:$L$505,"&lt;"&amp;$L220)+COUNTIFS($R$6:$R220,"Need to Improve",$L$6:$L220,$L220))</f>
        <v/>
      </c>
      <c r="W220" s="7">
        <f>IF($R220&lt;&gt;"Not Performing","",COUNTIFS($R$6:$R$505,"Not Performing",$L$6:$L$505,"&lt;"&amp;$L220)+COUNTIFS($R$6:$R220,"Not Performing",$L$6:$L220,$L220))</f>
        <v/>
      </c>
    </row>
    <row r="221" ht="15" customHeight="1">
      <c r="A221" s="27" t="n"/>
      <c r="B221" s="27" t="n"/>
      <c r="C221" s="27" t="n"/>
      <c r="D221" s="28">
        <f>IF($C221="","",IFERROR(TRIM(LEFT($C221,FIND("-",$C221)-1)),""))</f>
        <v/>
      </c>
      <c r="E221" s="27" t="n"/>
      <c r="F221" s="29" t="n"/>
      <c r="G221" s="30" t="n"/>
      <c r="H221" s="30" t="n"/>
      <c r="I221" s="31">
        <f>IF($B221="","",$H221-$G221)</f>
        <v/>
      </c>
      <c r="J221" s="32">
        <f>IF(OR($B221="",$G221=0,$G221=""),"",$I221/$G221)</f>
        <v/>
      </c>
      <c r="K221" s="33" t="n"/>
      <c r="L221" s="33" t="n"/>
      <c r="M221" s="33" t="n"/>
      <c r="N221" s="33" t="n"/>
      <c r="O221" s="33" t="n"/>
      <c r="P221" s="32">
        <f>IF(OR($L221="",$N221=""),"",$L221-$N221)</f>
        <v/>
      </c>
      <c r="Q221" s="28">
        <f>IF($B221="","",IF(N($H221)&gt;0,"Live","Exited"))</f>
        <v/>
      </c>
      <c r="R221" s="28">
        <f>IF($B221="","",IF($L221="","Data Pending",IF($L221&gt;=Instructions!$D$19,"Best Fund",IF($L221&gt;=Instructions!$D$20,"Need to Improve","Not Performing"))))</f>
        <v/>
      </c>
      <c r="S221" s="7">
        <f>IF($R221="","",IF($R221="Data Pending","Enter the 3Y return",IF($R221="Best Fund","Hold / consider top-up",IF($R221="Need to Improve","Watch 2 quarters, then decide","Review with client - switch or exit"))))</f>
        <v/>
      </c>
      <c r="T221" s="27" t="n"/>
      <c r="U221" s="7">
        <f>IF($R221&lt;&gt;"Best Fund","",COUNTIFS($R$6:$R$505,"Best Fund",$L$6:$L$505,"&gt;"&amp;$L221)+COUNTIFS($R$6:$R221,"Best Fund",$L$6:$L221,$L221))</f>
        <v/>
      </c>
      <c r="V221" s="7">
        <f>IF($R221&lt;&gt;"Need to Improve","",COUNTIFS($R$6:$R$505,"Need to Improve",$L$6:$L$505,"&lt;"&amp;$L221)+COUNTIFS($R$6:$R221,"Need to Improve",$L$6:$L221,$L221))</f>
        <v/>
      </c>
      <c r="W221" s="7">
        <f>IF($R221&lt;&gt;"Not Performing","",COUNTIFS($R$6:$R$505,"Not Performing",$L$6:$L$505,"&lt;"&amp;$L221)+COUNTIFS($R$6:$R221,"Not Performing",$L$6:$L221,$L221))</f>
        <v/>
      </c>
    </row>
    <row r="222" ht="15" customHeight="1">
      <c r="A222" s="27" t="n"/>
      <c r="B222" s="27" t="n"/>
      <c r="C222" s="27" t="n"/>
      <c r="D222" s="28">
        <f>IF($C222="","",IFERROR(TRIM(LEFT($C222,FIND("-",$C222)-1)),""))</f>
        <v/>
      </c>
      <c r="E222" s="27" t="n"/>
      <c r="F222" s="29" t="n"/>
      <c r="G222" s="30" t="n"/>
      <c r="H222" s="30" t="n"/>
      <c r="I222" s="31">
        <f>IF($B222="","",$H222-$G222)</f>
        <v/>
      </c>
      <c r="J222" s="32">
        <f>IF(OR($B222="",$G222=0,$G222=""),"",$I222/$G222)</f>
        <v/>
      </c>
      <c r="K222" s="33" t="n"/>
      <c r="L222" s="33" t="n"/>
      <c r="M222" s="33" t="n"/>
      <c r="N222" s="33" t="n"/>
      <c r="O222" s="33" t="n"/>
      <c r="P222" s="32">
        <f>IF(OR($L222="",$N222=""),"",$L222-$N222)</f>
        <v/>
      </c>
      <c r="Q222" s="28">
        <f>IF($B222="","",IF(N($H222)&gt;0,"Live","Exited"))</f>
        <v/>
      </c>
      <c r="R222" s="28">
        <f>IF($B222="","",IF($L222="","Data Pending",IF($L222&gt;=Instructions!$D$19,"Best Fund",IF($L222&gt;=Instructions!$D$20,"Need to Improve","Not Performing"))))</f>
        <v/>
      </c>
      <c r="S222" s="7">
        <f>IF($R222="","",IF($R222="Data Pending","Enter the 3Y return",IF($R222="Best Fund","Hold / consider top-up",IF($R222="Need to Improve","Watch 2 quarters, then decide","Review with client - switch or exit"))))</f>
        <v/>
      </c>
      <c r="T222" s="27" t="n"/>
      <c r="U222" s="7">
        <f>IF($R222&lt;&gt;"Best Fund","",COUNTIFS($R$6:$R$505,"Best Fund",$L$6:$L$505,"&gt;"&amp;$L222)+COUNTIFS($R$6:$R222,"Best Fund",$L$6:$L222,$L222))</f>
        <v/>
      </c>
      <c r="V222" s="7">
        <f>IF($R222&lt;&gt;"Need to Improve","",COUNTIFS($R$6:$R$505,"Need to Improve",$L$6:$L$505,"&lt;"&amp;$L222)+COUNTIFS($R$6:$R222,"Need to Improve",$L$6:$L222,$L222))</f>
        <v/>
      </c>
      <c r="W222" s="7">
        <f>IF($R222&lt;&gt;"Not Performing","",COUNTIFS($R$6:$R$505,"Not Performing",$L$6:$L$505,"&lt;"&amp;$L222)+COUNTIFS($R$6:$R222,"Not Performing",$L$6:$L222,$L222))</f>
        <v/>
      </c>
    </row>
    <row r="223" ht="15" customHeight="1">
      <c r="A223" s="27" t="n"/>
      <c r="B223" s="27" t="n"/>
      <c r="C223" s="27" t="n"/>
      <c r="D223" s="28">
        <f>IF($C223="","",IFERROR(TRIM(LEFT($C223,FIND("-",$C223)-1)),""))</f>
        <v/>
      </c>
      <c r="E223" s="27" t="n"/>
      <c r="F223" s="29" t="n"/>
      <c r="G223" s="30" t="n"/>
      <c r="H223" s="30" t="n"/>
      <c r="I223" s="31">
        <f>IF($B223="","",$H223-$G223)</f>
        <v/>
      </c>
      <c r="J223" s="32">
        <f>IF(OR($B223="",$G223=0,$G223=""),"",$I223/$G223)</f>
        <v/>
      </c>
      <c r="K223" s="33" t="n"/>
      <c r="L223" s="33" t="n"/>
      <c r="M223" s="33" t="n"/>
      <c r="N223" s="33" t="n"/>
      <c r="O223" s="33" t="n"/>
      <c r="P223" s="32">
        <f>IF(OR($L223="",$N223=""),"",$L223-$N223)</f>
        <v/>
      </c>
      <c r="Q223" s="28">
        <f>IF($B223="","",IF(N($H223)&gt;0,"Live","Exited"))</f>
        <v/>
      </c>
      <c r="R223" s="28">
        <f>IF($B223="","",IF($L223="","Data Pending",IF($L223&gt;=Instructions!$D$19,"Best Fund",IF($L223&gt;=Instructions!$D$20,"Need to Improve","Not Performing"))))</f>
        <v/>
      </c>
      <c r="S223" s="7">
        <f>IF($R223="","",IF($R223="Data Pending","Enter the 3Y return",IF($R223="Best Fund","Hold / consider top-up",IF($R223="Need to Improve","Watch 2 quarters, then decide","Review with client - switch or exit"))))</f>
        <v/>
      </c>
      <c r="T223" s="27" t="n"/>
      <c r="U223" s="7">
        <f>IF($R223&lt;&gt;"Best Fund","",COUNTIFS($R$6:$R$505,"Best Fund",$L$6:$L$505,"&gt;"&amp;$L223)+COUNTIFS($R$6:$R223,"Best Fund",$L$6:$L223,$L223))</f>
        <v/>
      </c>
      <c r="V223" s="7">
        <f>IF($R223&lt;&gt;"Need to Improve","",COUNTIFS($R$6:$R$505,"Need to Improve",$L$6:$L$505,"&lt;"&amp;$L223)+COUNTIFS($R$6:$R223,"Need to Improve",$L$6:$L223,$L223))</f>
        <v/>
      </c>
      <c r="W223" s="7">
        <f>IF($R223&lt;&gt;"Not Performing","",COUNTIFS($R$6:$R$505,"Not Performing",$L$6:$L$505,"&lt;"&amp;$L223)+COUNTIFS($R$6:$R223,"Not Performing",$L$6:$L223,$L223))</f>
        <v/>
      </c>
    </row>
    <row r="224" ht="15" customHeight="1">
      <c r="A224" s="27" t="n"/>
      <c r="B224" s="27" t="n"/>
      <c r="C224" s="27" t="n"/>
      <c r="D224" s="28">
        <f>IF($C224="","",IFERROR(TRIM(LEFT($C224,FIND("-",$C224)-1)),""))</f>
        <v/>
      </c>
      <c r="E224" s="27" t="n"/>
      <c r="F224" s="29" t="n"/>
      <c r="G224" s="30" t="n"/>
      <c r="H224" s="30" t="n"/>
      <c r="I224" s="31">
        <f>IF($B224="","",$H224-$G224)</f>
        <v/>
      </c>
      <c r="J224" s="32">
        <f>IF(OR($B224="",$G224=0,$G224=""),"",$I224/$G224)</f>
        <v/>
      </c>
      <c r="K224" s="33" t="n"/>
      <c r="L224" s="33" t="n"/>
      <c r="M224" s="33" t="n"/>
      <c r="N224" s="33" t="n"/>
      <c r="O224" s="33" t="n"/>
      <c r="P224" s="32">
        <f>IF(OR($L224="",$N224=""),"",$L224-$N224)</f>
        <v/>
      </c>
      <c r="Q224" s="28">
        <f>IF($B224="","",IF(N($H224)&gt;0,"Live","Exited"))</f>
        <v/>
      </c>
      <c r="R224" s="28">
        <f>IF($B224="","",IF($L224="","Data Pending",IF($L224&gt;=Instructions!$D$19,"Best Fund",IF($L224&gt;=Instructions!$D$20,"Need to Improve","Not Performing"))))</f>
        <v/>
      </c>
      <c r="S224" s="7">
        <f>IF($R224="","",IF($R224="Data Pending","Enter the 3Y return",IF($R224="Best Fund","Hold / consider top-up",IF($R224="Need to Improve","Watch 2 quarters, then decide","Review with client - switch or exit"))))</f>
        <v/>
      </c>
      <c r="T224" s="27" t="n"/>
      <c r="U224" s="7">
        <f>IF($R224&lt;&gt;"Best Fund","",COUNTIFS($R$6:$R$505,"Best Fund",$L$6:$L$505,"&gt;"&amp;$L224)+COUNTIFS($R$6:$R224,"Best Fund",$L$6:$L224,$L224))</f>
        <v/>
      </c>
      <c r="V224" s="7">
        <f>IF($R224&lt;&gt;"Need to Improve","",COUNTIFS($R$6:$R$505,"Need to Improve",$L$6:$L$505,"&lt;"&amp;$L224)+COUNTIFS($R$6:$R224,"Need to Improve",$L$6:$L224,$L224))</f>
        <v/>
      </c>
      <c r="W224" s="7">
        <f>IF($R224&lt;&gt;"Not Performing","",COUNTIFS($R$6:$R$505,"Not Performing",$L$6:$L$505,"&lt;"&amp;$L224)+COUNTIFS($R$6:$R224,"Not Performing",$L$6:$L224,$L224))</f>
        <v/>
      </c>
    </row>
    <row r="225" ht="15" customHeight="1">
      <c r="A225" s="27" t="n"/>
      <c r="B225" s="27" t="n"/>
      <c r="C225" s="27" t="n"/>
      <c r="D225" s="28">
        <f>IF($C225="","",IFERROR(TRIM(LEFT($C225,FIND("-",$C225)-1)),""))</f>
        <v/>
      </c>
      <c r="E225" s="27" t="n"/>
      <c r="F225" s="29" t="n"/>
      <c r="G225" s="30" t="n"/>
      <c r="H225" s="30" t="n"/>
      <c r="I225" s="31">
        <f>IF($B225="","",$H225-$G225)</f>
        <v/>
      </c>
      <c r="J225" s="32">
        <f>IF(OR($B225="",$G225=0,$G225=""),"",$I225/$G225)</f>
        <v/>
      </c>
      <c r="K225" s="33" t="n"/>
      <c r="L225" s="33" t="n"/>
      <c r="M225" s="33" t="n"/>
      <c r="N225" s="33" t="n"/>
      <c r="O225" s="33" t="n"/>
      <c r="P225" s="32">
        <f>IF(OR($L225="",$N225=""),"",$L225-$N225)</f>
        <v/>
      </c>
      <c r="Q225" s="28">
        <f>IF($B225="","",IF(N($H225)&gt;0,"Live","Exited"))</f>
        <v/>
      </c>
      <c r="R225" s="28">
        <f>IF($B225="","",IF($L225="","Data Pending",IF($L225&gt;=Instructions!$D$19,"Best Fund",IF($L225&gt;=Instructions!$D$20,"Need to Improve","Not Performing"))))</f>
        <v/>
      </c>
      <c r="S225" s="7">
        <f>IF($R225="","",IF($R225="Data Pending","Enter the 3Y return",IF($R225="Best Fund","Hold / consider top-up",IF($R225="Need to Improve","Watch 2 quarters, then decide","Review with client - switch or exit"))))</f>
        <v/>
      </c>
      <c r="T225" s="27" t="n"/>
      <c r="U225" s="7">
        <f>IF($R225&lt;&gt;"Best Fund","",COUNTIFS($R$6:$R$505,"Best Fund",$L$6:$L$505,"&gt;"&amp;$L225)+COUNTIFS($R$6:$R225,"Best Fund",$L$6:$L225,$L225))</f>
        <v/>
      </c>
      <c r="V225" s="7">
        <f>IF($R225&lt;&gt;"Need to Improve","",COUNTIFS($R$6:$R$505,"Need to Improve",$L$6:$L$505,"&lt;"&amp;$L225)+COUNTIFS($R$6:$R225,"Need to Improve",$L$6:$L225,$L225))</f>
        <v/>
      </c>
      <c r="W225" s="7">
        <f>IF($R225&lt;&gt;"Not Performing","",COUNTIFS($R$6:$R$505,"Not Performing",$L$6:$L$505,"&lt;"&amp;$L225)+COUNTIFS($R$6:$R225,"Not Performing",$L$6:$L225,$L225))</f>
        <v/>
      </c>
    </row>
    <row r="226" ht="15" customHeight="1">
      <c r="A226" s="27" t="n"/>
      <c r="B226" s="27" t="n"/>
      <c r="C226" s="27" t="n"/>
      <c r="D226" s="28">
        <f>IF($C226="","",IFERROR(TRIM(LEFT($C226,FIND("-",$C226)-1)),""))</f>
        <v/>
      </c>
      <c r="E226" s="27" t="n"/>
      <c r="F226" s="29" t="n"/>
      <c r="G226" s="30" t="n"/>
      <c r="H226" s="30" t="n"/>
      <c r="I226" s="31">
        <f>IF($B226="","",$H226-$G226)</f>
        <v/>
      </c>
      <c r="J226" s="32">
        <f>IF(OR($B226="",$G226=0,$G226=""),"",$I226/$G226)</f>
        <v/>
      </c>
      <c r="K226" s="33" t="n"/>
      <c r="L226" s="33" t="n"/>
      <c r="M226" s="33" t="n"/>
      <c r="N226" s="33" t="n"/>
      <c r="O226" s="33" t="n"/>
      <c r="P226" s="32">
        <f>IF(OR($L226="",$N226=""),"",$L226-$N226)</f>
        <v/>
      </c>
      <c r="Q226" s="28">
        <f>IF($B226="","",IF(N($H226)&gt;0,"Live","Exited"))</f>
        <v/>
      </c>
      <c r="R226" s="28">
        <f>IF($B226="","",IF($L226="","Data Pending",IF($L226&gt;=Instructions!$D$19,"Best Fund",IF($L226&gt;=Instructions!$D$20,"Need to Improve","Not Performing"))))</f>
        <v/>
      </c>
      <c r="S226" s="7">
        <f>IF($R226="","",IF($R226="Data Pending","Enter the 3Y return",IF($R226="Best Fund","Hold / consider top-up",IF($R226="Need to Improve","Watch 2 quarters, then decide","Review with client - switch or exit"))))</f>
        <v/>
      </c>
      <c r="T226" s="27" t="n"/>
      <c r="U226" s="7">
        <f>IF($R226&lt;&gt;"Best Fund","",COUNTIFS($R$6:$R$505,"Best Fund",$L$6:$L$505,"&gt;"&amp;$L226)+COUNTIFS($R$6:$R226,"Best Fund",$L$6:$L226,$L226))</f>
        <v/>
      </c>
      <c r="V226" s="7">
        <f>IF($R226&lt;&gt;"Need to Improve","",COUNTIFS($R$6:$R$505,"Need to Improve",$L$6:$L$505,"&lt;"&amp;$L226)+COUNTIFS($R$6:$R226,"Need to Improve",$L$6:$L226,$L226))</f>
        <v/>
      </c>
      <c r="W226" s="7">
        <f>IF($R226&lt;&gt;"Not Performing","",COUNTIFS($R$6:$R$505,"Not Performing",$L$6:$L$505,"&lt;"&amp;$L226)+COUNTIFS($R$6:$R226,"Not Performing",$L$6:$L226,$L226))</f>
        <v/>
      </c>
    </row>
    <row r="227" ht="15" customHeight="1">
      <c r="A227" s="27" t="n"/>
      <c r="B227" s="27" t="n"/>
      <c r="C227" s="27" t="n"/>
      <c r="D227" s="28">
        <f>IF($C227="","",IFERROR(TRIM(LEFT($C227,FIND("-",$C227)-1)),""))</f>
        <v/>
      </c>
      <c r="E227" s="27" t="n"/>
      <c r="F227" s="29" t="n"/>
      <c r="G227" s="30" t="n"/>
      <c r="H227" s="30" t="n"/>
      <c r="I227" s="31">
        <f>IF($B227="","",$H227-$G227)</f>
        <v/>
      </c>
      <c r="J227" s="32">
        <f>IF(OR($B227="",$G227=0,$G227=""),"",$I227/$G227)</f>
        <v/>
      </c>
      <c r="K227" s="33" t="n"/>
      <c r="L227" s="33" t="n"/>
      <c r="M227" s="33" t="n"/>
      <c r="N227" s="33" t="n"/>
      <c r="O227" s="33" t="n"/>
      <c r="P227" s="32">
        <f>IF(OR($L227="",$N227=""),"",$L227-$N227)</f>
        <v/>
      </c>
      <c r="Q227" s="28">
        <f>IF($B227="","",IF(N($H227)&gt;0,"Live","Exited"))</f>
        <v/>
      </c>
      <c r="R227" s="28">
        <f>IF($B227="","",IF($L227="","Data Pending",IF($L227&gt;=Instructions!$D$19,"Best Fund",IF($L227&gt;=Instructions!$D$20,"Need to Improve","Not Performing"))))</f>
        <v/>
      </c>
      <c r="S227" s="7">
        <f>IF($R227="","",IF($R227="Data Pending","Enter the 3Y return",IF($R227="Best Fund","Hold / consider top-up",IF($R227="Need to Improve","Watch 2 quarters, then decide","Review with client - switch or exit"))))</f>
        <v/>
      </c>
      <c r="T227" s="27" t="n"/>
      <c r="U227" s="7">
        <f>IF($R227&lt;&gt;"Best Fund","",COUNTIFS($R$6:$R$505,"Best Fund",$L$6:$L$505,"&gt;"&amp;$L227)+COUNTIFS($R$6:$R227,"Best Fund",$L$6:$L227,$L227))</f>
        <v/>
      </c>
      <c r="V227" s="7">
        <f>IF($R227&lt;&gt;"Need to Improve","",COUNTIFS($R$6:$R$505,"Need to Improve",$L$6:$L$505,"&lt;"&amp;$L227)+COUNTIFS($R$6:$R227,"Need to Improve",$L$6:$L227,$L227))</f>
        <v/>
      </c>
      <c r="W227" s="7">
        <f>IF($R227&lt;&gt;"Not Performing","",COUNTIFS($R$6:$R$505,"Not Performing",$L$6:$L$505,"&lt;"&amp;$L227)+COUNTIFS($R$6:$R227,"Not Performing",$L$6:$L227,$L227))</f>
        <v/>
      </c>
    </row>
    <row r="228" ht="15" customHeight="1">
      <c r="A228" s="27" t="n"/>
      <c r="B228" s="27" t="n"/>
      <c r="C228" s="27" t="n"/>
      <c r="D228" s="28">
        <f>IF($C228="","",IFERROR(TRIM(LEFT($C228,FIND("-",$C228)-1)),""))</f>
        <v/>
      </c>
      <c r="E228" s="27" t="n"/>
      <c r="F228" s="29" t="n"/>
      <c r="G228" s="30" t="n"/>
      <c r="H228" s="30" t="n"/>
      <c r="I228" s="31">
        <f>IF($B228="","",$H228-$G228)</f>
        <v/>
      </c>
      <c r="J228" s="32">
        <f>IF(OR($B228="",$G228=0,$G228=""),"",$I228/$G228)</f>
        <v/>
      </c>
      <c r="K228" s="33" t="n"/>
      <c r="L228" s="33" t="n"/>
      <c r="M228" s="33" t="n"/>
      <c r="N228" s="33" t="n"/>
      <c r="O228" s="33" t="n"/>
      <c r="P228" s="32">
        <f>IF(OR($L228="",$N228=""),"",$L228-$N228)</f>
        <v/>
      </c>
      <c r="Q228" s="28">
        <f>IF($B228="","",IF(N($H228)&gt;0,"Live","Exited"))</f>
        <v/>
      </c>
      <c r="R228" s="28">
        <f>IF($B228="","",IF($L228="","Data Pending",IF($L228&gt;=Instructions!$D$19,"Best Fund",IF($L228&gt;=Instructions!$D$20,"Need to Improve","Not Performing"))))</f>
        <v/>
      </c>
      <c r="S228" s="7">
        <f>IF($R228="","",IF($R228="Data Pending","Enter the 3Y return",IF($R228="Best Fund","Hold / consider top-up",IF($R228="Need to Improve","Watch 2 quarters, then decide","Review with client - switch or exit"))))</f>
        <v/>
      </c>
      <c r="T228" s="27" t="n"/>
      <c r="U228" s="7">
        <f>IF($R228&lt;&gt;"Best Fund","",COUNTIFS($R$6:$R$505,"Best Fund",$L$6:$L$505,"&gt;"&amp;$L228)+COUNTIFS($R$6:$R228,"Best Fund",$L$6:$L228,$L228))</f>
        <v/>
      </c>
      <c r="V228" s="7">
        <f>IF($R228&lt;&gt;"Need to Improve","",COUNTIFS($R$6:$R$505,"Need to Improve",$L$6:$L$505,"&lt;"&amp;$L228)+COUNTIFS($R$6:$R228,"Need to Improve",$L$6:$L228,$L228))</f>
        <v/>
      </c>
      <c r="W228" s="7">
        <f>IF($R228&lt;&gt;"Not Performing","",COUNTIFS($R$6:$R$505,"Not Performing",$L$6:$L$505,"&lt;"&amp;$L228)+COUNTIFS($R$6:$R228,"Not Performing",$L$6:$L228,$L228))</f>
        <v/>
      </c>
    </row>
    <row r="229" ht="15" customHeight="1">
      <c r="A229" s="27" t="n"/>
      <c r="B229" s="27" t="n"/>
      <c r="C229" s="27" t="n"/>
      <c r="D229" s="28">
        <f>IF($C229="","",IFERROR(TRIM(LEFT($C229,FIND("-",$C229)-1)),""))</f>
        <v/>
      </c>
      <c r="E229" s="27" t="n"/>
      <c r="F229" s="29" t="n"/>
      <c r="G229" s="30" t="n"/>
      <c r="H229" s="30" t="n"/>
      <c r="I229" s="31">
        <f>IF($B229="","",$H229-$G229)</f>
        <v/>
      </c>
      <c r="J229" s="32">
        <f>IF(OR($B229="",$G229=0,$G229=""),"",$I229/$G229)</f>
        <v/>
      </c>
      <c r="K229" s="33" t="n"/>
      <c r="L229" s="33" t="n"/>
      <c r="M229" s="33" t="n"/>
      <c r="N229" s="33" t="n"/>
      <c r="O229" s="33" t="n"/>
      <c r="P229" s="32">
        <f>IF(OR($L229="",$N229=""),"",$L229-$N229)</f>
        <v/>
      </c>
      <c r="Q229" s="28">
        <f>IF($B229="","",IF(N($H229)&gt;0,"Live","Exited"))</f>
        <v/>
      </c>
      <c r="R229" s="28">
        <f>IF($B229="","",IF($L229="","Data Pending",IF($L229&gt;=Instructions!$D$19,"Best Fund",IF($L229&gt;=Instructions!$D$20,"Need to Improve","Not Performing"))))</f>
        <v/>
      </c>
      <c r="S229" s="7">
        <f>IF($R229="","",IF($R229="Data Pending","Enter the 3Y return",IF($R229="Best Fund","Hold / consider top-up",IF($R229="Need to Improve","Watch 2 quarters, then decide","Review with client - switch or exit"))))</f>
        <v/>
      </c>
      <c r="T229" s="27" t="n"/>
      <c r="U229" s="7">
        <f>IF($R229&lt;&gt;"Best Fund","",COUNTIFS($R$6:$R$505,"Best Fund",$L$6:$L$505,"&gt;"&amp;$L229)+COUNTIFS($R$6:$R229,"Best Fund",$L$6:$L229,$L229))</f>
        <v/>
      </c>
      <c r="V229" s="7">
        <f>IF($R229&lt;&gt;"Need to Improve","",COUNTIFS($R$6:$R$505,"Need to Improve",$L$6:$L$505,"&lt;"&amp;$L229)+COUNTIFS($R$6:$R229,"Need to Improve",$L$6:$L229,$L229))</f>
        <v/>
      </c>
      <c r="W229" s="7">
        <f>IF($R229&lt;&gt;"Not Performing","",COUNTIFS($R$6:$R$505,"Not Performing",$L$6:$L$505,"&lt;"&amp;$L229)+COUNTIFS($R$6:$R229,"Not Performing",$L$6:$L229,$L229))</f>
        <v/>
      </c>
    </row>
    <row r="230" ht="15" customHeight="1">
      <c r="A230" s="27" t="n"/>
      <c r="B230" s="27" t="n"/>
      <c r="C230" s="27" t="n"/>
      <c r="D230" s="28">
        <f>IF($C230="","",IFERROR(TRIM(LEFT($C230,FIND("-",$C230)-1)),""))</f>
        <v/>
      </c>
      <c r="E230" s="27" t="n"/>
      <c r="F230" s="29" t="n"/>
      <c r="G230" s="30" t="n"/>
      <c r="H230" s="30" t="n"/>
      <c r="I230" s="31">
        <f>IF($B230="","",$H230-$G230)</f>
        <v/>
      </c>
      <c r="J230" s="32">
        <f>IF(OR($B230="",$G230=0,$G230=""),"",$I230/$G230)</f>
        <v/>
      </c>
      <c r="K230" s="33" t="n"/>
      <c r="L230" s="33" t="n"/>
      <c r="M230" s="33" t="n"/>
      <c r="N230" s="33" t="n"/>
      <c r="O230" s="33" t="n"/>
      <c r="P230" s="32">
        <f>IF(OR($L230="",$N230=""),"",$L230-$N230)</f>
        <v/>
      </c>
      <c r="Q230" s="28">
        <f>IF($B230="","",IF(N($H230)&gt;0,"Live","Exited"))</f>
        <v/>
      </c>
      <c r="R230" s="28">
        <f>IF($B230="","",IF($L230="","Data Pending",IF($L230&gt;=Instructions!$D$19,"Best Fund",IF($L230&gt;=Instructions!$D$20,"Need to Improve","Not Performing"))))</f>
        <v/>
      </c>
      <c r="S230" s="7">
        <f>IF($R230="","",IF($R230="Data Pending","Enter the 3Y return",IF($R230="Best Fund","Hold / consider top-up",IF($R230="Need to Improve","Watch 2 quarters, then decide","Review with client - switch or exit"))))</f>
        <v/>
      </c>
      <c r="T230" s="27" t="n"/>
      <c r="U230" s="7">
        <f>IF($R230&lt;&gt;"Best Fund","",COUNTIFS($R$6:$R$505,"Best Fund",$L$6:$L$505,"&gt;"&amp;$L230)+COUNTIFS($R$6:$R230,"Best Fund",$L$6:$L230,$L230))</f>
        <v/>
      </c>
      <c r="V230" s="7">
        <f>IF($R230&lt;&gt;"Need to Improve","",COUNTIFS($R$6:$R$505,"Need to Improve",$L$6:$L$505,"&lt;"&amp;$L230)+COUNTIFS($R$6:$R230,"Need to Improve",$L$6:$L230,$L230))</f>
        <v/>
      </c>
      <c r="W230" s="7">
        <f>IF($R230&lt;&gt;"Not Performing","",COUNTIFS($R$6:$R$505,"Not Performing",$L$6:$L$505,"&lt;"&amp;$L230)+COUNTIFS($R$6:$R230,"Not Performing",$L$6:$L230,$L230))</f>
        <v/>
      </c>
    </row>
    <row r="231" ht="15" customHeight="1">
      <c r="A231" s="27" t="n"/>
      <c r="B231" s="27" t="n"/>
      <c r="C231" s="27" t="n"/>
      <c r="D231" s="28">
        <f>IF($C231="","",IFERROR(TRIM(LEFT($C231,FIND("-",$C231)-1)),""))</f>
        <v/>
      </c>
      <c r="E231" s="27" t="n"/>
      <c r="F231" s="29" t="n"/>
      <c r="G231" s="30" t="n"/>
      <c r="H231" s="30" t="n"/>
      <c r="I231" s="31">
        <f>IF($B231="","",$H231-$G231)</f>
        <v/>
      </c>
      <c r="J231" s="32">
        <f>IF(OR($B231="",$G231=0,$G231=""),"",$I231/$G231)</f>
        <v/>
      </c>
      <c r="K231" s="33" t="n"/>
      <c r="L231" s="33" t="n"/>
      <c r="M231" s="33" t="n"/>
      <c r="N231" s="33" t="n"/>
      <c r="O231" s="33" t="n"/>
      <c r="P231" s="32">
        <f>IF(OR($L231="",$N231=""),"",$L231-$N231)</f>
        <v/>
      </c>
      <c r="Q231" s="28">
        <f>IF($B231="","",IF(N($H231)&gt;0,"Live","Exited"))</f>
        <v/>
      </c>
      <c r="R231" s="28">
        <f>IF($B231="","",IF($L231="","Data Pending",IF($L231&gt;=Instructions!$D$19,"Best Fund",IF($L231&gt;=Instructions!$D$20,"Need to Improve","Not Performing"))))</f>
        <v/>
      </c>
      <c r="S231" s="7">
        <f>IF($R231="","",IF($R231="Data Pending","Enter the 3Y return",IF($R231="Best Fund","Hold / consider top-up",IF($R231="Need to Improve","Watch 2 quarters, then decide","Review with client - switch or exit"))))</f>
        <v/>
      </c>
      <c r="T231" s="27" t="n"/>
      <c r="U231" s="7">
        <f>IF($R231&lt;&gt;"Best Fund","",COUNTIFS($R$6:$R$505,"Best Fund",$L$6:$L$505,"&gt;"&amp;$L231)+COUNTIFS($R$6:$R231,"Best Fund",$L$6:$L231,$L231))</f>
        <v/>
      </c>
      <c r="V231" s="7">
        <f>IF($R231&lt;&gt;"Need to Improve","",COUNTIFS($R$6:$R$505,"Need to Improve",$L$6:$L$505,"&lt;"&amp;$L231)+COUNTIFS($R$6:$R231,"Need to Improve",$L$6:$L231,$L231))</f>
        <v/>
      </c>
      <c r="W231" s="7">
        <f>IF($R231&lt;&gt;"Not Performing","",COUNTIFS($R$6:$R$505,"Not Performing",$L$6:$L$505,"&lt;"&amp;$L231)+COUNTIFS($R$6:$R231,"Not Performing",$L$6:$L231,$L231))</f>
        <v/>
      </c>
    </row>
    <row r="232" ht="15" customHeight="1">
      <c r="A232" s="27" t="n"/>
      <c r="B232" s="27" t="n"/>
      <c r="C232" s="27" t="n"/>
      <c r="D232" s="28">
        <f>IF($C232="","",IFERROR(TRIM(LEFT($C232,FIND("-",$C232)-1)),""))</f>
        <v/>
      </c>
      <c r="E232" s="27" t="n"/>
      <c r="F232" s="29" t="n"/>
      <c r="G232" s="30" t="n"/>
      <c r="H232" s="30" t="n"/>
      <c r="I232" s="31">
        <f>IF($B232="","",$H232-$G232)</f>
        <v/>
      </c>
      <c r="J232" s="32">
        <f>IF(OR($B232="",$G232=0,$G232=""),"",$I232/$G232)</f>
        <v/>
      </c>
      <c r="K232" s="33" t="n"/>
      <c r="L232" s="33" t="n"/>
      <c r="M232" s="33" t="n"/>
      <c r="N232" s="33" t="n"/>
      <c r="O232" s="33" t="n"/>
      <c r="P232" s="32">
        <f>IF(OR($L232="",$N232=""),"",$L232-$N232)</f>
        <v/>
      </c>
      <c r="Q232" s="28">
        <f>IF($B232="","",IF(N($H232)&gt;0,"Live","Exited"))</f>
        <v/>
      </c>
      <c r="R232" s="28">
        <f>IF($B232="","",IF($L232="","Data Pending",IF($L232&gt;=Instructions!$D$19,"Best Fund",IF($L232&gt;=Instructions!$D$20,"Need to Improve","Not Performing"))))</f>
        <v/>
      </c>
      <c r="S232" s="7">
        <f>IF($R232="","",IF($R232="Data Pending","Enter the 3Y return",IF($R232="Best Fund","Hold / consider top-up",IF($R232="Need to Improve","Watch 2 quarters, then decide","Review with client - switch or exit"))))</f>
        <v/>
      </c>
      <c r="T232" s="27" t="n"/>
      <c r="U232" s="7">
        <f>IF($R232&lt;&gt;"Best Fund","",COUNTIFS($R$6:$R$505,"Best Fund",$L$6:$L$505,"&gt;"&amp;$L232)+COUNTIFS($R$6:$R232,"Best Fund",$L$6:$L232,$L232))</f>
        <v/>
      </c>
      <c r="V232" s="7">
        <f>IF($R232&lt;&gt;"Need to Improve","",COUNTIFS($R$6:$R$505,"Need to Improve",$L$6:$L$505,"&lt;"&amp;$L232)+COUNTIFS($R$6:$R232,"Need to Improve",$L$6:$L232,$L232))</f>
        <v/>
      </c>
      <c r="W232" s="7">
        <f>IF($R232&lt;&gt;"Not Performing","",COUNTIFS($R$6:$R$505,"Not Performing",$L$6:$L$505,"&lt;"&amp;$L232)+COUNTIFS($R$6:$R232,"Not Performing",$L$6:$L232,$L232))</f>
        <v/>
      </c>
    </row>
    <row r="233" ht="15" customHeight="1">
      <c r="A233" s="27" t="n"/>
      <c r="B233" s="27" t="n"/>
      <c r="C233" s="27" t="n"/>
      <c r="D233" s="28">
        <f>IF($C233="","",IFERROR(TRIM(LEFT($C233,FIND("-",$C233)-1)),""))</f>
        <v/>
      </c>
      <c r="E233" s="27" t="n"/>
      <c r="F233" s="29" t="n"/>
      <c r="G233" s="30" t="n"/>
      <c r="H233" s="30" t="n"/>
      <c r="I233" s="31">
        <f>IF($B233="","",$H233-$G233)</f>
        <v/>
      </c>
      <c r="J233" s="32">
        <f>IF(OR($B233="",$G233=0,$G233=""),"",$I233/$G233)</f>
        <v/>
      </c>
      <c r="K233" s="33" t="n"/>
      <c r="L233" s="33" t="n"/>
      <c r="M233" s="33" t="n"/>
      <c r="N233" s="33" t="n"/>
      <c r="O233" s="33" t="n"/>
      <c r="P233" s="32">
        <f>IF(OR($L233="",$N233=""),"",$L233-$N233)</f>
        <v/>
      </c>
      <c r="Q233" s="28">
        <f>IF($B233="","",IF(N($H233)&gt;0,"Live","Exited"))</f>
        <v/>
      </c>
      <c r="R233" s="28">
        <f>IF($B233="","",IF($L233="","Data Pending",IF($L233&gt;=Instructions!$D$19,"Best Fund",IF($L233&gt;=Instructions!$D$20,"Need to Improve","Not Performing"))))</f>
        <v/>
      </c>
      <c r="S233" s="7">
        <f>IF($R233="","",IF($R233="Data Pending","Enter the 3Y return",IF($R233="Best Fund","Hold / consider top-up",IF($R233="Need to Improve","Watch 2 quarters, then decide","Review with client - switch or exit"))))</f>
        <v/>
      </c>
      <c r="T233" s="27" t="n"/>
      <c r="U233" s="7">
        <f>IF($R233&lt;&gt;"Best Fund","",COUNTIFS($R$6:$R$505,"Best Fund",$L$6:$L$505,"&gt;"&amp;$L233)+COUNTIFS($R$6:$R233,"Best Fund",$L$6:$L233,$L233))</f>
        <v/>
      </c>
      <c r="V233" s="7">
        <f>IF($R233&lt;&gt;"Need to Improve","",COUNTIFS($R$6:$R$505,"Need to Improve",$L$6:$L$505,"&lt;"&amp;$L233)+COUNTIFS($R$6:$R233,"Need to Improve",$L$6:$L233,$L233))</f>
        <v/>
      </c>
      <c r="W233" s="7">
        <f>IF($R233&lt;&gt;"Not Performing","",COUNTIFS($R$6:$R$505,"Not Performing",$L$6:$L$505,"&lt;"&amp;$L233)+COUNTIFS($R$6:$R233,"Not Performing",$L$6:$L233,$L233))</f>
        <v/>
      </c>
    </row>
    <row r="234" ht="15" customHeight="1">
      <c r="A234" s="27" t="n"/>
      <c r="B234" s="27" t="n"/>
      <c r="C234" s="27" t="n"/>
      <c r="D234" s="28">
        <f>IF($C234="","",IFERROR(TRIM(LEFT($C234,FIND("-",$C234)-1)),""))</f>
        <v/>
      </c>
      <c r="E234" s="27" t="n"/>
      <c r="F234" s="29" t="n"/>
      <c r="G234" s="30" t="n"/>
      <c r="H234" s="30" t="n"/>
      <c r="I234" s="31">
        <f>IF($B234="","",$H234-$G234)</f>
        <v/>
      </c>
      <c r="J234" s="32">
        <f>IF(OR($B234="",$G234=0,$G234=""),"",$I234/$G234)</f>
        <v/>
      </c>
      <c r="K234" s="33" t="n"/>
      <c r="L234" s="33" t="n"/>
      <c r="M234" s="33" t="n"/>
      <c r="N234" s="33" t="n"/>
      <c r="O234" s="33" t="n"/>
      <c r="P234" s="32">
        <f>IF(OR($L234="",$N234=""),"",$L234-$N234)</f>
        <v/>
      </c>
      <c r="Q234" s="28">
        <f>IF($B234="","",IF(N($H234)&gt;0,"Live","Exited"))</f>
        <v/>
      </c>
      <c r="R234" s="28">
        <f>IF($B234="","",IF($L234="","Data Pending",IF($L234&gt;=Instructions!$D$19,"Best Fund",IF($L234&gt;=Instructions!$D$20,"Need to Improve","Not Performing"))))</f>
        <v/>
      </c>
      <c r="S234" s="7">
        <f>IF($R234="","",IF($R234="Data Pending","Enter the 3Y return",IF($R234="Best Fund","Hold / consider top-up",IF($R234="Need to Improve","Watch 2 quarters, then decide","Review with client - switch or exit"))))</f>
        <v/>
      </c>
      <c r="T234" s="27" t="n"/>
      <c r="U234" s="7">
        <f>IF($R234&lt;&gt;"Best Fund","",COUNTIFS($R$6:$R$505,"Best Fund",$L$6:$L$505,"&gt;"&amp;$L234)+COUNTIFS($R$6:$R234,"Best Fund",$L$6:$L234,$L234))</f>
        <v/>
      </c>
      <c r="V234" s="7">
        <f>IF($R234&lt;&gt;"Need to Improve","",COUNTIFS($R$6:$R$505,"Need to Improve",$L$6:$L$505,"&lt;"&amp;$L234)+COUNTIFS($R$6:$R234,"Need to Improve",$L$6:$L234,$L234))</f>
        <v/>
      </c>
      <c r="W234" s="7">
        <f>IF($R234&lt;&gt;"Not Performing","",COUNTIFS($R$6:$R$505,"Not Performing",$L$6:$L$505,"&lt;"&amp;$L234)+COUNTIFS($R$6:$R234,"Not Performing",$L$6:$L234,$L234))</f>
        <v/>
      </c>
    </row>
    <row r="235" ht="15" customHeight="1">
      <c r="A235" s="27" t="n"/>
      <c r="B235" s="27" t="n"/>
      <c r="C235" s="27" t="n"/>
      <c r="D235" s="28">
        <f>IF($C235="","",IFERROR(TRIM(LEFT($C235,FIND("-",$C235)-1)),""))</f>
        <v/>
      </c>
      <c r="E235" s="27" t="n"/>
      <c r="F235" s="29" t="n"/>
      <c r="G235" s="30" t="n"/>
      <c r="H235" s="30" t="n"/>
      <c r="I235" s="31">
        <f>IF($B235="","",$H235-$G235)</f>
        <v/>
      </c>
      <c r="J235" s="32">
        <f>IF(OR($B235="",$G235=0,$G235=""),"",$I235/$G235)</f>
        <v/>
      </c>
      <c r="K235" s="33" t="n"/>
      <c r="L235" s="33" t="n"/>
      <c r="M235" s="33" t="n"/>
      <c r="N235" s="33" t="n"/>
      <c r="O235" s="33" t="n"/>
      <c r="P235" s="32">
        <f>IF(OR($L235="",$N235=""),"",$L235-$N235)</f>
        <v/>
      </c>
      <c r="Q235" s="28">
        <f>IF($B235="","",IF(N($H235)&gt;0,"Live","Exited"))</f>
        <v/>
      </c>
      <c r="R235" s="28">
        <f>IF($B235="","",IF($L235="","Data Pending",IF($L235&gt;=Instructions!$D$19,"Best Fund",IF($L235&gt;=Instructions!$D$20,"Need to Improve","Not Performing"))))</f>
        <v/>
      </c>
      <c r="S235" s="7">
        <f>IF($R235="","",IF($R235="Data Pending","Enter the 3Y return",IF($R235="Best Fund","Hold / consider top-up",IF($R235="Need to Improve","Watch 2 quarters, then decide","Review with client - switch or exit"))))</f>
        <v/>
      </c>
      <c r="T235" s="27" t="n"/>
      <c r="U235" s="7">
        <f>IF($R235&lt;&gt;"Best Fund","",COUNTIFS($R$6:$R$505,"Best Fund",$L$6:$L$505,"&gt;"&amp;$L235)+COUNTIFS($R$6:$R235,"Best Fund",$L$6:$L235,$L235))</f>
        <v/>
      </c>
      <c r="V235" s="7">
        <f>IF($R235&lt;&gt;"Need to Improve","",COUNTIFS($R$6:$R$505,"Need to Improve",$L$6:$L$505,"&lt;"&amp;$L235)+COUNTIFS($R$6:$R235,"Need to Improve",$L$6:$L235,$L235))</f>
        <v/>
      </c>
      <c r="W235" s="7">
        <f>IF($R235&lt;&gt;"Not Performing","",COUNTIFS($R$6:$R$505,"Not Performing",$L$6:$L$505,"&lt;"&amp;$L235)+COUNTIFS($R$6:$R235,"Not Performing",$L$6:$L235,$L235))</f>
        <v/>
      </c>
    </row>
    <row r="236" ht="15" customHeight="1">
      <c r="A236" s="27" t="n"/>
      <c r="B236" s="27" t="n"/>
      <c r="C236" s="27" t="n"/>
      <c r="D236" s="28">
        <f>IF($C236="","",IFERROR(TRIM(LEFT($C236,FIND("-",$C236)-1)),""))</f>
        <v/>
      </c>
      <c r="E236" s="27" t="n"/>
      <c r="F236" s="29" t="n"/>
      <c r="G236" s="30" t="n"/>
      <c r="H236" s="30" t="n"/>
      <c r="I236" s="31">
        <f>IF($B236="","",$H236-$G236)</f>
        <v/>
      </c>
      <c r="J236" s="32">
        <f>IF(OR($B236="",$G236=0,$G236=""),"",$I236/$G236)</f>
        <v/>
      </c>
      <c r="K236" s="33" t="n"/>
      <c r="L236" s="33" t="n"/>
      <c r="M236" s="33" t="n"/>
      <c r="N236" s="33" t="n"/>
      <c r="O236" s="33" t="n"/>
      <c r="P236" s="32">
        <f>IF(OR($L236="",$N236=""),"",$L236-$N236)</f>
        <v/>
      </c>
      <c r="Q236" s="28">
        <f>IF($B236="","",IF(N($H236)&gt;0,"Live","Exited"))</f>
        <v/>
      </c>
      <c r="R236" s="28">
        <f>IF($B236="","",IF($L236="","Data Pending",IF($L236&gt;=Instructions!$D$19,"Best Fund",IF($L236&gt;=Instructions!$D$20,"Need to Improve","Not Performing"))))</f>
        <v/>
      </c>
      <c r="S236" s="7">
        <f>IF($R236="","",IF($R236="Data Pending","Enter the 3Y return",IF($R236="Best Fund","Hold / consider top-up",IF($R236="Need to Improve","Watch 2 quarters, then decide","Review with client - switch or exit"))))</f>
        <v/>
      </c>
      <c r="T236" s="27" t="n"/>
      <c r="U236" s="7">
        <f>IF($R236&lt;&gt;"Best Fund","",COUNTIFS($R$6:$R$505,"Best Fund",$L$6:$L$505,"&gt;"&amp;$L236)+COUNTIFS($R$6:$R236,"Best Fund",$L$6:$L236,$L236))</f>
        <v/>
      </c>
      <c r="V236" s="7">
        <f>IF($R236&lt;&gt;"Need to Improve","",COUNTIFS($R$6:$R$505,"Need to Improve",$L$6:$L$505,"&lt;"&amp;$L236)+COUNTIFS($R$6:$R236,"Need to Improve",$L$6:$L236,$L236))</f>
        <v/>
      </c>
      <c r="W236" s="7">
        <f>IF($R236&lt;&gt;"Not Performing","",COUNTIFS($R$6:$R$505,"Not Performing",$L$6:$L$505,"&lt;"&amp;$L236)+COUNTIFS($R$6:$R236,"Not Performing",$L$6:$L236,$L236))</f>
        <v/>
      </c>
    </row>
    <row r="237" ht="15" customHeight="1">
      <c r="A237" s="27" t="n"/>
      <c r="B237" s="27" t="n"/>
      <c r="C237" s="27" t="n"/>
      <c r="D237" s="28">
        <f>IF($C237="","",IFERROR(TRIM(LEFT($C237,FIND("-",$C237)-1)),""))</f>
        <v/>
      </c>
      <c r="E237" s="27" t="n"/>
      <c r="F237" s="29" t="n"/>
      <c r="G237" s="30" t="n"/>
      <c r="H237" s="30" t="n"/>
      <c r="I237" s="31">
        <f>IF($B237="","",$H237-$G237)</f>
        <v/>
      </c>
      <c r="J237" s="32">
        <f>IF(OR($B237="",$G237=0,$G237=""),"",$I237/$G237)</f>
        <v/>
      </c>
      <c r="K237" s="33" t="n"/>
      <c r="L237" s="33" t="n"/>
      <c r="M237" s="33" t="n"/>
      <c r="N237" s="33" t="n"/>
      <c r="O237" s="33" t="n"/>
      <c r="P237" s="32">
        <f>IF(OR($L237="",$N237=""),"",$L237-$N237)</f>
        <v/>
      </c>
      <c r="Q237" s="28">
        <f>IF($B237="","",IF(N($H237)&gt;0,"Live","Exited"))</f>
        <v/>
      </c>
      <c r="R237" s="28">
        <f>IF($B237="","",IF($L237="","Data Pending",IF($L237&gt;=Instructions!$D$19,"Best Fund",IF($L237&gt;=Instructions!$D$20,"Need to Improve","Not Performing"))))</f>
        <v/>
      </c>
      <c r="S237" s="7">
        <f>IF($R237="","",IF($R237="Data Pending","Enter the 3Y return",IF($R237="Best Fund","Hold / consider top-up",IF($R237="Need to Improve","Watch 2 quarters, then decide","Review with client - switch or exit"))))</f>
        <v/>
      </c>
      <c r="T237" s="27" t="n"/>
      <c r="U237" s="7">
        <f>IF($R237&lt;&gt;"Best Fund","",COUNTIFS($R$6:$R$505,"Best Fund",$L$6:$L$505,"&gt;"&amp;$L237)+COUNTIFS($R$6:$R237,"Best Fund",$L$6:$L237,$L237))</f>
        <v/>
      </c>
      <c r="V237" s="7">
        <f>IF($R237&lt;&gt;"Need to Improve","",COUNTIFS($R$6:$R$505,"Need to Improve",$L$6:$L$505,"&lt;"&amp;$L237)+COUNTIFS($R$6:$R237,"Need to Improve",$L$6:$L237,$L237))</f>
        <v/>
      </c>
      <c r="W237" s="7">
        <f>IF($R237&lt;&gt;"Not Performing","",COUNTIFS($R$6:$R$505,"Not Performing",$L$6:$L$505,"&lt;"&amp;$L237)+COUNTIFS($R$6:$R237,"Not Performing",$L$6:$L237,$L237))</f>
        <v/>
      </c>
    </row>
    <row r="238" ht="15" customHeight="1">
      <c r="A238" s="27" t="n"/>
      <c r="B238" s="27" t="n"/>
      <c r="C238" s="27" t="n"/>
      <c r="D238" s="28">
        <f>IF($C238="","",IFERROR(TRIM(LEFT($C238,FIND("-",$C238)-1)),""))</f>
        <v/>
      </c>
      <c r="E238" s="27" t="n"/>
      <c r="F238" s="29" t="n"/>
      <c r="G238" s="30" t="n"/>
      <c r="H238" s="30" t="n"/>
      <c r="I238" s="31">
        <f>IF($B238="","",$H238-$G238)</f>
        <v/>
      </c>
      <c r="J238" s="32">
        <f>IF(OR($B238="",$G238=0,$G238=""),"",$I238/$G238)</f>
        <v/>
      </c>
      <c r="K238" s="33" t="n"/>
      <c r="L238" s="33" t="n"/>
      <c r="M238" s="33" t="n"/>
      <c r="N238" s="33" t="n"/>
      <c r="O238" s="33" t="n"/>
      <c r="P238" s="32">
        <f>IF(OR($L238="",$N238=""),"",$L238-$N238)</f>
        <v/>
      </c>
      <c r="Q238" s="28">
        <f>IF($B238="","",IF(N($H238)&gt;0,"Live","Exited"))</f>
        <v/>
      </c>
      <c r="R238" s="28">
        <f>IF($B238="","",IF($L238="","Data Pending",IF($L238&gt;=Instructions!$D$19,"Best Fund",IF($L238&gt;=Instructions!$D$20,"Need to Improve","Not Performing"))))</f>
        <v/>
      </c>
      <c r="S238" s="7">
        <f>IF($R238="","",IF($R238="Data Pending","Enter the 3Y return",IF($R238="Best Fund","Hold / consider top-up",IF($R238="Need to Improve","Watch 2 quarters, then decide","Review with client - switch or exit"))))</f>
        <v/>
      </c>
      <c r="T238" s="27" t="n"/>
      <c r="U238" s="7">
        <f>IF($R238&lt;&gt;"Best Fund","",COUNTIFS($R$6:$R$505,"Best Fund",$L$6:$L$505,"&gt;"&amp;$L238)+COUNTIFS($R$6:$R238,"Best Fund",$L$6:$L238,$L238))</f>
        <v/>
      </c>
      <c r="V238" s="7">
        <f>IF($R238&lt;&gt;"Need to Improve","",COUNTIFS($R$6:$R$505,"Need to Improve",$L$6:$L$505,"&lt;"&amp;$L238)+COUNTIFS($R$6:$R238,"Need to Improve",$L$6:$L238,$L238))</f>
        <v/>
      </c>
      <c r="W238" s="7">
        <f>IF($R238&lt;&gt;"Not Performing","",COUNTIFS($R$6:$R$505,"Not Performing",$L$6:$L$505,"&lt;"&amp;$L238)+COUNTIFS($R$6:$R238,"Not Performing",$L$6:$L238,$L238))</f>
        <v/>
      </c>
    </row>
    <row r="239" ht="15" customHeight="1">
      <c r="A239" s="27" t="n"/>
      <c r="B239" s="27" t="n"/>
      <c r="C239" s="27" t="n"/>
      <c r="D239" s="28">
        <f>IF($C239="","",IFERROR(TRIM(LEFT($C239,FIND("-",$C239)-1)),""))</f>
        <v/>
      </c>
      <c r="E239" s="27" t="n"/>
      <c r="F239" s="29" t="n"/>
      <c r="G239" s="30" t="n"/>
      <c r="H239" s="30" t="n"/>
      <c r="I239" s="31">
        <f>IF($B239="","",$H239-$G239)</f>
        <v/>
      </c>
      <c r="J239" s="32">
        <f>IF(OR($B239="",$G239=0,$G239=""),"",$I239/$G239)</f>
        <v/>
      </c>
      <c r="K239" s="33" t="n"/>
      <c r="L239" s="33" t="n"/>
      <c r="M239" s="33" t="n"/>
      <c r="N239" s="33" t="n"/>
      <c r="O239" s="33" t="n"/>
      <c r="P239" s="32">
        <f>IF(OR($L239="",$N239=""),"",$L239-$N239)</f>
        <v/>
      </c>
      <c r="Q239" s="28">
        <f>IF($B239="","",IF(N($H239)&gt;0,"Live","Exited"))</f>
        <v/>
      </c>
      <c r="R239" s="28">
        <f>IF($B239="","",IF($L239="","Data Pending",IF($L239&gt;=Instructions!$D$19,"Best Fund",IF($L239&gt;=Instructions!$D$20,"Need to Improve","Not Performing"))))</f>
        <v/>
      </c>
      <c r="S239" s="7">
        <f>IF($R239="","",IF($R239="Data Pending","Enter the 3Y return",IF($R239="Best Fund","Hold / consider top-up",IF($R239="Need to Improve","Watch 2 quarters, then decide","Review with client - switch or exit"))))</f>
        <v/>
      </c>
      <c r="T239" s="27" t="n"/>
      <c r="U239" s="7">
        <f>IF($R239&lt;&gt;"Best Fund","",COUNTIFS($R$6:$R$505,"Best Fund",$L$6:$L$505,"&gt;"&amp;$L239)+COUNTIFS($R$6:$R239,"Best Fund",$L$6:$L239,$L239))</f>
        <v/>
      </c>
      <c r="V239" s="7">
        <f>IF($R239&lt;&gt;"Need to Improve","",COUNTIFS($R$6:$R$505,"Need to Improve",$L$6:$L$505,"&lt;"&amp;$L239)+COUNTIFS($R$6:$R239,"Need to Improve",$L$6:$L239,$L239))</f>
        <v/>
      </c>
      <c r="W239" s="7">
        <f>IF($R239&lt;&gt;"Not Performing","",COUNTIFS($R$6:$R$505,"Not Performing",$L$6:$L$505,"&lt;"&amp;$L239)+COUNTIFS($R$6:$R239,"Not Performing",$L$6:$L239,$L239))</f>
        <v/>
      </c>
    </row>
    <row r="240" ht="15" customHeight="1">
      <c r="A240" s="27" t="n"/>
      <c r="B240" s="27" t="n"/>
      <c r="C240" s="27" t="n"/>
      <c r="D240" s="28">
        <f>IF($C240="","",IFERROR(TRIM(LEFT($C240,FIND("-",$C240)-1)),""))</f>
        <v/>
      </c>
      <c r="E240" s="27" t="n"/>
      <c r="F240" s="29" t="n"/>
      <c r="G240" s="30" t="n"/>
      <c r="H240" s="30" t="n"/>
      <c r="I240" s="31">
        <f>IF($B240="","",$H240-$G240)</f>
        <v/>
      </c>
      <c r="J240" s="32">
        <f>IF(OR($B240="",$G240=0,$G240=""),"",$I240/$G240)</f>
        <v/>
      </c>
      <c r="K240" s="33" t="n"/>
      <c r="L240" s="33" t="n"/>
      <c r="M240" s="33" t="n"/>
      <c r="N240" s="33" t="n"/>
      <c r="O240" s="33" t="n"/>
      <c r="P240" s="32">
        <f>IF(OR($L240="",$N240=""),"",$L240-$N240)</f>
        <v/>
      </c>
      <c r="Q240" s="28">
        <f>IF($B240="","",IF(N($H240)&gt;0,"Live","Exited"))</f>
        <v/>
      </c>
      <c r="R240" s="28">
        <f>IF($B240="","",IF($L240="","Data Pending",IF($L240&gt;=Instructions!$D$19,"Best Fund",IF($L240&gt;=Instructions!$D$20,"Need to Improve","Not Performing"))))</f>
        <v/>
      </c>
      <c r="S240" s="7">
        <f>IF($R240="","",IF($R240="Data Pending","Enter the 3Y return",IF($R240="Best Fund","Hold / consider top-up",IF($R240="Need to Improve","Watch 2 quarters, then decide","Review with client - switch or exit"))))</f>
        <v/>
      </c>
      <c r="T240" s="27" t="n"/>
      <c r="U240" s="7">
        <f>IF($R240&lt;&gt;"Best Fund","",COUNTIFS($R$6:$R$505,"Best Fund",$L$6:$L$505,"&gt;"&amp;$L240)+COUNTIFS($R$6:$R240,"Best Fund",$L$6:$L240,$L240))</f>
        <v/>
      </c>
      <c r="V240" s="7">
        <f>IF($R240&lt;&gt;"Need to Improve","",COUNTIFS($R$6:$R$505,"Need to Improve",$L$6:$L$505,"&lt;"&amp;$L240)+COUNTIFS($R$6:$R240,"Need to Improve",$L$6:$L240,$L240))</f>
        <v/>
      </c>
      <c r="W240" s="7">
        <f>IF($R240&lt;&gt;"Not Performing","",COUNTIFS($R$6:$R$505,"Not Performing",$L$6:$L$505,"&lt;"&amp;$L240)+COUNTIFS($R$6:$R240,"Not Performing",$L$6:$L240,$L240))</f>
        <v/>
      </c>
    </row>
    <row r="241" ht="15" customHeight="1">
      <c r="A241" s="27" t="n"/>
      <c r="B241" s="27" t="n"/>
      <c r="C241" s="27" t="n"/>
      <c r="D241" s="28">
        <f>IF($C241="","",IFERROR(TRIM(LEFT($C241,FIND("-",$C241)-1)),""))</f>
        <v/>
      </c>
      <c r="E241" s="27" t="n"/>
      <c r="F241" s="29" t="n"/>
      <c r="G241" s="30" t="n"/>
      <c r="H241" s="30" t="n"/>
      <c r="I241" s="31">
        <f>IF($B241="","",$H241-$G241)</f>
        <v/>
      </c>
      <c r="J241" s="32">
        <f>IF(OR($B241="",$G241=0,$G241=""),"",$I241/$G241)</f>
        <v/>
      </c>
      <c r="K241" s="33" t="n"/>
      <c r="L241" s="33" t="n"/>
      <c r="M241" s="33" t="n"/>
      <c r="N241" s="33" t="n"/>
      <c r="O241" s="33" t="n"/>
      <c r="P241" s="32">
        <f>IF(OR($L241="",$N241=""),"",$L241-$N241)</f>
        <v/>
      </c>
      <c r="Q241" s="28">
        <f>IF($B241="","",IF(N($H241)&gt;0,"Live","Exited"))</f>
        <v/>
      </c>
      <c r="R241" s="28">
        <f>IF($B241="","",IF($L241="","Data Pending",IF($L241&gt;=Instructions!$D$19,"Best Fund",IF($L241&gt;=Instructions!$D$20,"Need to Improve","Not Performing"))))</f>
        <v/>
      </c>
      <c r="S241" s="7">
        <f>IF($R241="","",IF($R241="Data Pending","Enter the 3Y return",IF($R241="Best Fund","Hold / consider top-up",IF($R241="Need to Improve","Watch 2 quarters, then decide","Review with client - switch or exit"))))</f>
        <v/>
      </c>
      <c r="T241" s="27" t="n"/>
      <c r="U241" s="7">
        <f>IF($R241&lt;&gt;"Best Fund","",COUNTIFS($R$6:$R$505,"Best Fund",$L$6:$L$505,"&gt;"&amp;$L241)+COUNTIFS($R$6:$R241,"Best Fund",$L$6:$L241,$L241))</f>
        <v/>
      </c>
      <c r="V241" s="7">
        <f>IF($R241&lt;&gt;"Need to Improve","",COUNTIFS($R$6:$R$505,"Need to Improve",$L$6:$L$505,"&lt;"&amp;$L241)+COUNTIFS($R$6:$R241,"Need to Improve",$L$6:$L241,$L241))</f>
        <v/>
      </c>
      <c r="W241" s="7">
        <f>IF($R241&lt;&gt;"Not Performing","",COUNTIFS($R$6:$R$505,"Not Performing",$L$6:$L$505,"&lt;"&amp;$L241)+COUNTIFS($R$6:$R241,"Not Performing",$L$6:$L241,$L241))</f>
        <v/>
      </c>
    </row>
    <row r="242" ht="15" customHeight="1">
      <c r="A242" s="27" t="n"/>
      <c r="B242" s="27" t="n"/>
      <c r="C242" s="27" t="n"/>
      <c r="D242" s="28">
        <f>IF($C242="","",IFERROR(TRIM(LEFT($C242,FIND("-",$C242)-1)),""))</f>
        <v/>
      </c>
      <c r="E242" s="27" t="n"/>
      <c r="F242" s="29" t="n"/>
      <c r="G242" s="30" t="n"/>
      <c r="H242" s="30" t="n"/>
      <c r="I242" s="31">
        <f>IF($B242="","",$H242-$G242)</f>
        <v/>
      </c>
      <c r="J242" s="32">
        <f>IF(OR($B242="",$G242=0,$G242=""),"",$I242/$G242)</f>
        <v/>
      </c>
      <c r="K242" s="33" t="n"/>
      <c r="L242" s="33" t="n"/>
      <c r="M242" s="33" t="n"/>
      <c r="N242" s="33" t="n"/>
      <c r="O242" s="33" t="n"/>
      <c r="P242" s="32">
        <f>IF(OR($L242="",$N242=""),"",$L242-$N242)</f>
        <v/>
      </c>
      <c r="Q242" s="28">
        <f>IF($B242="","",IF(N($H242)&gt;0,"Live","Exited"))</f>
        <v/>
      </c>
      <c r="R242" s="28">
        <f>IF($B242="","",IF($L242="","Data Pending",IF($L242&gt;=Instructions!$D$19,"Best Fund",IF($L242&gt;=Instructions!$D$20,"Need to Improve","Not Performing"))))</f>
        <v/>
      </c>
      <c r="S242" s="7">
        <f>IF($R242="","",IF($R242="Data Pending","Enter the 3Y return",IF($R242="Best Fund","Hold / consider top-up",IF($R242="Need to Improve","Watch 2 quarters, then decide","Review with client - switch or exit"))))</f>
        <v/>
      </c>
      <c r="T242" s="27" t="n"/>
      <c r="U242" s="7">
        <f>IF($R242&lt;&gt;"Best Fund","",COUNTIFS($R$6:$R$505,"Best Fund",$L$6:$L$505,"&gt;"&amp;$L242)+COUNTIFS($R$6:$R242,"Best Fund",$L$6:$L242,$L242))</f>
        <v/>
      </c>
      <c r="V242" s="7">
        <f>IF($R242&lt;&gt;"Need to Improve","",COUNTIFS($R$6:$R$505,"Need to Improve",$L$6:$L$505,"&lt;"&amp;$L242)+COUNTIFS($R$6:$R242,"Need to Improve",$L$6:$L242,$L242))</f>
        <v/>
      </c>
      <c r="W242" s="7">
        <f>IF($R242&lt;&gt;"Not Performing","",COUNTIFS($R$6:$R$505,"Not Performing",$L$6:$L$505,"&lt;"&amp;$L242)+COUNTIFS($R$6:$R242,"Not Performing",$L$6:$L242,$L242))</f>
        <v/>
      </c>
    </row>
    <row r="243" ht="15" customHeight="1">
      <c r="A243" s="27" t="n"/>
      <c r="B243" s="27" t="n"/>
      <c r="C243" s="27" t="n"/>
      <c r="D243" s="28">
        <f>IF($C243="","",IFERROR(TRIM(LEFT($C243,FIND("-",$C243)-1)),""))</f>
        <v/>
      </c>
      <c r="E243" s="27" t="n"/>
      <c r="F243" s="29" t="n"/>
      <c r="G243" s="30" t="n"/>
      <c r="H243" s="30" t="n"/>
      <c r="I243" s="31">
        <f>IF($B243="","",$H243-$G243)</f>
        <v/>
      </c>
      <c r="J243" s="32">
        <f>IF(OR($B243="",$G243=0,$G243=""),"",$I243/$G243)</f>
        <v/>
      </c>
      <c r="K243" s="33" t="n"/>
      <c r="L243" s="33" t="n"/>
      <c r="M243" s="33" t="n"/>
      <c r="N243" s="33" t="n"/>
      <c r="O243" s="33" t="n"/>
      <c r="P243" s="32">
        <f>IF(OR($L243="",$N243=""),"",$L243-$N243)</f>
        <v/>
      </c>
      <c r="Q243" s="28">
        <f>IF($B243="","",IF(N($H243)&gt;0,"Live","Exited"))</f>
        <v/>
      </c>
      <c r="R243" s="28">
        <f>IF($B243="","",IF($L243="","Data Pending",IF($L243&gt;=Instructions!$D$19,"Best Fund",IF($L243&gt;=Instructions!$D$20,"Need to Improve","Not Performing"))))</f>
        <v/>
      </c>
      <c r="S243" s="7">
        <f>IF($R243="","",IF($R243="Data Pending","Enter the 3Y return",IF($R243="Best Fund","Hold / consider top-up",IF($R243="Need to Improve","Watch 2 quarters, then decide","Review with client - switch or exit"))))</f>
        <v/>
      </c>
      <c r="T243" s="27" t="n"/>
      <c r="U243" s="7">
        <f>IF($R243&lt;&gt;"Best Fund","",COUNTIFS($R$6:$R$505,"Best Fund",$L$6:$L$505,"&gt;"&amp;$L243)+COUNTIFS($R$6:$R243,"Best Fund",$L$6:$L243,$L243))</f>
        <v/>
      </c>
      <c r="V243" s="7">
        <f>IF($R243&lt;&gt;"Need to Improve","",COUNTIFS($R$6:$R$505,"Need to Improve",$L$6:$L$505,"&lt;"&amp;$L243)+COUNTIFS($R$6:$R243,"Need to Improve",$L$6:$L243,$L243))</f>
        <v/>
      </c>
      <c r="W243" s="7">
        <f>IF($R243&lt;&gt;"Not Performing","",COUNTIFS($R$6:$R$505,"Not Performing",$L$6:$L$505,"&lt;"&amp;$L243)+COUNTIFS($R$6:$R243,"Not Performing",$L$6:$L243,$L243))</f>
        <v/>
      </c>
    </row>
    <row r="244" ht="15" customHeight="1">
      <c r="A244" s="27" t="n"/>
      <c r="B244" s="27" t="n"/>
      <c r="C244" s="27" t="n"/>
      <c r="D244" s="28">
        <f>IF($C244="","",IFERROR(TRIM(LEFT($C244,FIND("-",$C244)-1)),""))</f>
        <v/>
      </c>
      <c r="E244" s="27" t="n"/>
      <c r="F244" s="29" t="n"/>
      <c r="G244" s="30" t="n"/>
      <c r="H244" s="30" t="n"/>
      <c r="I244" s="31">
        <f>IF($B244="","",$H244-$G244)</f>
        <v/>
      </c>
      <c r="J244" s="32">
        <f>IF(OR($B244="",$G244=0,$G244=""),"",$I244/$G244)</f>
        <v/>
      </c>
      <c r="K244" s="33" t="n"/>
      <c r="L244" s="33" t="n"/>
      <c r="M244" s="33" t="n"/>
      <c r="N244" s="33" t="n"/>
      <c r="O244" s="33" t="n"/>
      <c r="P244" s="32">
        <f>IF(OR($L244="",$N244=""),"",$L244-$N244)</f>
        <v/>
      </c>
      <c r="Q244" s="28">
        <f>IF($B244="","",IF(N($H244)&gt;0,"Live","Exited"))</f>
        <v/>
      </c>
      <c r="R244" s="28">
        <f>IF($B244="","",IF($L244="","Data Pending",IF($L244&gt;=Instructions!$D$19,"Best Fund",IF($L244&gt;=Instructions!$D$20,"Need to Improve","Not Performing"))))</f>
        <v/>
      </c>
      <c r="S244" s="7">
        <f>IF($R244="","",IF($R244="Data Pending","Enter the 3Y return",IF($R244="Best Fund","Hold / consider top-up",IF($R244="Need to Improve","Watch 2 quarters, then decide","Review with client - switch or exit"))))</f>
        <v/>
      </c>
      <c r="T244" s="27" t="n"/>
      <c r="U244" s="7">
        <f>IF($R244&lt;&gt;"Best Fund","",COUNTIFS($R$6:$R$505,"Best Fund",$L$6:$L$505,"&gt;"&amp;$L244)+COUNTIFS($R$6:$R244,"Best Fund",$L$6:$L244,$L244))</f>
        <v/>
      </c>
      <c r="V244" s="7">
        <f>IF($R244&lt;&gt;"Need to Improve","",COUNTIFS($R$6:$R$505,"Need to Improve",$L$6:$L$505,"&lt;"&amp;$L244)+COUNTIFS($R$6:$R244,"Need to Improve",$L$6:$L244,$L244))</f>
        <v/>
      </c>
      <c r="W244" s="7">
        <f>IF($R244&lt;&gt;"Not Performing","",COUNTIFS($R$6:$R$505,"Not Performing",$L$6:$L$505,"&lt;"&amp;$L244)+COUNTIFS($R$6:$R244,"Not Performing",$L$6:$L244,$L244))</f>
        <v/>
      </c>
    </row>
    <row r="245" ht="15" customHeight="1">
      <c r="A245" s="27" t="n"/>
      <c r="B245" s="27" t="n"/>
      <c r="C245" s="27" t="n"/>
      <c r="D245" s="28">
        <f>IF($C245="","",IFERROR(TRIM(LEFT($C245,FIND("-",$C245)-1)),""))</f>
        <v/>
      </c>
      <c r="E245" s="27" t="n"/>
      <c r="F245" s="29" t="n"/>
      <c r="G245" s="30" t="n"/>
      <c r="H245" s="30" t="n"/>
      <c r="I245" s="31">
        <f>IF($B245="","",$H245-$G245)</f>
        <v/>
      </c>
      <c r="J245" s="32">
        <f>IF(OR($B245="",$G245=0,$G245=""),"",$I245/$G245)</f>
        <v/>
      </c>
      <c r="K245" s="33" t="n"/>
      <c r="L245" s="33" t="n"/>
      <c r="M245" s="33" t="n"/>
      <c r="N245" s="33" t="n"/>
      <c r="O245" s="33" t="n"/>
      <c r="P245" s="32">
        <f>IF(OR($L245="",$N245=""),"",$L245-$N245)</f>
        <v/>
      </c>
      <c r="Q245" s="28">
        <f>IF($B245="","",IF(N($H245)&gt;0,"Live","Exited"))</f>
        <v/>
      </c>
      <c r="R245" s="28">
        <f>IF($B245="","",IF($L245="","Data Pending",IF($L245&gt;=Instructions!$D$19,"Best Fund",IF($L245&gt;=Instructions!$D$20,"Need to Improve","Not Performing"))))</f>
        <v/>
      </c>
      <c r="S245" s="7">
        <f>IF($R245="","",IF($R245="Data Pending","Enter the 3Y return",IF($R245="Best Fund","Hold / consider top-up",IF($R245="Need to Improve","Watch 2 quarters, then decide","Review with client - switch or exit"))))</f>
        <v/>
      </c>
      <c r="T245" s="27" t="n"/>
      <c r="U245" s="7">
        <f>IF($R245&lt;&gt;"Best Fund","",COUNTIFS($R$6:$R$505,"Best Fund",$L$6:$L$505,"&gt;"&amp;$L245)+COUNTIFS($R$6:$R245,"Best Fund",$L$6:$L245,$L245))</f>
        <v/>
      </c>
      <c r="V245" s="7">
        <f>IF($R245&lt;&gt;"Need to Improve","",COUNTIFS($R$6:$R$505,"Need to Improve",$L$6:$L$505,"&lt;"&amp;$L245)+COUNTIFS($R$6:$R245,"Need to Improve",$L$6:$L245,$L245))</f>
        <v/>
      </c>
      <c r="W245" s="7">
        <f>IF($R245&lt;&gt;"Not Performing","",COUNTIFS($R$6:$R$505,"Not Performing",$L$6:$L$505,"&lt;"&amp;$L245)+COUNTIFS($R$6:$R245,"Not Performing",$L$6:$L245,$L245))</f>
        <v/>
      </c>
    </row>
    <row r="246" ht="15" customHeight="1">
      <c r="A246" s="27" t="n"/>
      <c r="B246" s="27" t="n"/>
      <c r="C246" s="27" t="n"/>
      <c r="D246" s="28">
        <f>IF($C246="","",IFERROR(TRIM(LEFT($C246,FIND("-",$C246)-1)),""))</f>
        <v/>
      </c>
      <c r="E246" s="27" t="n"/>
      <c r="F246" s="29" t="n"/>
      <c r="G246" s="30" t="n"/>
      <c r="H246" s="30" t="n"/>
      <c r="I246" s="31">
        <f>IF($B246="","",$H246-$G246)</f>
        <v/>
      </c>
      <c r="J246" s="32">
        <f>IF(OR($B246="",$G246=0,$G246=""),"",$I246/$G246)</f>
        <v/>
      </c>
      <c r="K246" s="33" t="n"/>
      <c r="L246" s="33" t="n"/>
      <c r="M246" s="33" t="n"/>
      <c r="N246" s="33" t="n"/>
      <c r="O246" s="33" t="n"/>
      <c r="P246" s="32">
        <f>IF(OR($L246="",$N246=""),"",$L246-$N246)</f>
        <v/>
      </c>
      <c r="Q246" s="28">
        <f>IF($B246="","",IF(N($H246)&gt;0,"Live","Exited"))</f>
        <v/>
      </c>
      <c r="R246" s="28">
        <f>IF($B246="","",IF($L246="","Data Pending",IF($L246&gt;=Instructions!$D$19,"Best Fund",IF($L246&gt;=Instructions!$D$20,"Need to Improve","Not Performing"))))</f>
        <v/>
      </c>
      <c r="S246" s="7">
        <f>IF($R246="","",IF($R246="Data Pending","Enter the 3Y return",IF($R246="Best Fund","Hold / consider top-up",IF($R246="Need to Improve","Watch 2 quarters, then decide","Review with client - switch or exit"))))</f>
        <v/>
      </c>
      <c r="T246" s="27" t="n"/>
      <c r="U246" s="7">
        <f>IF($R246&lt;&gt;"Best Fund","",COUNTIFS($R$6:$R$505,"Best Fund",$L$6:$L$505,"&gt;"&amp;$L246)+COUNTIFS($R$6:$R246,"Best Fund",$L$6:$L246,$L246))</f>
        <v/>
      </c>
      <c r="V246" s="7">
        <f>IF($R246&lt;&gt;"Need to Improve","",COUNTIFS($R$6:$R$505,"Need to Improve",$L$6:$L$505,"&lt;"&amp;$L246)+COUNTIFS($R$6:$R246,"Need to Improve",$L$6:$L246,$L246))</f>
        <v/>
      </c>
      <c r="W246" s="7">
        <f>IF($R246&lt;&gt;"Not Performing","",COUNTIFS($R$6:$R$505,"Not Performing",$L$6:$L$505,"&lt;"&amp;$L246)+COUNTIFS($R$6:$R246,"Not Performing",$L$6:$L246,$L246))</f>
        <v/>
      </c>
    </row>
    <row r="247" ht="15" customHeight="1">
      <c r="A247" s="27" t="n"/>
      <c r="B247" s="27" t="n"/>
      <c r="C247" s="27" t="n"/>
      <c r="D247" s="28">
        <f>IF($C247="","",IFERROR(TRIM(LEFT($C247,FIND("-",$C247)-1)),""))</f>
        <v/>
      </c>
      <c r="E247" s="27" t="n"/>
      <c r="F247" s="29" t="n"/>
      <c r="G247" s="30" t="n"/>
      <c r="H247" s="30" t="n"/>
      <c r="I247" s="31">
        <f>IF($B247="","",$H247-$G247)</f>
        <v/>
      </c>
      <c r="J247" s="32">
        <f>IF(OR($B247="",$G247=0,$G247=""),"",$I247/$G247)</f>
        <v/>
      </c>
      <c r="K247" s="33" t="n"/>
      <c r="L247" s="33" t="n"/>
      <c r="M247" s="33" t="n"/>
      <c r="N247" s="33" t="n"/>
      <c r="O247" s="33" t="n"/>
      <c r="P247" s="32">
        <f>IF(OR($L247="",$N247=""),"",$L247-$N247)</f>
        <v/>
      </c>
      <c r="Q247" s="28">
        <f>IF($B247="","",IF(N($H247)&gt;0,"Live","Exited"))</f>
        <v/>
      </c>
      <c r="R247" s="28">
        <f>IF($B247="","",IF($L247="","Data Pending",IF($L247&gt;=Instructions!$D$19,"Best Fund",IF($L247&gt;=Instructions!$D$20,"Need to Improve","Not Performing"))))</f>
        <v/>
      </c>
      <c r="S247" s="7">
        <f>IF($R247="","",IF($R247="Data Pending","Enter the 3Y return",IF($R247="Best Fund","Hold / consider top-up",IF($R247="Need to Improve","Watch 2 quarters, then decide","Review with client - switch or exit"))))</f>
        <v/>
      </c>
      <c r="T247" s="27" t="n"/>
      <c r="U247" s="7">
        <f>IF($R247&lt;&gt;"Best Fund","",COUNTIFS($R$6:$R$505,"Best Fund",$L$6:$L$505,"&gt;"&amp;$L247)+COUNTIFS($R$6:$R247,"Best Fund",$L$6:$L247,$L247))</f>
        <v/>
      </c>
      <c r="V247" s="7">
        <f>IF($R247&lt;&gt;"Need to Improve","",COUNTIFS($R$6:$R$505,"Need to Improve",$L$6:$L$505,"&lt;"&amp;$L247)+COUNTIFS($R$6:$R247,"Need to Improve",$L$6:$L247,$L247))</f>
        <v/>
      </c>
      <c r="W247" s="7">
        <f>IF($R247&lt;&gt;"Not Performing","",COUNTIFS($R$6:$R$505,"Not Performing",$L$6:$L$505,"&lt;"&amp;$L247)+COUNTIFS($R$6:$R247,"Not Performing",$L$6:$L247,$L247))</f>
        <v/>
      </c>
    </row>
    <row r="248" ht="15" customHeight="1">
      <c r="A248" s="27" t="n"/>
      <c r="B248" s="27" t="n"/>
      <c r="C248" s="27" t="n"/>
      <c r="D248" s="28">
        <f>IF($C248="","",IFERROR(TRIM(LEFT($C248,FIND("-",$C248)-1)),""))</f>
        <v/>
      </c>
      <c r="E248" s="27" t="n"/>
      <c r="F248" s="29" t="n"/>
      <c r="G248" s="30" t="n"/>
      <c r="H248" s="30" t="n"/>
      <c r="I248" s="31">
        <f>IF($B248="","",$H248-$G248)</f>
        <v/>
      </c>
      <c r="J248" s="32">
        <f>IF(OR($B248="",$G248=0,$G248=""),"",$I248/$G248)</f>
        <v/>
      </c>
      <c r="K248" s="33" t="n"/>
      <c r="L248" s="33" t="n"/>
      <c r="M248" s="33" t="n"/>
      <c r="N248" s="33" t="n"/>
      <c r="O248" s="33" t="n"/>
      <c r="P248" s="32">
        <f>IF(OR($L248="",$N248=""),"",$L248-$N248)</f>
        <v/>
      </c>
      <c r="Q248" s="28">
        <f>IF($B248="","",IF(N($H248)&gt;0,"Live","Exited"))</f>
        <v/>
      </c>
      <c r="R248" s="28">
        <f>IF($B248="","",IF($L248="","Data Pending",IF($L248&gt;=Instructions!$D$19,"Best Fund",IF($L248&gt;=Instructions!$D$20,"Need to Improve","Not Performing"))))</f>
        <v/>
      </c>
      <c r="S248" s="7">
        <f>IF($R248="","",IF($R248="Data Pending","Enter the 3Y return",IF($R248="Best Fund","Hold / consider top-up",IF($R248="Need to Improve","Watch 2 quarters, then decide","Review with client - switch or exit"))))</f>
        <v/>
      </c>
      <c r="T248" s="27" t="n"/>
      <c r="U248" s="7">
        <f>IF($R248&lt;&gt;"Best Fund","",COUNTIFS($R$6:$R$505,"Best Fund",$L$6:$L$505,"&gt;"&amp;$L248)+COUNTIFS($R$6:$R248,"Best Fund",$L$6:$L248,$L248))</f>
        <v/>
      </c>
      <c r="V248" s="7">
        <f>IF($R248&lt;&gt;"Need to Improve","",COUNTIFS($R$6:$R$505,"Need to Improve",$L$6:$L$505,"&lt;"&amp;$L248)+COUNTIFS($R$6:$R248,"Need to Improve",$L$6:$L248,$L248))</f>
        <v/>
      </c>
      <c r="W248" s="7">
        <f>IF($R248&lt;&gt;"Not Performing","",COUNTIFS($R$6:$R$505,"Not Performing",$L$6:$L$505,"&lt;"&amp;$L248)+COUNTIFS($R$6:$R248,"Not Performing",$L$6:$L248,$L248))</f>
        <v/>
      </c>
    </row>
    <row r="249" ht="15" customHeight="1">
      <c r="A249" s="27" t="n"/>
      <c r="B249" s="27" t="n"/>
      <c r="C249" s="27" t="n"/>
      <c r="D249" s="28">
        <f>IF($C249="","",IFERROR(TRIM(LEFT($C249,FIND("-",$C249)-1)),""))</f>
        <v/>
      </c>
      <c r="E249" s="27" t="n"/>
      <c r="F249" s="29" t="n"/>
      <c r="G249" s="30" t="n"/>
      <c r="H249" s="30" t="n"/>
      <c r="I249" s="31">
        <f>IF($B249="","",$H249-$G249)</f>
        <v/>
      </c>
      <c r="J249" s="32">
        <f>IF(OR($B249="",$G249=0,$G249=""),"",$I249/$G249)</f>
        <v/>
      </c>
      <c r="K249" s="33" t="n"/>
      <c r="L249" s="33" t="n"/>
      <c r="M249" s="33" t="n"/>
      <c r="N249" s="33" t="n"/>
      <c r="O249" s="33" t="n"/>
      <c r="P249" s="32">
        <f>IF(OR($L249="",$N249=""),"",$L249-$N249)</f>
        <v/>
      </c>
      <c r="Q249" s="28">
        <f>IF($B249="","",IF(N($H249)&gt;0,"Live","Exited"))</f>
        <v/>
      </c>
      <c r="R249" s="28">
        <f>IF($B249="","",IF($L249="","Data Pending",IF($L249&gt;=Instructions!$D$19,"Best Fund",IF($L249&gt;=Instructions!$D$20,"Need to Improve","Not Performing"))))</f>
        <v/>
      </c>
      <c r="S249" s="7">
        <f>IF($R249="","",IF($R249="Data Pending","Enter the 3Y return",IF($R249="Best Fund","Hold / consider top-up",IF($R249="Need to Improve","Watch 2 quarters, then decide","Review with client - switch or exit"))))</f>
        <v/>
      </c>
      <c r="T249" s="27" t="n"/>
      <c r="U249" s="7">
        <f>IF($R249&lt;&gt;"Best Fund","",COUNTIFS($R$6:$R$505,"Best Fund",$L$6:$L$505,"&gt;"&amp;$L249)+COUNTIFS($R$6:$R249,"Best Fund",$L$6:$L249,$L249))</f>
        <v/>
      </c>
      <c r="V249" s="7">
        <f>IF($R249&lt;&gt;"Need to Improve","",COUNTIFS($R$6:$R$505,"Need to Improve",$L$6:$L$505,"&lt;"&amp;$L249)+COUNTIFS($R$6:$R249,"Need to Improve",$L$6:$L249,$L249))</f>
        <v/>
      </c>
      <c r="W249" s="7">
        <f>IF($R249&lt;&gt;"Not Performing","",COUNTIFS($R$6:$R$505,"Not Performing",$L$6:$L$505,"&lt;"&amp;$L249)+COUNTIFS($R$6:$R249,"Not Performing",$L$6:$L249,$L249))</f>
        <v/>
      </c>
    </row>
    <row r="250" ht="15" customHeight="1">
      <c r="A250" s="27" t="n"/>
      <c r="B250" s="27" t="n"/>
      <c r="C250" s="27" t="n"/>
      <c r="D250" s="28">
        <f>IF($C250="","",IFERROR(TRIM(LEFT($C250,FIND("-",$C250)-1)),""))</f>
        <v/>
      </c>
      <c r="E250" s="27" t="n"/>
      <c r="F250" s="29" t="n"/>
      <c r="G250" s="30" t="n"/>
      <c r="H250" s="30" t="n"/>
      <c r="I250" s="31">
        <f>IF($B250="","",$H250-$G250)</f>
        <v/>
      </c>
      <c r="J250" s="32">
        <f>IF(OR($B250="",$G250=0,$G250=""),"",$I250/$G250)</f>
        <v/>
      </c>
      <c r="K250" s="33" t="n"/>
      <c r="L250" s="33" t="n"/>
      <c r="M250" s="33" t="n"/>
      <c r="N250" s="33" t="n"/>
      <c r="O250" s="33" t="n"/>
      <c r="P250" s="32">
        <f>IF(OR($L250="",$N250=""),"",$L250-$N250)</f>
        <v/>
      </c>
      <c r="Q250" s="28">
        <f>IF($B250="","",IF(N($H250)&gt;0,"Live","Exited"))</f>
        <v/>
      </c>
      <c r="R250" s="28">
        <f>IF($B250="","",IF($L250="","Data Pending",IF($L250&gt;=Instructions!$D$19,"Best Fund",IF($L250&gt;=Instructions!$D$20,"Need to Improve","Not Performing"))))</f>
        <v/>
      </c>
      <c r="S250" s="7">
        <f>IF($R250="","",IF($R250="Data Pending","Enter the 3Y return",IF($R250="Best Fund","Hold / consider top-up",IF($R250="Need to Improve","Watch 2 quarters, then decide","Review with client - switch or exit"))))</f>
        <v/>
      </c>
      <c r="T250" s="27" t="n"/>
      <c r="U250" s="7">
        <f>IF($R250&lt;&gt;"Best Fund","",COUNTIFS($R$6:$R$505,"Best Fund",$L$6:$L$505,"&gt;"&amp;$L250)+COUNTIFS($R$6:$R250,"Best Fund",$L$6:$L250,$L250))</f>
        <v/>
      </c>
      <c r="V250" s="7">
        <f>IF($R250&lt;&gt;"Need to Improve","",COUNTIFS($R$6:$R$505,"Need to Improve",$L$6:$L$505,"&lt;"&amp;$L250)+COUNTIFS($R$6:$R250,"Need to Improve",$L$6:$L250,$L250))</f>
        <v/>
      </c>
      <c r="W250" s="7">
        <f>IF($R250&lt;&gt;"Not Performing","",COUNTIFS($R$6:$R$505,"Not Performing",$L$6:$L$505,"&lt;"&amp;$L250)+COUNTIFS($R$6:$R250,"Not Performing",$L$6:$L250,$L250))</f>
        <v/>
      </c>
    </row>
    <row r="251" ht="15" customHeight="1">
      <c r="A251" s="27" t="n"/>
      <c r="B251" s="27" t="n"/>
      <c r="C251" s="27" t="n"/>
      <c r="D251" s="28">
        <f>IF($C251="","",IFERROR(TRIM(LEFT($C251,FIND("-",$C251)-1)),""))</f>
        <v/>
      </c>
      <c r="E251" s="27" t="n"/>
      <c r="F251" s="29" t="n"/>
      <c r="G251" s="30" t="n"/>
      <c r="H251" s="30" t="n"/>
      <c r="I251" s="31">
        <f>IF($B251="","",$H251-$G251)</f>
        <v/>
      </c>
      <c r="J251" s="32">
        <f>IF(OR($B251="",$G251=0,$G251=""),"",$I251/$G251)</f>
        <v/>
      </c>
      <c r="K251" s="33" t="n"/>
      <c r="L251" s="33" t="n"/>
      <c r="M251" s="33" t="n"/>
      <c r="N251" s="33" t="n"/>
      <c r="O251" s="33" t="n"/>
      <c r="P251" s="32">
        <f>IF(OR($L251="",$N251=""),"",$L251-$N251)</f>
        <v/>
      </c>
      <c r="Q251" s="28">
        <f>IF($B251="","",IF(N($H251)&gt;0,"Live","Exited"))</f>
        <v/>
      </c>
      <c r="R251" s="28">
        <f>IF($B251="","",IF($L251="","Data Pending",IF($L251&gt;=Instructions!$D$19,"Best Fund",IF($L251&gt;=Instructions!$D$20,"Need to Improve","Not Performing"))))</f>
        <v/>
      </c>
      <c r="S251" s="7">
        <f>IF($R251="","",IF($R251="Data Pending","Enter the 3Y return",IF($R251="Best Fund","Hold / consider top-up",IF($R251="Need to Improve","Watch 2 quarters, then decide","Review with client - switch or exit"))))</f>
        <v/>
      </c>
      <c r="T251" s="27" t="n"/>
      <c r="U251" s="7">
        <f>IF($R251&lt;&gt;"Best Fund","",COUNTIFS($R$6:$R$505,"Best Fund",$L$6:$L$505,"&gt;"&amp;$L251)+COUNTIFS($R$6:$R251,"Best Fund",$L$6:$L251,$L251))</f>
        <v/>
      </c>
      <c r="V251" s="7">
        <f>IF($R251&lt;&gt;"Need to Improve","",COUNTIFS($R$6:$R$505,"Need to Improve",$L$6:$L$505,"&lt;"&amp;$L251)+COUNTIFS($R$6:$R251,"Need to Improve",$L$6:$L251,$L251))</f>
        <v/>
      </c>
      <c r="W251" s="7">
        <f>IF($R251&lt;&gt;"Not Performing","",COUNTIFS($R$6:$R$505,"Not Performing",$L$6:$L$505,"&lt;"&amp;$L251)+COUNTIFS($R$6:$R251,"Not Performing",$L$6:$L251,$L251))</f>
        <v/>
      </c>
    </row>
    <row r="252" ht="15" customHeight="1">
      <c r="A252" s="27" t="n"/>
      <c r="B252" s="27" t="n"/>
      <c r="C252" s="27" t="n"/>
      <c r="D252" s="28">
        <f>IF($C252="","",IFERROR(TRIM(LEFT($C252,FIND("-",$C252)-1)),""))</f>
        <v/>
      </c>
      <c r="E252" s="27" t="n"/>
      <c r="F252" s="29" t="n"/>
      <c r="G252" s="30" t="n"/>
      <c r="H252" s="30" t="n"/>
      <c r="I252" s="31">
        <f>IF($B252="","",$H252-$G252)</f>
        <v/>
      </c>
      <c r="J252" s="32">
        <f>IF(OR($B252="",$G252=0,$G252=""),"",$I252/$G252)</f>
        <v/>
      </c>
      <c r="K252" s="33" t="n"/>
      <c r="L252" s="33" t="n"/>
      <c r="M252" s="33" t="n"/>
      <c r="N252" s="33" t="n"/>
      <c r="O252" s="33" t="n"/>
      <c r="P252" s="32">
        <f>IF(OR($L252="",$N252=""),"",$L252-$N252)</f>
        <v/>
      </c>
      <c r="Q252" s="28">
        <f>IF($B252="","",IF(N($H252)&gt;0,"Live","Exited"))</f>
        <v/>
      </c>
      <c r="R252" s="28">
        <f>IF($B252="","",IF($L252="","Data Pending",IF($L252&gt;=Instructions!$D$19,"Best Fund",IF($L252&gt;=Instructions!$D$20,"Need to Improve","Not Performing"))))</f>
        <v/>
      </c>
      <c r="S252" s="7">
        <f>IF($R252="","",IF($R252="Data Pending","Enter the 3Y return",IF($R252="Best Fund","Hold / consider top-up",IF($R252="Need to Improve","Watch 2 quarters, then decide","Review with client - switch or exit"))))</f>
        <v/>
      </c>
      <c r="T252" s="27" t="n"/>
      <c r="U252" s="7">
        <f>IF($R252&lt;&gt;"Best Fund","",COUNTIFS($R$6:$R$505,"Best Fund",$L$6:$L$505,"&gt;"&amp;$L252)+COUNTIFS($R$6:$R252,"Best Fund",$L$6:$L252,$L252))</f>
        <v/>
      </c>
      <c r="V252" s="7">
        <f>IF($R252&lt;&gt;"Need to Improve","",COUNTIFS($R$6:$R$505,"Need to Improve",$L$6:$L$505,"&lt;"&amp;$L252)+COUNTIFS($R$6:$R252,"Need to Improve",$L$6:$L252,$L252))</f>
        <v/>
      </c>
      <c r="W252" s="7">
        <f>IF($R252&lt;&gt;"Not Performing","",COUNTIFS($R$6:$R$505,"Not Performing",$L$6:$L$505,"&lt;"&amp;$L252)+COUNTIFS($R$6:$R252,"Not Performing",$L$6:$L252,$L252))</f>
        <v/>
      </c>
    </row>
    <row r="253" ht="15" customHeight="1">
      <c r="A253" s="27" t="n"/>
      <c r="B253" s="27" t="n"/>
      <c r="C253" s="27" t="n"/>
      <c r="D253" s="28">
        <f>IF($C253="","",IFERROR(TRIM(LEFT($C253,FIND("-",$C253)-1)),""))</f>
        <v/>
      </c>
      <c r="E253" s="27" t="n"/>
      <c r="F253" s="29" t="n"/>
      <c r="G253" s="30" t="n"/>
      <c r="H253" s="30" t="n"/>
      <c r="I253" s="31">
        <f>IF($B253="","",$H253-$G253)</f>
        <v/>
      </c>
      <c r="J253" s="32">
        <f>IF(OR($B253="",$G253=0,$G253=""),"",$I253/$G253)</f>
        <v/>
      </c>
      <c r="K253" s="33" t="n"/>
      <c r="L253" s="33" t="n"/>
      <c r="M253" s="33" t="n"/>
      <c r="N253" s="33" t="n"/>
      <c r="O253" s="33" t="n"/>
      <c r="P253" s="32">
        <f>IF(OR($L253="",$N253=""),"",$L253-$N253)</f>
        <v/>
      </c>
      <c r="Q253" s="28">
        <f>IF($B253="","",IF(N($H253)&gt;0,"Live","Exited"))</f>
        <v/>
      </c>
      <c r="R253" s="28">
        <f>IF($B253="","",IF($L253="","Data Pending",IF($L253&gt;=Instructions!$D$19,"Best Fund",IF($L253&gt;=Instructions!$D$20,"Need to Improve","Not Performing"))))</f>
        <v/>
      </c>
      <c r="S253" s="7">
        <f>IF($R253="","",IF($R253="Data Pending","Enter the 3Y return",IF($R253="Best Fund","Hold / consider top-up",IF($R253="Need to Improve","Watch 2 quarters, then decide","Review with client - switch or exit"))))</f>
        <v/>
      </c>
      <c r="T253" s="27" t="n"/>
      <c r="U253" s="7">
        <f>IF($R253&lt;&gt;"Best Fund","",COUNTIFS($R$6:$R$505,"Best Fund",$L$6:$L$505,"&gt;"&amp;$L253)+COUNTIFS($R$6:$R253,"Best Fund",$L$6:$L253,$L253))</f>
        <v/>
      </c>
      <c r="V253" s="7">
        <f>IF($R253&lt;&gt;"Need to Improve","",COUNTIFS($R$6:$R$505,"Need to Improve",$L$6:$L$505,"&lt;"&amp;$L253)+COUNTIFS($R$6:$R253,"Need to Improve",$L$6:$L253,$L253))</f>
        <v/>
      </c>
      <c r="W253" s="7">
        <f>IF($R253&lt;&gt;"Not Performing","",COUNTIFS($R$6:$R$505,"Not Performing",$L$6:$L$505,"&lt;"&amp;$L253)+COUNTIFS($R$6:$R253,"Not Performing",$L$6:$L253,$L253))</f>
        <v/>
      </c>
    </row>
    <row r="254" ht="15" customHeight="1">
      <c r="A254" s="27" t="n"/>
      <c r="B254" s="27" t="n"/>
      <c r="C254" s="27" t="n"/>
      <c r="D254" s="28">
        <f>IF($C254="","",IFERROR(TRIM(LEFT($C254,FIND("-",$C254)-1)),""))</f>
        <v/>
      </c>
      <c r="E254" s="27" t="n"/>
      <c r="F254" s="29" t="n"/>
      <c r="G254" s="30" t="n"/>
      <c r="H254" s="30" t="n"/>
      <c r="I254" s="31">
        <f>IF($B254="","",$H254-$G254)</f>
        <v/>
      </c>
      <c r="J254" s="32">
        <f>IF(OR($B254="",$G254=0,$G254=""),"",$I254/$G254)</f>
        <v/>
      </c>
      <c r="K254" s="33" t="n"/>
      <c r="L254" s="33" t="n"/>
      <c r="M254" s="33" t="n"/>
      <c r="N254" s="33" t="n"/>
      <c r="O254" s="33" t="n"/>
      <c r="P254" s="32">
        <f>IF(OR($L254="",$N254=""),"",$L254-$N254)</f>
        <v/>
      </c>
      <c r="Q254" s="28">
        <f>IF($B254="","",IF(N($H254)&gt;0,"Live","Exited"))</f>
        <v/>
      </c>
      <c r="R254" s="28">
        <f>IF($B254="","",IF($L254="","Data Pending",IF($L254&gt;=Instructions!$D$19,"Best Fund",IF($L254&gt;=Instructions!$D$20,"Need to Improve","Not Performing"))))</f>
        <v/>
      </c>
      <c r="S254" s="7">
        <f>IF($R254="","",IF($R254="Data Pending","Enter the 3Y return",IF($R254="Best Fund","Hold / consider top-up",IF($R254="Need to Improve","Watch 2 quarters, then decide","Review with client - switch or exit"))))</f>
        <v/>
      </c>
      <c r="T254" s="27" t="n"/>
      <c r="U254" s="7">
        <f>IF($R254&lt;&gt;"Best Fund","",COUNTIFS($R$6:$R$505,"Best Fund",$L$6:$L$505,"&gt;"&amp;$L254)+COUNTIFS($R$6:$R254,"Best Fund",$L$6:$L254,$L254))</f>
        <v/>
      </c>
      <c r="V254" s="7">
        <f>IF($R254&lt;&gt;"Need to Improve","",COUNTIFS($R$6:$R$505,"Need to Improve",$L$6:$L$505,"&lt;"&amp;$L254)+COUNTIFS($R$6:$R254,"Need to Improve",$L$6:$L254,$L254))</f>
        <v/>
      </c>
      <c r="W254" s="7">
        <f>IF($R254&lt;&gt;"Not Performing","",COUNTIFS($R$6:$R$505,"Not Performing",$L$6:$L$505,"&lt;"&amp;$L254)+COUNTIFS($R$6:$R254,"Not Performing",$L$6:$L254,$L254))</f>
        <v/>
      </c>
    </row>
    <row r="255" ht="15" customHeight="1">
      <c r="A255" s="27" t="n"/>
      <c r="B255" s="27" t="n"/>
      <c r="C255" s="27" t="n"/>
      <c r="D255" s="28">
        <f>IF($C255="","",IFERROR(TRIM(LEFT($C255,FIND("-",$C255)-1)),""))</f>
        <v/>
      </c>
      <c r="E255" s="27" t="n"/>
      <c r="F255" s="29" t="n"/>
      <c r="G255" s="30" t="n"/>
      <c r="H255" s="30" t="n"/>
      <c r="I255" s="31">
        <f>IF($B255="","",$H255-$G255)</f>
        <v/>
      </c>
      <c r="J255" s="32">
        <f>IF(OR($B255="",$G255=0,$G255=""),"",$I255/$G255)</f>
        <v/>
      </c>
      <c r="K255" s="33" t="n"/>
      <c r="L255" s="33" t="n"/>
      <c r="M255" s="33" t="n"/>
      <c r="N255" s="33" t="n"/>
      <c r="O255" s="33" t="n"/>
      <c r="P255" s="32">
        <f>IF(OR($L255="",$N255=""),"",$L255-$N255)</f>
        <v/>
      </c>
      <c r="Q255" s="28">
        <f>IF($B255="","",IF(N($H255)&gt;0,"Live","Exited"))</f>
        <v/>
      </c>
      <c r="R255" s="28">
        <f>IF($B255="","",IF($L255="","Data Pending",IF($L255&gt;=Instructions!$D$19,"Best Fund",IF($L255&gt;=Instructions!$D$20,"Need to Improve","Not Performing"))))</f>
        <v/>
      </c>
      <c r="S255" s="7">
        <f>IF($R255="","",IF($R255="Data Pending","Enter the 3Y return",IF($R255="Best Fund","Hold / consider top-up",IF($R255="Need to Improve","Watch 2 quarters, then decide","Review with client - switch or exit"))))</f>
        <v/>
      </c>
      <c r="T255" s="27" t="n"/>
      <c r="U255" s="7">
        <f>IF($R255&lt;&gt;"Best Fund","",COUNTIFS($R$6:$R$505,"Best Fund",$L$6:$L$505,"&gt;"&amp;$L255)+COUNTIFS($R$6:$R255,"Best Fund",$L$6:$L255,$L255))</f>
        <v/>
      </c>
      <c r="V255" s="7">
        <f>IF($R255&lt;&gt;"Need to Improve","",COUNTIFS($R$6:$R$505,"Need to Improve",$L$6:$L$505,"&lt;"&amp;$L255)+COUNTIFS($R$6:$R255,"Need to Improve",$L$6:$L255,$L255))</f>
        <v/>
      </c>
      <c r="W255" s="7">
        <f>IF($R255&lt;&gt;"Not Performing","",COUNTIFS($R$6:$R$505,"Not Performing",$L$6:$L$505,"&lt;"&amp;$L255)+COUNTIFS($R$6:$R255,"Not Performing",$L$6:$L255,$L255))</f>
        <v/>
      </c>
    </row>
    <row r="256" ht="15" customHeight="1">
      <c r="A256" s="27" t="n"/>
      <c r="B256" s="27" t="n"/>
      <c r="C256" s="27" t="n"/>
      <c r="D256" s="28">
        <f>IF($C256="","",IFERROR(TRIM(LEFT($C256,FIND("-",$C256)-1)),""))</f>
        <v/>
      </c>
      <c r="E256" s="27" t="n"/>
      <c r="F256" s="29" t="n"/>
      <c r="G256" s="30" t="n"/>
      <c r="H256" s="30" t="n"/>
      <c r="I256" s="31">
        <f>IF($B256="","",$H256-$G256)</f>
        <v/>
      </c>
      <c r="J256" s="32">
        <f>IF(OR($B256="",$G256=0,$G256=""),"",$I256/$G256)</f>
        <v/>
      </c>
      <c r="K256" s="33" t="n"/>
      <c r="L256" s="33" t="n"/>
      <c r="M256" s="33" t="n"/>
      <c r="N256" s="33" t="n"/>
      <c r="O256" s="33" t="n"/>
      <c r="P256" s="32">
        <f>IF(OR($L256="",$N256=""),"",$L256-$N256)</f>
        <v/>
      </c>
      <c r="Q256" s="28">
        <f>IF($B256="","",IF(N($H256)&gt;0,"Live","Exited"))</f>
        <v/>
      </c>
      <c r="R256" s="28">
        <f>IF($B256="","",IF($L256="","Data Pending",IF($L256&gt;=Instructions!$D$19,"Best Fund",IF($L256&gt;=Instructions!$D$20,"Need to Improve","Not Performing"))))</f>
        <v/>
      </c>
      <c r="S256" s="7">
        <f>IF($R256="","",IF($R256="Data Pending","Enter the 3Y return",IF($R256="Best Fund","Hold / consider top-up",IF($R256="Need to Improve","Watch 2 quarters, then decide","Review with client - switch or exit"))))</f>
        <v/>
      </c>
      <c r="T256" s="27" t="n"/>
      <c r="U256" s="7">
        <f>IF($R256&lt;&gt;"Best Fund","",COUNTIFS($R$6:$R$505,"Best Fund",$L$6:$L$505,"&gt;"&amp;$L256)+COUNTIFS($R$6:$R256,"Best Fund",$L$6:$L256,$L256))</f>
        <v/>
      </c>
      <c r="V256" s="7">
        <f>IF($R256&lt;&gt;"Need to Improve","",COUNTIFS($R$6:$R$505,"Need to Improve",$L$6:$L$505,"&lt;"&amp;$L256)+COUNTIFS($R$6:$R256,"Need to Improve",$L$6:$L256,$L256))</f>
        <v/>
      </c>
      <c r="W256" s="7">
        <f>IF($R256&lt;&gt;"Not Performing","",COUNTIFS($R$6:$R$505,"Not Performing",$L$6:$L$505,"&lt;"&amp;$L256)+COUNTIFS($R$6:$R256,"Not Performing",$L$6:$L256,$L256))</f>
        <v/>
      </c>
    </row>
    <row r="257" ht="15" customHeight="1">
      <c r="A257" s="27" t="n"/>
      <c r="B257" s="27" t="n"/>
      <c r="C257" s="27" t="n"/>
      <c r="D257" s="28">
        <f>IF($C257="","",IFERROR(TRIM(LEFT($C257,FIND("-",$C257)-1)),""))</f>
        <v/>
      </c>
      <c r="E257" s="27" t="n"/>
      <c r="F257" s="29" t="n"/>
      <c r="G257" s="30" t="n"/>
      <c r="H257" s="30" t="n"/>
      <c r="I257" s="31">
        <f>IF($B257="","",$H257-$G257)</f>
        <v/>
      </c>
      <c r="J257" s="32">
        <f>IF(OR($B257="",$G257=0,$G257=""),"",$I257/$G257)</f>
        <v/>
      </c>
      <c r="K257" s="33" t="n"/>
      <c r="L257" s="33" t="n"/>
      <c r="M257" s="33" t="n"/>
      <c r="N257" s="33" t="n"/>
      <c r="O257" s="33" t="n"/>
      <c r="P257" s="32">
        <f>IF(OR($L257="",$N257=""),"",$L257-$N257)</f>
        <v/>
      </c>
      <c r="Q257" s="28">
        <f>IF($B257="","",IF(N($H257)&gt;0,"Live","Exited"))</f>
        <v/>
      </c>
      <c r="R257" s="28">
        <f>IF($B257="","",IF($L257="","Data Pending",IF($L257&gt;=Instructions!$D$19,"Best Fund",IF($L257&gt;=Instructions!$D$20,"Need to Improve","Not Performing"))))</f>
        <v/>
      </c>
      <c r="S257" s="7">
        <f>IF($R257="","",IF($R257="Data Pending","Enter the 3Y return",IF($R257="Best Fund","Hold / consider top-up",IF($R257="Need to Improve","Watch 2 quarters, then decide","Review with client - switch or exit"))))</f>
        <v/>
      </c>
      <c r="T257" s="27" t="n"/>
      <c r="U257" s="7">
        <f>IF($R257&lt;&gt;"Best Fund","",COUNTIFS($R$6:$R$505,"Best Fund",$L$6:$L$505,"&gt;"&amp;$L257)+COUNTIFS($R$6:$R257,"Best Fund",$L$6:$L257,$L257))</f>
        <v/>
      </c>
      <c r="V257" s="7">
        <f>IF($R257&lt;&gt;"Need to Improve","",COUNTIFS($R$6:$R$505,"Need to Improve",$L$6:$L$505,"&lt;"&amp;$L257)+COUNTIFS($R$6:$R257,"Need to Improve",$L$6:$L257,$L257))</f>
        <v/>
      </c>
      <c r="W257" s="7">
        <f>IF($R257&lt;&gt;"Not Performing","",COUNTIFS($R$6:$R$505,"Not Performing",$L$6:$L$505,"&lt;"&amp;$L257)+COUNTIFS($R$6:$R257,"Not Performing",$L$6:$L257,$L257))</f>
        <v/>
      </c>
    </row>
    <row r="258" ht="15" customHeight="1">
      <c r="A258" s="27" t="n"/>
      <c r="B258" s="27" t="n"/>
      <c r="C258" s="27" t="n"/>
      <c r="D258" s="28">
        <f>IF($C258="","",IFERROR(TRIM(LEFT($C258,FIND("-",$C258)-1)),""))</f>
        <v/>
      </c>
      <c r="E258" s="27" t="n"/>
      <c r="F258" s="29" t="n"/>
      <c r="G258" s="30" t="n"/>
      <c r="H258" s="30" t="n"/>
      <c r="I258" s="31">
        <f>IF($B258="","",$H258-$G258)</f>
        <v/>
      </c>
      <c r="J258" s="32">
        <f>IF(OR($B258="",$G258=0,$G258=""),"",$I258/$G258)</f>
        <v/>
      </c>
      <c r="K258" s="33" t="n"/>
      <c r="L258" s="33" t="n"/>
      <c r="M258" s="33" t="n"/>
      <c r="N258" s="33" t="n"/>
      <c r="O258" s="33" t="n"/>
      <c r="P258" s="32">
        <f>IF(OR($L258="",$N258=""),"",$L258-$N258)</f>
        <v/>
      </c>
      <c r="Q258" s="28">
        <f>IF($B258="","",IF(N($H258)&gt;0,"Live","Exited"))</f>
        <v/>
      </c>
      <c r="R258" s="28">
        <f>IF($B258="","",IF($L258="","Data Pending",IF($L258&gt;=Instructions!$D$19,"Best Fund",IF($L258&gt;=Instructions!$D$20,"Need to Improve","Not Performing"))))</f>
        <v/>
      </c>
      <c r="S258" s="7">
        <f>IF($R258="","",IF($R258="Data Pending","Enter the 3Y return",IF($R258="Best Fund","Hold / consider top-up",IF($R258="Need to Improve","Watch 2 quarters, then decide","Review with client - switch or exit"))))</f>
        <v/>
      </c>
      <c r="T258" s="27" t="n"/>
      <c r="U258" s="7">
        <f>IF($R258&lt;&gt;"Best Fund","",COUNTIFS($R$6:$R$505,"Best Fund",$L$6:$L$505,"&gt;"&amp;$L258)+COUNTIFS($R$6:$R258,"Best Fund",$L$6:$L258,$L258))</f>
        <v/>
      </c>
      <c r="V258" s="7">
        <f>IF($R258&lt;&gt;"Need to Improve","",COUNTIFS($R$6:$R$505,"Need to Improve",$L$6:$L$505,"&lt;"&amp;$L258)+COUNTIFS($R$6:$R258,"Need to Improve",$L$6:$L258,$L258))</f>
        <v/>
      </c>
      <c r="W258" s="7">
        <f>IF($R258&lt;&gt;"Not Performing","",COUNTIFS($R$6:$R$505,"Not Performing",$L$6:$L$505,"&lt;"&amp;$L258)+COUNTIFS($R$6:$R258,"Not Performing",$L$6:$L258,$L258))</f>
        <v/>
      </c>
    </row>
    <row r="259" ht="15" customHeight="1">
      <c r="A259" s="27" t="n"/>
      <c r="B259" s="27" t="n"/>
      <c r="C259" s="27" t="n"/>
      <c r="D259" s="28">
        <f>IF($C259="","",IFERROR(TRIM(LEFT($C259,FIND("-",$C259)-1)),""))</f>
        <v/>
      </c>
      <c r="E259" s="27" t="n"/>
      <c r="F259" s="29" t="n"/>
      <c r="G259" s="30" t="n"/>
      <c r="H259" s="30" t="n"/>
      <c r="I259" s="31">
        <f>IF($B259="","",$H259-$G259)</f>
        <v/>
      </c>
      <c r="J259" s="32">
        <f>IF(OR($B259="",$G259=0,$G259=""),"",$I259/$G259)</f>
        <v/>
      </c>
      <c r="K259" s="33" t="n"/>
      <c r="L259" s="33" t="n"/>
      <c r="M259" s="33" t="n"/>
      <c r="N259" s="33" t="n"/>
      <c r="O259" s="33" t="n"/>
      <c r="P259" s="32">
        <f>IF(OR($L259="",$N259=""),"",$L259-$N259)</f>
        <v/>
      </c>
      <c r="Q259" s="28">
        <f>IF($B259="","",IF(N($H259)&gt;0,"Live","Exited"))</f>
        <v/>
      </c>
      <c r="R259" s="28">
        <f>IF($B259="","",IF($L259="","Data Pending",IF($L259&gt;=Instructions!$D$19,"Best Fund",IF($L259&gt;=Instructions!$D$20,"Need to Improve","Not Performing"))))</f>
        <v/>
      </c>
      <c r="S259" s="7">
        <f>IF($R259="","",IF($R259="Data Pending","Enter the 3Y return",IF($R259="Best Fund","Hold / consider top-up",IF($R259="Need to Improve","Watch 2 quarters, then decide","Review with client - switch or exit"))))</f>
        <v/>
      </c>
      <c r="T259" s="27" t="n"/>
      <c r="U259" s="7">
        <f>IF($R259&lt;&gt;"Best Fund","",COUNTIFS($R$6:$R$505,"Best Fund",$L$6:$L$505,"&gt;"&amp;$L259)+COUNTIFS($R$6:$R259,"Best Fund",$L$6:$L259,$L259))</f>
        <v/>
      </c>
      <c r="V259" s="7">
        <f>IF($R259&lt;&gt;"Need to Improve","",COUNTIFS($R$6:$R$505,"Need to Improve",$L$6:$L$505,"&lt;"&amp;$L259)+COUNTIFS($R$6:$R259,"Need to Improve",$L$6:$L259,$L259))</f>
        <v/>
      </c>
      <c r="W259" s="7">
        <f>IF($R259&lt;&gt;"Not Performing","",COUNTIFS($R$6:$R$505,"Not Performing",$L$6:$L$505,"&lt;"&amp;$L259)+COUNTIFS($R$6:$R259,"Not Performing",$L$6:$L259,$L259))</f>
        <v/>
      </c>
    </row>
    <row r="260" ht="15" customHeight="1">
      <c r="A260" s="27" t="n"/>
      <c r="B260" s="27" t="n"/>
      <c r="C260" s="27" t="n"/>
      <c r="D260" s="28">
        <f>IF($C260="","",IFERROR(TRIM(LEFT($C260,FIND("-",$C260)-1)),""))</f>
        <v/>
      </c>
      <c r="E260" s="27" t="n"/>
      <c r="F260" s="29" t="n"/>
      <c r="G260" s="30" t="n"/>
      <c r="H260" s="30" t="n"/>
      <c r="I260" s="31">
        <f>IF($B260="","",$H260-$G260)</f>
        <v/>
      </c>
      <c r="J260" s="32">
        <f>IF(OR($B260="",$G260=0,$G260=""),"",$I260/$G260)</f>
        <v/>
      </c>
      <c r="K260" s="33" t="n"/>
      <c r="L260" s="33" t="n"/>
      <c r="M260" s="33" t="n"/>
      <c r="N260" s="33" t="n"/>
      <c r="O260" s="33" t="n"/>
      <c r="P260" s="32">
        <f>IF(OR($L260="",$N260=""),"",$L260-$N260)</f>
        <v/>
      </c>
      <c r="Q260" s="28">
        <f>IF($B260="","",IF(N($H260)&gt;0,"Live","Exited"))</f>
        <v/>
      </c>
      <c r="R260" s="28">
        <f>IF($B260="","",IF($L260="","Data Pending",IF($L260&gt;=Instructions!$D$19,"Best Fund",IF($L260&gt;=Instructions!$D$20,"Need to Improve","Not Performing"))))</f>
        <v/>
      </c>
      <c r="S260" s="7">
        <f>IF($R260="","",IF($R260="Data Pending","Enter the 3Y return",IF($R260="Best Fund","Hold / consider top-up",IF($R260="Need to Improve","Watch 2 quarters, then decide","Review with client - switch or exit"))))</f>
        <v/>
      </c>
      <c r="T260" s="27" t="n"/>
      <c r="U260" s="7">
        <f>IF($R260&lt;&gt;"Best Fund","",COUNTIFS($R$6:$R$505,"Best Fund",$L$6:$L$505,"&gt;"&amp;$L260)+COUNTIFS($R$6:$R260,"Best Fund",$L$6:$L260,$L260))</f>
        <v/>
      </c>
      <c r="V260" s="7">
        <f>IF($R260&lt;&gt;"Need to Improve","",COUNTIFS($R$6:$R$505,"Need to Improve",$L$6:$L$505,"&lt;"&amp;$L260)+COUNTIFS($R$6:$R260,"Need to Improve",$L$6:$L260,$L260))</f>
        <v/>
      </c>
      <c r="W260" s="7">
        <f>IF($R260&lt;&gt;"Not Performing","",COUNTIFS($R$6:$R$505,"Not Performing",$L$6:$L$505,"&lt;"&amp;$L260)+COUNTIFS($R$6:$R260,"Not Performing",$L$6:$L260,$L260))</f>
        <v/>
      </c>
    </row>
    <row r="261" ht="15" customHeight="1">
      <c r="A261" s="27" t="n"/>
      <c r="B261" s="27" t="n"/>
      <c r="C261" s="27" t="n"/>
      <c r="D261" s="28">
        <f>IF($C261="","",IFERROR(TRIM(LEFT($C261,FIND("-",$C261)-1)),""))</f>
        <v/>
      </c>
      <c r="E261" s="27" t="n"/>
      <c r="F261" s="29" t="n"/>
      <c r="G261" s="30" t="n"/>
      <c r="H261" s="30" t="n"/>
      <c r="I261" s="31">
        <f>IF($B261="","",$H261-$G261)</f>
        <v/>
      </c>
      <c r="J261" s="32">
        <f>IF(OR($B261="",$G261=0,$G261=""),"",$I261/$G261)</f>
        <v/>
      </c>
      <c r="K261" s="33" t="n"/>
      <c r="L261" s="33" t="n"/>
      <c r="M261" s="33" t="n"/>
      <c r="N261" s="33" t="n"/>
      <c r="O261" s="33" t="n"/>
      <c r="P261" s="32">
        <f>IF(OR($L261="",$N261=""),"",$L261-$N261)</f>
        <v/>
      </c>
      <c r="Q261" s="28">
        <f>IF($B261="","",IF(N($H261)&gt;0,"Live","Exited"))</f>
        <v/>
      </c>
      <c r="R261" s="28">
        <f>IF($B261="","",IF($L261="","Data Pending",IF($L261&gt;=Instructions!$D$19,"Best Fund",IF($L261&gt;=Instructions!$D$20,"Need to Improve","Not Performing"))))</f>
        <v/>
      </c>
      <c r="S261" s="7">
        <f>IF($R261="","",IF($R261="Data Pending","Enter the 3Y return",IF($R261="Best Fund","Hold / consider top-up",IF($R261="Need to Improve","Watch 2 quarters, then decide","Review with client - switch or exit"))))</f>
        <v/>
      </c>
      <c r="T261" s="27" t="n"/>
      <c r="U261" s="7">
        <f>IF($R261&lt;&gt;"Best Fund","",COUNTIFS($R$6:$R$505,"Best Fund",$L$6:$L$505,"&gt;"&amp;$L261)+COUNTIFS($R$6:$R261,"Best Fund",$L$6:$L261,$L261))</f>
        <v/>
      </c>
      <c r="V261" s="7">
        <f>IF($R261&lt;&gt;"Need to Improve","",COUNTIFS($R$6:$R$505,"Need to Improve",$L$6:$L$505,"&lt;"&amp;$L261)+COUNTIFS($R$6:$R261,"Need to Improve",$L$6:$L261,$L261))</f>
        <v/>
      </c>
      <c r="W261" s="7">
        <f>IF($R261&lt;&gt;"Not Performing","",COUNTIFS($R$6:$R$505,"Not Performing",$L$6:$L$505,"&lt;"&amp;$L261)+COUNTIFS($R$6:$R261,"Not Performing",$L$6:$L261,$L261))</f>
        <v/>
      </c>
    </row>
    <row r="262" ht="15" customHeight="1">
      <c r="A262" s="27" t="n"/>
      <c r="B262" s="27" t="n"/>
      <c r="C262" s="27" t="n"/>
      <c r="D262" s="28">
        <f>IF($C262="","",IFERROR(TRIM(LEFT($C262,FIND("-",$C262)-1)),""))</f>
        <v/>
      </c>
      <c r="E262" s="27" t="n"/>
      <c r="F262" s="29" t="n"/>
      <c r="G262" s="30" t="n"/>
      <c r="H262" s="30" t="n"/>
      <c r="I262" s="31">
        <f>IF($B262="","",$H262-$G262)</f>
        <v/>
      </c>
      <c r="J262" s="32">
        <f>IF(OR($B262="",$G262=0,$G262=""),"",$I262/$G262)</f>
        <v/>
      </c>
      <c r="K262" s="33" t="n"/>
      <c r="L262" s="33" t="n"/>
      <c r="M262" s="33" t="n"/>
      <c r="N262" s="33" t="n"/>
      <c r="O262" s="33" t="n"/>
      <c r="P262" s="32">
        <f>IF(OR($L262="",$N262=""),"",$L262-$N262)</f>
        <v/>
      </c>
      <c r="Q262" s="28">
        <f>IF($B262="","",IF(N($H262)&gt;0,"Live","Exited"))</f>
        <v/>
      </c>
      <c r="R262" s="28">
        <f>IF($B262="","",IF($L262="","Data Pending",IF($L262&gt;=Instructions!$D$19,"Best Fund",IF($L262&gt;=Instructions!$D$20,"Need to Improve","Not Performing"))))</f>
        <v/>
      </c>
      <c r="S262" s="7">
        <f>IF($R262="","",IF($R262="Data Pending","Enter the 3Y return",IF($R262="Best Fund","Hold / consider top-up",IF($R262="Need to Improve","Watch 2 quarters, then decide","Review with client - switch or exit"))))</f>
        <v/>
      </c>
      <c r="T262" s="27" t="n"/>
      <c r="U262" s="7">
        <f>IF($R262&lt;&gt;"Best Fund","",COUNTIFS($R$6:$R$505,"Best Fund",$L$6:$L$505,"&gt;"&amp;$L262)+COUNTIFS($R$6:$R262,"Best Fund",$L$6:$L262,$L262))</f>
        <v/>
      </c>
      <c r="V262" s="7">
        <f>IF($R262&lt;&gt;"Need to Improve","",COUNTIFS($R$6:$R$505,"Need to Improve",$L$6:$L$505,"&lt;"&amp;$L262)+COUNTIFS($R$6:$R262,"Need to Improve",$L$6:$L262,$L262))</f>
        <v/>
      </c>
      <c r="W262" s="7">
        <f>IF($R262&lt;&gt;"Not Performing","",COUNTIFS($R$6:$R$505,"Not Performing",$L$6:$L$505,"&lt;"&amp;$L262)+COUNTIFS($R$6:$R262,"Not Performing",$L$6:$L262,$L262))</f>
        <v/>
      </c>
    </row>
    <row r="263" ht="15" customHeight="1">
      <c r="A263" s="27" t="n"/>
      <c r="B263" s="27" t="n"/>
      <c r="C263" s="27" t="n"/>
      <c r="D263" s="28">
        <f>IF($C263="","",IFERROR(TRIM(LEFT($C263,FIND("-",$C263)-1)),""))</f>
        <v/>
      </c>
      <c r="E263" s="27" t="n"/>
      <c r="F263" s="29" t="n"/>
      <c r="G263" s="30" t="n"/>
      <c r="H263" s="30" t="n"/>
      <c r="I263" s="31">
        <f>IF($B263="","",$H263-$G263)</f>
        <v/>
      </c>
      <c r="J263" s="32">
        <f>IF(OR($B263="",$G263=0,$G263=""),"",$I263/$G263)</f>
        <v/>
      </c>
      <c r="K263" s="33" t="n"/>
      <c r="L263" s="33" t="n"/>
      <c r="M263" s="33" t="n"/>
      <c r="N263" s="33" t="n"/>
      <c r="O263" s="33" t="n"/>
      <c r="P263" s="32">
        <f>IF(OR($L263="",$N263=""),"",$L263-$N263)</f>
        <v/>
      </c>
      <c r="Q263" s="28">
        <f>IF($B263="","",IF(N($H263)&gt;0,"Live","Exited"))</f>
        <v/>
      </c>
      <c r="R263" s="28">
        <f>IF($B263="","",IF($L263="","Data Pending",IF($L263&gt;=Instructions!$D$19,"Best Fund",IF($L263&gt;=Instructions!$D$20,"Need to Improve","Not Performing"))))</f>
        <v/>
      </c>
      <c r="S263" s="7">
        <f>IF($R263="","",IF($R263="Data Pending","Enter the 3Y return",IF($R263="Best Fund","Hold / consider top-up",IF($R263="Need to Improve","Watch 2 quarters, then decide","Review with client - switch or exit"))))</f>
        <v/>
      </c>
      <c r="T263" s="27" t="n"/>
      <c r="U263" s="7">
        <f>IF($R263&lt;&gt;"Best Fund","",COUNTIFS($R$6:$R$505,"Best Fund",$L$6:$L$505,"&gt;"&amp;$L263)+COUNTIFS($R$6:$R263,"Best Fund",$L$6:$L263,$L263))</f>
        <v/>
      </c>
      <c r="V263" s="7">
        <f>IF($R263&lt;&gt;"Need to Improve","",COUNTIFS($R$6:$R$505,"Need to Improve",$L$6:$L$505,"&lt;"&amp;$L263)+COUNTIFS($R$6:$R263,"Need to Improve",$L$6:$L263,$L263))</f>
        <v/>
      </c>
      <c r="W263" s="7">
        <f>IF($R263&lt;&gt;"Not Performing","",COUNTIFS($R$6:$R$505,"Not Performing",$L$6:$L$505,"&lt;"&amp;$L263)+COUNTIFS($R$6:$R263,"Not Performing",$L$6:$L263,$L263))</f>
        <v/>
      </c>
    </row>
    <row r="264" ht="15" customHeight="1">
      <c r="A264" s="27" t="n"/>
      <c r="B264" s="27" t="n"/>
      <c r="C264" s="27" t="n"/>
      <c r="D264" s="28">
        <f>IF($C264="","",IFERROR(TRIM(LEFT($C264,FIND("-",$C264)-1)),""))</f>
        <v/>
      </c>
      <c r="E264" s="27" t="n"/>
      <c r="F264" s="29" t="n"/>
      <c r="G264" s="30" t="n"/>
      <c r="H264" s="30" t="n"/>
      <c r="I264" s="31">
        <f>IF($B264="","",$H264-$G264)</f>
        <v/>
      </c>
      <c r="J264" s="32">
        <f>IF(OR($B264="",$G264=0,$G264=""),"",$I264/$G264)</f>
        <v/>
      </c>
      <c r="K264" s="33" t="n"/>
      <c r="L264" s="33" t="n"/>
      <c r="M264" s="33" t="n"/>
      <c r="N264" s="33" t="n"/>
      <c r="O264" s="33" t="n"/>
      <c r="P264" s="32">
        <f>IF(OR($L264="",$N264=""),"",$L264-$N264)</f>
        <v/>
      </c>
      <c r="Q264" s="28">
        <f>IF($B264="","",IF(N($H264)&gt;0,"Live","Exited"))</f>
        <v/>
      </c>
      <c r="R264" s="28">
        <f>IF($B264="","",IF($L264="","Data Pending",IF($L264&gt;=Instructions!$D$19,"Best Fund",IF($L264&gt;=Instructions!$D$20,"Need to Improve","Not Performing"))))</f>
        <v/>
      </c>
      <c r="S264" s="7">
        <f>IF($R264="","",IF($R264="Data Pending","Enter the 3Y return",IF($R264="Best Fund","Hold / consider top-up",IF($R264="Need to Improve","Watch 2 quarters, then decide","Review with client - switch or exit"))))</f>
        <v/>
      </c>
      <c r="T264" s="27" t="n"/>
      <c r="U264" s="7">
        <f>IF($R264&lt;&gt;"Best Fund","",COUNTIFS($R$6:$R$505,"Best Fund",$L$6:$L$505,"&gt;"&amp;$L264)+COUNTIFS($R$6:$R264,"Best Fund",$L$6:$L264,$L264))</f>
        <v/>
      </c>
      <c r="V264" s="7">
        <f>IF($R264&lt;&gt;"Need to Improve","",COUNTIFS($R$6:$R$505,"Need to Improve",$L$6:$L$505,"&lt;"&amp;$L264)+COUNTIFS($R$6:$R264,"Need to Improve",$L$6:$L264,$L264))</f>
        <v/>
      </c>
      <c r="W264" s="7">
        <f>IF($R264&lt;&gt;"Not Performing","",COUNTIFS($R$6:$R$505,"Not Performing",$L$6:$L$505,"&lt;"&amp;$L264)+COUNTIFS($R$6:$R264,"Not Performing",$L$6:$L264,$L264))</f>
        <v/>
      </c>
    </row>
    <row r="265" ht="15" customHeight="1">
      <c r="A265" s="27" t="n"/>
      <c r="B265" s="27" t="n"/>
      <c r="C265" s="27" t="n"/>
      <c r="D265" s="28">
        <f>IF($C265="","",IFERROR(TRIM(LEFT($C265,FIND("-",$C265)-1)),""))</f>
        <v/>
      </c>
      <c r="E265" s="27" t="n"/>
      <c r="F265" s="29" t="n"/>
      <c r="G265" s="30" t="n"/>
      <c r="H265" s="30" t="n"/>
      <c r="I265" s="31">
        <f>IF($B265="","",$H265-$G265)</f>
        <v/>
      </c>
      <c r="J265" s="32">
        <f>IF(OR($B265="",$G265=0,$G265=""),"",$I265/$G265)</f>
        <v/>
      </c>
      <c r="K265" s="33" t="n"/>
      <c r="L265" s="33" t="n"/>
      <c r="M265" s="33" t="n"/>
      <c r="N265" s="33" t="n"/>
      <c r="O265" s="33" t="n"/>
      <c r="P265" s="32">
        <f>IF(OR($L265="",$N265=""),"",$L265-$N265)</f>
        <v/>
      </c>
      <c r="Q265" s="28">
        <f>IF($B265="","",IF(N($H265)&gt;0,"Live","Exited"))</f>
        <v/>
      </c>
      <c r="R265" s="28">
        <f>IF($B265="","",IF($L265="","Data Pending",IF($L265&gt;=Instructions!$D$19,"Best Fund",IF($L265&gt;=Instructions!$D$20,"Need to Improve","Not Performing"))))</f>
        <v/>
      </c>
      <c r="S265" s="7">
        <f>IF($R265="","",IF($R265="Data Pending","Enter the 3Y return",IF($R265="Best Fund","Hold / consider top-up",IF($R265="Need to Improve","Watch 2 quarters, then decide","Review with client - switch or exit"))))</f>
        <v/>
      </c>
      <c r="T265" s="27" t="n"/>
      <c r="U265" s="7">
        <f>IF($R265&lt;&gt;"Best Fund","",COUNTIFS($R$6:$R$505,"Best Fund",$L$6:$L$505,"&gt;"&amp;$L265)+COUNTIFS($R$6:$R265,"Best Fund",$L$6:$L265,$L265))</f>
        <v/>
      </c>
      <c r="V265" s="7">
        <f>IF($R265&lt;&gt;"Need to Improve","",COUNTIFS($R$6:$R$505,"Need to Improve",$L$6:$L$505,"&lt;"&amp;$L265)+COUNTIFS($R$6:$R265,"Need to Improve",$L$6:$L265,$L265))</f>
        <v/>
      </c>
      <c r="W265" s="7">
        <f>IF($R265&lt;&gt;"Not Performing","",COUNTIFS($R$6:$R$505,"Not Performing",$L$6:$L$505,"&lt;"&amp;$L265)+COUNTIFS($R$6:$R265,"Not Performing",$L$6:$L265,$L265))</f>
        <v/>
      </c>
    </row>
    <row r="266" ht="15" customHeight="1">
      <c r="A266" s="27" t="n"/>
      <c r="B266" s="27" t="n"/>
      <c r="C266" s="27" t="n"/>
      <c r="D266" s="28">
        <f>IF($C266="","",IFERROR(TRIM(LEFT($C266,FIND("-",$C266)-1)),""))</f>
        <v/>
      </c>
      <c r="E266" s="27" t="n"/>
      <c r="F266" s="29" t="n"/>
      <c r="G266" s="30" t="n"/>
      <c r="H266" s="30" t="n"/>
      <c r="I266" s="31">
        <f>IF($B266="","",$H266-$G266)</f>
        <v/>
      </c>
      <c r="J266" s="32">
        <f>IF(OR($B266="",$G266=0,$G266=""),"",$I266/$G266)</f>
        <v/>
      </c>
      <c r="K266" s="33" t="n"/>
      <c r="L266" s="33" t="n"/>
      <c r="M266" s="33" t="n"/>
      <c r="N266" s="33" t="n"/>
      <c r="O266" s="33" t="n"/>
      <c r="P266" s="32">
        <f>IF(OR($L266="",$N266=""),"",$L266-$N266)</f>
        <v/>
      </c>
      <c r="Q266" s="28">
        <f>IF($B266="","",IF(N($H266)&gt;0,"Live","Exited"))</f>
        <v/>
      </c>
      <c r="R266" s="28">
        <f>IF($B266="","",IF($L266="","Data Pending",IF($L266&gt;=Instructions!$D$19,"Best Fund",IF($L266&gt;=Instructions!$D$20,"Need to Improve","Not Performing"))))</f>
        <v/>
      </c>
      <c r="S266" s="7">
        <f>IF($R266="","",IF($R266="Data Pending","Enter the 3Y return",IF($R266="Best Fund","Hold / consider top-up",IF($R266="Need to Improve","Watch 2 quarters, then decide","Review with client - switch or exit"))))</f>
        <v/>
      </c>
      <c r="T266" s="27" t="n"/>
      <c r="U266" s="7">
        <f>IF($R266&lt;&gt;"Best Fund","",COUNTIFS($R$6:$R$505,"Best Fund",$L$6:$L$505,"&gt;"&amp;$L266)+COUNTIFS($R$6:$R266,"Best Fund",$L$6:$L266,$L266))</f>
        <v/>
      </c>
      <c r="V266" s="7">
        <f>IF($R266&lt;&gt;"Need to Improve","",COUNTIFS($R$6:$R$505,"Need to Improve",$L$6:$L$505,"&lt;"&amp;$L266)+COUNTIFS($R$6:$R266,"Need to Improve",$L$6:$L266,$L266))</f>
        <v/>
      </c>
      <c r="W266" s="7">
        <f>IF($R266&lt;&gt;"Not Performing","",COUNTIFS($R$6:$R$505,"Not Performing",$L$6:$L$505,"&lt;"&amp;$L266)+COUNTIFS($R$6:$R266,"Not Performing",$L$6:$L266,$L266))</f>
        <v/>
      </c>
    </row>
    <row r="267" ht="15" customHeight="1">
      <c r="A267" s="27" t="n"/>
      <c r="B267" s="27" t="n"/>
      <c r="C267" s="27" t="n"/>
      <c r="D267" s="28">
        <f>IF($C267="","",IFERROR(TRIM(LEFT($C267,FIND("-",$C267)-1)),""))</f>
        <v/>
      </c>
      <c r="E267" s="27" t="n"/>
      <c r="F267" s="29" t="n"/>
      <c r="G267" s="30" t="n"/>
      <c r="H267" s="30" t="n"/>
      <c r="I267" s="31">
        <f>IF($B267="","",$H267-$G267)</f>
        <v/>
      </c>
      <c r="J267" s="32">
        <f>IF(OR($B267="",$G267=0,$G267=""),"",$I267/$G267)</f>
        <v/>
      </c>
      <c r="K267" s="33" t="n"/>
      <c r="L267" s="33" t="n"/>
      <c r="M267" s="33" t="n"/>
      <c r="N267" s="33" t="n"/>
      <c r="O267" s="33" t="n"/>
      <c r="P267" s="32">
        <f>IF(OR($L267="",$N267=""),"",$L267-$N267)</f>
        <v/>
      </c>
      <c r="Q267" s="28">
        <f>IF($B267="","",IF(N($H267)&gt;0,"Live","Exited"))</f>
        <v/>
      </c>
      <c r="R267" s="28">
        <f>IF($B267="","",IF($L267="","Data Pending",IF($L267&gt;=Instructions!$D$19,"Best Fund",IF($L267&gt;=Instructions!$D$20,"Need to Improve","Not Performing"))))</f>
        <v/>
      </c>
      <c r="S267" s="7">
        <f>IF($R267="","",IF($R267="Data Pending","Enter the 3Y return",IF($R267="Best Fund","Hold / consider top-up",IF($R267="Need to Improve","Watch 2 quarters, then decide","Review with client - switch or exit"))))</f>
        <v/>
      </c>
      <c r="T267" s="27" t="n"/>
      <c r="U267" s="7">
        <f>IF($R267&lt;&gt;"Best Fund","",COUNTIFS($R$6:$R$505,"Best Fund",$L$6:$L$505,"&gt;"&amp;$L267)+COUNTIFS($R$6:$R267,"Best Fund",$L$6:$L267,$L267))</f>
        <v/>
      </c>
      <c r="V267" s="7">
        <f>IF($R267&lt;&gt;"Need to Improve","",COUNTIFS($R$6:$R$505,"Need to Improve",$L$6:$L$505,"&lt;"&amp;$L267)+COUNTIFS($R$6:$R267,"Need to Improve",$L$6:$L267,$L267))</f>
        <v/>
      </c>
      <c r="W267" s="7">
        <f>IF($R267&lt;&gt;"Not Performing","",COUNTIFS($R$6:$R$505,"Not Performing",$L$6:$L$505,"&lt;"&amp;$L267)+COUNTIFS($R$6:$R267,"Not Performing",$L$6:$L267,$L267))</f>
        <v/>
      </c>
    </row>
    <row r="268" ht="15" customHeight="1">
      <c r="A268" s="27" t="n"/>
      <c r="B268" s="27" t="n"/>
      <c r="C268" s="27" t="n"/>
      <c r="D268" s="28">
        <f>IF($C268="","",IFERROR(TRIM(LEFT($C268,FIND("-",$C268)-1)),""))</f>
        <v/>
      </c>
      <c r="E268" s="27" t="n"/>
      <c r="F268" s="29" t="n"/>
      <c r="G268" s="30" t="n"/>
      <c r="H268" s="30" t="n"/>
      <c r="I268" s="31">
        <f>IF($B268="","",$H268-$G268)</f>
        <v/>
      </c>
      <c r="J268" s="32">
        <f>IF(OR($B268="",$G268=0,$G268=""),"",$I268/$G268)</f>
        <v/>
      </c>
      <c r="K268" s="33" t="n"/>
      <c r="L268" s="33" t="n"/>
      <c r="M268" s="33" t="n"/>
      <c r="N268" s="33" t="n"/>
      <c r="O268" s="33" t="n"/>
      <c r="P268" s="32">
        <f>IF(OR($L268="",$N268=""),"",$L268-$N268)</f>
        <v/>
      </c>
      <c r="Q268" s="28">
        <f>IF($B268="","",IF(N($H268)&gt;0,"Live","Exited"))</f>
        <v/>
      </c>
      <c r="R268" s="28">
        <f>IF($B268="","",IF($L268="","Data Pending",IF($L268&gt;=Instructions!$D$19,"Best Fund",IF($L268&gt;=Instructions!$D$20,"Need to Improve","Not Performing"))))</f>
        <v/>
      </c>
      <c r="S268" s="7">
        <f>IF($R268="","",IF($R268="Data Pending","Enter the 3Y return",IF($R268="Best Fund","Hold / consider top-up",IF($R268="Need to Improve","Watch 2 quarters, then decide","Review with client - switch or exit"))))</f>
        <v/>
      </c>
      <c r="T268" s="27" t="n"/>
      <c r="U268" s="7">
        <f>IF($R268&lt;&gt;"Best Fund","",COUNTIFS($R$6:$R$505,"Best Fund",$L$6:$L$505,"&gt;"&amp;$L268)+COUNTIFS($R$6:$R268,"Best Fund",$L$6:$L268,$L268))</f>
        <v/>
      </c>
      <c r="V268" s="7">
        <f>IF($R268&lt;&gt;"Need to Improve","",COUNTIFS($R$6:$R$505,"Need to Improve",$L$6:$L$505,"&lt;"&amp;$L268)+COUNTIFS($R$6:$R268,"Need to Improve",$L$6:$L268,$L268))</f>
        <v/>
      </c>
      <c r="W268" s="7">
        <f>IF($R268&lt;&gt;"Not Performing","",COUNTIFS($R$6:$R$505,"Not Performing",$L$6:$L$505,"&lt;"&amp;$L268)+COUNTIFS($R$6:$R268,"Not Performing",$L$6:$L268,$L268))</f>
        <v/>
      </c>
    </row>
    <row r="269" ht="15" customHeight="1">
      <c r="A269" s="27" t="n"/>
      <c r="B269" s="27" t="n"/>
      <c r="C269" s="27" t="n"/>
      <c r="D269" s="28">
        <f>IF($C269="","",IFERROR(TRIM(LEFT($C269,FIND("-",$C269)-1)),""))</f>
        <v/>
      </c>
      <c r="E269" s="27" t="n"/>
      <c r="F269" s="29" t="n"/>
      <c r="G269" s="30" t="n"/>
      <c r="H269" s="30" t="n"/>
      <c r="I269" s="31">
        <f>IF($B269="","",$H269-$G269)</f>
        <v/>
      </c>
      <c r="J269" s="32">
        <f>IF(OR($B269="",$G269=0,$G269=""),"",$I269/$G269)</f>
        <v/>
      </c>
      <c r="K269" s="33" t="n"/>
      <c r="L269" s="33" t="n"/>
      <c r="M269" s="33" t="n"/>
      <c r="N269" s="33" t="n"/>
      <c r="O269" s="33" t="n"/>
      <c r="P269" s="32">
        <f>IF(OR($L269="",$N269=""),"",$L269-$N269)</f>
        <v/>
      </c>
      <c r="Q269" s="28">
        <f>IF($B269="","",IF(N($H269)&gt;0,"Live","Exited"))</f>
        <v/>
      </c>
      <c r="R269" s="28">
        <f>IF($B269="","",IF($L269="","Data Pending",IF($L269&gt;=Instructions!$D$19,"Best Fund",IF($L269&gt;=Instructions!$D$20,"Need to Improve","Not Performing"))))</f>
        <v/>
      </c>
      <c r="S269" s="7">
        <f>IF($R269="","",IF($R269="Data Pending","Enter the 3Y return",IF($R269="Best Fund","Hold / consider top-up",IF($R269="Need to Improve","Watch 2 quarters, then decide","Review with client - switch or exit"))))</f>
        <v/>
      </c>
      <c r="T269" s="27" t="n"/>
      <c r="U269" s="7">
        <f>IF($R269&lt;&gt;"Best Fund","",COUNTIFS($R$6:$R$505,"Best Fund",$L$6:$L$505,"&gt;"&amp;$L269)+COUNTIFS($R$6:$R269,"Best Fund",$L$6:$L269,$L269))</f>
        <v/>
      </c>
      <c r="V269" s="7">
        <f>IF($R269&lt;&gt;"Need to Improve","",COUNTIFS($R$6:$R$505,"Need to Improve",$L$6:$L$505,"&lt;"&amp;$L269)+COUNTIFS($R$6:$R269,"Need to Improve",$L$6:$L269,$L269))</f>
        <v/>
      </c>
      <c r="W269" s="7">
        <f>IF($R269&lt;&gt;"Not Performing","",COUNTIFS($R$6:$R$505,"Not Performing",$L$6:$L$505,"&lt;"&amp;$L269)+COUNTIFS($R$6:$R269,"Not Performing",$L$6:$L269,$L269))</f>
        <v/>
      </c>
    </row>
    <row r="270" ht="15" customHeight="1">
      <c r="A270" s="27" t="n"/>
      <c r="B270" s="27" t="n"/>
      <c r="C270" s="27" t="n"/>
      <c r="D270" s="28">
        <f>IF($C270="","",IFERROR(TRIM(LEFT($C270,FIND("-",$C270)-1)),""))</f>
        <v/>
      </c>
      <c r="E270" s="27" t="n"/>
      <c r="F270" s="29" t="n"/>
      <c r="G270" s="30" t="n"/>
      <c r="H270" s="30" t="n"/>
      <c r="I270" s="31">
        <f>IF($B270="","",$H270-$G270)</f>
        <v/>
      </c>
      <c r="J270" s="32">
        <f>IF(OR($B270="",$G270=0,$G270=""),"",$I270/$G270)</f>
        <v/>
      </c>
      <c r="K270" s="33" t="n"/>
      <c r="L270" s="33" t="n"/>
      <c r="M270" s="33" t="n"/>
      <c r="N270" s="33" t="n"/>
      <c r="O270" s="33" t="n"/>
      <c r="P270" s="32">
        <f>IF(OR($L270="",$N270=""),"",$L270-$N270)</f>
        <v/>
      </c>
      <c r="Q270" s="28">
        <f>IF($B270="","",IF(N($H270)&gt;0,"Live","Exited"))</f>
        <v/>
      </c>
      <c r="R270" s="28">
        <f>IF($B270="","",IF($L270="","Data Pending",IF($L270&gt;=Instructions!$D$19,"Best Fund",IF($L270&gt;=Instructions!$D$20,"Need to Improve","Not Performing"))))</f>
        <v/>
      </c>
      <c r="S270" s="7">
        <f>IF($R270="","",IF($R270="Data Pending","Enter the 3Y return",IF($R270="Best Fund","Hold / consider top-up",IF($R270="Need to Improve","Watch 2 quarters, then decide","Review with client - switch or exit"))))</f>
        <v/>
      </c>
      <c r="T270" s="27" t="n"/>
      <c r="U270" s="7">
        <f>IF($R270&lt;&gt;"Best Fund","",COUNTIFS($R$6:$R$505,"Best Fund",$L$6:$L$505,"&gt;"&amp;$L270)+COUNTIFS($R$6:$R270,"Best Fund",$L$6:$L270,$L270))</f>
        <v/>
      </c>
      <c r="V270" s="7">
        <f>IF($R270&lt;&gt;"Need to Improve","",COUNTIFS($R$6:$R$505,"Need to Improve",$L$6:$L$505,"&lt;"&amp;$L270)+COUNTIFS($R$6:$R270,"Need to Improve",$L$6:$L270,$L270))</f>
        <v/>
      </c>
      <c r="W270" s="7">
        <f>IF($R270&lt;&gt;"Not Performing","",COUNTIFS($R$6:$R$505,"Not Performing",$L$6:$L$505,"&lt;"&amp;$L270)+COUNTIFS($R$6:$R270,"Not Performing",$L$6:$L270,$L270))</f>
        <v/>
      </c>
    </row>
    <row r="271" ht="15" customHeight="1">
      <c r="A271" s="27" t="n"/>
      <c r="B271" s="27" t="n"/>
      <c r="C271" s="27" t="n"/>
      <c r="D271" s="28">
        <f>IF($C271="","",IFERROR(TRIM(LEFT($C271,FIND("-",$C271)-1)),""))</f>
        <v/>
      </c>
      <c r="E271" s="27" t="n"/>
      <c r="F271" s="29" t="n"/>
      <c r="G271" s="30" t="n"/>
      <c r="H271" s="30" t="n"/>
      <c r="I271" s="31">
        <f>IF($B271="","",$H271-$G271)</f>
        <v/>
      </c>
      <c r="J271" s="32">
        <f>IF(OR($B271="",$G271=0,$G271=""),"",$I271/$G271)</f>
        <v/>
      </c>
      <c r="K271" s="33" t="n"/>
      <c r="L271" s="33" t="n"/>
      <c r="M271" s="33" t="n"/>
      <c r="N271" s="33" t="n"/>
      <c r="O271" s="33" t="n"/>
      <c r="P271" s="32">
        <f>IF(OR($L271="",$N271=""),"",$L271-$N271)</f>
        <v/>
      </c>
      <c r="Q271" s="28">
        <f>IF($B271="","",IF(N($H271)&gt;0,"Live","Exited"))</f>
        <v/>
      </c>
      <c r="R271" s="28">
        <f>IF($B271="","",IF($L271="","Data Pending",IF($L271&gt;=Instructions!$D$19,"Best Fund",IF($L271&gt;=Instructions!$D$20,"Need to Improve","Not Performing"))))</f>
        <v/>
      </c>
      <c r="S271" s="7">
        <f>IF($R271="","",IF($R271="Data Pending","Enter the 3Y return",IF($R271="Best Fund","Hold / consider top-up",IF($R271="Need to Improve","Watch 2 quarters, then decide","Review with client - switch or exit"))))</f>
        <v/>
      </c>
      <c r="T271" s="27" t="n"/>
      <c r="U271" s="7">
        <f>IF($R271&lt;&gt;"Best Fund","",COUNTIFS($R$6:$R$505,"Best Fund",$L$6:$L$505,"&gt;"&amp;$L271)+COUNTIFS($R$6:$R271,"Best Fund",$L$6:$L271,$L271))</f>
        <v/>
      </c>
      <c r="V271" s="7">
        <f>IF($R271&lt;&gt;"Need to Improve","",COUNTIFS($R$6:$R$505,"Need to Improve",$L$6:$L$505,"&lt;"&amp;$L271)+COUNTIFS($R$6:$R271,"Need to Improve",$L$6:$L271,$L271))</f>
        <v/>
      </c>
      <c r="W271" s="7">
        <f>IF($R271&lt;&gt;"Not Performing","",COUNTIFS($R$6:$R$505,"Not Performing",$L$6:$L$505,"&lt;"&amp;$L271)+COUNTIFS($R$6:$R271,"Not Performing",$L$6:$L271,$L271))</f>
        <v/>
      </c>
    </row>
    <row r="272" ht="15" customHeight="1">
      <c r="A272" s="27" t="n"/>
      <c r="B272" s="27" t="n"/>
      <c r="C272" s="27" t="n"/>
      <c r="D272" s="28">
        <f>IF($C272="","",IFERROR(TRIM(LEFT($C272,FIND("-",$C272)-1)),""))</f>
        <v/>
      </c>
      <c r="E272" s="27" t="n"/>
      <c r="F272" s="29" t="n"/>
      <c r="G272" s="30" t="n"/>
      <c r="H272" s="30" t="n"/>
      <c r="I272" s="31">
        <f>IF($B272="","",$H272-$G272)</f>
        <v/>
      </c>
      <c r="J272" s="32">
        <f>IF(OR($B272="",$G272=0,$G272=""),"",$I272/$G272)</f>
        <v/>
      </c>
      <c r="K272" s="33" t="n"/>
      <c r="L272" s="33" t="n"/>
      <c r="M272" s="33" t="n"/>
      <c r="N272" s="33" t="n"/>
      <c r="O272" s="33" t="n"/>
      <c r="P272" s="32">
        <f>IF(OR($L272="",$N272=""),"",$L272-$N272)</f>
        <v/>
      </c>
      <c r="Q272" s="28">
        <f>IF($B272="","",IF(N($H272)&gt;0,"Live","Exited"))</f>
        <v/>
      </c>
      <c r="R272" s="28">
        <f>IF($B272="","",IF($L272="","Data Pending",IF($L272&gt;=Instructions!$D$19,"Best Fund",IF($L272&gt;=Instructions!$D$20,"Need to Improve","Not Performing"))))</f>
        <v/>
      </c>
      <c r="S272" s="7">
        <f>IF($R272="","",IF($R272="Data Pending","Enter the 3Y return",IF($R272="Best Fund","Hold / consider top-up",IF($R272="Need to Improve","Watch 2 quarters, then decide","Review with client - switch or exit"))))</f>
        <v/>
      </c>
      <c r="T272" s="27" t="n"/>
      <c r="U272" s="7">
        <f>IF($R272&lt;&gt;"Best Fund","",COUNTIFS($R$6:$R$505,"Best Fund",$L$6:$L$505,"&gt;"&amp;$L272)+COUNTIFS($R$6:$R272,"Best Fund",$L$6:$L272,$L272))</f>
        <v/>
      </c>
      <c r="V272" s="7">
        <f>IF($R272&lt;&gt;"Need to Improve","",COUNTIFS($R$6:$R$505,"Need to Improve",$L$6:$L$505,"&lt;"&amp;$L272)+COUNTIFS($R$6:$R272,"Need to Improve",$L$6:$L272,$L272))</f>
        <v/>
      </c>
      <c r="W272" s="7">
        <f>IF($R272&lt;&gt;"Not Performing","",COUNTIFS($R$6:$R$505,"Not Performing",$L$6:$L$505,"&lt;"&amp;$L272)+COUNTIFS($R$6:$R272,"Not Performing",$L$6:$L272,$L272))</f>
        <v/>
      </c>
    </row>
    <row r="273" ht="15" customHeight="1">
      <c r="A273" s="27" t="n"/>
      <c r="B273" s="27" t="n"/>
      <c r="C273" s="27" t="n"/>
      <c r="D273" s="28">
        <f>IF($C273="","",IFERROR(TRIM(LEFT($C273,FIND("-",$C273)-1)),""))</f>
        <v/>
      </c>
      <c r="E273" s="27" t="n"/>
      <c r="F273" s="29" t="n"/>
      <c r="G273" s="30" t="n"/>
      <c r="H273" s="30" t="n"/>
      <c r="I273" s="31">
        <f>IF($B273="","",$H273-$G273)</f>
        <v/>
      </c>
      <c r="J273" s="32">
        <f>IF(OR($B273="",$G273=0,$G273=""),"",$I273/$G273)</f>
        <v/>
      </c>
      <c r="K273" s="33" t="n"/>
      <c r="L273" s="33" t="n"/>
      <c r="M273" s="33" t="n"/>
      <c r="N273" s="33" t="n"/>
      <c r="O273" s="33" t="n"/>
      <c r="P273" s="32">
        <f>IF(OR($L273="",$N273=""),"",$L273-$N273)</f>
        <v/>
      </c>
      <c r="Q273" s="28">
        <f>IF($B273="","",IF(N($H273)&gt;0,"Live","Exited"))</f>
        <v/>
      </c>
      <c r="R273" s="28">
        <f>IF($B273="","",IF($L273="","Data Pending",IF($L273&gt;=Instructions!$D$19,"Best Fund",IF($L273&gt;=Instructions!$D$20,"Need to Improve","Not Performing"))))</f>
        <v/>
      </c>
      <c r="S273" s="7">
        <f>IF($R273="","",IF($R273="Data Pending","Enter the 3Y return",IF($R273="Best Fund","Hold / consider top-up",IF($R273="Need to Improve","Watch 2 quarters, then decide","Review with client - switch or exit"))))</f>
        <v/>
      </c>
      <c r="T273" s="27" t="n"/>
      <c r="U273" s="7">
        <f>IF($R273&lt;&gt;"Best Fund","",COUNTIFS($R$6:$R$505,"Best Fund",$L$6:$L$505,"&gt;"&amp;$L273)+COUNTIFS($R$6:$R273,"Best Fund",$L$6:$L273,$L273))</f>
        <v/>
      </c>
      <c r="V273" s="7">
        <f>IF($R273&lt;&gt;"Need to Improve","",COUNTIFS($R$6:$R$505,"Need to Improve",$L$6:$L$505,"&lt;"&amp;$L273)+COUNTIFS($R$6:$R273,"Need to Improve",$L$6:$L273,$L273))</f>
        <v/>
      </c>
      <c r="W273" s="7">
        <f>IF($R273&lt;&gt;"Not Performing","",COUNTIFS($R$6:$R$505,"Not Performing",$L$6:$L$505,"&lt;"&amp;$L273)+COUNTIFS($R$6:$R273,"Not Performing",$L$6:$L273,$L273))</f>
        <v/>
      </c>
    </row>
    <row r="274" ht="15" customHeight="1">
      <c r="A274" s="27" t="n"/>
      <c r="B274" s="27" t="n"/>
      <c r="C274" s="27" t="n"/>
      <c r="D274" s="28">
        <f>IF($C274="","",IFERROR(TRIM(LEFT($C274,FIND("-",$C274)-1)),""))</f>
        <v/>
      </c>
      <c r="E274" s="27" t="n"/>
      <c r="F274" s="29" t="n"/>
      <c r="G274" s="30" t="n"/>
      <c r="H274" s="30" t="n"/>
      <c r="I274" s="31">
        <f>IF($B274="","",$H274-$G274)</f>
        <v/>
      </c>
      <c r="J274" s="32">
        <f>IF(OR($B274="",$G274=0,$G274=""),"",$I274/$G274)</f>
        <v/>
      </c>
      <c r="K274" s="33" t="n"/>
      <c r="L274" s="33" t="n"/>
      <c r="M274" s="33" t="n"/>
      <c r="N274" s="33" t="n"/>
      <c r="O274" s="33" t="n"/>
      <c r="P274" s="32">
        <f>IF(OR($L274="",$N274=""),"",$L274-$N274)</f>
        <v/>
      </c>
      <c r="Q274" s="28">
        <f>IF($B274="","",IF(N($H274)&gt;0,"Live","Exited"))</f>
        <v/>
      </c>
      <c r="R274" s="28">
        <f>IF($B274="","",IF($L274="","Data Pending",IF($L274&gt;=Instructions!$D$19,"Best Fund",IF($L274&gt;=Instructions!$D$20,"Need to Improve","Not Performing"))))</f>
        <v/>
      </c>
      <c r="S274" s="7">
        <f>IF($R274="","",IF($R274="Data Pending","Enter the 3Y return",IF($R274="Best Fund","Hold / consider top-up",IF($R274="Need to Improve","Watch 2 quarters, then decide","Review with client - switch or exit"))))</f>
        <v/>
      </c>
      <c r="T274" s="27" t="n"/>
      <c r="U274" s="7">
        <f>IF($R274&lt;&gt;"Best Fund","",COUNTIFS($R$6:$R$505,"Best Fund",$L$6:$L$505,"&gt;"&amp;$L274)+COUNTIFS($R$6:$R274,"Best Fund",$L$6:$L274,$L274))</f>
        <v/>
      </c>
      <c r="V274" s="7">
        <f>IF($R274&lt;&gt;"Need to Improve","",COUNTIFS($R$6:$R$505,"Need to Improve",$L$6:$L$505,"&lt;"&amp;$L274)+COUNTIFS($R$6:$R274,"Need to Improve",$L$6:$L274,$L274))</f>
        <v/>
      </c>
      <c r="W274" s="7">
        <f>IF($R274&lt;&gt;"Not Performing","",COUNTIFS($R$6:$R$505,"Not Performing",$L$6:$L$505,"&lt;"&amp;$L274)+COUNTIFS($R$6:$R274,"Not Performing",$L$6:$L274,$L274))</f>
        <v/>
      </c>
    </row>
    <row r="275" ht="15" customHeight="1">
      <c r="A275" s="27" t="n"/>
      <c r="B275" s="27" t="n"/>
      <c r="C275" s="27" t="n"/>
      <c r="D275" s="28">
        <f>IF($C275="","",IFERROR(TRIM(LEFT($C275,FIND("-",$C275)-1)),""))</f>
        <v/>
      </c>
      <c r="E275" s="27" t="n"/>
      <c r="F275" s="29" t="n"/>
      <c r="G275" s="30" t="n"/>
      <c r="H275" s="30" t="n"/>
      <c r="I275" s="31">
        <f>IF($B275="","",$H275-$G275)</f>
        <v/>
      </c>
      <c r="J275" s="32">
        <f>IF(OR($B275="",$G275=0,$G275=""),"",$I275/$G275)</f>
        <v/>
      </c>
      <c r="K275" s="33" t="n"/>
      <c r="L275" s="33" t="n"/>
      <c r="M275" s="33" t="n"/>
      <c r="N275" s="33" t="n"/>
      <c r="O275" s="33" t="n"/>
      <c r="P275" s="32">
        <f>IF(OR($L275="",$N275=""),"",$L275-$N275)</f>
        <v/>
      </c>
      <c r="Q275" s="28">
        <f>IF($B275="","",IF(N($H275)&gt;0,"Live","Exited"))</f>
        <v/>
      </c>
      <c r="R275" s="28">
        <f>IF($B275="","",IF($L275="","Data Pending",IF($L275&gt;=Instructions!$D$19,"Best Fund",IF($L275&gt;=Instructions!$D$20,"Need to Improve","Not Performing"))))</f>
        <v/>
      </c>
      <c r="S275" s="7">
        <f>IF($R275="","",IF($R275="Data Pending","Enter the 3Y return",IF($R275="Best Fund","Hold / consider top-up",IF($R275="Need to Improve","Watch 2 quarters, then decide","Review with client - switch or exit"))))</f>
        <v/>
      </c>
      <c r="T275" s="27" t="n"/>
      <c r="U275" s="7">
        <f>IF($R275&lt;&gt;"Best Fund","",COUNTIFS($R$6:$R$505,"Best Fund",$L$6:$L$505,"&gt;"&amp;$L275)+COUNTIFS($R$6:$R275,"Best Fund",$L$6:$L275,$L275))</f>
        <v/>
      </c>
      <c r="V275" s="7">
        <f>IF($R275&lt;&gt;"Need to Improve","",COUNTIFS($R$6:$R$505,"Need to Improve",$L$6:$L$505,"&lt;"&amp;$L275)+COUNTIFS($R$6:$R275,"Need to Improve",$L$6:$L275,$L275))</f>
        <v/>
      </c>
      <c r="W275" s="7">
        <f>IF($R275&lt;&gt;"Not Performing","",COUNTIFS($R$6:$R$505,"Not Performing",$L$6:$L$505,"&lt;"&amp;$L275)+COUNTIFS($R$6:$R275,"Not Performing",$L$6:$L275,$L275))</f>
        <v/>
      </c>
    </row>
    <row r="276" ht="15" customHeight="1">
      <c r="A276" s="27" t="n"/>
      <c r="B276" s="27" t="n"/>
      <c r="C276" s="27" t="n"/>
      <c r="D276" s="28">
        <f>IF($C276="","",IFERROR(TRIM(LEFT($C276,FIND("-",$C276)-1)),""))</f>
        <v/>
      </c>
      <c r="E276" s="27" t="n"/>
      <c r="F276" s="29" t="n"/>
      <c r="G276" s="30" t="n"/>
      <c r="H276" s="30" t="n"/>
      <c r="I276" s="31">
        <f>IF($B276="","",$H276-$G276)</f>
        <v/>
      </c>
      <c r="J276" s="32">
        <f>IF(OR($B276="",$G276=0,$G276=""),"",$I276/$G276)</f>
        <v/>
      </c>
      <c r="K276" s="33" t="n"/>
      <c r="L276" s="33" t="n"/>
      <c r="M276" s="33" t="n"/>
      <c r="N276" s="33" t="n"/>
      <c r="O276" s="33" t="n"/>
      <c r="P276" s="32">
        <f>IF(OR($L276="",$N276=""),"",$L276-$N276)</f>
        <v/>
      </c>
      <c r="Q276" s="28">
        <f>IF($B276="","",IF(N($H276)&gt;0,"Live","Exited"))</f>
        <v/>
      </c>
      <c r="R276" s="28">
        <f>IF($B276="","",IF($L276="","Data Pending",IF($L276&gt;=Instructions!$D$19,"Best Fund",IF($L276&gt;=Instructions!$D$20,"Need to Improve","Not Performing"))))</f>
        <v/>
      </c>
      <c r="S276" s="7">
        <f>IF($R276="","",IF($R276="Data Pending","Enter the 3Y return",IF($R276="Best Fund","Hold / consider top-up",IF($R276="Need to Improve","Watch 2 quarters, then decide","Review with client - switch or exit"))))</f>
        <v/>
      </c>
      <c r="T276" s="27" t="n"/>
      <c r="U276" s="7">
        <f>IF($R276&lt;&gt;"Best Fund","",COUNTIFS($R$6:$R$505,"Best Fund",$L$6:$L$505,"&gt;"&amp;$L276)+COUNTIFS($R$6:$R276,"Best Fund",$L$6:$L276,$L276))</f>
        <v/>
      </c>
      <c r="V276" s="7">
        <f>IF($R276&lt;&gt;"Need to Improve","",COUNTIFS($R$6:$R$505,"Need to Improve",$L$6:$L$505,"&lt;"&amp;$L276)+COUNTIFS($R$6:$R276,"Need to Improve",$L$6:$L276,$L276))</f>
        <v/>
      </c>
      <c r="W276" s="7">
        <f>IF($R276&lt;&gt;"Not Performing","",COUNTIFS($R$6:$R$505,"Not Performing",$L$6:$L$505,"&lt;"&amp;$L276)+COUNTIFS($R$6:$R276,"Not Performing",$L$6:$L276,$L276))</f>
        <v/>
      </c>
    </row>
    <row r="277" ht="15" customHeight="1">
      <c r="A277" s="27" t="n"/>
      <c r="B277" s="27" t="n"/>
      <c r="C277" s="27" t="n"/>
      <c r="D277" s="28">
        <f>IF($C277="","",IFERROR(TRIM(LEFT($C277,FIND("-",$C277)-1)),""))</f>
        <v/>
      </c>
      <c r="E277" s="27" t="n"/>
      <c r="F277" s="29" t="n"/>
      <c r="G277" s="30" t="n"/>
      <c r="H277" s="30" t="n"/>
      <c r="I277" s="31">
        <f>IF($B277="","",$H277-$G277)</f>
        <v/>
      </c>
      <c r="J277" s="32">
        <f>IF(OR($B277="",$G277=0,$G277=""),"",$I277/$G277)</f>
        <v/>
      </c>
      <c r="K277" s="33" t="n"/>
      <c r="L277" s="33" t="n"/>
      <c r="M277" s="33" t="n"/>
      <c r="N277" s="33" t="n"/>
      <c r="O277" s="33" t="n"/>
      <c r="P277" s="32">
        <f>IF(OR($L277="",$N277=""),"",$L277-$N277)</f>
        <v/>
      </c>
      <c r="Q277" s="28">
        <f>IF($B277="","",IF(N($H277)&gt;0,"Live","Exited"))</f>
        <v/>
      </c>
      <c r="R277" s="28">
        <f>IF($B277="","",IF($L277="","Data Pending",IF($L277&gt;=Instructions!$D$19,"Best Fund",IF($L277&gt;=Instructions!$D$20,"Need to Improve","Not Performing"))))</f>
        <v/>
      </c>
      <c r="S277" s="7">
        <f>IF($R277="","",IF($R277="Data Pending","Enter the 3Y return",IF($R277="Best Fund","Hold / consider top-up",IF($R277="Need to Improve","Watch 2 quarters, then decide","Review with client - switch or exit"))))</f>
        <v/>
      </c>
      <c r="T277" s="27" t="n"/>
      <c r="U277" s="7">
        <f>IF($R277&lt;&gt;"Best Fund","",COUNTIFS($R$6:$R$505,"Best Fund",$L$6:$L$505,"&gt;"&amp;$L277)+COUNTIFS($R$6:$R277,"Best Fund",$L$6:$L277,$L277))</f>
        <v/>
      </c>
      <c r="V277" s="7">
        <f>IF($R277&lt;&gt;"Need to Improve","",COUNTIFS($R$6:$R$505,"Need to Improve",$L$6:$L$505,"&lt;"&amp;$L277)+COUNTIFS($R$6:$R277,"Need to Improve",$L$6:$L277,$L277))</f>
        <v/>
      </c>
      <c r="W277" s="7">
        <f>IF($R277&lt;&gt;"Not Performing","",COUNTIFS($R$6:$R$505,"Not Performing",$L$6:$L$505,"&lt;"&amp;$L277)+COUNTIFS($R$6:$R277,"Not Performing",$L$6:$L277,$L277))</f>
        <v/>
      </c>
    </row>
    <row r="278" ht="15" customHeight="1">
      <c r="A278" s="27" t="n"/>
      <c r="B278" s="27" t="n"/>
      <c r="C278" s="27" t="n"/>
      <c r="D278" s="28">
        <f>IF($C278="","",IFERROR(TRIM(LEFT($C278,FIND("-",$C278)-1)),""))</f>
        <v/>
      </c>
      <c r="E278" s="27" t="n"/>
      <c r="F278" s="29" t="n"/>
      <c r="G278" s="30" t="n"/>
      <c r="H278" s="30" t="n"/>
      <c r="I278" s="31">
        <f>IF($B278="","",$H278-$G278)</f>
        <v/>
      </c>
      <c r="J278" s="32">
        <f>IF(OR($B278="",$G278=0,$G278=""),"",$I278/$G278)</f>
        <v/>
      </c>
      <c r="K278" s="33" t="n"/>
      <c r="L278" s="33" t="n"/>
      <c r="M278" s="33" t="n"/>
      <c r="N278" s="33" t="n"/>
      <c r="O278" s="33" t="n"/>
      <c r="P278" s="32">
        <f>IF(OR($L278="",$N278=""),"",$L278-$N278)</f>
        <v/>
      </c>
      <c r="Q278" s="28">
        <f>IF($B278="","",IF(N($H278)&gt;0,"Live","Exited"))</f>
        <v/>
      </c>
      <c r="R278" s="28">
        <f>IF($B278="","",IF($L278="","Data Pending",IF($L278&gt;=Instructions!$D$19,"Best Fund",IF($L278&gt;=Instructions!$D$20,"Need to Improve","Not Performing"))))</f>
        <v/>
      </c>
      <c r="S278" s="7">
        <f>IF($R278="","",IF($R278="Data Pending","Enter the 3Y return",IF($R278="Best Fund","Hold / consider top-up",IF($R278="Need to Improve","Watch 2 quarters, then decide","Review with client - switch or exit"))))</f>
        <v/>
      </c>
      <c r="T278" s="27" t="n"/>
      <c r="U278" s="7">
        <f>IF($R278&lt;&gt;"Best Fund","",COUNTIFS($R$6:$R$505,"Best Fund",$L$6:$L$505,"&gt;"&amp;$L278)+COUNTIFS($R$6:$R278,"Best Fund",$L$6:$L278,$L278))</f>
        <v/>
      </c>
      <c r="V278" s="7">
        <f>IF($R278&lt;&gt;"Need to Improve","",COUNTIFS($R$6:$R$505,"Need to Improve",$L$6:$L$505,"&lt;"&amp;$L278)+COUNTIFS($R$6:$R278,"Need to Improve",$L$6:$L278,$L278))</f>
        <v/>
      </c>
      <c r="W278" s="7">
        <f>IF($R278&lt;&gt;"Not Performing","",COUNTIFS($R$6:$R$505,"Not Performing",$L$6:$L$505,"&lt;"&amp;$L278)+COUNTIFS($R$6:$R278,"Not Performing",$L$6:$L278,$L278))</f>
        <v/>
      </c>
    </row>
    <row r="279" ht="15" customHeight="1">
      <c r="A279" s="27" t="n"/>
      <c r="B279" s="27" t="n"/>
      <c r="C279" s="27" t="n"/>
      <c r="D279" s="28">
        <f>IF($C279="","",IFERROR(TRIM(LEFT($C279,FIND("-",$C279)-1)),""))</f>
        <v/>
      </c>
      <c r="E279" s="27" t="n"/>
      <c r="F279" s="29" t="n"/>
      <c r="G279" s="30" t="n"/>
      <c r="H279" s="30" t="n"/>
      <c r="I279" s="31">
        <f>IF($B279="","",$H279-$G279)</f>
        <v/>
      </c>
      <c r="J279" s="32">
        <f>IF(OR($B279="",$G279=0,$G279=""),"",$I279/$G279)</f>
        <v/>
      </c>
      <c r="K279" s="33" t="n"/>
      <c r="L279" s="33" t="n"/>
      <c r="M279" s="33" t="n"/>
      <c r="N279" s="33" t="n"/>
      <c r="O279" s="33" t="n"/>
      <c r="P279" s="32">
        <f>IF(OR($L279="",$N279=""),"",$L279-$N279)</f>
        <v/>
      </c>
      <c r="Q279" s="28">
        <f>IF($B279="","",IF(N($H279)&gt;0,"Live","Exited"))</f>
        <v/>
      </c>
      <c r="R279" s="28">
        <f>IF($B279="","",IF($L279="","Data Pending",IF($L279&gt;=Instructions!$D$19,"Best Fund",IF($L279&gt;=Instructions!$D$20,"Need to Improve","Not Performing"))))</f>
        <v/>
      </c>
      <c r="S279" s="7">
        <f>IF($R279="","",IF($R279="Data Pending","Enter the 3Y return",IF($R279="Best Fund","Hold / consider top-up",IF($R279="Need to Improve","Watch 2 quarters, then decide","Review with client - switch or exit"))))</f>
        <v/>
      </c>
      <c r="T279" s="27" t="n"/>
      <c r="U279" s="7">
        <f>IF($R279&lt;&gt;"Best Fund","",COUNTIFS($R$6:$R$505,"Best Fund",$L$6:$L$505,"&gt;"&amp;$L279)+COUNTIFS($R$6:$R279,"Best Fund",$L$6:$L279,$L279))</f>
        <v/>
      </c>
      <c r="V279" s="7">
        <f>IF($R279&lt;&gt;"Need to Improve","",COUNTIFS($R$6:$R$505,"Need to Improve",$L$6:$L$505,"&lt;"&amp;$L279)+COUNTIFS($R$6:$R279,"Need to Improve",$L$6:$L279,$L279))</f>
        <v/>
      </c>
      <c r="W279" s="7">
        <f>IF($R279&lt;&gt;"Not Performing","",COUNTIFS($R$6:$R$505,"Not Performing",$L$6:$L$505,"&lt;"&amp;$L279)+COUNTIFS($R$6:$R279,"Not Performing",$L$6:$L279,$L279))</f>
        <v/>
      </c>
    </row>
    <row r="280" ht="15" customHeight="1">
      <c r="A280" s="27" t="n"/>
      <c r="B280" s="27" t="n"/>
      <c r="C280" s="27" t="n"/>
      <c r="D280" s="28">
        <f>IF($C280="","",IFERROR(TRIM(LEFT($C280,FIND("-",$C280)-1)),""))</f>
        <v/>
      </c>
      <c r="E280" s="27" t="n"/>
      <c r="F280" s="29" t="n"/>
      <c r="G280" s="30" t="n"/>
      <c r="H280" s="30" t="n"/>
      <c r="I280" s="31">
        <f>IF($B280="","",$H280-$G280)</f>
        <v/>
      </c>
      <c r="J280" s="32">
        <f>IF(OR($B280="",$G280=0,$G280=""),"",$I280/$G280)</f>
        <v/>
      </c>
      <c r="K280" s="33" t="n"/>
      <c r="L280" s="33" t="n"/>
      <c r="M280" s="33" t="n"/>
      <c r="N280" s="33" t="n"/>
      <c r="O280" s="33" t="n"/>
      <c r="P280" s="32">
        <f>IF(OR($L280="",$N280=""),"",$L280-$N280)</f>
        <v/>
      </c>
      <c r="Q280" s="28">
        <f>IF($B280="","",IF(N($H280)&gt;0,"Live","Exited"))</f>
        <v/>
      </c>
      <c r="R280" s="28">
        <f>IF($B280="","",IF($L280="","Data Pending",IF($L280&gt;=Instructions!$D$19,"Best Fund",IF($L280&gt;=Instructions!$D$20,"Need to Improve","Not Performing"))))</f>
        <v/>
      </c>
      <c r="S280" s="7">
        <f>IF($R280="","",IF($R280="Data Pending","Enter the 3Y return",IF($R280="Best Fund","Hold / consider top-up",IF($R280="Need to Improve","Watch 2 quarters, then decide","Review with client - switch or exit"))))</f>
        <v/>
      </c>
      <c r="T280" s="27" t="n"/>
      <c r="U280" s="7">
        <f>IF($R280&lt;&gt;"Best Fund","",COUNTIFS($R$6:$R$505,"Best Fund",$L$6:$L$505,"&gt;"&amp;$L280)+COUNTIFS($R$6:$R280,"Best Fund",$L$6:$L280,$L280))</f>
        <v/>
      </c>
      <c r="V280" s="7">
        <f>IF($R280&lt;&gt;"Need to Improve","",COUNTIFS($R$6:$R$505,"Need to Improve",$L$6:$L$505,"&lt;"&amp;$L280)+COUNTIFS($R$6:$R280,"Need to Improve",$L$6:$L280,$L280))</f>
        <v/>
      </c>
      <c r="W280" s="7">
        <f>IF($R280&lt;&gt;"Not Performing","",COUNTIFS($R$6:$R$505,"Not Performing",$L$6:$L$505,"&lt;"&amp;$L280)+COUNTIFS($R$6:$R280,"Not Performing",$L$6:$L280,$L280))</f>
        <v/>
      </c>
    </row>
    <row r="281" ht="15" customHeight="1">
      <c r="A281" s="27" t="n"/>
      <c r="B281" s="27" t="n"/>
      <c r="C281" s="27" t="n"/>
      <c r="D281" s="28">
        <f>IF($C281="","",IFERROR(TRIM(LEFT($C281,FIND("-",$C281)-1)),""))</f>
        <v/>
      </c>
      <c r="E281" s="27" t="n"/>
      <c r="F281" s="29" t="n"/>
      <c r="G281" s="30" t="n"/>
      <c r="H281" s="30" t="n"/>
      <c r="I281" s="31">
        <f>IF($B281="","",$H281-$G281)</f>
        <v/>
      </c>
      <c r="J281" s="32">
        <f>IF(OR($B281="",$G281=0,$G281=""),"",$I281/$G281)</f>
        <v/>
      </c>
      <c r="K281" s="33" t="n"/>
      <c r="L281" s="33" t="n"/>
      <c r="M281" s="33" t="n"/>
      <c r="N281" s="33" t="n"/>
      <c r="O281" s="33" t="n"/>
      <c r="P281" s="32">
        <f>IF(OR($L281="",$N281=""),"",$L281-$N281)</f>
        <v/>
      </c>
      <c r="Q281" s="28">
        <f>IF($B281="","",IF(N($H281)&gt;0,"Live","Exited"))</f>
        <v/>
      </c>
      <c r="R281" s="28">
        <f>IF($B281="","",IF($L281="","Data Pending",IF($L281&gt;=Instructions!$D$19,"Best Fund",IF($L281&gt;=Instructions!$D$20,"Need to Improve","Not Performing"))))</f>
        <v/>
      </c>
      <c r="S281" s="7">
        <f>IF($R281="","",IF($R281="Data Pending","Enter the 3Y return",IF($R281="Best Fund","Hold / consider top-up",IF($R281="Need to Improve","Watch 2 quarters, then decide","Review with client - switch or exit"))))</f>
        <v/>
      </c>
      <c r="T281" s="27" t="n"/>
      <c r="U281" s="7">
        <f>IF($R281&lt;&gt;"Best Fund","",COUNTIFS($R$6:$R$505,"Best Fund",$L$6:$L$505,"&gt;"&amp;$L281)+COUNTIFS($R$6:$R281,"Best Fund",$L$6:$L281,$L281))</f>
        <v/>
      </c>
      <c r="V281" s="7">
        <f>IF($R281&lt;&gt;"Need to Improve","",COUNTIFS($R$6:$R$505,"Need to Improve",$L$6:$L$505,"&lt;"&amp;$L281)+COUNTIFS($R$6:$R281,"Need to Improve",$L$6:$L281,$L281))</f>
        <v/>
      </c>
      <c r="W281" s="7">
        <f>IF($R281&lt;&gt;"Not Performing","",COUNTIFS($R$6:$R$505,"Not Performing",$L$6:$L$505,"&lt;"&amp;$L281)+COUNTIFS($R$6:$R281,"Not Performing",$L$6:$L281,$L281))</f>
        <v/>
      </c>
    </row>
    <row r="282" ht="15" customHeight="1">
      <c r="A282" s="27" t="n"/>
      <c r="B282" s="27" t="n"/>
      <c r="C282" s="27" t="n"/>
      <c r="D282" s="28">
        <f>IF($C282="","",IFERROR(TRIM(LEFT($C282,FIND("-",$C282)-1)),""))</f>
        <v/>
      </c>
      <c r="E282" s="27" t="n"/>
      <c r="F282" s="29" t="n"/>
      <c r="G282" s="30" t="n"/>
      <c r="H282" s="30" t="n"/>
      <c r="I282" s="31">
        <f>IF($B282="","",$H282-$G282)</f>
        <v/>
      </c>
      <c r="J282" s="32">
        <f>IF(OR($B282="",$G282=0,$G282=""),"",$I282/$G282)</f>
        <v/>
      </c>
      <c r="K282" s="33" t="n"/>
      <c r="L282" s="33" t="n"/>
      <c r="M282" s="33" t="n"/>
      <c r="N282" s="33" t="n"/>
      <c r="O282" s="33" t="n"/>
      <c r="P282" s="32">
        <f>IF(OR($L282="",$N282=""),"",$L282-$N282)</f>
        <v/>
      </c>
      <c r="Q282" s="28">
        <f>IF($B282="","",IF(N($H282)&gt;0,"Live","Exited"))</f>
        <v/>
      </c>
      <c r="R282" s="28">
        <f>IF($B282="","",IF($L282="","Data Pending",IF($L282&gt;=Instructions!$D$19,"Best Fund",IF($L282&gt;=Instructions!$D$20,"Need to Improve","Not Performing"))))</f>
        <v/>
      </c>
      <c r="S282" s="7">
        <f>IF($R282="","",IF($R282="Data Pending","Enter the 3Y return",IF($R282="Best Fund","Hold / consider top-up",IF($R282="Need to Improve","Watch 2 quarters, then decide","Review with client - switch or exit"))))</f>
        <v/>
      </c>
      <c r="T282" s="27" t="n"/>
      <c r="U282" s="7">
        <f>IF($R282&lt;&gt;"Best Fund","",COUNTIFS($R$6:$R$505,"Best Fund",$L$6:$L$505,"&gt;"&amp;$L282)+COUNTIFS($R$6:$R282,"Best Fund",$L$6:$L282,$L282))</f>
        <v/>
      </c>
      <c r="V282" s="7">
        <f>IF($R282&lt;&gt;"Need to Improve","",COUNTIFS($R$6:$R$505,"Need to Improve",$L$6:$L$505,"&lt;"&amp;$L282)+COUNTIFS($R$6:$R282,"Need to Improve",$L$6:$L282,$L282))</f>
        <v/>
      </c>
      <c r="W282" s="7">
        <f>IF($R282&lt;&gt;"Not Performing","",COUNTIFS($R$6:$R$505,"Not Performing",$L$6:$L$505,"&lt;"&amp;$L282)+COUNTIFS($R$6:$R282,"Not Performing",$L$6:$L282,$L282))</f>
        <v/>
      </c>
    </row>
    <row r="283" ht="15" customHeight="1">
      <c r="A283" s="27" t="n"/>
      <c r="B283" s="27" t="n"/>
      <c r="C283" s="27" t="n"/>
      <c r="D283" s="28">
        <f>IF($C283="","",IFERROR(TRIM(LEFT($C283,FIND("-",$C283)-1)),""))</f>
        <v/>
      </c>
      <c r="E283" s="27" t="n"/>
      <c r="F283" s="29" t="n"/>
      <c r="G283" s="30" t="n"/>
      <c r="H283" s="30" t="n"/>
      <c r="I283" s="31">
        <f>IF($B283="","",$H283-$G283)</f>
        <v/>
      </c>
      <c r="J283" s="32">
        <f>IF(OR($B283="",$G283=0,$G283=""),"",$I283/$G283)</f>
        <v/>
      </c>
      <c r="K283" s="33" t="n"/>
      <c r="L283" s="33" t="n"/>
      <c r="M283" s="33" t="n"/>
      <c r="N283" s="33" t="n"/>
      <c r="O283" s="33" t="n"/>
      <c r="P283" s="32">
        <f>IF(OR($L283="",$N283=""),"",$L283-$N283)</f>
        <v/>
      </c>
      <c r="Q283" s="28">
        <f>IF($B283="","",IF(N($H283)&gt;0,"Live","Exited"))</f>
        <v/>
      </c>
      <c r="R283" s="28">
        <f>IF($B283="","",IF($L283="","Data Pending",IF($L283&gt;=Instructions!$D$19,"Best Fund",IF($L283&gt;=Instructions!$D$20,"Need to Improve","Not Performing"))))</f>
        <v/>
      </c>
      <c r="S283" s="7">
        <f>IF($R283="","",IF($R283="Data Pending","Enter the 3Y return",IF($R283="Best Fund","Hold / consider top-up",IF($R283="Need to Improve","Watch 2 quarters, then decide","Review with client - switch or exit"))))</f>
        <v/>
      </c>
      <c r="T283" s="27" t="n"/>
      <c r="U283" s="7">
        <f>IF($R283&lt;&gt;"Best Fund","",COUNTIFS($R$6:$R$505,"Best Fund",$L$6:$L$505,"&gt;"&amp;$L283)+COUNTIFS($R$6:$R283,"Best Fund",$L$6:$L283,$L283))</f>
        <v/>
      </c>
      <c r="V283" s="7">
        <f>IF($R283&lt;&gt;"Need to Improve","",COUNTIFS($R$6:$R$505,"Need to Improve",$L$6:$L$505,"&lt;"&amp;$L283)+COUNTIFS($R$6:$R283,"Need to Improve",$L$6:$L283,$L283))</f>
        <v/>
      </c>
      <c r="W283" s="7">
        <f>IF($R283&lt;&gt;"Not Performing","",COUNTIFS($R$6:$R$505,"Not Performing",$L$6:$L$505,"&lt;"&amp;$L283)+COUNTIFS($R$6:$R283,"Not Performing",$L$6:$L283,$L283))</f>
        <v/>
      </c>
    </row>
    <row r="284" ht="15" customHeight="1">
      <c r="A284" s="27" t="n"/>
      <c r="B284" s="27" t="n"/>
      <c r="C284" s="27" t="n"/>
      <c r="D284" s="28">
        <f>IF($C284="","",IFERROR(TRIM(LEFT($C284,FIND("-",$C284)-1)),""))</f>
        <v/>
      </c>
      <c r="E284" s="27" t="n"/>
      <c r="F284" s="29" t="n"/>
      <c r="G284" s="30" t="n"/>
      <c r="H284" s="30" t="n"/>
      <c r="I284" s="31">
        <f>IF($B284="","",$H284-$G284)</f>
        <v/>
      </c>
      <c r="J284" s="32">
        <f>IF(OR($B284="",$G284=0,$G284=""),"",$I284/$G284)</f>
        <v/>
      </c>
      <c r="K284" s="33" t="n"/>
      <c r="L284" s="33" t="n"/>
      <c r="M284" s="33" t="n"/>
      <c r="N284" s="33" t="n"/>
      <c r="O284" s="33" t="n"/>
      <c r="P284" s="32">
        <f>IF(OR($L284="",$N284=""),"",$L284-$N284)</f>
        <v/>
      </c>
      <c r="Q284" s="28">
        <f>IF($B284="","",IF(N($H284)&gt;0,"Live","Exited"))</f>
        <v/>
      </c>
      <c r="R284" s="28">
        <f>IF($B284="","",IF($L284="","Data Pending",IF($L284&gt;=Instructions!$D$19,"Best Fund",IF($L284&gt;=Instructions!$D$20,"Need to Improve","Not Performing"))))</f>
        <v/>
      </c>
      <c r="S284" s="7">
        <f>IF($R284="","",IF($R284="Data Pending","Enter the 3Y return",IF($R284="Best Fund","Hold / consider top-up",IF($R284="Need to Improve","Watch 2 quarters, then decide","Review with client - switch or exit"))))</f>
        <v/>
      </c>
      <c r="T284" s="27" t="n"/>
      <c r="U284" s="7">
        <f>IF($R284&lt;&gt;"Best Fund","",COUNTIFS($R$6:$R$505,"Best Fund",$L$6:$L$505,"&gt;"&amp;$L284)+COUNTIFS($R$6:$R284,"Best Fund",$L$6:$L284,$L284))</f>
        <v/>
      </c>
      <c r="V284" s="7">
        <f>IF($R284&lt;&gt;"Need to Improve","",COUNTIFS($R$6:$R$505,"Need to Improve",$L$6:$L$505,"&lt;"&amp;$L284)+COUNTIFS($R$6:$R284,"Need to Improve",$L$6:$L284,$L284))</f>
        <v/>
      </c>
      <c r="W284" s="7">
        <f>IF($R284&lt;&gt;"Not Performing","",COUNTIFS($R$6:$R$505,"Not Performing",$L$6:$L$505,"&lt;"&amp;$L284)+COUNTIFS($R$6:$R284,"Not Performing",$L$6:$L284,$L284))</f>
        <v/>
      </c>
    </row>
    <row r="285" ht="15" customHeight="1">
      <c r="A285" s="27" t="n"/>
      <c r="B285" s="27" t="n"/>
      <c r="C285" s="27" t="n"/>
      <c r="D285" s="28">
        <f>IF($C285="","",IFERROR(TRIM(LEFT($C285,FIND("-",$C285)-1)),""))</f>
        <v/>
      </c>
      <c r="E285" s="27" t="n"/>
      <c r="F285" s="29" t="n"/>
      <c r="G285" s="30" t="n"/>
      <c r="H285" s="30" t="n"/>
      <c r="I285" s="31">
        <f>IF($B285="","",$H285-$G285)</f>
        <v/>
      </c>
      <c r="J285" s="32">
        <f>IF(OR($B285="",$G285=0,$G285=""),"",$I285/$G285)</f>
        <v/>
      </c>
      <c r="K285" s="33" t="n"/>
      <c r="L285" s="33" t="n"/>
      <c r="M285" s="33" t="n"/>
      <c r="N285" s="33" t="n"/>
      <c r="O285" s="33" t="n"/>
      <c r="P285" s="32">
        <f>IF(OR($L285="",$N285=""),"",$L285-$N285)</f>
        <v/>
      </c>
      <c r="Q285" s="28">
        <f>IF($B285="","",IF(N($H285)&gt;0,"Live","Exited"))</f>
        <v/>
      </c>
      <c r="R285" s="28">
        <f>IF($B285="","",IF($L285="","Data Pending",IF($L285&gt;=Instructions!$D$19,"Best Fund",IF($L285&gt;=Instructions!$D$20,"Need to Improve","Not Performing"))))</f>
        <v/>
      </c>
      <c r="S285" s="7">
        <f>IF($R285="","",IF($R285="Data Pending","Enter the 3Y return",IF($R285="Best Fund","Hold / consider top-up",IF($R285="Need to Improve","Watch 2 quarters, then decide","Review with client - switch or exit"))))</f>
        <v/>
      </c>
      <c r="T285" s="27" t="n"/>
      <c r="U285" s="7">
        <f>IF($R285&lt;&gt;"Best Fund","",COUNTIFS($R$6:$R$505,"Best Fund",$L$6:$L$505,"&gt;"&amp;$L285)+COUNTIFS($R$6:$R285,"Best Fund",$L$6:$L285,$L285))</f>
        <v/>
      </c>
      <c r="V285" s="7">
        <f>IF($R285&lt;&gt;"Need to Improve","",COUNTIFS($R$6:$R$505,"Need to Improve",$L$6:$L$505,"&lt;"&amp;$L285)+COUNTIFS($R$6:$R285,"Need to Improve",$L$6:$L285,$L285))</f>
        <v/>
      </c>
      <c r="W285" s="7">
        <f>IF($R285&lt;&gt;"Not Performing","",COUNTIFS($R$6:$R$505,"Not Performing",$L$6:$L$505,"&lt;"&amp;$L285)+COUNTIFS($R$6:$R285,"Not Performing",$L$6:$L285,$L285))</f>
        <v/>
      </c>
    </row>
    <row r="286" ht="15" customHeight="1">
      <c r="A286" s="27" t="n"/>
      <c r="B286" s="27" t="n"/>
      <c r="C286" s="27" t="n"/>
      <c r="D286" s="28">
        <f>IF($C286="","",IFERROR(TRIM(LEFT($C286,FIND("-",$C286)-1)),""))</f>
        <v/>
      </c>
      <c r="E286" s="27" t="n"/>
      <c r="F286" s="29" t="n"/>
      <c r="G286" s="30" t="n"/>
      <c r="H286" s="30" t="n"/>
      <c r="I286" s="31">
        <f>IF($B286="","",$H286-$G286)</f>
        <v/>
      </c>
      <c r="J286" s="32">
        <f>IF(OR($B286="",$G286=0,$G286=""),"",$I286/$G286)</f>
        <v/>
      </c>
      <c r="K286" s="33" t="n"/>
      <c r="L286" s="33" t="n"/>
      <c r="M286" s="33" t="n"/>
      <c r="N286" s="33" t="n"/>
      <c r="O286" s="33" t="n"/>
      <c r="P286" s="32">
        <f>IF(OR($L286="",$N286=""),"",$L286-$N286)</f>
        <v/>
      </c>
      <c r="Q286" s="28">
        <f>IF($B286="","",IF(N($H286)&gt;0,"Live","Exited"))</f>
        <v/>
      </c>
      <c r="R286" s="28">
        <f>IF($B286="","",IF($L286="","Data Pending",IF($L286&gt;=Instructions!$D$19,"Best Fund",IF($L286&gt;=Instructions!$D$20,"Need to Improve","Not Performing"))))</f>
        <v/>
      </c>
      <c r="S286" s="7">
        <f>IF($R286="","",IF($R286="Data Pending","Enter the 3Y return",IF($R286="Best Fund","Hold / consider top-up",IF($R286="Need to Improve","Watch 2 quarters, then decide","Review with client - switch or exit"))))</f>
        <v/>
      </c>
      <c r="T286" s="27" t="n"/>
      <c r="U286" s="7">
        <f>IF($R286&lt;&gt;"Best Fund","",COUNTIFS($R$6:$R$505,"Best Fund",$L$6:$L$505,"&gt;"&amp;$L286)+COUNTIFS($R$6:$R286,"Best Fund",$L$6:$L286,$L286))</f>
        <v/>
      </c>
      <c r="V286" s="7">
        <f>IF($R286&lt;&gt;"Need to Improve","",COUNTIFS($R$6:$R$505,"Need to Improve",$L$6:$L$505,"&lt;"&amp;$L286)+COUNTIFS($R$6:$R286,"Need to Improve",$L$6:$L286,$L286))</f>
        <v/>
      </c>
      <c r="W286" s="7">
        <f>IF($R286&lt;&gt;"Not Performing","",COUNTIFS($R$6:$R$505,"Not Performing",$L$6:$L$505,"&lt;"&amp;$L286)+COUNTIFS($R$6:$R286,"Not Performing",$L$6:$L286,$L286))</f>
        <v/>
      </c>
    </row>
    <row r="287" ht="15" customHeight="1">
      <c r="A287" s="27" t="n"/>
      <c r="B287" s="27" t="n"/>
      <c r="C287" s="27" t="n"/>
      <c r="D287" s="28">
        <f>IF($C287="","",IFERROR(TRIM(LEFT($C287,FIND("-",$C287)-1)),""))</f>
        <v/>
      </c>
      <c r="E287" s="27" t="n"/>
      <c r="F287" s="29" t="n"/>
      <c r="G287" s="30" t="n"/>
      <c r="H287" s="30" t="n"/>
      <c r="I287" s="31">
        <f>IF($B287="","",$H287-$G287)</f>
        <v/>
      </c>
      <c r="J287" s="32">
        <f>IF(OR($B287="",$G287=0,$G287=""),"",$I287/$G287)</f>
        <v/>
      </c>
      <c r="K287" s="33" t="n"/>
      <c r="L287" s="33" t="n"/>
      <c r="M287" s="33" t="n"/>
      <c r="N287" s="33" t="n"/>
      <c r="O287" s="33" t="n"/>
      <c r="P287" s="32">
        <f>IF(OR($L287="",$N287=""),"",$L287-$N287)</f>
        <v/>
      </c>
      <c r="Q287" s="28">
        <f>IF($B287="","",IF(N($H287)&gt;0,"Live","Exited"))</f>
        <v/>
      </c>
      <c r="R287" s="28">
        <f>IF($B287="","",IF($L287="","Data Pending",IF($L287&gt;=Instructions!$D$19,"Best Fund",IF($L287&gt;=Instructions!$D$20,"Need to Improve","Not Performing"))))</f>
        <v/>
      </c>
      <c r="S287" s="7">
        <f>IF($R287="","",IF($R287="Data Pending","Enter the 3Y return",IF($R287="Best Fund","Hold / consider top-up",IF($R287="Need to Improve","Watch 2 quarters, then decide","Review with client - switch or exit"))))</f>
        <v/>
      </c>
      <c r="T287" s="27" t="n"/>
      <c r="U287" s="7">
        <f>IF($R287&lt;&gt;"Best Fund","",COUNTIFS($R$6:$R$505,"Best Fund",$L$6:$L$505,"&gt;"&amp;$L287)+COUNTIFS($R$6:$R287,"Best Fund",$L$6:$L287,$L287))</f>
        <v/>
      </c>
      <c r="V287" s="7">
        <f>IF($R287&lt;&gt;"Need to Improve","",COUNTIFS($R$6:$R$505,"Need to Improve",$L$6:$L$505,"&lt;"&amp;$L287)+COUNTIFS($R$6:$R287,"Need to Improve",$L$6:$L287,$L287))</f>
        <v/>
      </c>
      <c r="W287" s="7">
        <f>IF($R287&lt;&gt;"Not Performing","",COUNTIFS($R$6:$R$505,"Not Performing",$L$6:$L$505,"&lt;"&amp;$L287)+COUNTIFS($R$6:$R287,"Not Performing",$L$6:$L287,$L287))</f>
        <v/>
      </c>
    </row>
    <row r="288" ht="15" customHeight="1">
      <c r="A288" s="27" t="n"/>
      <c r="B288" s="27" t="n"/>
      <c r="C288" s="27" t="n"/>
      <c r="D288" s="28">
        <f>IF($C288="","",IFERROR(TRIM(LEFT($C288,FIND("-",$C288)-1)),""))</f>
        <v/>
      </c>
      <c r="E288" s="27" t="n"/>
      <c r="F288" s="29" t="n"/>
      <c r="G288" s="30" t="n"/>
      <c r="H288" s="30" t="n"/>
      <c r="I288" s="31">
        <f>IF($B288="","",$H288-$G288)</f>
        <v/>
      </c>
      <c r="J288" s="32">
        <f>IF(OR($B288="",$G288=0,$G288=""),"",$I288/$G288)</f>
        <v/>
      </c>
      <c r="K288" s="33" t="n"/>
      <c r="L288" s="33" t="n"/>
      <c r="M288" s="33" t="n"/>
      <c r="N288" s="33" t="n"/>
      <c r="O288" s="33" t="n"/>
      <c r="P288" s="32">
        <f>IF(OR($L288="",$N288=""),"",$L288-$N288)</f>
        <v/>
      </c>
      <c r="Q288" s="28">
        <f>IF($B288="","",IF(N($H288)&gt;0,"Live","Exited"))</f>
        <v/>
      </c>
      <c r="R288" s="28">
        <f>IF($B288="","",IF($L288="","Data Pending",IF($L288&gt;=Instructions!$D$19,"Best Fund",IF($L288&gt;=Instructions!$D$20,"Need to Improve","Not Performing"))))</f>
        <v/>
      </c>
      <c r="S288" s="7">
        <f>IF($R288="","",IF($R288="Data Pending","Enter the 3Y return",IF($R288="Best Fund","Hold / consider top-up",IF($R288="Need to Improve","Watch 2 quarters, then decide","Review with client - switch or exit"))))</f>
        <v/>
      </c>
      <c r="T288" s="27" t="n"/>
      <c r="U288" s="7">
        <f>IF($R288&lt;&gt;"Best Fund","",COUNTIFS($R$6:$R$505,"Best Fund",$L$6:$L$505,"&gt;"&amp;$L288)+COUNTIFS($R$6:$R288,"Best Fund",$L$6:$L288,$L288))</f>
        <v/>
      </c>
      <c r="V288" s="7">
        <f>IF($R288&lt;&gt;"Need to Improve","",COUNTIFS($R$6:$R$505,"Need to Improve",$L$6:$L$505,"&lt;"&amp;$L288)+COUNTIFS($R$6:$R288,"Need to Improve",$L$6:$L288,$L288))</f>
        <v/>
      </c>
      <c r="W288" s="7">
        <f>IF($R288&lt;&gt;"Not Performing","",COUNTIFS($R$6:$R$505,"Not Performing",$L$6:$L$505,"&lt;"&amp;$L288)+COUNTIFS($R$6:$R288,"Not Performing",$L$6:$L288,$L288))</f>
        <v/>
      </c>
    </row>
    <row r="289" ht="15" customHeight="1">
      <c r="A289" s="27" t="n"/>
      <c r="B289" s="27" t="n"/>
      <c r="C289" s="27" t="n"/>
      <c r="D289" s="28">
        <f>IF($C289="","",IFERROR(TRIM(LEFT($C289,FIND("-",$C289)-1)),""))</f>
        <v/>
      </c>
      <c r="E289" s="27" t="n"/>
      <c r="F289" s="29" t="n"/>
      <c r="G289" s="30" t="n"/>
      <c r="H289" s="30" t="n"/>
      <c r="I289" s="31">
        <f>IF($B289="","",$H289-$G289)</f>
        <v/>
      </c>
      <c r="J289" s="32">
        <f>IF(OR($B289="",$G289=0,$G289=""),"",$I289/$G289)</f>
        <v/>
      </c>
      <c r="K289" s="33" t="n"/>
      <c r="L289" s="33" t="n"/>
      <c r="M289" s="33" t="n"/>
      <c r="N289" s="33" t="n"/>
      <c r="O289" s="33" t="n"/>
      <c r="P289" s="32">
        <f>IF(OR($L289="",$N289=""),"",$L289-$N289)</f>
        <v/>
      </c>
      <c r="Q289" s="28">
        <f>IF($B289="","",IF(N($H289)&gt;0,"Live","Exited"))</f>
        <v/>
      </c>
      <c r="R289" s="28">
        <f>IF($B289="","",IF($L289="","Data Pending",IF($L289&gt;=Instructions!$D$19,"Best Fund",IF($L289&gt;=Instructions!$D$20,"Need to Improve","Not Performing"))))</f>
        <v/>
      </c>
      <c r="S289" s="7">
        <f>IF($R289="","",IF($R289="Data Pending","Enter the 3Y return",IF($R289="Best Fund","Hold / consider top-up",IF($R289="Need to Improve","Watch 2 quarters, then decide","Review with client - switch or exit"))))</f>
        <v/>
      </c>
      <c r="T289" s="27" t="n"/>
      <c r="U289" s="7">
        <f>IF($R289&lt;&gt;"Best Fund","",COUNTIFS($R$6:$R$505,"Best Fund",$L$6:$L$505,"&gt;"&amp;$L289)+COUNTIFS($R$6:$R289,"Best Fund",$L$6:$L289,$L289))</f>
        <v/>
      </c>
      <c r="V289" s="7">
        <f>IF($R289&lt;&gt;"Need to Improve","",COUNTIFS($R$6:$R$505,"Need to Improve",$L$6:$L$505,"&lt;"&amp;$L289)+COUNTIFS($R$6:$R289,"Need to Improve",$L$6:$L289,$L289))</f>
        <v/>
      </c>
      <c r="W289" s="7">
        <f>IF($R289&lt;&gt;"Not Performing","",COUNTIFS($R$6:$R$505,"Not Performing",$L$6:$L$505,"&lt;"&amp;$L289)+COUNTIFS($R$6:$R289,"Not Performing",$L$6:$L289,$L289))</f>
        <v/>
      </c>
    </row>
    <row r="290" ht="15" customHeight="1">
      <c r="A290" s="27" t="n"/>
      <c r="B290" s="27" t="n"/>
      <c r="C290" s="27" t="n"/>
      <c r="D290" s="28">
        <f>IF($C290="","",IFERROR(TRIM(LEFT($C290,FIND("-",$C290)-1)),""))</f>
        <v/>
      </c>
      <c r="E290" s="27" t="n"/>
      <c r="F290" s="29" t="n"/>
      <c r="G290" s="30" t="n"/>
      <c r="H290" s="30" t="n"/>
      <c r="I290" s="31">
        <f>IF($B290="","",$H290-$G290)</f>
        <v/>
      </c>
      <c r="J290" s="32">
        <f>IF(OR($B290="",$G290=0,$G290=""),"",$I290/$G290)</f>
        <v/>
      </c>
      <c r="K290" s="33" t="n"/>
      <c r="L290" s="33" t="n"/>
      <c r="M290" s="33" t="n"/>
      <c r="N290" s="33" t="n"/>
      <c r="O290" s="33" t="n"/>
      <c r="P290" s="32">
        <f>IF(OR($L290="",$N290=""),"",$L290-$N290)</f>
        <v/>
      </c>
      <c r="Q290" s="28">
        <f>IF($B290="","",IF(N($H290)&gt;0,"Live","Exited"))</f>
        <v/>
      </c>
      <c r="R290" s="28">
        <f>IF($B290="","",IF($L290="","Data Pending",IF($L290&gt;=Instructions!$D$19,"Best Fund",IF($L290&gt;=Instructions!$D$20,"Need to Improve","Not Performing"))))</f>
        <v/>
      </c>
      <c r="S290" s="7">
        <f>IF($R290="","",IF($R290="Data Pending","Enter the 3Y return",IF($R290="Best Fund","Hold / consider top-up",IF($R290="Need to Improve","Watch 2 quarters, then decide","Review with client - switch or exit"))))</f>
        <v/>
      </c>
      <c r="T290" s="27" t="n"/>
      <c r="U290" s="7">
        <f>IF($R290&lt;&gt;"Best Fund","",COUNTIFS($R$6:$R$505,"Best Fund",$L$6:$L$505,"&gt;"&amp;$L290)+COUNTIFS($R$6:$R290,"Best Fund",$L$6:$L290,$L290))</f>
        <v/>
      </c>
      <c r="V290" s="7">
        <f>IF($R290&lt;&gt;"Need to Improve","",COUNTIFS($R$6:$R$505,"Need to Improve",$L$6:$L$505,"&lt;"&amp;$L290)+COUNTIFS($R$6:$R290,"Need to Improve",$L$6:$L290,$L290))</f>
        <v/>
      </c>
      <c r="W290" s="7">
        <f>IF($R290&lt;&gt;"Not Performing","",COUNTIFS($R$6:$R$505,"Not Performing",$L$6:$L$505,"&lt;"&amp;$L290)+COUNTIFS($R$6:$R290,"Not Performing",$L$6:$L290,$L290))</f>
        <v/>
      </c>
    </row>
    <row r="291" ht="15" customHeight="1">
      <c r="A291" s="27" t="n"/>
      <c r="B291" s="27" t="n"/>
      <c r="C291" s="27" t="n"/>
      <c r="D291" s="28">
        <f>IF($C291="","",IFERROR(TRIM(LEFT($C291,FIND("-",$C291)-1)),""))</f>
        <v/>
      </c>
      <c r="E291" s="27" t="n"/>
      <c r="F291" s="29" t="n"/>
      <c r="G291" s="30" t="n"/>
      <c r="H291" s="30" t="n"/>
      <c r="I291" s="31">
        <f>IF($B291="","",$H291-$G291)</f>
        <v/>
      </c>
      <c r="J291" s="32">
        <f>IF(OR($B291="",$G291=0,$G291=""),"",$I291/$G291)</f>
        <v/>
      </c>
      <c r="K291" s="33" t="n"/>
      <c r="L291" s="33" t="n"/>
      <c r="M291" s="33" t="n"/>
      <c r="N291" s="33" t="n"/>
      <c r="O291" s="33" t="n"/>
      <c r="P291" s="32">
        <f>IF(OR($L291="",$N291=""),"",$L291-$N291)</f>
        <v/>
      </c>
      <c r="Q291" s="28">
        <f>IF($B291="","",IF(N($H291)&gt;0,"Live","Exited"))</f>
        <v/>
      </c>
      <c r="R291" s="28">
        <f>IF($B291="","",IF($L291="","Data Pending",IF($L291&gt;=Instructions!$D$19,"Best Fund",IF($L291&gt;=Instructions!$D$20,"Need to Improve","Not Performing"))))</f>
        <v/>
      </c>
      <c r="S291" s="7">
        <f>IF($R291="","",IF($R291="Data Pending","Enter the 3Y return",IF($R291="Best Fund","Hold / consider top-up",IF($R291="Need to Improve","Watch 2 quarters, then decide","Review with client - switch or exit"))))</f>
        <v/>
      </c>
      <c r="T291" s="27" t="n"/>
      <c r="U291" s="7">
        <f>IF($R291&lt;&gt;"Best Fund","",COUNTIFS($R$6:$R$505,"Best Fund",$L$6:$L$505,"&gt;"&amp;$L291)+COUNTIFS($R$6:$R291,"Best Fund",$L$6:$L291,$L291))</f>
        <v/>
      </c>
      <c r="V291" s="7">
        <f>IF($R291&lt;&gt;"Need to Improve","",COUNTIFS($R$6:$R$505,"Need to Improve",$L$6:$L$505,"&lt;"&amp;$L291)+COUNTIFS($R$6:$R291,"Need to Improve",$L$6:$L291,$L291))</f>
        <v/>
      </c>
      <c r="W291" s="7">
        <f>IF($R291&lt;&gt;"Not Performing","",COUNTIFS($R$6:$R$505,"Not Performing",$L$6:$L$505,"&lt;"&amp;$L291)+COUNTIFS($R$6:$R291,"Not Performing",$L$6:$L291,$L291))</f>
        <v/>
      </c>
    </row>
    <row r="292" ht="15" customHeight="1">
      <c r="A292" s="27" t="n"/>
      <c r="B292" s="27" t="n"/>
      <c r="C292" s="27" t="n"/>
      <c r="D292" s="28">
        <f>IF($C292="","",IFERROR(TRIM(LEFT($C292,FIND("-",$C292)-1)),""))</f>
        <v/>
      </c>
      <c r="E292" s="27" t="n"/>
      <c r="F292" s="29" t="n"/>
      <c r="G292" s="30" t="n"/>
      <c r="H292" s="30" t="n"/>
      <c r="I292" s="31">
        <f>IF($B292="","",$H292-$G292)</f>
        <v/>
      </c>
      <c r="J292" s="32">
        <f>IF(OR($B292="",$G292=0,$G292=""),"",$I292/$G292)</f>
        <v/>
      </c>
      <c r="K292" s="33" t="n"/>
      <c r="L292" s="33" t="n"/>
      <c r="M292" s="33" t="n"/>
      <c r="N292" s="33" t="n"/>
      <c r="O292" s="33" t="n"/>
      <c r="P292" s="32">
        <f>IF(OR($L292="",$N292=""),"",$L292-$N292)</f>
        <v/>
      </c>
      <c r="Q292" s="28">
        <f>IF($B292="","",IF(N($H292)&gt;0,"Live","Exited"))</f>
        <v/>
      </c>
      <c r="R292" s="28">
        <f>IF($B292="","",IF($L292="","Data Pending",IF($L292&gt;=Instructions!$D$19,"Best Fund",IF($L292&gt;=Instructions!$D$20,"Need to Improve","Not Performing"))))</f>
        <v/>
      </c>
      <c r="S292" s="7">
        <f>IF($R292="","",IF($R292="Data Pending","Enter the 3Y return",IF($R292="Best Fund","Hold / consider top-up",IF($R292="Need to Improve","Watch 2 quarters, then decide","Review with client - switch or exit"))))</f>
        <v/>
      </c>
      <c r="T292" s="27" t="n"/>
      <c r="U292" s="7">
        <f>IF($R292&lt;&gt;"Best Fund","",COUNTIFS($R$6:$R$505,"Best Fund",$L$6:$L$505,"&gt;"&amp;$L292)+COUNTIFS($R$6:$R292,"Best Fund",$L$6:$L292,$L292))</f>
        <v/>
      </c>
      <c r="V292" s="7">
        <f>IF($R292&lt;&gt;"Need to Improve","",COUNTIFS($R$6:$R$505,"Need to Improve",$L$6:$L$505,"&lt;"&amp;$L292)+COUNTIFS($R$6:$R292,"Need to Improve",$L$6:$L292,$L292))</f>
        <v/>
      </c>
      <c r="W292" s="7">
        <f>IF($R292&lt;&gt;"Not Performing","",COUNTIFS($R$6:$R$505,"Not Performing",$L$6:$L$505,"&lt;"&amp;$L292)+COUNTIFS($R$6:$R292,"Not Performing",$L$6:$L292,$L292))</f>
        <v/>
      </c>
    </row>
    <row r="293" ht="15" customHeight="1">
      <c r="A293" s="27" t="n"/>
      <c r="B293" s="27" t="n"/>
      <c r="C293" s="27" t="n"/>
      <c r="D293" s="28">
        <f>IF($C293="","",IFERROR(TRIM(LEFT($C293,FIND("-",$C293)-1)),""))</f>
        <v/>
      </c>
      <c r="E293" s="27" t="n"/>
      <c r="F293" s="29" t="n"/>
      <c r="G293" s="30" t="n"/>
      <c r="H293" s="30" t="n"/>
      <c r="I293" s="31">
        <f>IF($B293="","",$H293-$G293)</f>
        <v/>
      </c>
      <c r="J293" s="32">
        <f>IF(OR($B293="",$G293=0,$G293=""),"",$I293/$G293)</f>
        <v/>
      </c>
      <c r="K293" s="33" t="n"/>
      <c r="L293" s="33" t="n"/>
      <c r="M293" s="33" t="n"/>
      <c r="N293" s="33" t="n"/>
      <c r="O293" s="33" t="n"/>
      <c r="P293" s="32">
        <f>IF(OR($L293="",$N293=""),"",$L293-$N293)</f>
        <v/>
      </c>
      <c r="Q293" s="28">
        <f>IF($B293="","",IF(N($H293)&gt;0,"Live","Exited"))</f>
        <v/>
      </c>
      <c r="R293" s="28">
        <f>IF($B293="","",IF($L293="","Data Pending",IF($L293&gt;=Instructions!$D$19,"Best Fund",IF($L293&gt;=Instructions!$D$20,"Need to Improve","Not Performing"))))</f>
        <v/>
      </c>
      <c r="S293" s="7">
        <f>IF($R293="","",IF($R293="Data Pending","Enter the 3Y return",IF($R293="Best Fund","Hold / consider top-up",IF($R293="Need to Improve","Watch 2 quarters, then decide","Review with client - switch or exit"))))</f>
        <v/>
      </c>
      <c r="T293" s="27" t="n"/>
      <c r="U293" s="7">
        <f>IF($R293&lt;&gt;"Best Fund","",COUNTIFS($R$6:$R$505,"Best Fund",$L$6:$L$505,"&gt;"&amp;$L293)+COUNTIFS($R$6:$R293,"Best Fund",$L$6:$L293,$L293))</f>
        <v/>
      </c>
      <c r="V293" s="7">
        <f>IF($R293&lt;&gt;"Need to Improve","",COUNTIFS($R$6:$R$505,"Need to Improve",$L$6:$L$505,"&lt;"&amp;$L293)+COUNTIFS($R$6:$R293,"Need to Improve",$L$6:$L293,$L293))</f>
        <v/>
      </c>
      <c r="W293" s="7">
        <f>IF($R293&lt;&gt;"Not Performing","",COUNTIFS($R$6:$R$505,"Not Performing",$L$6:$L$505,"&lt;"&amp;$L293)+COUNTIFS($R$6:$R293,"Not Performing",$L$6:$L293,$L293))</f>
        <v/>
      </c>
    </row>
    <row r="294" ht="15" customHeight="1">
      <c r="A294" s="27" t="n"/>
      <c r="B294" s="27" t="n"/>
      <c r="C294" s="27" t="n"/>
      <c r="D294" s="28">
        <f>IF($C294="","",IFERROR(TRIM(LEFT($C294,FIND("-",$C294)-1)),""))</f>
        <v/>
      </c>
      <c r="E294" s="27" t="n"/>
      <c r="F294" s="29" t="n"/>
      <c r="G294" s="30" t="n"/>
      <c r="H294" s="30" t="n"/>
      <c r="I294" s="31">
        <f>IF($B294="","",$H294-$G294)</f>
        <v/>
      </c>
      <c r="J294" s="32">
        <f>IF(OR($B294="",$G294=0,$G294=""),"",$I294/$G294)</f>
        <v/>
      </c>
      <c r="K294" s="33" t="n"/>
      <c r="L294" s="33" t="n"/>
      <c r="M294" s="33" t="n"/>
      <c r="N294" s="33" t="n"/>
      <c r="O294" s="33" t="n"/>
      <c r="P294" s="32">
        <f>IF(OR($L294="",$N294=""),"",$L294-$N294)</f>
        <v/>
      </c>
      <c r="Q294" s="28">
        <f>IF($B294="","",IF(N($H294)&gt;0,"Live","Exited"))</f>
        <v/>
      </c>
      <c r="R294" s="28">
        <f>IF($B294="","",IF($L294="","Data Pending",IF($L294&gt;=Instructions!$D$19,"Best Fund",IF($L294&gt;=Instructions!$D$20,"Need to Improve","Not Performing"))))</f>
        <v/>
      </c>
      <c r="S294" s="7">
        <f>IF($R294="","",IF($R294="Data Pending","Enter the 3Y return",IF($R294="Best Fund","Hold / consider top-up",IF($R294="Need to Improve","Watch 2 quarters, then decide","Review with client - switch or exit"))))</f>
        <v/>
      </c>
      <c r="T294" s="27" t="n"/>
      <c r="U294" s="7">
        <f>IF($R294&lt;&gt;"Best Fund","",COUNTIFS($R$6:$R$505,"Best Fund",$L$6:$L$505,"&gt;"&amp;$L294)+COUNTIFS($R$6:$R294,"Best Fund",$L$6:$L294,$L294))</f>
        <v/>
      </c>
      <c r="V294" s="7">
        <f>IF($R294&lt;&gt;"Need to Improve","",COUNTIFS($R$6:$R$505,"Need to Improve",$L$6:$L$505,"&lt;"&amp;$L294)+COUNTIFS($R$6:$R294,"Need to Improve",$L$6:$L294,$L294))</f>
        <v/>
      </c>
      <c r="W294" s="7">
        <f>IF($R294&lt;&gt;"Not Performing","",COUNTIFS($R$6:$R$505,"Not Performing",$L$6:$L$505,"&lt;"&amp;$L294)+COUNTIFS($R$6:$R294,"Not Performing",$L$6:$L294,$L294))</f>
        <v/>
      </c>
    </row>
    <row r="295" ht="15" customHeight="1">
      <c r="A295" s="27" t="n"/>
      <c r="B295" s="27" t="n"/>
      <c r="C295" s="27" t="n"/>
      <c r="D295" s="28">
        <f>IF($C295="","",IFERROR(TRIM(LEFT($C295,FIND("-",$C295)-1)),""))</f>
        <v/>
      </c>
      <c r="E295" s="27" t="n"/>
      <c r="F295" s="29" t="n"/>
      <c r="G295" s="30" t="n"/>
      <c r="H295" s="30" t="n"/>
      <c r="I295" s="31">
        <f>IF($B295="","",$H295-$G295)</f>
        <v/>
      </c>
      <c r="J295" s="32">
        <f>IF(OR($B295="",$G295=0,$G295=""),"",$I295/$G295)</f>
        <v/>
      </c>
      <c r="K295" s="33" t="n"/>
      <c r="L295" s="33" t="n"/>
      <c r="M295" s="33" t="n"/>
      <c r="N295" s="33" t="n"/>
      <c r="O295" s="33" t="n"/>
      <c r="P295" s="32">
        <f>IF(OR($L295="",$N295=""),"",$L295-$N295)</f>
        <v/>
      </c>
      <c r="Q295" s="28">
        <f>IF($B295="","",IF(N($H295)&gt;0,"Live","Exited"))</f>
        <v/>
      </c>
      <c r="R295" s="28">
        <f>IF($B295="","",IF($L295="","Data Pending",IF($L295&gt;=Instructions!$D$19,"Best Fund",IF($L295&gt;=Instructions!$D$20,"Need to Improve","Not Performing"))))</f>
        <v/>
      </c>
      <c r="S295" s="7">
        <f>IF($R295="","",IF($R295="Data Pending","Enter the 3Y return",IF($R295="Best Fund","Hold / consider top-up",IF($R295="Need to Improve","Watch 2 quarters, then decide","Review with client - switch or exit"))))</f>
        <v/>
      </c>
      <c r="T295" s="27" t="n"/>
      <c r="U295" s="7">
        <f>IF($R295&lt;&gt;"Best Fund","",COUNTIFS($R$6:$R$505,"Best Fund",$L$6:$L$505,"&gt;"&amp;$L295)+COUNTIFS($R$6:$R295,"Best Fund",$L$6:$L295,$L295))</f>
        <v/>
      </c>
      <c r="V295" s="7">
        <f>IF($R295&lt;&gt;"Need to Improve","",COUNTIFS($R$6:$R$505,"Need to Improve",$L$6:$L$505,"&lt;"&amp;$L295)+COUNTIFS($R$6:$R295,"Need to Improve",$L$6:$L295,$L295))</f>
        <v/>
      </c>
      <c r="W295" s="7">
        <f>IF($R295&lt;&gt;"Not Performing","",COUNTIFS($R$6:$R$505,"Not Performing",$L$6:$L$505,"&lt;"&amp;$L295)+COUNTIFS($R$6:$R295,"Not Performing",$L$6:$L295,$L295))</f>
        <v/>
      </c>
    </row>
    <row r="296" ht="15" customHeight="1">
      <c r="A296" s="27" t="n"/>
      <c r="B296" s="27" t="n"/>
      <c r="C296" s="27" t="n"/>
      <c r="D296" s="28">
        <f>IF($C296="","",IFERROR(TRIM(LEFT($C296,FIND("-",$C296)-1)),""))</f>
        <v/>
      </c>
      <c r="E296" s="27" t="n"/>
      <c r="F296" s="29" t="n"/>
      <c r="G296" s="30" t="n"/>
      <c r="H296" s="30" t="n"/>
      <c r="I296" s="31">
        <f>IF($B296="","",$H296-$G296)</f>
        <v/>
      </c>
      <c r="J296" s="32">
        <f>IF(OR($B296="",$G296=0,$G296=""),"",$I296/$G296)</f>
        <v/>
      </c>
      <c r="K296" s="33" t="n"/>
      <c r="L296" s="33" t="n"/>
      <c r="M296" s="33" t="n"/>
      <c r="N296" s="33" t="n"/>
      <c r="O296" s="33" t="n"/>
      <c r="P296" s="32">
        <f>IF(OR($L296="",$N296=""),"",$L296-$N296)</f>
        <v/>
      </c>
      <c r="Q296" s="28">
        <f>IF($B296="","",IF(N($H296)&gt;0,"Live","Exited"))</f>
        <v/>
      </c>
      <c r="R296" s="28">
        <f>IF($B296="","",IF($L296="","Data Pending",IF($L296&gt;=Instructions!$D$19,"Best Fund",IF($L296&gt;=Instructions!$D$20,"Need to Improve","Not Performing"))))</f>
        <v/>
      </c>
      <c r="S296" s="7">
        <f>IF($R296="","",IF($R296="Data Pending","Enter the 3Y return",IF($R296="Best Fund","Hold / consider top-up",IF($R296="Need to Improve","Watch 2 quarters, then decide","Review with client - switch or exit"))))</f>
        <v/>
      </c>
      <c r="T296" s="27" t="n"/>
      <c r="U296" s="7">
        <f>IF($R296&lt;&gt;"Best Fund","",COUNTIFS($R$6:$R$505,"Best Fund",$L$6:$L$505,"&gt;"&amp;$L296)+COUNTIFS($R$6:$R296,"Best Fund",$L$6:$L296,$L296))</f>
        <v/>
      </c>
      <c r="V296" s="7">
        <f>IF($R296&lt;&gt;"Need to Improve","",COUNTIFS($R$6:$R$505,"Need to Improve",$L$6:$L$505,"&lt;"&amp;$L296)+COUNTIFS($R$6:$R296,"Need to Improve",$L$6:$L296,$L296))</f>
        <v/>
      </c>
      <c r="W296" s="7">
        <f>IF($R296&lt;&gt;"Not Performing","",COUNTIFS($R$6:$R$505,"Not Performing",$L$6:$L$505,"&lt;"&amp;$L296)+COUNTIFS($R$6:$R296,"Not Performing",$L$6:$L296,$L296))</f>
        <v/>
      </c>
    </row>
    <row r="297" ht="15" customHeight="1">
      <c r="A297" s="27" t="n"/>
      <c r="B297" s="27" t="n"/>
      <c r="C297" s="27" t="n"/>
      <c r="D297" s="28">
        <f>IF($C297="","",IFERROR(TRIM(LEFT($C297,FIND("-",$C297)-1)),""))</f>
        <v/>
      </c>
      <c r="E297" s="27" t="n"/>
      <c r="F297" s="29" t="n"/>
      <c r="G297" s="30" t="n"/>
      <c r="H297" s="30" t="n"/>
      <c r="I297" s="31">
        <f>IF($B297="","",$H297-$G297)</f>
        <v/>
      </c>
      <c r="J297" s="32">
        <f>IF(OR($B297="",$G297=0,$G297=""),"",$I297/$G297)</f>
        <v/>
      </c>
      <c r="K297" s="33" t="n"/>
      <c r="L297" s="33" t="n"/>
      <c r="M297" s="33" t="n"/>
      <c r="N297" s="33" t="n"/>
      <c r="O297" s="33" t="n"/>
      <c r="P297" s="32">
        <f>IF(OR($L297="",$N297=""),"",$L297-$N297)</f>
        <v/>
      </c>
      <c r="Q297" s="28">
        <f>IF($B297="","",IF(N($H297)&gt;0,"Live","Exited"))</f>
        <v/>
      </c>
      <c r="R297" s="28">
        <f>IF($B297="","",IF($L297="","Data Pending",IF($L297&gt;=Instructions!$D$19,"Best Fund",IF($L297&gt;=Instructions!$D$20,"Need to Improve","Not Performing"))))</f>
        <v/>
      </c>
      <c r="S297" s="7">
        <f>IF($R297="","",IF($R297="Data Pending","Enter the 3Y return",IF($R297="Best Fund","Hold / consider top-up",IF($R297="Need to Improve","Watch 2 quarters, then decide","Review with client - switch or exit"))))</f>
        <v/>
      </c>
      <c r="T297" s="27" t="n"/>
      <c r="U297" s="7">
        <f>IF($R297&lt;&gt;"Best Fund","",COUNTIFS($R$6:$R$505,"Best Fund",$L$6:$L$505,"&gt;"&amp;$L297)+COUNTIFS($R$6:$R297,"Best Fund",$L$6:$L297,$L297))</f>
        <v/>
      </c>
      <c r="V297" s="7">
        <f>IF($R297&lt;&gt;"Need to Improve","",COUNTIFS($R$6:$R$505,"Need to Improve",$L$6:$L$505,"&lt;"&amp;$L297)+COUNTIFS($R$6:$R297,"Need to Improve",$L$6:$L297,$L297))</f>
        <v/>
      </c>
      <c r="W297" s="7">
        <f>IF($R297&lt;&gt;"Not Performing","",COUNTIFS($R$6:$R$505,"Not Performing",$L$6:$L$505,"&lt;"&amp;$L297)+COUNTIFS($R$6:$R297,"Not Performing",$L$6:$L297,$L297))</f>
        <v/>
      </c>
    </row>
    <row r="298" ht="15" customHeight="1">
      <c r="A298" s="27" t="n"/>
      <c r="B298" s="27" t="n"/>
      <c r="C298" s="27" t="n"/>
      <c r="D298" s="28">
        <f>IF($C298="","",IFERROR(TRIM(LEFT($C298,FIND("-",$C298)-1)),""))</f>
        <v/>
      </c>
      <c r="E298" s="27" t="n"/>
      <c r="F298" s="29" t="n"/>
      <c r="G298" s="30" t="n"/>
      <c r="H298" s="30" t="n"/>
      <c r="I298" s="31">
        <f>IF($B298="","",$H298-$G298)</f>
        <v/>
      </c>
      <c r="J298" s="32">
        <f>IF(OR($B298="",$G298=0,$G298=""),"",$I298/$G298)</f>
        <v/>
      </c>
      <c r="K298" s="33" t="n"/>
      <c r="L298" s="33" t="n"/>
      <c r="M298" s="33" t="n"/>
      <c r="N298" s="33" t="n"/>
      <c r="O298" s="33" t="n"/>
      <c r="P298" s="32">
        <f>IF(OR($L298="",$N298=""),"",$L298-$N298)</f>
        <v/>
      </c>
      <c r="Q298" s="28">
        <f>IF($B298="","",IF(N($H298)&gt;0,"Live","Exited"))</f>
        <v/>
      </c>
      <c r="R298" s="28">
        <f>IF($B298="","",IF($L298="","Data Pending",IF($L298&gt;=Instructions!$D$19,"Best Fund",IF($L298&gt;=Instructions!$D$20,"Need to Improve","Not Performing"))))</f>
        <v/>
      </c>
      <c r="S298" s="7">
        <f>IF($R298="","",IF($R298="Data Pending","Enter the 3Y return",IF($R298="Best Fund","Hold / consider top-up",IF($R298="Need to Improve","Watch 2 quarters, then decide","Review with client - switch or exit"))))</f>
        <v/>
      </c>
      <c r="T298" s="27" t="n"/>
      <c r="U298" s="7">
        <f>IF($R298&lt;&gt;"Best Fund","",COUNTIFS($R$6:$R$505,"Best Fund",$L$6:$L$505,"&gt;"&amp;$L298)+COUNTIFS($R$6:$R298,"Best Fund",$L$6:$L298,$L298))</f>
        <v/>
      </c>
      <c r="V298" s="7">
        <f>IF($R298&lt;&gt;"Need to Improve","",COUNTIFS($R$6:$R$505,"Need to Improve",$L$6:$L$505,"&lt;"&amp;$L298)+COUNTIFS($R$6:$R298,"Need to Improve",$L$6:$L298,$L298))</f>
        <v/>
      </c>
      <c r="W298" s="7">
        <f>IF($R298&lt;&gt;"Not Performing","",COUNTIFS($R$6:$R$505,"Not Performing",$L$6:$L$505,"&lt;"&amp;$L298)+COUNTIFS($R$6:$R298,"Not Performing",$L$6:$L298,$L298))</f>
        <v/>
      </c>
    </row>
    <row r="299" ht="15" customHeight="1">
      <c r="A299" s="27" t="n"/>
      <c r="B299" s="27" t="n"/>
      <c r="C299" s="27" t="n"/>
      <c r="D299" s="28">
        <f>IF($C299="","",IFERROR(TRIM(LEFT($C299,FIND("-",$C299)-1)),""))</f>
        <v/>
      </c>
      <c r="E299" s="27" t="n"/>
      <c r="F299" s="29" t="n"/>
      <c r="G299" s="30" t="n"/>
      <c r="H299" s="30" t="n"/>
      <c r="I299" s="31">
        <f>IF($B299="","",$H299-$G299)</f>
        <v/>
      </c>
      <c r="J299" s="32">
        <f>IF(OR($B299="",$G299=0,$G299=""),"",$I299/$G299)</f>
        <v/>
      </c>
      <c r="K299" s="33" t="n"/>
      <c r="L299" s="33" t="n"/>
      <c r="M299" s="33" t="n"/>
      <c r="N299" s="33" t="n"/>
      <c r="O299" s="33" t="n"/>
      <c r="P299" s="32">
        <f>IF(OR($L299="",$N299=""),"",$L299-$N299)</f>
        <v/>
      </c>
      <c r="Q299" s="28">
        <f>IF($B299="","",IF(N($H299)&gt;0,"Live","Exited"))</f>
        <v/>
      </c>
      <c r="R299" s="28">
        <f>IF($B299="","",IF($L299="","Data Pending",IF($L299&gt;=Instructions!$D$19,"Best Fund",IF($L299&gt;=Instructions!$D$20,"Need to Improve","Not Performing"))))</f>
        <v/>
      </c>
      <c r="S299" s="7">
        <f>IF($R299="","",IF($R299="Data Pending","Enter the 3Y return",IF($R299="Best Fund","Hold / consider top-up",IF($R299="Need to Improve","Watch 2 quarters, then decide","Review with client - switch or exit"))))</f>
        <v/>
      </c>
      <c r="T299" s="27" t="n"/>
      <c r="U299" s="7">
        <f>IF($R299&lt;&gt;"Best Fund","",COUNTIFS($R$6:$R$505,"Best Fund",$L$6:$L$505,"&gt;"&amp;$L299)+COUNTIFS($R$6:$R299,"Best Fund",$L$6:$L299,$L299))</f>
        <v/>
      </c>
      <c r="V299" s="7">
        <f>IF($R299&lt;&gt;"Need to Improve","",COUNTIFS($R$6:$R$505,"Need to Improve",$L$6:$L$505,"&lt;"&amp;$L299)+COUNTIFS($R$6:$R299,"Need to Improve",$L$6:$L299,$L299))</f>
        <v/>
      </c>
      <c r="W299" s="7">
        <f>IF($R299&lt;&gt;"Not Performing","",COUNTIFS($R$6:$R$505,"Not Performing",$L$6:$L$505,"&lt;"&amp;$L299)+COUNTIFS($R$6:$R299,"Not Performing",$L$6:$L299,$L299))</f>
        <v/>
      </c>
    </row>
    <row r="300" ht="15" customHeight="1">
      <c r="A300" s="27" t="n"/>
      <c r="B300" s="27" t="n"/>
      <c r="C300" s="27" t="n"/>
      <c r="D300" s="28">
        <f>IF($C300="","",IFERROR(TRIM(LEFT($C300,FIND("-",$C300)-1)),""))</f>
        <v/>
      </c>
      <c r="E300" s="27" t="n"/>
      <c r="F300" s="29" t="n"/>
      <c r="G300" s="30" t="n"/>
      <c r="H300" s="30" t="n"/>
      <c r="I300" s="31">
        <f>IF($B300="","",$H300-$G300)</f>
        <v/>
      </c>
      <c r="J300" s="32">
        <f>IF(OR($B300="",$G300=0,$G300=""),"",$I300/$G300)</f>
        <v/>
      </c>
      <c r="K300" s="33" t="n"/>
      <c r="L300" s="33" t="n"/>
      <c r="M300" s="33" t="n"/>
      <c r="N300" s="33" t="n"/>
      <c r="O300" s="33" t="n"/>
      <c r="P300" s="32">
        <f>IF(OR($L300="",$N300=""),"",$L300-$N300)</f>
        <v/>
      </c>
      <c r="Q300" s="28">
        <f>IF($B300="","",IF(N($H300)&gt;0,"Live","Exited"))</f>
        <v/>
      </c>
      <c r="R300" s="28">
        <f>IF($B300="","",IF($L300="","Data Pending",IF($L300&gt;=Instructions!$D$19,"Best Fund",IF($L300&gt;=Instructions!$D$20,"Need to Improve","Not Performing"))))</f>
        <v/>
      </c>
      <c r="S300" s="7">
        <f>IF($R300="","",IF($R300="Data Pending","Enter the 3Y return",IF($R300="Best Fund","Hold / consider top-up",IF($R300="Need to Improve","Watch 2 quarters, then decide","Review with client - switch or exit"))))</f>
        <v/>
      </c>
      <c r="T300" s="27" t="n"/>
      <c r="U300" s="7">
        <f>IF($R300&lt;&gt;"Best Fund","",COUNTIFS($R$6:$R$505,"Best Fund",$L$6:$L$505,"&gt;"&amp;$L300)+COUNTIFS($R$6:$R300,"Best Fund",$L$6:$L300,$L300))</f>
        <v/>
      </c>
      <c r="V300" s="7">
        <f>IF($R300&lt;&gt;"Need to Improve","",COUNTIFS($R$6:$R$505,"Need to Improve",$L$6:$L$505,"&lt;"&amp;$L300)+COUNTIFS($R$6:$R300,"Need to Improve",$L$6:$L300,$L300))</f>
        <v/>
      </c>
      <c r="W300" s="7">
        <f>IF($R300&lt;&gt;"Not Performing","",COUNTIFS($R$6:$R$505,"Not Performing",$L$6:$L$505,"&lt;"&amp;$L300)+COUNTIFS($R$6:$R300,"Not Performing",$L$6:$L300,$L300))</f>
        <v/>
      </c>
    </row>
    <row r="301" ht="15" customHeight="1">
      <c r="A301" s="27" t="n"/>
      <c r="B301" s="27" t="n"/>
      <c r="C301" s="27" t="n"/>
      <c r="D301" s="28">
        <f>IF($C301="","",IFERROR(TRIM(LEFT($C301,FIND("-",$C301)-1)),""))</f>
        <v/>
      </c>
      <c r="E301" s="27" t="n"/>
      <c r="F301" s="29" t="n"/>
      <c r="G301" s="30" t="n"/>
      <c r="H301" s="30" t="n"/>
      <c r="I301" s="31">
        <f>IF($B301="","",$H301-$G301)</f>
        <v/>
      </c>
      <c r="J301" s="32">
        <f>IF(OR($B301="",$G301=0,$G301=""),"",$I301/$G301)</f>
        <v/>
      </c>
      <c r="K301" s="33" t="n"/>
      <c r="L301" s="33" t="n"/>
      <c r="M301" s="33" t="n"/>
      <c r="N301" s="33" t="n"/>
      <c r="O301" s="33" t="n"/>
      <c r="P301" s="32">
        <f>IF(OR($L301="",$N301=""),"",$L301-$N301)</f>
        <v/>
      </c>
      <c r="Q301" s="28">
        <f>IF($B301="","",IF(N($H301)&gt;0,"Live","Exited"))</f>
        <v/>
      </c>
      <c r="R301" s="28">
        <f>IF($B301="","",IF($L301="","Data Pending",IF($L301&gt;=Instructions!$D$19,"Best Fund",IF($L301&gt;=Instructions!$D$20,"Need to Improve","Not Performing"))))</f>
        <v/>
      </c>
      <c r="S301" s="7">
        <f>IF($R301="","",IF($R301="Data Pending","Enter the 3Y return",IF($R301="Best Fund","Hold / consider top-up",IF($R301="Need to Improve","Watch 2 quarters, then decide","Review with client - switch or exit"))))</f>
        <v/>
      </c>
      <c r="T301" s="27" t="n"/>
      <c r="U301" s="7">
        <f>IF($R301&lt;&gt;"Best Fund","",COUNTIFS($R$6:$R$505,"Best Fund",$L$6:$L$505,"&gt;"&amp;$L301)+COUNTIFS($R$6:$R301,"Best Fund",$L$6:$L301,$L301))</f>
        <v/>
      </c>
      <c r="V301" s="7">
        <f>IF($R301&lt;&gt;"Need to Improve","",COUNTIFS($R$6:$R$505,"Need to Improve",$L$6:$L$505,"&lt;"&amp;$L301)+COUNTIFS($R$6:$R301,"Need to Improve",$L$6:$L301,$L301))</f>
        <v/>
      </c>
      <c r="W301" s="7">
        <f>IF($R301&lt;&gt;"Not Performing","",COUNTIFS($R$6:$R$505,"Not Performing",$L$6:$L$505,"&lt;"&amp;$L301)+COUNTIFS($R$6:$R301,"Not Performing",$L$6:$L301,$L301))</f>
        <v/>
      </c>
    </row>
    <row r="302" ht="15" customHeight="1">
      <c r="A302" s="27" t="n"/>
      <c r="B302" s="27" t="n"/>
      <c r="C302" s="27" t="n"/>
      <c r="D302" s="28">
        <f>IF($C302="","",IFERROR(TRIM(LEFT($C302,FIND("-",$C302)-1)),""))</f>
        <v/>
      </c>
      <c r="E302" s="27" t="n"/>
      <c r="F302" s="29" t="n"/>
      <c r="G302" s="30" t="n"/>
      <c r="H302" s="30" t="n"/>
      <c r="I302" s="31">
        <f>IF($B302="","",$H302-$G302)</f>
        <v/>
      </c>
      <c r="J302" s="32">
        <f>IF(OR($B302="",$G302=0,$G302=""),"",$I302/$G302)</f>
        <v/>
      </c>
      <c r="K302" s="33" t="n"/>
      <c r="L302" s="33" t="n"/>
      <c r="M302" s="33" t="n"/>
      <c r="N302" s="33" t="n"/>
      <c r="O302" s="33" t="n"/>
      <c r="P302" s="32">
        <f>IF(OR($L302="",$N302=""),"",$L302-$N302)</f>
        <v/>
      </c>
      <c r="Q302" s="28">
        <f>IF($B302="","",IF(N($H302)&gt;0,"Live","Exited"))</f>
        <v/>
      </c>
      <c r="R302" s="28">
        <f>IF($B302="","",IF($L302="","Data Pending",IF($L302&gt;=Instructions!$D$19,"Best Fund",IF($L302&gt;=Instructions!$D$20,"Need to Improve","Not Performing"))))</f>
        <v/>
      </c>
      <c r="S302" s="7">
        <f>IF($R302="","",IF($R302="Data Pending","Enter the 3Y return",IF($R302="Best Fund","Hold / consider top-up",IF($R302="Need to Improve","Watch 2 quarters, then decide","Review with client - switch or exit"))))</f>
        <v/>
      </c>
      <c r="T302" s="27" t="n"/>
      <c r="U302" s="7">
        <f>IF($R302&lt;&gt;"Best Fund","",COUNTIFS($R$6:$R$505,"Best Fund",$L$6:$L$505,"&gt;"&amp;$L302)+COUNTIFS($R$6:$R302,"Best Fund",$L$6:$L302,$L302))</f>
        <v/>
      </c>
      <c r="V302" s="7">
        <f>IF($R302&lt;&gt;"Need to Improve","",COUNTIFS($R$6:$R$505,"Need to Improve",$L$6:$L$505,"&lt;"&amp;$L302)+COUNTIFS($R$6:$R302,"Need to Improve",$L$6:$L302,$L302))</f>
        <v/>
      </c>
      <c r="W302" s="7">
        <f>IF($R302&lt;&gt;"Not Performing","",COUNTIFS($R$6:$R$505,"Not Performing",$L$6:$L$505,"&lt;"&amp;$L302)+COUNTIFS($R$6:$R302,"Not Performing",$L$6:$L302,$L302))</f>
        <v/>
      </c>
    </row>
    <row r="303" ht="15" customHeight="1">
      <c r="A303" s="27" t="n"/>
      <c r="B303" s="27" t="n"/>
      <c r="C303" s="27" t="n"/>
      <c r="D303" s="28">
        <f>IF($C303="","",IFERROR(TRIM(LEFT($C303,FIND("-",$C303)-1)),""))</f>
        <v/>
      </c>
      <c r="E303" s="27" t="n"/>
      <c r="F303" s="29" t="n"/>
      <c r="G303" s="30" t="n"/>
      <c r="H303" s="30" t="n"/>
      <c r="I303" s="31">
        <f>IF($B303="","",$H303-$G303)</f>
        <v/>
      </c>
      <c r="J303" s="32">
        <f>IF(OR($B303="",$G303=0,$G303=""),"",$I303/$G303)</f>
        <v/>
      </c>
      <c r="K303" s="33" t="n"/>
      <c r="L303" s="33" t="n"/>
      <c r="M303" s="33" t="n"/>
      <c r="N303" s="33" t="n"/>
      <c r="O303" s="33" t="n"/>
      <c r="P303" s="32">
        <f>IF(OR($L303="",$N303=""),"",$L303-$N303)</f>
        <v/>
      </c>
      <c r="Q303" s="28">
        <f>IF($B303="","",IF(N($H303)&gt;0,"Live","Exited"))</f>
        <v/>
      </c>
      <c r="R303" s="28">
        <f>IF($B303="","",IF($L303="","Data Pending",IF($L303&gt;=Instructions!$D$19,"Best Fund",IF($L303&gt;=Instructions!$D$20,"Need to Improve","Not Performing"))))</f>
        <v/>
      </c>
      <c r="S303" s="7">
        <f>IF($R303="","",IF($R303="Data Pending","Enter the 3Y return",IF($R303="Best Fund","Hold / consider top-up",IF($R303="Need to Improve","Watch 2 quarters, then decide","Review with client - switch or exit"))))</f>
        <v/>
      </c>
      <c r="T303" s="27" t="n"/>
      <c r="U303" s="7">
        <f>IF($R303&lt;&gt;"Best Fund","",COUNTIFS($R$6:$R$505,"Best Fund",$L$6:$L$505,"&gt;"&amp;$L303)+COUNTIFS($R$6:$R303,"Best Fund",$L$6:$L303,$L303))</f>
        <v/>
      </c>
      <c r="V303" s="7">
        <f>IF($R303&lt;&gt;"Need to Improve","",COUNTIFS($R$6:$R$505,"Need to Improve",$L$6:$L$505,"&lt;"&amp;$L303)+COUNTIFS($R$6:$R303,"Need to Improve",$L$6:$L303,$L303))</f>
        <v/>
      </c>
      <c r="W303" s="7">
        <f>IF($R303&lt;&gt;"Not Performing","",COUNTIFS($R$6:$R$505,"Not Performing",$L$6:$L$505,"&lt;"&amp;$L303)+COUNTIFS($R$6:$R303,"Not Performing",$L$6:$L303,$L303))</f>
        <v/>
      </c>
    </row>
    <row r="304" ht="15" customHeight="1">
      <c r="A304" s="27" t="n"/>
      <c r="B304" s="27" t="n"/>
      <c r="C304" s="27" t="n"/>
      <c r="D304" s="28">
        <f>IF($C304="","",IFERROR(TRIM(LEFT($C304,FIND("-",$C304)-1)),""))</f>
        <v/>
      </c>
      <c r="E304" s="27" t="n"/>
      <c r="F304" s="29" t="n"/>
      <c r="G304" s="30" t="n"/>
      <c r="H304" s="30" t="n"/>
      <c r="I304" s="31">
        <f>IF($B304="","",$H304-$G304)</f>
        <v/>
      </c>
      <c r="J304" s="32">
        <f>IF(OR($B304="",$G304=0,$G304=""),"",$I304/$G304)</f>
        <v/>
      </c>
      <c r="K304" s="33" t="n"/>
      <c r="L304" s="33" t="n"/>
      <c r="M304" s="33" t="n"/>
      <c r="N304" s="33" t="n"/>
      <c r="O304" s="33" t="n"/>
      <c r="P304" s="32">
        <f>IF(OR($L304="",$N304=""),"",$L304-$N304)</f>
        <v/>
      </c>
      <c r="Q304" s="28">
        <f>IF($B304="","",IF(N($H304)&gt;0,"Live","Exited"))</f>
        <v/>
      </c>
      <c r="R304" s="28">
        <f>IF($B304="","",IF($L304="","Data Pending",IF($L304&gt;=Instructions!$D$19,"Best Fund",IF($L304&gt;=Instructions!$D$20,"Need to Improve","Not Performing"))))</f>
        <v/>
      </c>
      <c r="S304" s="7">
        <f>IF($R304="","",IF($R304="Data Pending","Enter the 3Y return",IF($R304="Best Fund","Hold / consider top-up",IF($R304="Need to Improve","Watch 2 quarters, then decide","Review with client - switch or exit"))))</f>
        <v/>
      </c>
      <c r="T304" s="27" t="n"/>
      <c r="U304" s="7">
        <f>IF($R304&lt;&gt;"Best Fund","",COUNTIFS($R$6:$R$505,"Best Fund",$L$6:$L$505,"&gt;"&amp;$L304)+COUNTIFS($R$6:$R304,"Best Fund",$L$6:$L304,$L304))</f>
        <v/>
      </c>
      <c r="V304" s="7">
        <f>IF($R304&lt;&gt;"Need to Improve","",COUNTIFS($R$6:$R$505,"Need to Improve",$L$6:$L$505,"&lt;"&amp;$L304)+COUNTIFS($R$6:$R304,"Need to Improve",$L$6:$L304,$L304))</f>
        <v/>
      </c>
      <c r="W304" s="7">
        <f>IF($R304&lt;&gt;"Not Performing","",COUNTIFS($R$6:$R$505,"Not Performing",$L$6:$L$505,"&lt;"&amp;$L304)+COUNTIFS($R$6:$R304,"Not Performing",$L$6:$L304,$L304))</f>
        <v/>
      </c>
    </row>
    <row r="305" ht="15" customHeight="1">
      <c r="A305" s="27" t="n"/>
      <c r="B305" s="27" t="n"/>
      <c r="C305" s="27" t="n"/>
      <c r="D305" s="28">
        <f>IF($C305="","",IFERROR(TRIM(LEFT($C305,FIND("-",$C305)-1)),""))</f>
        <v/>
      </c>
      <c r="E305" s="27" t="n"/>
      <c r="F305" s="29" t="n"/>
      <c r="G305" s="30" t="n"/>
      <c r="H305" s="30" t="n"/>
      <c r="I305" s="31">
        <f>IF($B305="","",$H305-$G305)</f>
        <v/>
      </c>
      <c r="J305" s="32">
        <f>IF(OR($B305="",$G305=0,$G305=""),"",$I305/$G305)</f>
        <v/>
      </c>
      <c r="K305" s="33" t="n"/>
      <c r="L305" s="33" t="n"/>
      <c r="M305" s="33" t="n"/>
      <c r="N305" s="33" t="n"/>
      <c r="O305" s="33" t="n"/>
      <c r="P305" s="32">
        <f>IF(OR($L305="",$N305=""),"",$L305-$N305)</f>
        <v/>
      </c>
      <c r="Q305" s="28">
        <f>IF($B305="","",IF(N($H305)&gt;0,"Live","Exited"))</f>
        <v/>
      </c>
      <c r="R305" s="28">
        <f>IF($B305="","",IF($L305="","Data Pending",IF($L305&gt;=Instructions!$D$19,"Best Fund",IF($L305&gt;=Instructions!$D$20,"Need to Improve","Not Performing"))))</f>
        <v/>
      </c>
      <c r="S305" s="7">
        <f>IF($R305="","",IF($R305="Data Pending","Enter the 3Y return",IF($R305="Best Fund","Hold / consider top-up",IF($R305="Need to Improve","Watch 2 quarters, then decide","Review with client - switch or exit"))))</f>
        <v/>
      </c>
      <c r="T305" s="27" t="n"/>
      <c r="U305" s="7">
        <f>IF($R305&lt;&gt;"Best Fund","",COUNTIFS($R$6:$R$505,"Best Fund",$L$6:$L$505,"&gt;"&amp;$L305)+COUNTIFS($R$6:$R305,"Best Fund",$L$6:$L305,$L305))</f>
        <v/>
      </c>
      <c r="V305" s="7">
        <f>IF($R305&lt;&gt;"Need to Improve","",COUNTIFS($R$6:$R$505,"Need to Improve",$L$6:$L$505,"&lt;"&amp;$L305)+COUNTIFS($R$6:$R305,"Need to Improve",$L$6:$L305,$L305))</f>
        <v/>
      </c>
      <c r="W305" s="7">
        <f>IF($R305&lt;&gt;"Not Performing","",COUNTIFS($R$6:$R$505,"Not Performing",$L$6:$L$505,"&lt;"&amp;$L305)+COUNTIFS($R$6:$R305,"Not Performing",$L$6:$L305,$L305))</f>
        <v/>
      </c>
    </row>
    <row r="306" ht="15" customHeight="1">
      <c r="A306" s="27" t="n"/>
      <c r="B306" s="27" t="n"/>
      <c r="C306" s="27" t="n"/>
      <c r="D306" s="28">
        <f>IF($C306="","",IFERROR(TRIM(LEFT($C306,FIND("-",$C306)-1)),""))</f>
        <v/>
      </c>
      <c r="E306" s="27" t="n"/>
      <c r="F306" s="29" t="n"/>
      <c r="G306" s="30" t="n"/>
      <c r="H306" s="30" t="n"/>
      <c r="I306" s="31">
        <f>IF($B306="","",$H306-$G306)</f>
        <v/>
      </c>
      <c r="J306" s="32">
        <f>IF(OR($B306="",$G306=0,$G306=""),"",$I306/$G306)</f>
        <v/>
      </c>
      <c r="K306" s="33" t="n"/>
      <c r="L306" s="33" t="n"/>
      <c r="M306" s="33" t="n"/>
      <c r="N306" s="33" t="n"/>
      <c r="O306" s="33" t="n"/>
      <c r="P306" s="32">
        <f>IF(OR($L306="",$N306=""),"",$L306-$N306)</f>
        <v/>
      </c>
      <c r="Q306" s="28">
        <f>IF($B306="","",IF(N($H306)&gt;0,"Live","Exited"))</f>
        <v/>
      </c>
      <c r="R306" s="28">
        <f>IF($B306="","",IF($L306="","Data Pending",IF($L306&gt;=Instructions!$D$19,"Best Fund",IF($L306&gt;=Instructions!$D$20,"Need to Improve","Not Performing"))))</f>
        <v/>
      </c>
      <c r="S306" s="7">
        <f>IF($R306="","",IF($R306="Data Pending","Enter the 3Y return",IF($R306="Best Fund","Hold / consider top-up",IF($R306="Need to Improve","Watch 2 quarters, then decide","Review with client - switch or exit"))))</f>
        <v/>
      </c>
      <c r="T306" s="27" t="n"/>
      <c r="U306" s="7">
        <f>IF($R306&lt;&gt;"Best Fund","",COUNTIFS($R$6:$R$505,"Best Fund",$L$6:$L$505,"&gt;"&amp;$L306)+COUNTIFS($R$6:$R306,"Best Fund",$L$6:$L306,$L306))</f>
        <v/>
      </c>
      <c r="V306" s="7">
        <f>IF($R306&lt;&gt;"Need to Improve","",COUNTIFS($R$6:$R$505,"Need to Improve",$L$6:$L$505,"&lt;"&amp;$L306)+COUNTIFS($R$6:$R306,"Need to Improve",$L$6:$L306,$L306))</f>
        <v/>
      </c>
      <c r="W306" s="7">
        <f>IF($R306&lt;&gt;"Not Performing","",COUNTIFS($R$6:$R$505,"Not Performing",$L$6:$L$505,"&lt;"&amp;$L306)+COUNTIFS($R$6:$R306,"Not Performing",$L$6:$L306,$L306))</f>
        <v/>
      </c>
    </row>
    <row r="307" ht="15" customHeight="1">
      <c r="A307" s="27" t="n"/>
      <c r="B307" s="27" t="n"/>
      <c r="C307" s="27" t="n"/>
      <c r="D307" s="28">
        <f>IF($C307="","",IFERROR(TRIM(LEFT($C307,FIND("-",$C307)-1)),""))</f>
        <v/>
      </c>
      <c r="E307" s="27" t="n"/>
      <c r="F307" s="29" t="n"/>
      <c r="G307" s="30" t="n"/>
      <c r="H307" s="30" t="n"/>
      <c r="I307" s="31">
        <f>IF($B307="","",$H307-$G307)</f>
        <v/>
      </c>
      <c r="J307" s="32">
        <f>IF(OR($B307="",$G307=0,$G307=""),"",$I307/$G307)</f>
        <v/>
      </c>
      <c r="K307" s="33" t="n"/>
      <c r="L307" s="33" t="n"/>
      <c r="M307" s="33" t="n"/>
      <c r="N307" s="33" t="n"/>
      <c r="O307" s="33" t="n"/>
      <c r="P307" s="32">
        <f>IF(OR($L307="",$N307=""),"",$L307-$N307)</f>
        <v/>
      </c>
      <c r="Q307" s="28">
        <f>IF($B307="","",IF(N($H307)&gt;0,"Live","Exited"))</f>
        <v/>
      </c>
      <c r="R307" s="28">
        <f>IF($B307="","",IF($L307="","Data Pending",IF($L307&gt;=Instructions!$D$19,"Best Fund",IF($L307&gt;=Instructions!$D$20,"Need to Improve","Not Performing"))))</f>
        <v/>
      </c>
      <c r="S307" s="7">
        <f>IF($R307="","",IF($R307="Data Pending","Enter the 3Y return",IF($R307="Best Fund","Hold / consider top-up",IF($R307="Need to Improve","Watch 2 quarters, then decide","Review with client - switch or exit"))))</f>
        <v/>
      </c>
      <c r="T307" s="27" t="n"/>
      <c r="U307" s="7">
        <f>IF($R307&lt;&gt;"Best Fund","",COUNTIFS($R$6:$R$505,"Best Fund",$L$6:$L$505,"&gt;"&amp;$L307)+COUNTIFS($R$6:$R307,"Best Fund",$L$6:$L307,$L307))</f>
        <v/>
      </c>
      <c r="V307" s="7">
        <f>IF($R307&lt;&gt;"Need to Improve","",COUNTIFS($R$6:$R$505,"Need to Improve",$L$6:$L$505,"&lt;"&amp;$L307)+COUNTIFS($R$6:$R307,"Need to Improve",$L$6:$L307,$L307))</f>
        <v/>
      </c>
      <c r="W307" s="7">
        <f>IF($R307&lt;&gt;"Not Performing","",COUNTIFS($R$6:$R$505,"Not Performing",$L$6:$L$505,"&lt;"&amp;$L307)+COUNTIFS($R$6:$R307,"Not Performing",$L$6:$L307,$L307))</f>
        <v/>
      </c>
    </row>
    <row r="308" ht="15" customHeight="1">
      <c r="A308" s="27" t="n"/>
      <c r="B308" s="27" t="n"/>
      <c r="C308" s="27" t="n"/>
      <c r="D308" s="28">
        <f>IF($C308="","",IFERROR(TRIM(LEFT($C308,FIND("-",$C308)-1)),""))</f>
        <v/>
      </c>
      <c r="E308" s="27" t="n"/>
      <c r="F308" s="29" t="n"/>
      <c r="G308" s="30" t="n"/>
      <c r="H308" s="30" t="n"/>
      <c r="I308" s="31">
        <f>IF($B308="","",$H308-$G308)</f>
        <v/>
      </c>
      <c r="J308" s="32">
        <f>IF(OR($B308="",$G308=0,$G308=""),"",$I308/$G308)</f>
        <v/>
      </c>
      <c r="K308" s="33" t="n"/>
      <c r="L308" s="33" t="n"/>
      <c r="M308" s="33" t="n"/>
      <c r="N308" s="33" t="n"/>
      <c r="O308" s="33" t="n"/>
      <c r="P308" s="32">
        <f>IF(OR($L308="",$N308=""),"",$L308-$N308)</f>
        <v/>
      </c>
      <c r="Q308" s="28">
        <f>IF($B308="","",IF(N($H308)&gt;0,"Live","Exited"))</f>
        <v/>
      </c>
      <c r="R308" s="28">
        <f>IF($B308="","",IF($L308="","Data Pending",IF($L308&gt;=Instructions!$D$19,"Best Fund",IF($L308&gt;=Instructions!$D$20,"Need to Improve","Not Performing"))))</f>
        <v/>
      </c>
      <c r="S308" s="7">
        <f>IF($R308="","",IF($R308="Data Pending","Enter the 3Y return",IF($R308="Best Fund","Hold / consider top-up",IF($R308="Need to Improve","Watch 2 quarters, then decide","Review with client - switch or exit"))))</f>
        <v/>
      </c>
      <c r="T308" s="27" t="n"/>
      <c r="U308" s="7">
        <f>IF($R308&lt;&gt;"Best Fund","",COUNTIFS($R$6:$R$505,"Best Fund",$L$6:$L$505,"&gt;"&amp;$L308)+COUNTIFS($R$6:$R308,"Best Fund",$L$6:$L308,$L308))</f>
        <v/>
      </c>
      <c r="V308" s="7">
        <f>IF($R308&lt;&gt;"Need to Improve","",COUNTIFS($R$6:$R$505,"Need to Improve",$L$6:$L$505,"&lt;"&amp;$L308)+COUNTIFS($R$6:$R308,"Need to Improve",$L$6:$L308,$L308))</f>
        <v/>
      </c>
      <c r="W308" s="7">
        <f>IF($R308&lt;&gt;"Not Performing","",COUNTIFS($R$6:$R$505,"Not Performing",$L$6:$L$505,"&lt;"&amp;$L308)+COUNTIFS($R$6:$R308,"Not Performing",$L$6:$L308,$L308))</f>
        <v/>
      </c>
    </row>
    <row r="309" ht="15" customHeight="1">
      <c r="A309" s="27" t="n"/>
      <c r="B309" s="27" t="n"/>
      <c r="C309" s="27" t="n"/>
      <c r="D309" s="28">
        <f>IF($C309="","",IFERROR(TRIM(LEFT($C309,FIND("-",$C309)-1)),""))</f>
        <v/>
      </c>
      <c r="E309" s="27" t="n"/>
      <c r="F309" s="29" t="n"/>
      <c r="G309" s="30" t="n"/>
      <c r="H309" s="30" t="n"/>
      <c r="I309" s="31">
        <f>IF($B309="","",$H309-$G309)</f>
        <v/>
      </c>
      <c r="J309" s="32">
        <f>IF(OR($B309="",$G309=0,$G309=""),"",$I309/$G309)</f>
        <v/>
      </c>
      <c r="K309" s="33" t="n"/>
      <c r="L309" s="33" t="n"/>
      <c r="M309" s="33" t="n"/>
      <c r="N309" s="33" t="n"/>
      <c r="O309" s="33" t="n"/>
      <c r="P309" s="32">
        <f>IF(OR($L309="",$N309=""),"",$L309-$N309)</f>
        <v/>
      </c>
      <c r="Q309" s="28">
        <f>IF($B309="","",IF(N($H309)&gt;0,"Live","Exited"))</f>
        <v/>
      </c>
      <c r="R309" s="28">
        <f>IF($B309="","",IF($L309="","Data Pending",IF($L309&gt;=Instructions!$D$19,"Best Fund",IF($L309&gt;=Instructions!$D$20,"Need to Improve","Not Performing"))))</f>
        <v/>
      </c>
      <c r="S309" s="7">
        <f>IF($R309="","",IF($R309="Data Pending","Enter the 3Y return",IF($R309="Best Fund","Hold / consider top-up",IF($R309="Need to Improve","Watch 2 quarters, then decide","Review with client - switch or exit"))))</f>
        <v/>
      </c>
      <c r="T309" s="27" t="n"/>
      <c r="U309" s="7">
        <f>IF($R309&lt;&gt;"Best Fund","",COUNTIFS($R$6:$R$505,"Best Fund",$L$6:$L$505,"&gt;"&amp;$L309)+COUNTIFS($R$6:$R309,"Best Fund",$L$6:$L309,$L309))</f>
        <v/>
      </c>
      <c r="V309" s="7">
        <f>IF($R309&lt;&gt;"Need to Improve","",COUNTIFS($R$6:$R$505,"Need to Improve",$L$6:$L$505,"&lt;"&amp;$L309)+COUNTIFS($R$6:$R309,"Need to Improve",$L$6:$L309,$L309))</f>
        <v/>
      </c>
      <c r="W309" s="7">
        <f>IF($R309&lt;&gt;"Not Performing","",COUNTIFS($R$6:$R$505,"Not Performing",$L$6:$L$505,"&lt;"&amp;$L309)+COUNTIFS($R$6:$R309,"Not Performing",$L$6:$L309,$L309))</f>
        <v/>
      </c>
    </row>
    <row r="310" ht="15" customHeight="1">
      <c r="A310" s="27" t="n"/>
      <c r="B310" s="27" t="n"/>
      <c r="C310" s="27" t="n"/>
      <c r="D310" s="28">
        <f>IF($C310="","",IFERROR(TRIM(LEFT($C310,FIND("-",$C310)-1)),""))</f>
        <v/>
      </c>
      <c r="E310" s="27" t="n"/>
      <c r="F310" s="29" t="n"/>
      <c r="G310" s="30" t="n"/>
      <c r="H310" s="30" t="n"/>
      <c r="I310" s="31">
        <f>IF($B310="","",$H310-$G310)</f>
        <v/>
      </c>
      <c r="J310" s="32">
        <f>IF(OR($B310="",$G310=0,$G310=""),"",$I310/$G310)</f>
        <v/>
      </c>
      <c r="K310" s="33" t="n"/>
      <c r="L310" s="33" t="n"/>
      <c r="M310" s="33" t="n"/>
      <c r="N310" s="33" t="n"/>
      <c r="O310" s="33" t="n"/>
      <c r="P310" s="32">
        <f>IF(OR($L310="",$N310=""),"",$L310-$N310)</f>
        <v/>
      </c>
      <c r="Q310" s="28">
        <f>IF($B310="","",IF(N($H310)&gt;0,"Live","Exited"))</f>
        <v/>
      </c>
      <c r="R310" s="28">
        <f>IF($B310="","",IF($L310="","Data Pending",IF($L310&gt;=Instructions!$D$19,"Best Fund",IF($L310&gt;=Instructions!$D$20,"Need to Improve","Not Performing"))))</f>
        <v/>
      </c>
      <c r="S310" s="7">
        <f>IF($R310="","",IF($R310="Data Pending","Enter the 3Y return",IF($R310="Best Fund","Hold / consider top-up",IF($R310="Need to Improve","Watch 2 quarters, then decide","Review with client - switch or exit"))))</f>
        <v/>
      </c>
      <c r="T310" s="27" t="n"/>
      <c r="U310" s="7">
        <f>IF($R310&lt;&gt;"Best Fund","",COUNTIFS($R$6:$R$505,"Best Fund",$L$6:$L$505,"&gt;"&amp;$L310)+COUNTIFS($R$6:$R310,"Best Fund",$L$6:$L310,$L310))</f>
        <v/>
      </c>
      <c r="V310" s="7">
        <f>IF($R310&lt;&gt;"Need to Improve","",COUNTIFS($R$6:$R$505,"Need to Improve",$L$6:$L$505,"&lt;"&amp;$L310)+COUNTIFS($R$6:$R310,"Need to Improve",$L$6:$L310,$L310))</f>
        <v/>
      </c>
      <c r="W310" s="7">
        <f>IF($R310&lt;&gt;"Not Performing","",COUNTIFS($R$6:$R$505,"Not Performing",$L$6:$L$505,"&lt;"&amp;$L310)+COUNTIFS($R$6:$R310,"Not Performing",$L$6:$L310,$L310))</f>
        <v/>
      </c>
    </row>
    <row r="311" ht="15" customHeight="1">
      <c r="A311" s="27" t="n"/>
      <c r="B311" s="27" t="n"/>
      <c r="C311" s="27" t="n"/>
      <c r="D311" s="28">
        <f>IF($C311="","",IFERROR(TRIM(LEFT($C311,FIND("-",$C311)-1)),""))</f>
        <v/>
      </c>
      <c r="E311" s="27" t="n"/>
      <c r="F311" s="29" t="n"/>
      <c r="G311" s="30" t="n"/>
      <c r="H311" s="30" t="n"/>
      <c r="I311" s="31">
        <f>IF($B311="","",$H311-$G311)</f>
        <v/>
      </c>
      <c r="J311" s="32">
        <f>IF(OR($B311="",$G311=0,$G311=""),"",$I311/$G311)</f>
        <v/>
      </c>
      <c r="K311" s="33" t="n"/>
      <c r="L311" s="33" t="n"/>
      <c r="M311" s="33" t="n"/>
      <c r="N311" s="33" t="n"/>
      <c r="O311" s="33" t="n"/>
      <c r="P311" s="32">
        <f>IF(OR($L311="",$N311=""),"",$L311-$N311)</f>
        <v/>
      </c>
      <c r="Q311" s="28">
        <f>IF($B311="","",IF(N($H311)&gt;0,"Live","Exited"))</f>
        <v/>
      </c>
      <c r="R311" s="28">
        <f>IF($B311="","",IF($L311="","Data Pending",IF($L311&gt;=Instructions!$D$19,"Best Fund",IF($L311&gt;=Instructions!$D$20,"Need to Improve","Not Performing"))))</f>
        <v/>
      </c>
      <c r="S311" s="7">
        <f>IF($R311="","",IF($R311="Data Pending","Enter the 3Y return",IF($R311="Best Fund","Hold / consider top-up",IF($R311="Need to Improve","Watch 2 quarters, then decide","Review with client - switch or exit"))))</f>
        <v/>
      </c>
      <c r="T311" s="27" t="n"/>
      <c r="U311" s="7">
        <f>IF($R311&lt;&gt;"Best Fund","",COUNTIFS($R$6:$R$505,"Best Fund",$L$6:$L$505,"&gt;"&amp;$L311)+COUNTIFS($R$6:$R311,"Best Fund",$L$6:$L311,$L311))</f>
        <v/>
      </c>
      <c r="V311" s="7">
        <f>IF($R311&lt;&gt;"Need to Improve","",COUNTIFS($R$6:$R$505,"Need to Improve",$L$6:$L$505,"&lt;"&amp;$L311)+COUNTIFS($R$6:$R311,"Need to Improve",$L$6:$L311,$L311))</f>
        <v/>
      </c>
      <c r="W311" s="7">
        <f>IF($R311&lt;&gt;"Not Performing","",COUNTIFS($R$6:$R$505,"Not Performing",$L$6:$L$505,"&lt;"&amp;$L311)+COUNTIFS($R$6:$R311,"Not Performing",$L$6:$L311,$L311))</f>
        <v/>
      </c>
    </row>
    <row r="312" ht="15" customHeight="1">
      <c r="A312" s="27" t="n"/>
      <c r="B312" s="27" t="n"/>
      <c r="C312" s="27" t="n"/>
      <c r="D312" s="28">
        <f>IF($C312="","",IFERROR(TRIM(LEFT($C312,FIND("-",$C312)-1)),""))</f>
        <v/>
      </c>
      <c r="E312" s="27" t="n"/>
      <c r="F312" s="29" t="n"/>
      <c r="G312" s="30" t="n"/>
      <c r="H312" s="30" t="n"/>
      <c r="I312" s="31">
        <f>IF($B312="","",$H312-$G312)</f>
        <v/>
      </c>
      <c r="J312" s="32">
        <f>IF(OR($B312="",$G312=0,$G312=""),"",$I312/$G312)</f>
        <v/>
      </c>
      <c r="K312" s="33" t="n"/>
      <c r="L312" s="33" t="n"/>
      <c r="M312" s="33" t="n"/>
      <c r="N312" s="33" t="n"/>
      <c r="O312" s="33" t="n"/>
      <c r="P312" s="32">
        <f>IF(OR($L312="",$N312=""),"",$L312-$N312)</f>
        <v/>
      </c>
      <c r="Q312" s="28">
        <f>IF($B312="","",IF(N($H312)&gt;0,"Live","Exited"))</f>
        <v/>
      </c>
      <c r="R312" s="28">
        <f>IF($B312="","",IF($L312="","Data Pending",IF($L312&gt;=Instructions!$D$19,"Best Fund",IF($L312&gt;=Instructions!$D$20,"Need to Improve","Not Performing"))))</f>
        <v/>
      </c>
      <c r="S312" s="7">
        <f>IF($R312="","",IF($R312="Data Pending","Enter the 3Y return",IF($R312="Best Fund","Hold / consider top-up",IF($R312="Need to Improve","Watch 2 quarters, then decide","Review with client - switch or exit"))))</f>
        <v/>
      </c>
      <c r="T312" s="27" t="n"/>
      <c r="U312" s="7">
        <f>IF($R312&lt;&gt;"Best Fund","",COUNTIFS($R$6:$R$505,"Best Fund",$L$6:$L$505,"&gt;"&amp;$L312)+COUNTIFS($R$6:$R312,"Best Fund",$L$6:$L312,$L312))</f>
        <v/>
      </c>
      <c r="V312" s="7">
        <f>IF($R312&lt;&gt;"Need to Improve","",COUNTIFS($R$6:$R$505,"Need to Improve",$L$6:$L$505,"&lt;"&amp;$L312)+COUNTIFS($R$6:$R312,"Need to Improve",$L$6:$L312,$L312))</f>
        <v/>
      </c>
      <c r="W312" s="7">
        <f>IF($R312&lt;&gt;"Not Performing","",COUNTIFS($R$6:$R$505,"Not Performing",$L$6:$L$505,"&lt;"&amp;$L312)+COUNTIFS($R$6:$R312,"Not Performing",$L$6:$L312,$L312))</f>
        <v/>
      </c>
    </row>
    <row r="313" ht="15" customHeight="1">
      <c r="A313" s="27" t="n"/>
      <c r="B313" s="27" t="n"/>
      <c r="C313" s="27" t="n"/>
      <c r="D313" s="28">
        <f>IF($C313="","",IFERROR(TRIM(LEFT($C313,FIND("-",$C313)-1)),""))</f>
        <v/>
      </c>
      <c r="E313" s="27" t="n"/>
      <c r="F313" s="29" t="n"/>
      <c r="G313" s="30" t="n"/>
      <c r="H313" s="30" t="n"/>
      <c r="I313" s="31">
        <f>IF($B313="","",$H313-$G313)</f>
        <v/>
      </c>
      <c r="J313" s="32">
        <f>IF(OR($B313="",$G313=0,$G313=""),"",$I313/$G313)</f>
        <v/>
      </c>
      <c r="K313" s="33" t="n"/>
      <c r="L313" s="33" t="n"/>
      <c r="M313" s="33" t="n"/>
      <c r="N313" s="33" t="n"/>
      <c r="O313" s="33" t="n"/>
      <c r="P313" s="32">
        <f>IF(OR($L313="",$N313=""),"",$L313-$N313)</f>
        <v/>
      </c>
      <c r="Q313" s="28">
        <f>IF($B313="","",IF(N($H313)&gt;0,"Live","Exited"))</f>
        <v/>
      </c>
      <c r="R313" s="28">
        <f>IF($B313="","",IF($L313="","Data Pending",IF($L313&gt;=Instructions!$D$19,"Best Fund",IF($L313&gt;=Instructions!$D$20,"Need to Improve","Not Performing"))))</f>
        <v/>
      </c>
      <c r="S313" s="7">
        <f>IF($R313="","",IF($R313="Data Pending","Enter the 3Y return",IF($R313="Best Fund","Hold / consider top-up",IF($R313="Need to Improve","Watch 2 quarters, then decide","Review with client - switch or exit"))))</f>
        <v/>
      </c>
      <c r="T313" s="27" t="n"/>
      <c r="U313" s="7">
        <f>IF($R313&lt;&gt;"Best Fund","",COUNTIFS($R$6:$R$505,"Best Fund",$L$6:$L$505,"&gt;"&amp;$L313)+COUNTIFS($R$6:$R313,"Best Fund",$L$6:$L313,$L313))</f>
        <v/>
      </c>
      <c r="V313" s="7">
        <f>IF($R313&lt;&gt;"Need to Improve","",COUNTIFS($R$6:$R$505,"Need to Improve",$L$6:$L$505,"&lt;"&amp;$L313)+COUNTIFS($R$6:$R313,"Need to Improve",$L$6:$L313,$L313))</f>
        <v/>
      </c>
      <c r="W313" s="7">
        <f>IF($R313&lt;&gt;"Not Performing","",COUNTIFS($R$6:$R$505,"Not Performing",$L$6:$L$505,"&lt;"&amp;$L313)+COUNTIFS($R$6:$R313,"Not Performing",$L$6:$L313,$L313))</f>
        <v/>
      </c>
    </row>
    <row r="314" ht="15" customHeight="1">
      <c r="A314" s="27" t="n"/>
      <c r="B314" s="27" t="n"/>
      <c r="C314" s="27" t="n"/>
      <c r="D314" s="28">
        <f>IF($C314="","",IFERROR(TRIM(LEFT($C314,FIND("-",$C314)-1)),""))</f>
        <v/>
      </c>
      <c r="E314" s="27" t="n"/>
      <c r="F314" s="29" t="n"/>
      <c r="G314" s="30" t="n"/>
      <c r="H314" s="30" t="n"/>
      <c r="I314" s="31">
        <f>IF($B314="","",$H314-$G314)</f>
        <v/>
      </c>
      <c r="J314" s="32">
        <f>IF(OR($B314="",$G314=0,$G314=""),"",$I314/$G314)</f>
        <v/>
      </c>
      <c r="K314" s="33" t="n"/>
      <c r="L314" s="33" t="n"/>
      <c r="M314" s="33" t="n"/>
      <c r="N314" s="33" t="n"/>
      <c r="O314" s="33" t="n"/>
      <c r="P314" s="32">
        <f>IF(OR($L314="",$N314=""),"",$L314-$N314)</f>
        <v/>
      </c>
      <c r="Q314" s="28">
        <f>IF($B314="","",IF(N($H314)&gt;0,"Live","Exited"))</f>
        <v/>
      </c>
      <c r="R314" s="28">
        <f>IF($B314="","",IF($L314="","Data Pending",IF($L314&gt;=Instructions!$D$19,"Best Fund",IF($L314&gt;=Instructions!$D$20,"Need to Improve","Not Performing"))))</f>
        <v/>
      </c>
      <c r="S314" s="7">
        <f>IF($R314="","",IF($R314="Data Pending","Enter the 3Y return",IF($R314="Best Fund","Hold / consider top-up",IF($R314="Need to Improve","Watch 2 quarters, then decide","Review with client - switch or exit"))))</f>
        <v/>
      </c>
      <c r="T314" s="27" t="n"/>
      <c r="U314" s="7">
        <f>IF($R314&lt;&gt;"Best Fund","",COUNTIFS($R$6:$R$505,"Best Fund",$L$6:$L$505,"&gt;"&amp;$L314)+COUNTIFS($R$6:$R314,"Best Fund",$L$6:$L314,$L314))</f>
        <v/>
      </c>
      <c r="V314" s="7">
        <f>IF($R314&lt;&gt;"Need to Improve","",COUNTIFS($R$6:$R$505,"Need to Improve",$L$6:$L$505,"&lt;"&amp;$L314)+COUNTIFS($R$6:$R314,"Need to Improve",$L$6:$L314,$L314))</f>
        <v/>
      </c>
      <c r="W314" s="7">
        <f>IF($R314&lt;&gt;"Not Performing","",COUNTIFS($R$6:$R$505,"Not Performing",$L$6:$L$505,"&lt;"&amp;$L314)+COUNTIFS($R$6:$R314,"Not Performing",$L$6:$L314,$L314))</f>
        <v/>
      </c>
    </row>
    <row r="315" ht="15" customHeight="1">
      <c r="A315" s="27" t="n"/>
      <c r="B315" s="27" t="n"/>
      <c r="C315" s="27" t="n"/>
      <c r="D315" s="28">
        <f>IF($C315="","",IFERROR(TRIM(LEFT($C315,FIND("-",$C315)-1)),""))</f>
        <v/>
      </c>
      <c r="E315" s="27" t="n"/>
      <c r="F315" s="29" t="n"/>
      <c r="G315" s="30" t="n"/>
      <c r="H315" s="30" t="n"/>
      <c r="I315" s="31">
        <f>IF($B315="","",$H315-$G315)</f>
        <v/>
      </c>
      <c r="J315" s="32">
        <f>IF(OR($B315="",$G315=0,$G315=""),"",$I315/$G315)</f>
        <v/>
      </c>
      <c r="K315" s="33" t="n"/>
      <c r="L315" s="33" t="n"/>
      <c r="M315" s="33" t="n"/>
      <c r="N315" s="33" t="n"/>
      <c r="O315" s="33" t="n"/>
      <c r="P315" s="32">
        <f>IF(OR($L315="",$N315=""),"",$L315-$N315)</f>
        <v/>
      </c>
      <c r="Q315" s="28">
        <f>IF($B315="","",IF(N($H315)&gt;0,"Live","Exited"))</f>
        <v/>
      </c>
      <c r="R315" s="28">
        <f>IF($B315="","",IF($L315="","Data Pending",IF($L315&gt;=Instructions!$D$19,"Best Fund",IF($L315&gt;=Instructions!$D$20,"Need to Improve","Not Performing"))))</f>
        <v/>
      </c>
      <c r="S315" s="7">
        <f>IF($R315="","",IF($R315="Data Pending","Enter the 3Y return",IF($R315="Best Fund","Hold / consider top-up",IF($R315="Need to Improve","Watch 2 quarters, then decide","Review with client - switch or exit"))))</f>
        <v/>
      </c>
      <c r="T315" s="27" t="n"/>
      <c r="U315" s="7">
        <f>IF($R315&lt;&gt;"Best Fund","",COUNTIFS($R$6:$R$505,"Best Fund",$L$6:$L$505,"&gt;"&amp;$L315)+COUNTIFS($R$6:$R315,"Best Fund",$L$6:$L315,$L315))</f>
        <v/>
      </c>
      <c r="V315" s="7">
        <f>IF($R315&lt;&gt;"Need to Improve","",COUNTIFS($R$6:$R$505,"Need to Improve",$L$6:$L$505,"&lt;"&amp;$L315)+COUNTIFS($R$6:$R315,"Need to Improve",$L$6:$L315,$L315))</f>
        <v/>
      </c>
      <c r="W315" s="7">
        <f>IF($R315&lt;&gt;"Not Performing","",COUNTIFS($R$6:$R$505,"Not Performing",$L$6:$L$505,"&lt;"&amp;$L315)+COUNTIFS($R$6:$R315,"Not Performing",$L$6:$L315,$L315))</f>
        <v/>
      </c>
    </row>
    <row r="316" ht="15" customHeight="1">
      <c r="A316" s="27" t="n"/>
      <c r="B316" s="27" t="n"/>
      <c r="C316" s="27" t="n"/>
      <c r="D316" s="28">
        <f>IF($C316="","",IFERROR(TRIM(LEFT($C316,FIND("-",$C316)-1)),""))</f>
        <v/>
      </c>
      <c r="E316" s="27" t="n"/>
      <c r="F316" s="29" t="n"/>
      <c r="G316" s="30" t="n"/>
      <c r="H316" s="30" t="n"/>
      <c r="I316" s="31">
        <f>IF($B316="","",$H316-$G316)</f>
        <v/>
      </c>
      <c r="J316" s="32">
        <f>IF(OR($B316="",$G316=0,$G316=""),"",$I316/$G316)</f>
        <v/>
      </c>
      <c r="K316" s="33" t="n"/>
      <c r="L316" s="33" t="n"/>
      <c r="M316" s="33" t="n"/>
      <c r="N316" s="33" t="n"/>
      <c r="O316" s="33" t="n"/>
      <c r="P316" s="32">
        <f>IF(OR($L316="",$N316=""),"",$L316-$N316)</f>
        <v/>
      </c>
      <c r="Q316" s="28">
        <f>IF($B316="","",IF(N($H316)&gt;0,"Live","Exited"))</f>
        <v/>
      </c>
      <c r="R316" s="28">
        <f>IF($B316="","",IF($L316="","Data Pending",IF($L316&gt;=Instructions!$D$19,"Best Fund",IF($L316&gt;=Instructions!$D$20,"Need to Improve","Not Performing"))))</f>
        <v/>
      </c>
      <c r="S316" s="7">
        <f>IF($R316="","",IF($R316="Data Pending","Enter the 3Y return",IF($R316="Best Fund","Hold / consider top-up",IF($R316="Need to Improve","Watch 2 quarters, then decide","Review with client - switch or exit"))))</f>
        <v/>
      </c>
      <c r="T316" s="27" t="n"/>
      <c r="U316" s="7">
        <f>IF($R316&lt;&gt;"Best Fund","",COUNTIFS($R$6:$R$505,"Best Fund",$L$6:$L$505,"&gt;"&amp;$L316)+COUNTIFS($R$6:$R316,"Best Fund",$L$6:$L316,$L316))</f>
        <v/>
      </c>
      <c r="V316" s="7">
        <f>IF($R316&lt;&gt;"Need to Improve","",COUNTIFS($R$6:$R$505,"Need to Improve",$L$6:$L$505,"&lt;"&amp;$L316)+COUNTIFS($R$6:$R316,"Need to Improve",$L$6:$L316,$L316))</f>
        <v/>
      </c>
      <c r="W316" s="7">
        <f>IF($R316&lt;&gt;"Not Performing","",COUNTIFS($R$6:$R$505,"Not Performing",$L$6:$L$505,"&lt;"&amp;$L316)+COUNTIFS($R$6:$R316,"Not Performing",$L$6:$L316,$L316))</f>
        <v/>
      </c>
    </row>
    <row r="317" ht="15" customHeight="1">
      <c r="A317" s="27" t="n"/>
      <c r="B317" s="27" t="n"/>
      <c r="C317" s="27" t="n"/>
      <c r="D317" s="28">
        <f>IF($C317="","",IFERROR(TRIM(LEFT($C317,FIND("-",$C317)-1)),""))</f>
        <v/>
      </c>
      <c r="E317" s="27" t="n"/>
      <c r="F317" s="29" t="n"/>
      <c r="G317" s="30" t="n"/>
      <c r="H317" s="30" t="n"/>
      <c r="I317" s="31">
        <f>IF($B317="","",$H317-$G317)</f>
        <v/>
      </c>
      <c r="J317" s="32">
        <f>IF(OR($B317="",$G317=0,$G317=""),"",$I317/$G317)</f>
        <v/>
      </c>
      <c r="K317" s="33" t="n"/>
      <c r="L317" s="33" t="n"/>
      <c r="M317" s="33" t="n"/>
      <c r="N317" s="33" t="n"/>
      <c r="O317" s="33" t="n"/>
      <c r="P317" s="32">
        <f>IF(OR($L317="",$N317=""),"",$L317-$N317)</f>
        <v/>
      </c>
      <c r="Q317" s="28">
        <f>IF($B317="","",IF(N($H317)&gt;0,"Live","Exited"))</f>
        <v/>
      </c>
      <c r="R317" s="28">
        <f>IF($B317="","",IF($L317="","Data Pending",IF($L317&gt;=Instructions!$D$19,"Best Fund",IF($L317&gt;=Instructions!$D$20,"Need to Improve","Not Performing"))))</f>
        <v/>
      </c>
      <c r="S317" s="7">
        <f>IF($R317="","",IF($R317="Data Pending","Enter the 3Y return",IF($R317="Best Fund","Hold / consider top-up",IF($R317="Need to Improve","Watch 2 quarters, then decide","Review with client - switch or exit"))))</f>
        <v/>
      </c>
      <c r="T317" s="27" t="n"/>
      <c r="U317" s="7">
        <f>IF($R317&lt;&gt;"Best Fund","",COUNTIFS($R$6:$R$505,"Best Fund",$L$6:$L$505,"&gt;"&amp;$L317)+COUNTIFS($R$6:$R317,"Best Fund",$L$6:$L317,$L317))</f>
        <v/>
      </c>
      <c r="V317" s="7">
        <f>IF($R317&lt;&gt;"Need to Improve","",COUNTIFS($R$6:$R$505,"Need to Improve",$L$6:$L$505,"&lt;"&amp;$L317)+COUNTIFS($R$6:$R317,"Need to Improve",$L$6:$L317,$L317))</f>
        <v/>
      </c>
      <c r="W317" s="7">
        <f>IF($R317&lt;&gt;"Not Performing","",COUNTIFS($R$6:$R$505,"Not Performing",$L$6:$L$505,"&lt;"&amp;$L317)+COUNTIFS($R$6:$R317,"Not Performing",$L$6:$L317,$L317))</f>
        <v/>
      </c>
    </row>
    <row r="318" ht="15" customHeight="1">
      <c r="A318" s="27" t="n"/>
      <c r="B318" s="27" t="n"/>
      <c r="C318" s="27" t="n"/>
      <c r="D318" s="28">
        <f>IF($C318="","",IFERROR(TRIM(LEFT($C318,FIND("-",$C318)-1)),""))</f>
        <v/>
      </c>
      <c r="E318" s="27" t="n"/>
      <c r="F318" s="29" t="n"/>
      <c r="G318" s="30" t="n"/>
      <c r="H318" s="30" t="n"/>
      <c r="I318" s="31">
        <f>IF($B318="","",$H318-$G318)</f>
        <v/>
      </c>
      <c r="J318" s="32">
        <f>IF(OR($B318="",$G318=0,$G318=""),"",$I318/$G318)</f>
        <v/>
      </c>
      <c r="K318" s="33" t="n"/>
      <c r="L318" s="33" t="n"/>
      <c r="M318" s="33" t="n"/>
      <c r="N318" s="33" t="n"/>
      <c r="O318" s="33" t="n"/>
      <c r="P318" s="32">
        <f>IF(OR($L318="",$N318=""),"",$L318-$N318)</f>
        <v/>
      </c>
      <c r="Q318" s="28">
        <f>IF($B318="","",IF(N($H318)&gt;0,"Live","Exited"))</f>
        <v/>
      </c>
      <c r="R318" s="28">
        <f>IF($B318="","",IF($L318="","Data Pending",IF($L318&gt;=Instructions!$D$19,"Best Fund",IF($L318&gt;=Instructions!$D$20,"Need to Improve","Not Performing"))))</f>
        <v/>
      </c>
      <c r="S318" s="7">
        <f>IF($R318="","",IF($R318="Data Pending","Enter the 3Y return",IF($R318="Best Fund","Hold / consider top-up",IF($R318="Need to Improve","Watch 2 quarters, then decide","Review with client - switch or exit"))))</f>
        <v/>
      </c>
      <c r="T318" s="27" t="n"/>
      <c r="U318" s="7">
        <f>IF($R318&lt;&gt;"Best Fund","",COUNTIFS($R$6:$R$505,"Best Fund",$L$6:$L$505,"&gt;"&amp;$L318)+COUNTIFS($R$6:$R318,"Best Fund",$L$6:$L318,$L318))</f>
        <v/>
      </c>
      <c r="V318" s="7">
        <f>IF($R318&lt;&gt;"Need to Improve","",COUNTIFS($R$6:$R$505,"Need to Improve",$L$6:$L$505,"&lt;"&amp;$L318)+COUNTIFS($R$6:$R318,"Need to Improve",$L$6:$L318,$L318))</f>
        <v/>
      </c>
      <c r="W318" s="7">
        <f>IF($R318&lt;&gt;"Not Performing","",COUNTIFS($R$6:$R$505,"Not Performing",$L$6:$L$505,"&lt;"&amp;$L318)+COUNTIFS($R$6:$R318,"Not Performing",$L$6:$L318,$L318))</f>
        <v/>
      </c>
    </row>
    <row r="319" ht="15" customHeight="1">
      <c r="A319" s="27" t="n"/>
      <c r="B319" s="27" t="n"/>
      <c r="C319" s="27" t="n"/>
      <c r="D319" s="28">
        <f>IF($C319="","",IFERROR(TRIM(LEFT($C319,FIND("-",$C319)-1)),""))</f>
        <v/>
      </c>
      <c r="E319" s="27" t="n"/>
      <c r="F319" s="29" t="n"/>
      <c r="G319" s="30" t="n"/>
      <c r="H319" s="30" t="n"/>
      <c r="I319" s="31">
        <f>IF($B319="","",$H319-$G319)</f>
        <v/>
      </c>
      <c r="J319" s="32">
        <f>IF(OR($B319="",$G319=0,$G319=""),"",$I319/$G319)</f>
        <v/>
      </c>
      <c r="K319" s="33" t="n"/>
      <c r="L319" s="33" t="n"/>
      <c r="M319" s="33" t="n"/>
      <c r="N319" s="33" t="n"/>
      <c r="O319" s="33" t="n"/>
      <c r="P319" s="32">
        <f>IF(OR($L319="",$N319=""),"",$L319-$N319)</f>
        <v/>
      </c>
      <c r="Q319" s="28">
        <f>IF($B319="","",IF(N($H319)&gt;0,"Live","Exited"))</f>
        <v/>
      </c>
      <c r="R319" s="28">
        <f>IF($B319="","",IF($L319="","Data Pending",IF($L319&gt;=Instructions!$D$19,"Best Fund",IF($L319&gt;=Instructions!$D$20,"Need to Improve","Not Performing"))))</f>
        <v/>
      </c>
      <c r="S319" s="7">
        <f>IF($R319="","",IF($R319="Data Pending","Enter the 3Y return",IF($R319="Best Fund","Hold / consider top-up",IF($R319="Need to Improve","Watch 2 quarters, then decide","Review with client - switch or exit"))))</f>
        <v/>
      </c>
      <c r="T319" s="27" t="n"/>
      <c r="U319" s="7">
        <f>IF($R319&lt;&gt;"Best Fund","",COUNTIFS($R$6:$R$505,"Best Fund",$L$6:$L$505,"&gt;"&amp;$L319)+COUNTIFS($R$6:$R319,"Best Fund",$L$6:$L319,$L319))</f>
        <v/>
      </c>
      <c r="V319" s="7">
        <f>IF($R319&lt;&gt;"Need to Improve","",COUNTIFS($R$6:$R$505,"Need to Improve",$L$6:$L$505,"&lt;"&amp;$L319)+COUNTIFS($R$6:$R319,"Need to Improve",$L$6:$L319,$L319))</f>
        <v/>
      </c>
      <c r="W319" s="7">
        <f>IF($R319&lt;&gt;"Not Performing","",COUNTIFS($R$6:$R$505,"Not Performing",$L$6:$L$505,"&lt;"&amp;$L319)+COUNTIFS($R$6:$R319,"Not Performing",$L$6:$L319,$L319))</f>
        <v/>
      </c>
    </row>
    <row r="320" ht="15" customHeight="1">
      <c r="A320" s="27" t="n"/>
      <c r="B320" s="27" t="n"/>
      <c r="C320" s="27" t="n"/>
      <c r="D320" s="28">
        <f>IF($C320="","",IFERROR(TRIM(LEFT($C320,FIND("-",$C320)-1)),""))</f>
        <v/>
      </c>
      <c r="E320" s="27" t="n"/>
      <c r="F320" s="29" t="n"/>
      <c r="G320" s="30" t="n"/>
      <c r="H320" s="30" t="n"/>
      <c r="I320" s="31">
        <f>IF($B320="","",$H320-$G320)</f>
        <v/>
      </c>
      <c r="J320" s="32">
        <f>IF(OR($B320="",$G320=0,$G320=""),"",$I320/$G320)</f>
        <v/>
      </c>
      <c r="K320" s="33" t="n"/>
      <c r="L320" s="33" t="n"/>
      <c r="M320" s="33" t="n"/>
      <c r="N320" s="33" t="n"/>
      <c r="O320" s="33" t="n"/>
      <c r="P320" s="32">
        <f>IF(OR($L320="",$N320=""),"",$L320-$N320)</f>
        <v/>
      </c>
      <c r="Q320" s="28">
        <f>IF($B320="","",IF(N($H320)&gt;0,"Live","Exited"))</f>
        <v/>
      </c>
      <c r="R320" s="28">
        <f>IF($B320="","",IF($L320="","Data Pending",IF($L320&gt;=Instructions!$D$19,"Best Fund",IF($L320&gt;=Instructions!$D$20,"Need to Improve","Not Performing"))))</f>
        <v/>
      </c>
      <c r="S320" s="7">
        <f>IF($R320="","",IF($R320="Data Pending","Enter the 3Y return",IF($R320="Best Fund","Hold / consider top-up",IF($R320="Need to Improve","Watch 2 quarters, then decide","Review with client - switch or exit"))))</f>
        <v/>
      </c>
      <c r="T320" s="27" t="n"/>
      <c r="U320" s="7">
        <f>IF($R320&lt;&gt;"Best Fund","",COUNTIFS($R$6:$R$505,"Best Fund",$L$6:$L$505,"&gt;"&amp;$L320)+COUNTIFS($R$6:$R320,"Best Fund",$L$6:$L320,$L320))</f>
        <v/>
      </c>
      <c r="V320" s="7">
        <f>IF($R320&lt;&gt;"Need to Improve","",COUNTIFS($R$6:$R$505,"Need to Improve",$L$6:$L$505,"&lt;"&amp;$L320)+COUNTIFS($R$6:$R320,"Need to Improve",$L$6:$L320,$L320))</f>
        <v/>
      </c>
      <c r="W320" s="7">
        <f>IF($R320&lt;&gt;"Not Performing","",COUNTIFS($R$6:$R$505,"Not Performing",$L$6:$L$505,"&lt;"&amp;$L320)+COUNTIFS($R$6:$R320,"Not Performing",$L$6:$L320,$L320))</f>
        <v/>
      </c>
    </row>
    <row r="321" ht="15" customHeight="1">
      <c r="A321" s="27" t="n"/>
      <c r="B321" s="27" t="n"/>
      <c r="C321" s="27" t="n"/>
      <c r="D321" s="28">
        <f>IF($C321="","",IFERROR(TRIM(LEFT($C321,FIND("-",$C321)-1)),""))</f>
        <v/>
      </c>
      <c r="E321" s="27" t="n"/>
      <c r="F321" s="29" t="n"/>
      <c r="G321" s="30" t="n"/>
      <c r="H321" s="30" t="n"/>
      <c r="I321" s="31">
        <f>IF($B321="","",$H321-$G321)</f>
        <v/>
      </c>
      <c r="J321" s="32">
        <f>IF(OR($B321="",$G321=0,$G321=""),"",$I321/$G321)</f>
        <v/>
      </c>
      <c r="K321" s="33" t="n"/>
      <c r="L321" s="33" t="n"/>
      <c r="M321" s="33" t="n"/>
      <c r="N321" s="33" t="n"/>
      <c r="O321" s="33" t="n"/>
      <c r="P321" s="32">
        <f>IF(OR($L321="",$N321=""),"",$L321-$N321)</f>
        <v/>
      </c>
      <c r="Q321" s="28">
        <f>IF($B321="","",IF(N($H321)&gt;0,"Live","Exited"))</f>
        <v/>
      </c>
      <c r="R321" s="28">
        <f>IF($B321="","",IF($L321="","Data Pending",IF($L321&gt;=Instructions!$D$19,"Best Fund",IF($L321&gt;=Instructions!$D$20,"Need to Improve","Not Performing"))))</f>
        <v/>
      </c>
      <c r="S321" s="7">
        <f>IF($R321="","",IF($R321="Data Pending","Enter the 3Y return",IF($R321="Best Fund","Hold / consider top-up",IF($R321="Need to Improve","Watch 2 quarters, then decide","Review with client - switch or exit"))))</f>
        <v/>
      </c>
      <c r="T321" s="27" t="n"/>
      <c r="U321" s="7">
        <f>IF($R321&lt;&gt;"Best Fund","",COUNTIFS($R$6:$R$505,"Best Fund",$L$6:$L$505,"&gt;"&amp;$L321)+COUNTIFS($R$6:$R321,"Best Fund",$L$6:$L321,$L321))</f>
        <v/>
      </c>
      <c r="V321" s="7">
        <f>IF($R321&lt;&gt;"Need to Improve","",COUNTIFS($R$6:$R$505,"Need to Improve",$L$6:$L$505,"&lt;"&amp;$L321)+COUNTIFS($R$6:$R321,"Need to Improve",$L$6:$L321,$L321))</f>
        <v/>
      </c>
      <c r="W321" s="7">
        <f>IF($R321&lt;&gt;"Not Performing","",COUNTIFS($R$6:$R$505,"Not Performing",$L$6:$L$505,"&lt;"&amp;$L321)+COUNTIFS($R$6:$R321,"Not Performing",$L$6:$L321,$L321))</f>
        <v/>
      </c>
    </row>
    <row r="322" ht="15" customHeight="1">
      <c r="A322" s="27" t="n"/>
      <c r="B322" s="27" t="n"/>
      <c r="C322" s="27" t="n"/>
      <c r="D322" s="28">
        <f>IF($C322="","",IFERROR(TRIM(LEFT($C322,FIND("-",$C322)-1)),""))</f>
        <v/>
      </c>
      <c r="E322" s="27" t="n"/>
      <c r="F322" s="29" t="n"/>
      <c r="G322" s="30" t="n"/>
      <c r="H322" s="30" t="n"/>
      <c r="I322" s="31">
        <f>IF($B322="","",$H322-$G322)</f>
        <v/>
      </c>
      <c r="J322" s="32">
        <f>IF(OR($B322="",$G322=0,$G322=""),"",$I322/$G322)</f>
        <v/>
      </c>
      <c r="K322" s="33" t="n"/>
      <c r="L322" s="33" t="n"/>
      <c r="M322" s="33" t="n"/>
      <c r="N322" s="33" t="n"/>
      <c r="O322" s="33" t="n"/>
      <c r="P322" s="32">
        <f>IF(OR($L322="",$N322=""),"",$L322-$N322)</f>
        <v/>
      </c>
      <c r="Q322" s="28">
        <f>IF($B322="","",IF(N($H322)&gt;0,"Live","Exited"))</f>
        <v/>
      </c>
      <c r="R322" s="28">
        <f>IF($B322="","",IF($L322="","Data Pending",IF($L322&gt;=Instructions!$D$19,"Best Fund",IF($L322&gt;=Instructions!$D$20,"Need to Improve","Not Performing"))))</f>
        <v/>
      </c>
      <c r="S322" s="7">
        <f>IF($R322="","",IF($R322="Data Pending","Enter the 3Y return",IF($R322="Best Fund","Hold / consider top-up",IF($R322="Need to Improve","Watch 2 quarters, then decide","Review with client - switch or exit"))))</f>
        <v/>
      </c>
      <c r="T322" s="27" t="n"/>
      <c r="U322" s="7">
        <f>IF($R322&lt;&gt;"Best Fund","",COUNTIFS($R$6:$R$505,"Best Fund",$L$6:$L$505,"&gt;"&amp;$L322)+COUNTIFS($R$6:$R322,"Best Fund",$L$6:$L322,$L322))</f>
        <v/>
      </c>
      <c r="V322" s="7">
        <f>IF($R322&lt;&gt;"Need to Improve","",COUNTIFS($R$6:$R$505,"Need to Improve",$L$6:$L$505,"&lt;"&amp;$L322)+COUNTIFS($R$6:$R322,"Need to Improve",$L$6:$L322,$L322))</f>
        <v/>
      </c>
      <c r="W322" s="7">
        <f>IF($R322&lt;&gt;"Not Performing","",COUNTIFS($R$6:$R$505,"Not Performing",$L$6:$L$505,"&lt;"&amp;$L322)+COUNTIFS($R$6:$R322,"Not Performing",$L$6:$L322,$L322))</f>
        <v/>
      </c>
    </row>
    <row r="323" ht="15" customHeight="1">
      <c r="A323" s="27" t="n"/>
      <c r="B323" s="27" t="n"/>
      <c r="C323" s="27" t="n"/>
      <c r="D323" s="28">
        <f>IF($C323="","",IFERROR(TRIM(LEFT($C323,FIND("-",$C323)-1)),""))</f>
        <v/>
      </c>
      <c r="E323" s="27" t="n"/>
      <c r="F323" s="29" t="n"/>
      <c r="G323" s="30" t="n"/>
      <c r="H323" s="30" t="n"/>
      <c r="I323" s="31">
        <f>IF($B323="","",$H323-$G323)</f>
        <v/>
      </c>
      <c r="J323" s="32">
        <f>IF(OR($B323="",$G323=0,$G323=""),"",$I323/$G323)</f>
        <v/>
      </c>
      <c r="K323" s="33" t="n"/>
      <c r="L323" s="33" t="n"/>
      <c r="M323" s="33" t="n"/>
      <c r="N323" s="33" t="n"/>
      <c r="O323" s="33" t="n"/>
      <c r="P323" s="32">
        <f>IF(OR($L323="",$N323=""),"",$L323-$N323)</f>
        <v/>
      </c>
      <c r="Q323" s="28">
        <f>IF($B323="","",IF(N($H323)&gt;0,"Live","Exited"))</f>
        <v/>
      </c>
      <c r="R323" s="28">
        <f>IF($B323="","",IF($L323="","Data Pending",IF($L323&gt;=Instructions!$D$19,"Best Fund",IF($L323&gt;=Instructions!$D$20,"Need to Improve","Not Performing"))))</f>
        <v/>
      </c>
      <c r="S323" s="7">
        <f>IF($R323="","",IF($R323="Data Pending","Enter the 3Y return",IF($R323="Best Fund","Hold / consider top-up",IF($R323="Need to Improve","Watch 2 quarters, then decide","Review with client - switch or exit"))))</f>
        <v/>
      </c>
      <c r="T323" s="27" t="n"/>
      <c r="U323" s="7">
        <f>IF($R323&lt;&gt;"Best Fund","",COUNTIFS($R$6:$R$505,"Best Fund",$L$6:$L$505,"&gt;"&amp;$L323)+COUNTIFS($R$6:$R323,"Best Fund",$L$6:$L323,$L323))</f>
        <v/>
      </c>
      <c r="V323" s="7">
        <f>IF($R323&lt;&gt;"Need to Improve","",COUNTIFS($R$6:$R$505,"Need to Improve",$L$6:$L$505,"&lt;"&amp;$L323)+COUNTIFS($R$6:$R323,"Need to Improve",$L$6:$L323,$L323))</f>
        <v/>
      </c>
      <c r="W323" s="7">
        <f>IF($R323&lt;&gt;"Not Performing","",COUNTIFS($R$6:$R$505,"Not Performing",$L$6:$L$505,"&lt;"&amp;$L323)+COUNTIFS($R$6:$R323,"Not Performing",$L$6:$L323,$L323))</f>
        <v/>
      </c>
    </row>
    <row r="324" ht="15" customHeight="1">
      <c r="A324" s="27" t="n"/>
      <c r="B324" s="27" t="n"/>
      <c r="C324" s="27" t="n"/>
      <c r="D324" s="28">
        <f>IF($C324="","",IFERROR(TRIM(LEFT($C324,FIND("-",$C324)-1)),""))</f>
        <v/>
      </c>
      <c r="E324" s="27" t="n"/>
      <c r="F324" s="29" t="n"/>
      <c r="G324" s="30" t="n"/>
      <c r="H324" s="30" t="n"/>
      <c r="I324" s="31">
        <f>IF($B324="","",$H324-$G324)</f>
        <v/>
      </c>
      <c r="J324" s="32">
        <f>IF(OR($B324="",$G324=0,$G324=""),"",$I324/$G324)</f>
        <v/>
      </c>
      <c r="K324" s="33" t="n"/>
      <c r="L324" s="33" t="n"/>
      <c r="M324" s="33" t="n"/>
      <c r="N324" s="33" t="n"/>
      <c r="O324" s="33" t="n"/>
      <c r="P324" s="32">
        <f>IF(OR($L324="",$N324=""),"",$L324-$N324)</f>
        <v/>
      </c>
      <c r="Q324" s="28">
        <f>IF($B324="","",IF(N($H324)&gt;0,"Live","Exited"))</f>
        <v/>
      </c>
      <c r="R324" s="28">
        <f>IF($B324="","",IF($L324="","Data Pending",IF($L324&gt;=Instructions!$D$19,"Best Fund",IF($L324&gt;=Instructions!$D$20,"Need to Improve","Not Performing"))))</f>
        <v/>
      </c>
      <c r="S324" s="7">
        <f>IF($R324="","",IF($R324="Data Pending","Enter the 3Y return",IF($R324="Best Fund","Hold / consider top-up",IF($R324="Need to Improve","Watch 2 quarters, then decide","Review with client - switch or exit"))))</f>
        <v/>
      </c>
      <c r="T324" s="27" t="n"/>
      <c r="U324" s="7">
        <f>IF($R324&lt;&gt;"Best Fund","",COUNTIFS($R$6:$R$505,"Best Fund",$L$6:$L$505,"&gt;"&amp;$L324)+COUNTIFS($R$6:$R324,"Best Fund",$L$6:$L324,$L324))</f>
        <v/>
      </c>
      <c r="V324" s="7">
        <f>IF($R324&lt;&gt;"Need to Improve","",COUNTIFS($R$6:$R$505,"Need to Improve",$L$6:$L$505,"&lt;"&amp;$L324)+COUNTIFS($R$6:$R324,"Need to Improve",$L$6:$L324,$L324))</f>
        <v/>
      </c>
      <c r="W324" s="7">
        <f>IF($R324&lt;&gt;"Not Performing","",COUNTIFS($R$6:$R$505,"Not Performing",$L$6:$L$505,"&lt;"&amp;$L324)+COUNTIFS($R$6:$R324,"Not Performing",$L$6:$L324,$L324))</f>
        <v/>
      </c>
    </row>
    <row r="325" ht="15" customHeight="1">
      <c r="A325" s="27" t="n"/>
      <c r="B325" s="27" t="n"/>
      <c r="C325" s="27" t="n"/>
      <c r="D325" s="28">
        <f>IF($C325="","",IFERROR(TRIM(LEFT($C325,FIND("-",$C325)-1)),""))</f>
        <v/>
      </c>
      <c r="E325" s="27" t="n"/>
      <c r="F325" s="29" t="n"/>
      <c r="G325" s="30" t="n"/>
      <c r="H325" s="30" t="n"/>
      <c r="I325" s="31">
        <f>IF($B325="","",$H325-$G325)</f>
        <v/>
      </c>
      <c r="J325" s="32">
        <f>IF(OR($B325="",$G325=0,$G325=""),"",$I325/$G325)</f>
        <v/>
      </c>
      <c r="K325" s="33" t="n"/>
      <c r="L325" s="33" t="n"/>
      <c r="M325" s="33" t="n"/>
      <c r="N325" s="33" t="n"/>
      <c r="O325" s="33" t="n"/>
      <c r="P325" s="32">
        <f>IF(OR($L325="",$N325=""),"",$L325-$N325)</f>
        <v/>
      </c>
      <c r="Q325" s="28">
        <f>IF($B325="","",IF(N($H325)&gt;0,"Live","Exited"))</f>
        <v/>
      </c>
      <c r="R325" s="28">
        <f>IF($B325="","",IF($L325="","Data Pending",IF($L325&gt;=Instructions!$D$19,"Best Fund",IF($L325&gt;=Instructions!$D$20,"Need to Improve","Not Performing"))))</f>
        <v/>
      </c>
      <c r="S325" s="7">
        <f>IF($R325="","",IF($R325="Data Pending","Enter the 3Y return",IF($R325="Best Fund","Hold / consider top-up",IF($R325="Need to Improve","Watch 2 quarters, then decide","Review with client - switch or exit"))))</f>
        <v/>
      </c>
      <c r="T325" s="27" t="n"/>
      <c r="U325" s="7">
        <f>IF($R325&lt;&gt;"Best Fund","",COUNTIFS($R$6:$R$505,"Best Fund",$L$6:$L$505,"&gt;"&amp;$L325)+COUNTIFS($R$6:$R325,"Best Fund",$L$6:$L325,$L325))</f>
        <v/>
      </c>
      <c r="V325" s="7">
        <f>IF($R325&lt;&gt;"Need to Improve","",COUNTIFS($R$6:$R$505,"Need to Improve",$L$6:$L$505,"&lt;"&amp;$L325)+COUNTIFS($R$6:$R325,"Need to Improve",$L$6:$L325,$L325))</f>
        <v/>
      </c>
      <c r="W325" s="7">
        <f>IF($R325&lt;&gt;"Not Performing","",COUNTIFS($R$6:$R$505,"Not Performing",$L$6:$L$505,"&lt;"&amp;$L325)+COUNTIFS($R$6:$R325,"Not Performing",$L$6:$L325,$L325))</f>
        <v/>
      </c>
    </row>
    <row r="326" ht="15" customHeight="1">
      <c r="A326" s="27" t="n"/>
      <c r="B326" s="27" t="n"/>
      <c r="C326" s="27" t="n"/>
      <c r="D326" s="28">
        <f>IF($C326="","",IFERROR(TRIM(LEFT($C326,FIND("-",$C326)-1)),""))</f>
        <v/>
      </c>
      <c r="E326" s="27" t="n"/>
      <c r="F326" s="29" t="n"/>
      <c r="G326" s="30" t="n"/>
      <c r="H326" s="30" t="n"/>
      <c r="I326" s="31">
        <f>IF($B326="","",$H326-$G326)</f>
        <v/>
      </c>
      <c r="J326" s="32">
        <f>IF(OR($B326="",$G326=0,$G326=""),"",$I326/$G326)</f>
        <v/>
      </c>
      <c r="K326" s="33" t="n"/>
      <c r="L326" s="33" t="n"/>
      <c r="M326" s="33" t="n"/>
      <c r="N326" s="33" t="n"/>
      <c r="O326" s="33" t="n"/>
      <c r="P326" s="32">
        <f>IF(OR($L326="",$N326=""),"",$L326-$N326)</f>
        <v/>
      </c>
      <c r="Q326" s="28">
        <f>IF($B326="","",IF(N($H326)&gt;0,"Live","Exited"))</f>
        <v/>
      </c>
      <c r="R326" s="28">
        <f>IF($B326="","",IF($L326="","Data Pending",IF($L326&gt;=Instructions!$D$19,"Best Fund",IF($L326&gt;=Instructions!$D$20,"Need to Improve","Not Performing"))))</f>
        <v/>
      </c>
      <c r="S326" s="7">
        <f>IF($R326="","",IF($R326="Data Pending","Enter the 3Y return",IF($R326="Best Fund","Hold / consider top-up",IF($R326="Need to Improve","Watch 2 quarters, then decide","Review with client - switch or exit"))))</f>
        <v/>
      </c>
      <c r="T326" s="27" t="n"/>
      <c r="U326" s="7">
        <f>IF($R326&lt;&gt;"Best Fund","",COUNTIFS($R$6:$R$505,"Best Fund",$L$6:$L$505,"&gt;"&amp;$L326)+COUNTIFS($R$6:$R326,"Best Fund",$L$6:$L326,$L326))</f>
        <v/>
      </c>
      <c r="V326" s="7">
        <f>IF($R326&lt;&gt;"Need to Improve","",COUNTIFS($R$6:$R$505,"Need to Improve",$L$6:$L$505,"&lt;"&amp;$L326)+COUNTIFS($R$6:$R326,"Need to Improve",$L$6:$L326,$L326))</f>
        <v/>
      </c>
      <c r="W326" s="7">
        <f>IF($R326&lt;&gt;"Not Performing","",COUNTIFS($R$6:$R$505,"Not Performing",$L$6:$L$505,"&lt;"&amp;$L326)+COUNTIFS($R$6:$R326,"Not Performing",$L$6:$L326,$L326))</f>
        <v/>
      </c>
    </row>
    <row r="327" ht="15" customHeight="1">
      <c r="A327" s="27" t="n"/>
      <c r="B327" s="27" t="n"/>
      <c r="C327" s="27" t="n"/>
      <c r="D327" s="28">
        <f>IF($C327="","",IFERROR(TRIM(LEFT($C327,FIND("-",$C327)-1)),""))</f>
        <v/>
      </c>
      <c r="E327" s="27" t="n"/>
      <c r="F327" s="29" t="n"/>
      <c r="G327" s="30" t="n"/>
      <c r="H327" s="30" t="n"/>
      <c r="I327" s="31">
        <f>IF($B327="","",$H327-$G327)</f>
        <v/>
      </c>
      <c r="J327" s="32">
        <f>IF(OR($B327="",$G327=0,$G327=""),"",$I327/$G327)</f>
        <v/>
      </c>
      <c r="K327" s="33" t="n"/>
      <c r="L327" s="33" t="n"/>
      <c r="M327" s="33" t="n"/>
      <c r="N327" s="33" t="n"/>
      <c r="O327" s="33" t="n"/>
      <c r="P327" s="32">
        <f>IF(OR($L327="",$N327=""),"",$L327-$N327)</f>
        <v/>
      </c>
      <c r="Q327" s="28">
        <f>IF($B327="","",IF(N($H327)&gt;0,"Live","Exited"))</f>
        <v/>
      </c>
      <c r="R327" s="28">
        <f>IF($B327="","",IF($L327="","Data Pending",IF($L327&gt;=Instructions!$D$19,"Best Fund",IF($L327&gt;=Instructions!$D$20,"Need to Improve","Not Performing"))))</f>
        <v/>
      </c>
      <c r="S327" s="7">
        <f>IF($R327="","",IF($R327="Data Pending","Enter the 3Y return",IF($R327="Best Fund","Hold / consider top-up",IF($R327="Need to Improve","Watch 2 quarters, then decide","Review with client - switch or exit"))))</f>
        <v/>
      </c>
      <c r="T327" s="27" t="n"/>
      <c r="U327" s="7">
        <f>IF($R327&lt;&gt;"Best Fund","",COUNTIFS($R$6:$R$505,"Best Fund",$L$6:$L$505,"&gt;"&amp;$L327)+COUNTIFS($R$6:$R327,"Best Fund",$L$6:$L327,$L327))</f>
        <v/>
      </c>
      <c r="V327" s="7">
        <f>IF($R327&lt;&gt;"Need to Improve","",COUNTIFS($R$6:$R$505,"Need to Improve",$L$6:$L$505,"&lt;"&amp;$L327)+COUNTIFS($R$6:$R327,"Need to Improve",$L$6:$L327,$L327))</f>
        <v/>
      </c>
      <c r="W327" s="7">
        <f>IF($R327&lt;&gt;"Not Performing","",COUNTIFS($R$6:$R$505,"Not Performing",$L$6:$L$505,"&lt;"&amp;$L327)+COUNTIFS($R$6:$R327,"Not Performing",$L$6:$L327,$L327))</f>
        <v/>
      </c>
    </row>
    <row r="328" ht="15" customHeight="1">
      <c r="A328" s="27" t="n"/>
      <c r="B328" s="27" t="n"/>
      <c r="C328" s="27" t="n"/>
      <c r="D328" s="28">
        <f>IF($C328="","",IFERROR(TRIM(LEFT($C328,FIND("-",$C328)-1)),""))</f>
        <v/>
      </c>
      <c r="E328" s="27" t="n"/>
      <c r="F328" s="29" t="n"/>
      <c r="G328" s="30" t="n"/>
      <c r="H328" s="30" t="n"/>
      <c r="I328" s="31">
        <f>IF($B328="","",$H328-$G328)</f>
        <v/>
      </c>
      <c r="J328" s="32">
        <f>IF(OR($B328="",$G328=0,$G328=""),"",$I328/$G328)</f>
        <v/>
      </c>
      <c r="K328" s="33" t="n"/>
      <c r="L328" s="33" t="n"/>
      <c r="M328" s="33" t="n"/>
      <c r="N328" s="33" t="n"/>
      <c r="O328" s="33" t="n"/>
      <c r="P328" s="32">
        <f>IF(OR($L328="",$N328=""),"",$L328-$N328)</f>
        <v/>
      </c>
      <c r="Q328" s="28">
        <f>IF($B328="","",IF(N($H328)&gt;0,"Live","Exited"))</f>
        <v/>
      </c>
      <c r="R328" s="28">
        <f>IF($B328="","",IF($L328="","Data Pending",IF($L328&gt;=Instructions!$D$19,"Best Fund",IF($L328&gt;=Instructions!$D$20,"Need to Improve","Not Performing"))))</f>
        <v/>
      </c>
      <c r="S328" s="7">
        <f>IF($R328="","",IF($R328="Data Pending","Enter the 3Y return",IF($R328="Best Fund","Hold / consider top-up",IF($R328="Need to Improve","Watch 2 quarters, then decide","Review with client - switch or exit"))))</f>
        <v/>
      </c>
      <c r="T328" s="27" t="n"/>
      <c r="U328" s="7">
        <f>IF($R328&lt;&gt;"Best Fund","",COUNTIFS($R$6:$R$505,"Best Fund",$L$6:$L$505,"&gt;"&amp;$L328)+COUNTIFS($R$6:$R328,"Best Fund",$L$6:$L328,$L328))</f>
        <v/>
      </c>
      <c r="V328" s="7">
        <f>IF($R328&lt;&gt;"Need to Improve","",COUNTIFS($R$6:$R$505,"Need to Improve",$L$6:$L$505,"&lt;"&amp;$L328)+COUNTIFS($R$6:$R328,"Need to Improve",$L$6:$L328,$L328))</f>
        <v/>
      </c>
      <c r="W328" s="7">
        <f>IF($R328&lt;&gt;"Not Performing","",COUNTIFS($R$6:$R$505,"Not Performing",$L$6:$L$505,"&lt;"&amp;$L328)+COUNTIFS($R$6:$R328,"Not Performing",$L$6:$L328,$L328))</f>
        <v/>
      </c>
    </row>
    <row r="329" ht="15" customHeight="1">
      <c r="A329" s="27" t="n"/>
      <c r="B329" s="27" t="n"/>
      <c r="C329" s="27" t="n"/>
      <c r="D329" s="28">
        <f>IF($C329="","",IFERROR(TRIM(LEFT($C329,FIND("-",$C329)-1)),""))</f>
        <v/>
      </c>
      <c r="E329" s="27" t="n"/>
      <c r="F329" s="29" t="n"/>
      <c r="G329" s="30" t="n"/>
      <c r="H329" s="30" t="n"/>
      <c r="I329" s="31">
        <f>IF($B329="","",$H329-$G329)</f>
        <v/>
      </c>
      <c r="J329" s="32">
        <f>IF(OR($B329="",$G329=0,$G329=""),"",$I329/$G329)</f>
        <v/>
      </c>
      <c r="K329" s="33" t="n"/>
      <c r="L329" s="33" t="n"/>
      <c r="M329" s="33" t="n"/>
      <c r="N329" s="33" t="n"/>
      <c r="O329" s="33" t="n"/>
      <c r="P329" s="32">
        <f>IF(OR($L329="",$N329=""),"",$L329-$N329)</f>
        <v/>
      </c>
      <c r="Q329" s="28">
        <f>IF($B329="","",IF(N($H329)&gt;0,"Live","Exited"))</f>
        <v/>
      </c>
      <c r="R329" s="28">
        <f>IF($B329="","",IF($L329="","Data Pending",IF($L329&gt;=Instructions!$D$19,"Best Fund",IF($L329&gt;=Instructions!$D$20,"Need to Improve","Not Performing"))))</f>
        <v/>
      </c>
      <c r="S329" s="7">
        <f>IF($R329="","",IF($R329="Data Pending","Enter the 3Y return",IF($R329="Best Fund","Hold / consider top-up",IF($R329="Need to Improve","Watch 2 quarters, then decide","Review with client - switch or exit"))))</f>
        <v/>
      </c>
      <c r="T329" s="27" t="n"/>
      <c r="U329" s="7">
        <f>IF($R329&lt;&gt;"Best Fund","",COUNTIFS($R$6:$R$505,"Best Fund",$L$6:$L$505,"&gt;"&amp;$L329)+COUNTIFS($R$6:$R329,"Best Fund",$L$6:$L329,$L329))</f>
        <v/>
      </c>
      <c r="V329" s="7">
        <f>IF($R329&lt;&gt;"Need to Improve","",COUNTIFS($R$6:$R$505,"Need to Improve",$L$6:$L$505,"&lt;"&amp;$L329)+COUNTIFS($R$6:$R329,"Need to Improve",$L$6:$L329,$L329))</f>
        <v/>
      </c>
      <c r="W329" s="7">
        <f>IF($R329&lt;&gt;"Not Performing","",COUNTIFS($R$6:$R$505,"Not Performing",$L$6:$L$505,"&lt;"&amp;$L329)+COUNTIFS($R$6:$R329,"Not Performing",$L$6:$L329,$L329))</f>
        <v/>
      </c>
    </row>
    <row r="330" ht="15" customHeight="1">
      <c r="A330" s="27" t="n"/>
      <c r="B330" s="27" t="n"/>
      <c r="C330" s="27" t="n"/>
      <c r="D330" s="28">
        <f>IF($C330="","",IFERROR(TRIM(LEFT($C330,FIND("-",$C330)-1)),""))</f>
        <v/>
      </c>
      <c r="E330" s="27" t="n"/>
      <c r="F330" s="29" t="n"/>
      <c r="G330" s="30" t="n"/>
      <c r="H330" s="30" t="n"/>
      <c r="I330" s="31">
        <f>IF($B330="","",$H330-$G330)</f>
        <v/>
      </c>
      <c r="J330" s="32">
        <f>IF(OR($B330="",$G330=0,$G330=""),"",$I330/$G330)</f>
        <v/>
      </c>
      <c r="K330" s="33" t="n"/>
      <c r="L330" s="33" t="n"/>
      <c r="M330" s="33" t="n"/>
      <c r="N330" s="33" t="n"/>
      <c r="O330" s="33" t="n"/>
      <c r="P330" s="32">
        <f>IF(OR($L330="",$N330=""),"",$L330-$N330)</f>
        <v/>
      </c>
      <c r="Q330" s="28">
        <f>IF($B330="","",IF(N($H330)&gt;0,"Live","Exited"))</f>
        <v/>
      </c>
      <c r="R330" s="28">
        <f>IF($B330="","",IF($L330="","Data Pending",IF($L330&gt;=Instructions!$D$19,"Best Fund",IF($L330&gt;=Instructions!$D$20,"Need to Improve","Not Performing"))))</f>
        <v/>
      </c>
      <c r="S330" s="7">
        <f>IF($R330="","",IF($R330="Data Pending","Enter the 3Y return",IF($R330="Best Fund","Hold / consider top-up",IF($R330="Need to Improve","Watch 2 quarters, then decide","Review with client - switch or exit"))))</f>
        <v/>
      </c>
      <c r="T330" s="27" t="n"/>
      <c r="U330" s="7">
        <f>IF($R330&lt;&gt;"Best Fund","",COUNTIFS($R$6:$R$505,"Best Fund",$L$6:$L$505,"&gt;"&amp;$L330)+COUNTIFS($R$6:$R330,"Best Fund",$L$6:$L330,$L330))</f>
        <v/>
      </c>
      <c r="V330" s="7">
        <f>IF($R330&lt;&gt;"Need to Improve","",COUNTIFS($R$6:$R$505,"Need to Improve",$L$6:$L$505,"&lt;"&amp;$L330)+COUNTIFS($R$6:$R330,"Need to Improve",$L$6:$L330,$L330))</f>
        <v/>
      </c>
      <c r="W330" s="7">
        <f>IF($R330&lt;&gt;"Not Performing","",COUNTIFS($R$6:$R$505,"Not Performing",$L$6:$L$505,"&lt;"&amp;$L330)+COUNTIFS($R$6:$R330,"Not Performing",$L$6:$L330,$L330))</f>
        <v/>
      </c>
    </row>
    <row r="331" ht="15" customHeight="1">
      <c r="A331" s="27" t="n"/>
      <c r="B331" s="27" t="n"/>
      <c r="C331" s="27" t="n"/>
      <c r="D331" s="28">
        <f>IF($C331="","",IFERROR(TRIM(LEFT($C331,FIND("-",$C331)-1)),""))</f>
        <v/>
      </c>
      <c r="E331" s="27" t="n"/>
      <c r="F331" s="29" t="n"/>
      <c r="G331" s="30" t="n"/>
      <c r="H331" s="30" t="n"/>
      <c r="I331" s="31">
        <f>IF($B331="","",$H331-$G331)</f>
        <v/>
      </c>
      <c r="J331" s="32">
        <f>IF(OR($B331="",$G331=0,$G331=""),"",$I331/$G331)</f>
        <v/>
      </c>
      <c r="K331" s="33" t="n"/>
      <c r="L331" s="33" t="n"/>
      <c r="M331" s="33" t="n"/>
      <c r="N331" s="33" t="n"/>
      <c r="O331" s="33" t="n"/>
      <c r="P331" s="32">
        <f>IF(OR($L331="",$N331=""),"",$L331-$N331)</f>
        <v/>
      </c>
      <c r="Q331" s="28">
        <f>IF($B331="","",IF(N($H331)&gt;0,"Live","Exited"))</f>
        <v/>
      </c>
      <c r="R331" s="28">
        <f>IF($B331="","",IF($L331="","Data Pending",IF($L331&gt;=Instructions!$D$19,"Best Fund",IF($L331&gt;=Instructions!$D$20,"Need to Improve","Not Performing"))))</f>
        <v/>
      </c>
      <c r="S331" s="7">
        <f>IF($R331="","",IF($R331="Data Pending","Enter the 3Y return",IF($R331="Best Fund","Hold / consider top-up",IF($R331="Need to Improve","Watch 2 quarters, then decide","Review with client - switch or exit"))))</f>
        <v/>
      </c>
      <c r="T331" s="27" t="n"/>
      <c r="U331" s="7">
        <f>IF($R331&lt;&gt;"Best Fund","",COUNTIFS($R$6:$R$505,"Best Fund",$L$6:$L$505,"&gt;"&amp;$L331)+COUNTIFS($R$6:$R331,"Best Fund",$L$6:$L331,$L331))</f>
        <v/>
      </c>
      <c r="V331" s="7">
        <f>IF($R331&lt;&gt;"Need to Improve","",COUNTIFS($R$6:$R$505,"Need to Improve",$L$6:$L$505,"&lt;"&amp;$L331)+COUNTIFS($R$6:$R331,"Need to Improve",$L$6:$L331,$L331))</f>
        <v/>
      </c>
      <c r="W331" s="7">
        <f>IF($R331&lt;&gt;"Not Performing","",COUNTIFS($R$6:$R$505,"Not Performing",$L$6:$L$505,"&lt;"&amp;$L331)+COUNTIFS($R$6:$R331,"Not Performing",$L$6:$L331,$L331))</f>
        <v/>
      </c>
    </row>
    <row r="332" ht="15" customHeight="1">
      <c r="A332" s="27" t="n"/>
      <c r="B332" s="27" t="n"/>
      <c r="C332" s="27" t="n"/>
      <c r="D332" s="28">
        <f>IF($C332="","",IFERROR(TRIM(LEFT($C332,FIND("-",$C332)-1)),""))</f>
        <v/>
      </c>
      <c r="E332" s="27" t="n"/>
      <c r="F332" s="29" t="n"/>
      <c r="G332" s="30" t="n"/>
      <c r="H332" s="30" t="n"/>
      <c r="I332" s="31">
        <f>IF($B332="","",$H332-$G332)</f>
        <v/>
      </c>
      <c r="J332" s="32">
        <f>IF(OR($B332="",$G332=0,$G332=""),"",$I332/$G332)</f>
        <v/>
      </c>
      <c r="K332" s="33" t="n"/>
      <c r="L332" s="33" t="n"/>
      <c r="M332" s="33" t="n"/>
      <c r="N332" s="33" t="n"/>
      <c r="O332" s="33" t="n"/>
      <c r="P332" s="32">
        <f>IF(OR($L332="",$N332=""),"",$L332-$N332)</f>
        <v/>
      </c>
      <c r="Q332" s="28">
        <f>IF($B332="","",IF(N($H332)&gt;0,"Live","Exited"))</f>
        <v/>
      </c>
      <c r="R332" s="28">
        <f>IF($B332="","",IF($L332="","Data Pending",IF($L332&gt;=Instructions!$D$19,"Best Fund",IF($L332&gt;=Instructions!$D$20,"Need to Improve","Not Performing"))))</f>
        <v/>
      </c>
      <c r="S332" s="7">
        <f>IF($R332="","",IF($R332="Data Pending","Enter the 3Y return",IF($R332="Best Fund","Hold / consider top-up",IF($R332="Need to Improve","Watch 2 quarters, then decide","Review with client - switch or exit"))))</f>
        <v/>
      </c>
      <c r="T332" s="27" t="n"/>
      <c r="U332" s="7">
        <f>IF($R332&lt;&gt;"Best Fund","",COUNTIFS($R$6:$R$505,"Best Fund",$L$6:$L$505,"&gt;"&amp;$L332)+COUNTIFS($R$6:$R332,"Best Fund",$L$6:$L332,$L332))</f>
        <v/>
      </c>
      <c r="V332" s="7">
        <f>IF($R332&lt;&gt;"Need to Improve","",COUNTIFS($R$6:$R$505,"Need to Improve",$L$6:$L$505,"&lt;"&amp;$L332)+COUNTIFS($R$6:$R332,"Need to Improve",$L$6:$L332,$L332))</f>
        <v/>
      </c>
      <c r="W332" s="7">
        <f>IF($R332&lt;&gt;"Not Performing","",COUNTIFS($R$6:$R$505,"Not Performing",$L$6:$L$505,"&lt;"&amp;$L332)+COUNTIFS($R$6:$R332,"Not Performing",$L$6:$L332,$L332))</f>
        <v/>
      </c>
    </row>
    <row r="333" ht="15" customHeight="1">
      <c r="A333" s="27" t="n"/>
      <c r="B333" s="27" t="n"/>
      <c r="C333" s="27" t="n"/>
      <c r="D333" s="28">
        <f>IF($C333="","",IFERROR(TRIM(LEFT($C333,FIND("-",$C333)-1)),""))</f>
        <v/>
      </c>
      <c r="E333" s="27" t="n"/>
      <c r="F333" s="29" t="n"/>
      <c r="G333" s="30" t="n"/>
      <c r="H333" s="30" t="n"/>
      <c r="I333" s="31">
        <f>IF($B333="","",$H333-$G333)</f>
        <v/>
      </c>
      <c r="J333" s="32">
        <f>IF(OR($B333="",$G333=0,$G333=""),"",$I333/$G333)</f>
        <v/>
      </c>
      <c r="K333" s="33" t="n"/>
      <c r="L333" s="33" t="n"/>
      <c r="M333" s="33" t="n"/>
      <c r="N333" s="33" t="n"/>
      <c r="O333" s="33" t="n"/>
      <c r="P333" s="32">
        <f>IF(OR($L333="",$N333=""),"",$L333-$N333)</f>
        <v/>
      </c>
      <c r="Q333" s="28">
        <f>IF($B333="","",IF(N($H333)&gt;0,"Live","Exited"))</f>
        <v/>
      </c>
      <c r="R333" s="28">
        <f>IF($B333="","",IF($L333="","Data Pending",IF($L333&gt;=Instructions!$D$19,"Best Fund",IF($L333&gt;=Instructions!$D$20,"Need to Improve","Not Performing"))))</f>
        <v/>
      </c>
      <c r="S333" s="7">
        <f>IF($R333="","",IF($R333="Data Pending","Enter the 3Y return",IF($R333="Best Fund","Hold / consider top-up",IF($R333="Need to Improve","Watch 2 quarters, then decide","Review with client - switch or exit"))))</f>
        <v/>
      </c>
      <c r="T333" s="27" t="n"/>
      <c r="U333" s="7">
        <f>IF($R333&lt;&gt;"Best Fund","",COUNTIFS($R$6:$R$505,"Best Fund",$L$6:$L$505,"&gt;"&amp;$L333)+COUNTIFS($R$6:$R333,"Best Fund",$L$6:$L333,$L333))</f>
        <v/>
      </c>
      <c r="V333" s="7">
        <f>IF($R333&lt;&gt;"Need to Improve","",COUNTIFS($R$6:$R$505,"Need to Improve",$L$6:$L$505,"&lt;"&amp;$L333)+COUNTIFS($R$6:$R333,"Need to Improve",$L$6:$L333,$L333))</f>
        <v/>
      </c>
      <c r="W333" s="7">
        <f>IF($R333&lt;&gt;"Not Performing","",COUNTIFS($R$6:$R$505,"Not Performing",$L$6:$L$505,"&lt;"&amp;$L333)+COUNTIFS($R$6:$R333,"Not Performing",$L$6:$L333,$L333))</f>
        <v/>
      </c>
    </row>
    <row r="334" ht="15" customHeight="1">
      <c r="A334" s="27" t="n"/>
      <c r="B334" s="27" t="n"/>
      <c r="C334" s="27" t="n"/>
      <c r="D334" s="28">
        <f>IF($C334="","",IFERROR(TRIM(LEFT($C334,FIND("-",$C334)-1)),""))</f>
        <v/>
      </c>
      <c r="E334" s="27" t="n"/>
      <c r="F334" s="29" t="n"/>
      <c r="G334" s="30" t="n"/>
      <c r="H334" s="30" t="n"/>
      <c r="I334" s="31">
        <f>IF($B334="","",$H334-$G334)</f>
        <v/>
      </c>
      <c r="J334" s="32">
        <f>IF(OR($B334="",$G334=0,$G334=""),"",$I334/$G334)</f>
        <v/>
      </c>
      <c r="K334" s="33" t="n"/>
      <c r="L334" s="33" t="n"/>
      <c r="M334" s="33" t="n"/>
      <c r="N334" s="33" t="n"/>
      <c r="O334" s="33" t="n"/>
      <c r="P334" s="32">
        <f>IF(OR($L334="",$N334=""),"",$L334-$N334)</f>
        <v/>
      </c>
      <c r="Q334" s="28">
        <f>IF($B334="","",IF(N($H334)&gt;0,"Live","Exited"))</f>
        <v/>
      </c>
      <c r="R334" s="28">
        <f>IF($B334="","",IF($L334="","Data Pending",IF($L334&gt;=Instructions!$D$19,"Best Fund",IF($L334&gt;=Instructions!$D$20,"Need to Improve","Not Performing"))))</f>
        <v/>
      </c>
      <c r="S334" s="7">
        <f>IF($R334="","",IF($R334="Data Pending","Enter the 3Y return",IF($R334="Best Fund","Hold / consider top-up",IF($R334="Need to Improve","Watch 2 quarters, then decide","Review with client - switch or exit"))))</f>
        <v/>
      </c>
      <c r="T334" s="27" t="n"/>
      <c r="U334" s="7">
        <f>IF($R334&lt;&gt;"Best Fund","",COUNTIFS($R$6:$R$505,"Best Fund",$L$6:$L$505,"&gt;"&amp;$L334)+COUNTIFS($R$6:$R334,"Best Fund",$L$6:$L334,$L334))</f>
        <v/>
      </c>
      <c r="V334" s="7">
        <f>IF($R334&lt;&gt;"Need to Improve","",COUNTIFS($R$6:$R$505,"Need to Improve",$L$6:$L$505,"&lt;"&amp;$L334)+COUNTIFS($R$6:$R334,"Need to Improve",$L$6:$L334,$L334))</f>
        <v/>
      </c>
      <c r="W334" s="7">
        <f>IF($R334&lt;&gt;"Not Performing","",COUNTIFS($R$6:$R$505,"Not Performing",$L$6:$L$505,"&lt;"&amp;$L334)+COUNTIFS($R$6:$R334,"Not Performing",$L$6:$L334,$L334))</f>
        <v/>
      </c>
    </row>
    <row r="335" ht="15" customHeight="1">
      <c r="A335" s="27" t="n"/>
      <c r="B335" s="27" t="n"/>
      <c r="C335" s="27" t="n"/>
      <c r="D335" s="28">
        <f>IF($C335="","",IFERROR(TRIM(LEFT($C335,FIND("-",$C335)-1)),""))</f>
        <v/>
      </c>
      <c r="E335" s="27" t="n"/>
      <c r="F335" s="29" t="n"/>
      <c r="G335" s="30" t="n"/>
      <c r="H335" s="30" t="n"/>
      <c r="I335" s="31">
        <f>IF($B335="","",$H335-$G335)</f>
        <v/>
      </c>
      <c r="J335" s="32">
        <f>IF(OR($B335="",$G335=0,$G335=""),"",$I335/$G335)</f>
        <v/>
      </c>
      <c r="K335" s="33" t="n"/>
      <c r="L335" s="33" t="n"/>
      <c r="M335" s="33" t="n"/>
      <c r="N335" s="33" t="n"/>
      <c r="O335" s="33" t="n"/>
      <c r="P335" s="32">
        <f>IF(OR($L335="",$N335=""),"",$L335-$N335)</f>
        <v/>
      </c>
      <c r="Q335" s="28">
        <f>IF($B335="","",IF(N($H335)&gt;0,"Live","Exited"))</f>
        <v/>
      </c>
      <c r="R335" s="28">
        <f>IF($B335="","",IF($L335="","Data Pending",IF($L335&gt;=Instructions!$D$19,"Best Fund",IF($L335&gt;=Instructions!$D$20,"Need to Improve","Not Performing"))))</f>
        <v/>
      </c>
      <c r="S335" s="7">
        <f>IF($R335="","",IF($R335="Data Pending","Enter the 3Y return",IF($R335="Best Fund","Hold / consider top-up",IF($R335="Need to Improve","Watch 2 quarters, then decide","Review with client - switch or exit"))))</f>
        <v/>
      </c>
      <c r="T335" s="27" t="n"/>
      <c r="U335" s="7">
        <f>IF($R335&lt;&gt;"Best Fund","",COUNTIFS($R$6:$R$505,"Best Fund",$L$6:$L$505,"&gt;"&amp;$L335)+COUNTIFS($R$6:$R335,"Best Fund",$L$6:$L335,$L335))</f>
        <v/>
      </c>
      <c r="V335" s="7">
        <f>IF($R335&lt;&gt;"Need to Improve","",COUNTIFS($R$6:$R$505,"Need to Improve",$L$6:$L$505,"&lt;"&amp;$L335)+COUNTIFS($R$6:$R335,"Need to Improve",$L$6:$L335,$L335))</f>
        <v/>
      </c>
      <c r="W335" s="7">
        <f>IF($R335&lt;&gt;"Not Performing","",COUNTIFS($R$6:$R$505,"Not Performing",$L$6:$L$505,"&lt;"&amp;$L335)+COUNTIFS($R$6:$R335,"Not Performing",$L$6:$L335,$L335))</f>
        <v/>
      </c>
    </row>
    <row r="336" ht="15" customHeight="1">
      <c r="A336" s="27" t="n"/>
      <c r="B336" s="27" t="n"/>
      <c r="C336" s="27" t="n"/>
      <c r="D336" s="28">
        <f>IF($C336="","",IFERROR(TRIM(LEFT($C336,FIND("-",$C336)-1)),""))</f>
        <v/>
      </c>
      <c r="E336" s="27" t="n"/>
      <c r="F336" s="29" t="n"/>
      <c r="G336" s="30" t="n"/>
      <c r="H336" s="30" t="n"/>
      <c r="I336" s="31">
        <f>IF($B336="","",$H336-$G336)</f>
        <v/>
      </c>
      <c r="J336" s="32">
        <f>IF(OR($B336="",$G336=0,$G336=""),"",$I336/$G336)</f>
        <v/>
      </c>
      <c r="K336" s="33" t="n"/>
      <c r="L336" s="33" t="n"/>
      <c r="M336" s="33" t="n"/>
      <c r="N336" s="33" t="n"/>
      <c r="O336" s="33" t="n"/>
      <c r="P336" s="32">
        <f>IF(OR($L336="",$N336=""),"",$L336-$N336)</f>
        <v/>
      </c>
      <c r="Q336" s="28">
        <f>IF($B336="","",IF(N($H336)&gt;0,"Live","Exited"))</f>
        <v/>
      </c>
      <c r="R336" s="28">
        <f>IF($B336="","",IF($L336="","Data Pending",IF($L336&gt;=Instructions!$D$19,"Best Fund",IF($L336&gt;=Instructions!$D$20,"Need to Improve","Not Performing"))))</f>
        <v/>
      </c>
      <c r="S336" s="7">
        <f>IF($R336="","",IF($R336="Data Pending","Enter the 3Y return",IF($R336="Best Fund","Hold / consider top-up",IF($R336="Need to Improve","Watch 2 quarters, then decide","Review with client - switch or exit"))))</f>
        <v/>
      </c>
      <c r="T336" s="27" t="n"/>
      <c r="U336" s="7">
        <f>IF($R336&lt;&gt;"Best Fund","",COUNTIFS($R$6:$R$505,"Best Fund",$L$6:$L$505,"&gt;"&amp;$L336)+COUNTIFS($R$6:$R336,"Best Fund",$L$6:$L336,$L336))</f>
        <v/>
      </c>
      <c r="V336" s="7">
        <f>IF($R336&lt;&gt;"Need to Improve","",COUNTIFS($R$6:$R$505,"Need to Improve",$L$6:$L$505,"&lt;"&amp;$L336)+COUNTIFS($R$6:$R336,"Need to Improve",$L$6:$L336,$L336))</f>
        <v/>
      </c>
      <c r="W336" s="7">
        <f>IF($R336&lt;&gt;"Not Performing","",COUNTIFS($R$6:$R$505,"Not Performing",$L$6:$L$505,"&lt;"&amp;$L336)+COUNTIFS($R$6:$R336,"Not Performing",$L$6:$L336,$L336))</f>
        <v/>
      </c>
    </row>
    <row r="337" ht="15" customHeight="1">
      <c r="A337" s="27" t="n"/>
      <c r="B337" s="27" t="n"/>
      <c r="C337" s="27" t="n"/>
      <c r="D337" s="28">
        <f>IF($C337="","",IFERROR(TRIM(LEFT($C337,FIND("-",$C337)-1)),""))</f>
        <v/>
      </c>
      <c r="E337" s="27" t="n"/>
      <c r="F337" s="29" t="n"/>
      <c r="G337" s="30" t="n"/>
      <c r="H337" s="30" t="n"/>
      <c r="I337" s="31">
        <f>IF($B337="","",$H337-$G337)</f>
        <v/>
      </c>
      <c r="J337" s="32">
        <f>IF(OR($B337="",$G337=0,$G337=""),"",$I337/$G337)</f>
        <v/>
      </c>
      <c r="K337" s="33" t="n"/>
      <c r="L337" s="33" t="n"/>
      <c r="M337" s="33" t="n"/>
      <c r="N337" s="33" t="n"/>
      <c r="O337" s="33" t="n"/>
      <c r="P337" s="32">
        <f>IF(OR($L337="",$N337=""),"",$L337-$N337)</f>
        <v/>
      </c>
      <c r="Q337" s="28">
        <f>IF($B337="","",IF(N($H337)&gt;0,"Live","Exited"))</f>
        <v/>
      </c>
      <c r="R337" s="28">
        <f>IF($B337="","",IF($L337="","Data Pending",IF($L337&gt;=Instructions!$D$19,"Best Fund",IF($L337&gt;=Instructions!$D$20,"Need to Improve","Not Performing"))))</f>
        <v/>
      </c>
      <c r="S337" s="7">
        <f>IF($R337="","",IF($R337="Data Pending","Enter the 3Y return",IF($R337="Best Fund","Hold / consider top-up",IF($R337="Need to Improve","Watch 2 quarters, then decide","Review with client - switch or exit"))))</f>
        <v/>
      </c>
      <c r="T337" s="27" t="n"/>
      <c r="U337" s="7">
        <f>IF($R337&lt;&gt;"Best Fund","",COUNTIFS($R$6:$R$505,"Best Fund",$L$6:$L$505,"&gt;"&amp;$L337)+COUNTIFS($R$6:$R337,"Best Fund",$L$6:$L337,$L337))</f>
        <v/>
      </c>
      <c r="V337" s="7">
        <f>IF($R337&lt;&gt;"Need to Improve","",COUNTIFS($R$6:$R$505,"Need to Improve",$L$6:$L$505,"&lt;"&amp;$L337)+COUNTIFS($R$6:$R337,"Need to Improve",$L$6:$L337,$L337))</f>
        <v/>
      </c>
      <c r="W337" s="7">
        <f>IF($R337&lt;&gt;"Not Performing","",COUNTIFS($R$6:$R$505,"Not Performing",$L$6:$L$505,"&lt;"&amp;$L337)+COUNTIFS($R$6:$R337,"Not Performing",$L$6:$L337,$L337))</f>
        <v/>
      </c>
    </row>
    <row r="338" ht="15" customHeight="1">
      <c r="A338" s="27" t="n"/>
      <c r="B338" s="27" t="n"/>
      <c r="C338" s="27" t="n"/>
      <c r="D338" s="28">
        <f>IF($C338="","",IFERROR(TRIM(LEFT($C338,FIND("-",$C338)-1)),""))</f>
        <v/>
      </c>
      <c r="E338" s="27" t="n"/>
      <c r="F338" s="29" t="n"/>
      <c r="G338" s="30" t="n"/>
      <c r="H338" s="30" t="n"/>
      <c r="I338" s="31">
        <f>IF($B338="","",$H338-$G338)</f>
        <v/>
      </c>
      <c r="J338" s="32">
        <f>IF(OR($B338="",$G338=0,$G338=""),"",$I338/$G338)</f>
        <v/>
      </c>
      <c r="K338" s="33" t="n"/>
      <c r="L338" s="33" t="n"/>
      <c r="M338" s="33" t="n"/>
      <c r="N338" s="33" t="n"/>
      <c r="O338" s="33" t="n"/>
      <c r="P338" s="32">
        <f>IF(OR($L338="",$N338=""),"",$L338-$N338)</f>
        <v/>
      </c>
      <c r="Q338" s="28">
        <f>IF($B338="","",IF(N($H338)&gt;0,"Live","Exited"))</f>
        <v/>
      </c>
      <c r="R338" s="28">
        <f>IF($B338="","",IF($L338="","Data Pending",IF($L338&gt;=Instructions!$D$19,"Best Fund",IF($L338&gt;=Instructions!$D$20,"Need to Improve","Not Performing"))))</f>
        <v/>
      </c>
      <c r="S338" s="7">
        <f>IF($R338="","",IF($R338="Data Pending","Enter the 3Y return",IF($R338="Best Fund","Hold / consider top-up",IF($R338="Need to Improve","Watch 2 quarters, then decide","Review with client - switch or exit"))))</f>
        <v/>
      </c>
      <c r="T338" s="27" t="n"/>
      <c r="U338" s="7">
        <f>IF($R338&lt;&gt;"Best Fund","",COUNTIFS($R$6:$R$505,"Best Fund",$L$6:$L$505,"&gt;"&amp;$L338)+COUNTIFS($R$6:$R338,"Best Fund",$L$6:$L338,$L338))</f>
        <v/>
      </c>
      <c r="V338" s="7">
        <f>IF($R338&lt;&gt;"Need to Improve","",COUNTIFS($R$6:$R$505,"Need to Improve",$L$6:$L$505,"&lt;"&amp;$L338)+COUNTIFS($R$6:$R338,"Need to Improve",$L$6:$L338,$L338))</f>
        <v/>
      </c>
      <c r="W338" s="7">
        <f>IF($R338&lt;&gt;"Not Performing","",COUNTIFS($R$6:$R$505,"Not Performing",$L$6:$L$505,"&lt;"&amp;$L338)+COUNTIFS($R$6:$R338,"Not Performing",$L$6:$L338,$L338))</f>
        <v/>
      </c>
    </row>
    <row r="339" ht="15" customHeight="1">
      <c r="A339" s="27" t="n"/>
      <c r="B339" s="27" t="n"/>
      <c r="C339" s="27" t="n"/>
      <c r="D339" s="28">
        <f>IF($C339="","",IFERROR(TRIM(LEFT($C339,FIND("-",$C339)-1)),""))</f>
        <v/>
      </c>
      <c r="E339" s="27" t="n"/>
      <c r="F339" s="29" t="n"/>
      <c r="G339" s="30" t="n"/>
      <c r="H339" s="30" t="n"/>
      <c r="I339" s="31">
        <f>IF($B339="","",$H339-$G339)</f>
        <v/>
      </c>
      <c r="J339" s="32">
        <f>IF(OR($B339="",$G339=0,$G339=""),"",$I339/$G339)</f>
        <v/>
      </c>
      <c r="K339" s="33" t="n"/>
      <c r="L339" s="33" t="n"/>
      <c r="M339" s="33" t="n"/>
      <c r="N339" s="33" t="n"/>
      <c r="O339" s="33" t="n"/>
      <c r="P339" s="32">
        <f>IF(OR($L339="",$N339=""),"",$L339-$N339)</f>
        <v/>
      </c>
      <c r="Q339" s="28">
        <f>IF($B339="","",IF(N($H339)&gt;0,"Live","Exited"))</f>
        <v/>
      </c>
      <c r="R339" s="28">
        <f>IF($B339="","",IF($L339="","Data Pending",IF($L339&gt;=Instructions!$D$19,"Best Fund",IF($L339&gt;=Instructions!$D$20,"Need to Improve","Not Performing"))))</f>
        <v/>
      </c>
      <c r="S339" s="7">
        <f>IF($R339="","",IF($R339="Data Pending","Enter the 3Y return",IF($R339="Best Fund","Hold / consider top-up",IF($R339="Need to Improve","Watch 2 quarters, then decide","Review with client - switch or exit"))))</f>
        <v/>
      </c>
      <c r="T339" s="27" t="n"/>
      <c r="U339" s="7">
        <f>IF($R339&lt;&gt;"Best Fund","",COUNTIFS($R$6:$R$505,"Best Fund",$L$6:$L$505,"&gt;"&amp;$L339)+COUNTIFS($R$6:$R339,"Best Fund",$L$6:$L339,$L339))</f>
        <v/>
      </c>
      <c r="V339" s="7">
        <f>IF($R339&lt;&gt;"Need to Improve","",COUNTIFS($R$6:$R$505,"Need to Improve",$L$6:$L$505,"&lt;"&amp;$L339)+COUNTIFS($R$6:$R339,"Need to Improve",$L$6:$L339,$L339))</f>
        <v/>
      </c>
      <c r="W339" s="7">
        <f>IF($R339&lt;&gt;"Not Performing","",COUNTIFS($R$6:$R$505,"Not Performing",$L$6:$L$505,"&lt;"&amp;$L339)+COUNTIFS($R$6:$R339,"Not Performing",$L$6:$L339,$L339))</f>
        <v/>
      </c>
    </row>
    <row r="340" ht="15" customHeight="1">
      <c r="A340" s="27" t="n"/>
      <c r="B340" s="27" t="n"/>
      <c r="C340" s="27" t="n"/>
      <c r="D340" s="28">
        <f>IF($C340="","",IFERROR(TRIM(LEFT($C340,FIND("-",$C340)-1)),""))</f>
        <v/>
      </c>
      <c r="E340" s="27" t="n"/>
      <c r="F340" s="29" t="n"/>
      <c r="G340" s="30" t="n"/>
      <c r="H340" s="30" t="n"/>
      <c r="I340" s="31">
        <f>IF($B340="","",$H340-$G340)</f>
        <v/>
      </c>
      <c r="J340" s="32">
        <f>IF(OR($B340="",$G340=0,$G340=""),"",$I340/$G340)</f>
        <v/>
      </c>
      <c r="K340" s="33" t="n"/>
      <c r="L340" s="33" t="n"/>
      <c r="M340" s="33" t="n"/>
      <c r="N340" s="33" t="n"/>
      <c r="O340" s="33" t="n"/>
      <c r="P340" s="32">
        <f>IF(OR($L340="",$N340=""),"",$L340-$N340)</f>
        <v/>
      </c>
      <c r="Q340" s="28">
        <f>IF($B340="","",IF(N($H340)&gt;0,"Live","Exited"))</f>
        <v/>
      </c>
      <c r="R340" s="28">
        <f>IF($B340="","",IF($L340="","Data Pending",IF($L340&gt;=Instructions!$D$19,"Best Fund",IF($L340&gt;=Instructions!$D$20,"Need to Improve","Not Performing"))))</f>
        <v/>
      </c>
      <c r="S340" s="7">
        <f>IF($R340="","",IF($R340="Data Pending","Enter the 3Y return",IF($R340="Best Fund","Hold / consider top-up",IF($R340="Need to Improve","Watch 2 quarters, then decide","Review with client - switch or exit"))))</f>
        <v/>
      </c>
      <c r="T340" s="27" t="n"/>
      <c r="U340" s="7">
        <f>IF($R340&lt;&gt;"Best Fund","",COUNTIFS($R$6:$R$505,"Best Fund",$L$6:$L$505,"&gt;"&amp;$L340)+COUNTIFS($R$6:$R340,"Best Fund",$L$6:$L340,$L340))</f>
        <v/>
      </c>
      <c r="V340" s="7">
        <f>IF($R340&lt;&gt;"Need to Improve","",COUNTIFS($R$6:$R$505,"Need to Improve",$L$6:$L$505,"&lt;"&amp;$L340)+COUNTIFS($R$6:$R340,"Need to Improve",$L$6:$L340,$L340))</f>
        <v/>
      </c>
      <c r="W340" s="7">
        <f>IF($R340&lt;&gt;"Not Performing","",COUNTIFS($R$6:$R$505,"Not Performing",$L$6:$L$505,"&lt;"&amp;$L340)+COUNTIFS($R$6:$R340,"Not Performing",$L$6:$L340,$L340))</f>
        <v/>
      </c>
    </row>
    <row r="341" ht="15" customHeight="1">
      <c r="A341" s="27" t="n"/>
      <c r="B341" s="27" t="n"/>
      <c r="C341" s="27" t="n"/>
      <c r="D341" s="28">
        <f>IF($C341="","",IFERROR(TRIM(LEFT($C341,FIND("-",$C341)-1)),""))</f>
        <v/>
      </c>
      <c r="E341" s="27" t="n"/>
      <c r="F341" s="29" t="n"/>
      <c r="G341" s="30" t="n"/>
      <c r="H341" s="30" t="n"/>
      <c r="I341" s="31">
        <f>IF($B341="","",$H341-$G341)</f>
        <v/>
      </c>
      <c r="J341" s="32">
        <f>IF(OR($B341="",$G341=0,$G341=""),"",$I341/$G341)</f>
        <v/>
      </c>
      <c r="K341" s="33" t="n"/>
      <c r="L341" s="33" t="n"/>
      <c r="M341" s="33" t="n"/>
      <c r="N341" s="33" t="n"/>
      <c r="O341" s="33" t="n"/>
      <c r="P341" s="32">
        <f>IF(OR($L341="",$N341=""),"",$L341-$N341)</f>
        <v/>
      </c>
      <c r="Q341" s="28">
        <f>IF($B341="","",IF(N($H341)&gt;0,"Live","Exited"))</f>
        <v/>
      </c>
      <c r="R341" s="28">
        <f>IF($B341="","",IF($L341="","Data Pending",IF($L341&gt;=Instructions!$D$19,"Best Fund",IF($L341&gt;=Instructions!$D$20,"Need to Improve","Not Performing"))))</f>
        <v/>
      </c>
      <c r="S341" s="7">
        <f>IF($R341="","",IF($R341="Data Pending","Enter the 3Y return",IF($R341="Best Fund","Hold / consider top-up",IF($R341="Need to Improve","Watch 2 quarters, then decide","Review with client - switch or exit"))))</f>
        <v/>
      </c>
      <c r="T341" s="27" t="n"/>
      <c r="U341" s="7">
        <f>IF($R341&lt;&gt;"Best Fund","",COUNTIFS($R$6:$R$505,"Best Fund",$L$6:$L$505,"&gt;"&amp;$L341)+COUNTIFS($R$6:$R341,"Best Fund",$L$6:$L341,$L341))</f>
        <v/>
      </c>
      <c r="V341" s="7">
        <f>IF($R341&lt;&gt;"Need to Improve","",COUNTIFS($R$6:$R$505,"Need to Improve",$L$6:$L$505,"&lt;"&amp;$L341)+COUNTIFS($R$6:$R341,"Need to Improve",$L$6:$L341,$L341))</f>
        <v/>
      </c>
      <c r="W341" s="7">
        <f>IF($R341&lt;&gt;"Not Performing","",COUNTIFS($R$6:$R$505,"Not Performing",$L$6:$L$505,"&lt;"&amp;$L341)+COUNTIFS($R$6:$R341,"Not Performing",$L$6:$L341,$L341))</f>
        <v/>
      </c>
    </row>
    <row r="342" ht="15" customHeight="1">
      <c r="A342" s="27" t="n"/>
      <c r="B342" s="27" t="n"/>
      <c r="C342" s="27" t="n"/>
      <c r="D342" s="28">
        <f>IF($C342="","",IFERROR(TRIM(LEFT($C342,FIND("-",$C342)-1)),""))</f>
        <v/>
      </c>
      <c r="E342" s="27" t="n"/>
      <c r="F342" s="29" t="n"/>
      <c r="G342" s="30" t="n"/>
      <c r="H342" s="30" t="n"/>
      <c r="I342" s="31">
        <f>IF($B342="","",$H342-$G342)</f>
        <v/>
      </c>
      <c r="J342" s="32">
        <f>IF(OR($B342="",$G342=0,$G342=""),"",$I342/$G342)</f>
        <v/>
      </c>
      <c r="K342" s="33" t="n"/>
      <c r="L342" s="33" t="n"/>
      <c r="M342" s="33" t="n"/>
      <c r="N342" s="33" t="n"/>
      <c r="O342" s="33" t="n"/>
      <c r="P342" s="32">
        <f>IF(OR($L342="",$N342=""),"",$L342-$N342)</f>
        <v/>
      </c>
      <c r="Q342" s="28">
        <f>IF($B342="","",IF(N($H342)&gt;0,"Live","Exited"))</f>
        <v/>
      </c>
      <c r="R342" s="28">
        <f>IF($B342="","",IF($L342="","Data Pending",IF($L342&gt;=Instructions!$D$19,"Best Fund",IF($L342&gt;=Instructions!$D$20,"Need to Improve","Not Performing"))))</f>
        <v/>
      </c>
      <c r="S342" s="7">
        <f>IF($R342="","",IF($R342="Data Pending","Enter the 3Y return",IF($R342="Best Fund","Hold / consider top-up",IF($R342="Need to Improve","Watch 2 quarters, then decide","Review with client - switch or exit"))))</f>
        <v/>
      </c>
      <c r="T342" s="27" t="n"/>
      <c r="U342" s="7">
        <f>IF($R342&lt;&gt;"Best Fund","",COUNTIFS($R$6:$R$505,"Best Fund",$L$6:$L$505,"&gt;"&amp;$L342)+COUNTIFS($R$6:$R342,"Best Fund",$L$6:$L342,$L342))</f>
        <v/>
      </c>
      <c r="V342" s="7">
        <f>IF($R342&lt;&gt;"Need to Improve","",COUNTIFS($R$6:$R$505,"Need to Improve",$L$6:$L$505,"&lt;"&amp;$L342)+COUNTIFS($R$6:$R342,"Need to Improve",$L$6:$L342,$L342))</f>
        <v/>
      </c>
      <c r="W342" s="7">
        <f>IF($R342&lt;&gt;"Not Performing","",COUNTIFS($R$6:$R$505,"Not Performing",$L$6:$L$505,"&lt;"&amp;$L342)+COUNTIFS($R$6:$R342,"Not Performing",$L$6:$L342,$L342))</f>
        <v/>
      </c>
    </row>
    <row r="343" ht="15" customHeight="1">
      <c r="A343" s="27" t="n"/>
      <c r="B343" s="27" t="n"/>
      <c r="C343" s="27" t="n"/>
      <c r="D343" s="28">
        <f>IF($C343="","",IFERROR(TRIM(LEFT($C343,FIND("-",$C343)-1)),""))</f>
        <v/>
      </c>
      <c r="E343" s="27" t="n"/>
      <c r="F343" s="29" t="n"/>
      <c r="G343" s="30" t="n"/>
      <c r="H343" s="30" t="n"/>
      <c r="I343" s="31">
        <f>IF($B343="","",$H343-$G343)</f>
        <v/>
      </c>
      <c r="J343" s="32">
        <f>IF(OR($B343="",$G343=0,$G343=""),"",$I343/$G343)</f>
        <v/>
      </c>
      <c r="K343" s="33" t="n"/>
      <c r="L343" s="33" t="n"/>
      <c r="M343" s="33" t="n"/>
      <c r="N343" s="33" t="n"/>
      <c r="O343" s="33" t="n"/>
      <c r="P343" s="32">
        <f>IF(OR($L343="",$N343=""),"",$L343-$N343)</f>
        <v/>
      </c>
      <c r="Q343" s="28">
        <f>IF($B343="","",IF(N($H343)&gt;0,"Live","Exited"))</f>
        <v/>
      </c>
      <c r="R343" s="28">
        <f>IF($B343="","",IF($L343="","Data Pending",IF($L343&gt;=Instructions!$D$19,"Best Fund",IF($L343&gt;=Instructions!$D$20,"Need to Improve","Not Performing"))))</f>
        <v/>
      </c>
      <c r="S343" s="7">
        <f>IF($R343="","",IF($R343="Data Pending","Enter the 3Y return",IF($R343="Best Fund","Hold / consider top-up",IF($R343="Need to Improve","Watch 2 quarters, then decide","Review with client - switch or exit"))))</f>
        <v/>
      </c>
      <c r="T343" s="27" t="n"/>
      <c r="U343" s="7">
        <f>IF($R343&lt;&gt;"Best Fund","",COUNTIFS($R$6:$R$505,"Best Fund",$L$6:$L$505,"&gt;"&amp;$L343)+COUNTIFS($R$6:$R343,"Best Fund",$L$6:$L343,$L343))</f>
        <v/>
      </c>
      <c r="V343" s="7">
        <f>IF($R343&lt;&gt;"Need to Improve","",COUNTIFS($R$6:$R$505,"Need to Improve",$L$6:$L$505,"&lt;"&amp;$L343)+COUNTIFS($R$6:$R343,"Need to Improve",$L$6:$L343,$L343))</f>
        <v/>
      </c>
      <c r="W343" s="7">
        <f>IF($R343&lt;&gt;"Not Performing","",COUNTIFS($R$6:$R$505,"Not Performing",$L$6:$L$505,"&lt;"&amp;$L343)+COUNTIFS($R$6:$R343,"Not Performing",$L$6:$L343,$L343))</f>
        <v/>
      </c>
    </row>
    <row r="344" ht="15" customHeight="1">
      <c r="A344" s="27" t="n"/>
      <c r="B344" s="27" t="n"/>
      <c r="C344" s="27" t="n"/>
      <c r="D344" s="28">
        <f>IF($C344="","",IFERROR(TRIM(LEFT($C344,FIND("-",$C344)-1)),""))</f>
        <v/>
      </c>
      <c r="E344" s="27" t="n"/>
      <c r="F344" s="29" t="n"/>
      <c r="G344" s="30" t="n"/>
      <c r="H344" s="30" t="n"/>
      <c r="I344" s="31">
        <f>IF($B344="","",$H344-$G344)</f>
        <v/>
      </c>
      <c r="J344" s="32">
        <f>IF(OR($B344="",$G344=0,$G344=""),"",$I344/$G344)</f>
        <v/>
      </c>
      <c r="K344" s="33" t="n"/>
      <c r="L344" s="33" t="n"/>
      <c r="M344" s="33" t="n"/>
      <c r="N344" s="33" t="n"/>
      <c r="O344" s="33" t="n"/>
      <c r="P344" s="32">
        <f>IF(OR($L344="",$N344=""),"",$L344-$N344)</f>
        <v/>
      </c>
      <c r="Q344" s="28">
        <f>IF($B344="","",IF(N($H344)&gt;0,"Live","Exited"))</f>
        <v/>
      </c>
      <c r="R344" s="28">
        <f>IF($B344="","",IF($L344="","Data Pending",IF($L344&gt;=Instructions!$D$19,"Best Fund",IF($L344&gt;=Instructions!$D$20,"Need to Improve","Not Performing"))))</f>
        <v/>
      </c>
      <c r="S344" s="7">
        <f>IF($R344="","",IF($R344="Data Pending","Enter the 3Y return",IF($R344="Best Fund","Hold / consider top-up",IF($R344="Need to Improve","Watch 2 quarters, then decide","Review with client - switch or exit"))))</f>
        <v/>
      </c>
      <c r="T344" s="27" t="n"/>
      <c r="U344" s="7">
        <f>IF($R344&lt;&gt;"Best Fund","",COUNTIFS($R$6:$R$505,"Best Fund",$L$6:$L$505,"&gt;"&amp;$L344)+COUNTIFS($R$6:$R344,"Best Fund",$L$6:$L344,$L344))</f>
        <v/>
      </c>
      <c r="V344" s="7">
        <f>IF($R344&lt;&gt;"Need to Improve","",COUNTIFS($R$6:$R$505,"Need to Improve",$L$6:$L$505,"&lt;"&amp;$L344)+COUNTIFS($R$6:$R344,"Need to Improve",$L$6:$L344,$L344))</f>
        <v/>
      </c>
      <c r="W344" s="7">
        <f>IF($R344&lt;&gt;"Not Performing","",COUNTIFS($R$6:$R$505,"Not Performing",$L$6:$L$505,"&lt;"&amp;$L344)+COUNTIFS($R$6:$R344,"Not Performing",$L$6:$L344,$L344))</f>
        <v/>
      </c>
    </row>
    <row r="345" ht="15" customHeight="1">
      <c r="A345" s="27" t="n"/>
      <c r="B345" s="27" t="n"/>
      <c r="C345" s="27" t="n"/>
      <c r="D345" s="28">
        <f>IF($C345="","",IFERROR(TRIM(LEFT($C345,FIND("-",$C345)-1)),""))</f>
        <v/>
      </c>
      <c r="E345" s="27" t="n"/>
      <c r="F345" s="29" t="n"/>
      <c r="G345" s="30" t="n"/>
      <c r="H345" s="30" t="n"/>
      <c r="I345" s="31">
        <f>IF($B345="","",$H345-$G345)</f>
        <v/>
      </c>
      <c r="J345" s="32">
        <f>IF(OR($B345="",$G345=0,$G345=""),"",$I345/$G345)</f>
        <v/>
      </c>
      <c r="K345" s="33" t="n"/>
      <c r="L345" s="33" t="n"/>
      <c r="M345" s="33" t="n"/>
      <c r="N345" s="33" t="n"/>
      <c r="O345" s="33" t="n"/>
      <c r="P345" s="32">
        <f>IF(OR($L345="",$N345=""),"",$L345-$N345)</f>
        <v/>
      </c>
      <c r="Q345" s="28">
        <f>IF($B345="","",IF(N($H345)&gt;0,"Live","Exited"))</f>
        <v/>
      </c>
      <c r="R345" s="28">
        <f>IF($B345="","",IF($L345="","Data Pending",IF($L345&gt;=Instructions!$D$19,"Best Fund",IF($L345&gt;=Instructions!$D$20,"Need to Improve","Not Performing"))))</f>
        <v/>
      </c>
      <c r="S345" s="7">
        <f>IF($R345="","",IF($R345="Data Pending","Enter the 3Y return",IF($R345="Best Fund","Hold / consider top-up",IF($R345="Need to Improve","Watch 2 quarters, then decide","Review with client - switch or exit"))))</f>
        <v/>
      </c>
      <c r="T345" s="27" t="n"/>
      <c r="U345" s="7">
        <f>IF($R345&lt;&gt;"Best Fund","",COUNTIFS($R$6:$R$505,"Best Fund",$L$6:$L$505,"&gt;"&amp;$L345)+COUNTIFS($R$6:$R345,"Best Fund",$L$6:$L345,$L345))</f>
        <v/>
      </c>
      <c r="V345" s="7">
        <f>IF($R345&lt;&gt;"Need to Improve","",COUNTIFS($R$6:$R$505,"Need to Improve",$L$6:$L$505,"&lt;"&amp;$L345)+COUNTIFS($R$6:$R345,"Need to Improve",$L$6:$L345,$L345))</f>
        <v/>
      </c>
      <c r="W345" s="7">
        <f>IF($R345&lt;&gt;"Not Performing","",COUNTIFS($R$6:$R$505,"Not Performing",$L$6:$L$505,"&lt;"&amp;$L345)+COUNTIFS($R$6:$R345,"Not Performing",$L$6:$L345,$L345))</f>
        <v/>
      </c>
    </row>
    <row r="346" ht="15" customHeight="1">
      <c r="A346" s="27" t="n"/>
      <c r="B346" s="27" t="n"/>
      <c r="C346" s="27" t="n"/>
      <c r="D346" s="28">
        <f>IF($C346="","",IFERROR(TRIM(LEFT($C346,FIND("-",$C346)-1)),""))</f>
        <v/>
      </c>
      <c r="E346" s="27" t="n"/>
      <c r="F346" s="29" t="n"/>
      <c r="G346" s="30" t="n"/>
      <c r="H346" s="30" t="n"/>
      <c r="I346" s="31">
        <f>IF($B346="","",$H346-$G346)</f>
        <v/>
      </c>
      <c r="J346" s="32">
        <f>IF(OR($B346="",$G346=0,$G346=""),"",$I346/$G346)</f>
        <v/>
      </c>
      <c r="K346" s="33" t="n"/>
      <c r="L346" s="33" t="n"/>
      <c r="M346" s="33" t="n"/>
      <c r="N346" s="33" t="n"/>
      <c r="O346" s="33" t="n"/>
      <c r="P346" s="32">
        <f>IF(OR($L346="",$N346=""),"",$L346-$N346)</f>
        <v/>
      </c>
      <c r="Q346" s="28">
        <f>IF($B346="","",IF(N($H346)&gt;0,"Live","Exited"))</f>
        <v/>
      </c>
      <c r="R346" s="28">
        <f>IF($B346="","",IF($L346="","Data Pending",IF($L346&gt;=Instructions!$D$19,"Best Fund",IF($L346&gt;=Instructions!$D$20,"Need to Improve","Not Performing"))))</f>
        <v/>
      </c>
      <c r="S346" s="7">
        <f>IF($R346="","",IF($R346="Data Pending","Enter the 3Y return",IF($R346="Best Fund","Hold / consider top-up",IF($R346="Need to Improve","Watch 2 quarters, then decide","Review with client - switch or exit"))))</f>
        <v/>
      </c>
      <c r="T346" s="27" t="n"/>
      <c r="U346" s="7">
        <f>IF($R346&lt;&gt;"Best Fund","",COUNTIFS($R$6:$R$505,"Best Fund",$L$6:$L$505,"&gt;"&amp;$L346)+COUNTIFS($R$6:$R346,"Best Fund",$L$6:$L346,$L346))</f>
        <v/>
      </c>
      <c r="V346" s="7">
        <f>IF($R346&lt;&gt;"Need to Improve","",COUNTIFS($R$6:$R$505,"Need to Improve",$L$6:$L$505,"&lt;"&amp;$L346)+COUNTIFS($R$6:$R346,"Need to Improve",$L$6:$L346,$L346))</f>
        <v/>
      </c>
      <c r="W346" s="7">
        <f>IF($R346&lt;&gt;"Not Performing","",COUNTIFS($R$6:$R$505,"Not Performing",$L$6:$L$505,"&lt;"&amp;$L346)+COUNTIFS($R$6:$R346,"Not Performing",$L$6:$L346,$L346))</f>
        <v/>
      </c>
    </row>
    <row r="347" ht="15" customHeight="1">
      <c r="A347" s="27" t="n"/>
      <c r="B347" s="27" t="n"/>
      <c r="C347" s="27" t="n"/>
      <c r="D347" s="28">
        <f>IF($C347="","",IFERROR(TRIM(LEFT($C347,FIND("-",$C347)-1)),""))</f>
        <v/>
      </c>
      <c r="E347" s="27" t="n"/>
      <c r="F347" s="29" t="n"/>
      <c r="G347" s="30" t="n"/>
      <c r="H347" s="30" t="n"/>
      <c r="I347" s="31">
        <f>IF($B347="","",$H347-$G347)</f>
        <v/>
      </c>
      <c r="J347" s="32">
        <f>IF(OR($B347="",$G347=0,$G347=""),"",$I347/$G347)</f>
        <v/>
      </c>
      <c r="K347" s="33" t="n"/>
      <c r="L347" s="33" t="n"/>
      <c r="M347" s="33" t="n"/>
      <c r="N347" s="33" t="n"/>
      <c r="O347" s="33" t="n"/>
      <c r="P347" s="32">
        <f>IF(OR($L347="",$N347=""),"",$L347-$N347)</f>
        <v/>
      </c>
      <c r="Q347" s="28">
        <f>IF($B347="","",IF(N($H347)&gt;0,"Live","Exited"))</f>
        <v/>
      </c>
      <c r="R347" s="28">
        <f>IF($B347="","",IF($L347="","Data Pending",IF($L347&gt;=Instructions!$D$19,"Best Fund",IF($L347&gt;=Instructions!$D$20,"Need to Improve","Not Performing"))))</f>
        <v/>
      </c>
      <c r="S347" s="7">
        <f>IF($R347="","",IF($R347="Data Pending","Enter the 3Y return",IF($R347="Best Fund","Hold / consider top-up",IF($R347="Need to Improve","Watch 2 quarters, then decide","Review with client - switch or exit"))))</f>
        <v/>
      </c>
      <c r="T347" s="27" t="n"/>
      <c r="U347" s="7">
        <f>IF($R347&lt;&gt;"Best Fund","",COUNTIFS($R$6:$R$505,"Best Fund",$L$6:$L$505,"&gt;"&amp;$L347)+COUNTIFS($R$6:$R347,"Best Fund",$L$6:$L347,$L347))</f>
        <v/>
      </c>
      <c r="V347" s="7">
        <f>IF($R347&lt;&gt;"Need to Improve","",COUNTIFS($R$6:$R$505,"Need to Improve",$L$6:$L$505,"&lt;"&amp;$L347)+COUNTIFS($R$6:$R347,"Need to Improve",$L$6:$L347,$L347))</f>
        <v/>
      </c>
      <c r="W347" s="7">
        <f>IF($R347&lt;&gt;"Not Performing","",COUNTIFS($R$6:$R$505,"Not Performing",$L$6:$L$505,"&lt;"&amp;$L347)+COUNTIFS($R$6:$R347,"Not Performing",$L$6:$L347,$L347))</f>
        <v/>
      </c>
    </row>
    <row r="348" ht="15" customHeight="1">
      <c r="A348" s="27" t="n"/>
      <c r="B348" s="27" t="n"/>
      <c r="C348" s="27" t="n"/>
      <c r="D348" s="28">
        <f>IF($C348="","",IFERROR(TRIM(LEFT($C348,FIND("-",$C348)-1)),""))</f>
        <v/>
      </c>
      <c r="E348" s="27" t="n"/>
      <c r="F348" s="29" t="n"/>
      <c r="G348" s="30" t="n"/>
      <c r="H348" s="30" t="n"/>
      <c r="I348" s="31">
        <f>IF($B348="","",$H348-$G348)</f>
        <v/>
      </c>
      <c r="J348" s="32">
        <f>IF(OR($B348="",$G348=0,$G348=""),"",$I348/$G348)</f>
        <v/>
      </c>
      <c r="K348" s="33" t="n"/>
      <c r="L348" s="33" t="n"/>
      <c r="M348" s="33" t="n"/>
      <c r="N348" s="33" t="n"/>
      <c r="O348" s="33" t="n"/>
      <c r="P348" s="32">
        <f>IF(OR($L348="",$N348=""),"",$L348-$N348)</f>
        <v/>
      </c>
      <c r="Q348" s="28">
        <f>IF($B348="","",IF(N($H348)&gt;0,"Live","Exited"))</f>
        <v/>
      </c>
      <c r="R348" s="28">
        <f>IF($B348="","",IF($L348="","Data Pending",IF($L348&gt;=Instructions!$D$19,"Best Fund",IF($L348&gt;=Instructions!$D$20,"Need to Improve","Not Performing"))))</f>
        <v/>
      </c>
      <c r="S348" s="7">
        <f>IF($R348="","",IF($R348="Data Pending","Enter the 3Y return",IF($R348="Best Fund","Hold / consider top-up",IF($R348="Need to Improve","Watch 2 quarters, then decide","Review with client - switch or exit"))))</f>
        <v/>
      </c>
      <c r="T348" s="27" t="n"/>
      <c r="U348" s="7">
        <f>IF($R348&lt;&gt;"Best Fund","",COUNTIFS($R$6:$R$505,"Best Fund",$L$6:$L$505,"&gt;"&amp;$L348)+COUNTIFS($R$6:$R348,"Best Fund",$L$6:$L348,$L348))</f>
        <v/>
      </c>
      <c r="V348" s="7">
        <f>IF($R348&lt;&gt;"Need to Improve","",COUNTIFS($R$6:$R$505,"Need to Improve",$L$6:$L$505,"&lt;"&amp;$L348)+COUNTIFS($R$6:$R348,"Need to Improve",$L$6:$L348,$L348))</f>
        <v/>
      </c>
      <c r="W348" s="7">
        <f>IF($R348&lt;&gt;"Not Performing","",COUNTIFS($R$6:$R$505,"Not Performing",$L$6:$L$505,"&lt;"&amp;$L348)+COUNTIFS($R$6:$R348,"Not Performing",$L$6:$L348,$L348))</f>
        <v/>
      </c>
    </row>
    <row r="349" ht="15" customHeight="1">
      <c r="A349" s="27" t="n"/>
      <c r="B349" s="27" t="n"/>
      <c r="C349" s="27" t="n"/>
      <c r="D349" s="28">
        <f>IF($C349="","",IFERROR(TRIM(LEFT($C349,FIND("-",$C349)-1)),""))</f>
        <v/>
      </c>
      <c r="E349" s="27" t="n"/>
      <c r="F349" s="29" t="n"/>
      <c r="G349" s="30" t="n"/>
      <c r="H349" s="30" t="n"/>
      <c r="I349" s="31">
        <f>IF($B349="","",$H349-$G349)</f>
        <v/>
      </c>
      <c r="J349" s="32">
        <f>IF(OR($B349="",$G349=0,$G349=""),"",$I349/$G349)</f>
        <v/>
      </c>
      <c r="K349" s="33" t="n"/>
      <c r="L349" s="33" t="n"/>
      <c r="M349" s="33" t="n"/>
      <c r="N349" s="33" t="n"/>
      <c r="O349" s="33" t="n"/>
      <c r="P349" s="32">
        <f>IF(OR($L349="",$N349=""),"",$L349-$N349)</f>
        <v/>
      </c>
      <c r="Q349" s="28">
        <f>IF($B349="","",IF(N($H349)&gt;0,"Live","Exited"))</f>
        <v/>
      </c>
      <c r="R349" s="28">
        <f>IF($B349="","",IF($L349="","Data Pending",IF($L349&gt;=Instructions!$D$19,"Best Fund",IF($L349&gt;=Instructions!$D$20,"Need to Improve","Not Performing"))))</f>
        <v/>
      </c>
      <c r="S349" s="7">
        <f>IF($R349="","",IF($R349="Data Pending","Enter the 3Y return",IF($R349="Best Fund","Hold / consider top-up",IF($R349="Need to Improve","Watch 2 quarters, then decide","Review with client - switch or exit"))))</f>
        <v/>
      </c>
      <c r="T349" s="27" t="n"/>
      <c r="U349" s="7">
        <f>IF($R349&lt;&gt;"Best Fund","",COUNTIFS($R$6:$R$505,"Best Fund",$L$6:$L$505,"&gt;"&amp;$L349)+COUNTIFS($R$6:$R349,"Best Fund",$L$6:$L349,$L349))</f>
        <v/>
      </c>
      <c r="V349" s="7">
        <f>IF($R349&lt;&gt;"Need to Improve","",COUNTIFS($R$6:$R$505,"Need to Improve",$L$6:$L$505,"&lt;"&amp;$L349)+COUNTIFS($R$6:$R349,"Need to Improve",$L$6:$L349,$L349))</f>
        <v/>
      </c>
      <c r="W349" s="7">
        <f>IF($R349&lt;&gt;"Not Performing","",COUNTIFS($R$6:$R$505,"Not Performing",$L$6:$L$505,"&lt;"&amp;$L349)+COUNTIFS($R$6:$R349,"Not Performing",$L$6:$L349,$L349))</f>
        <v/>
      </c>
    </row>
    <row r="350" ht="15" customHeight="1">
      <c r="A350" s="27" t="n"/>
      <c r="B350" s="27" t="n"/>
      <c r="C350" s="27" t="n"/>
      <c r="D350" s="28">
        <f>IF($C350="","",IFERROR(TRIM(LEFT($C350,FIND("-",$C350)-1)),""))</f>
        <v/>
      </c>
      <c r="E350" s="27" t="n"/>
      <c r="F350" s="29" t="n"/>
      <c r="G350" s="30" t="n"/>
      <c r="H350" s="30" t="n"/>
      <c r="I350" s="31">
        <f>IF($B350="","",$H350-$G350)</f>
        <v/>
      </c>
      <c r="J350" s="32">
        <f>IF(OR($B350="",$G350=0,$G350=""),"",$I350/$G350)</f>
        <v/>
      </c>
      <c r="K350" s="33" t="n"/>
      <c r="L350" s="33" t="n"/>
      <c r="M350" s="33" t="n"/>
      <c r="N350" s="33" t="n"/>
      <c r="O350" s="33" t="n"/>
      <c r="P350" s="32">
        <f>IF(OR($L350="",$N350=""),"",$L350-$N350)</f>
        <v/>
      </c>
      <c r="Q350" s="28">
        <f>IF($B350="","",IF(N($H350)&gt;0,"Live","Exited"))</f>
        <v/>
      </c>
      <c r="R350" s="28">
        <f>IF($B350="","",IF($L350="","Data Pending",IF($L350&gt;=Instructions!$D$19,"Best Fund",IF($L350&gt;=Instructions!$D$20,"Need to Improve","Not Performing"))))</f>
        <v/>
      </c>
      <c r="S350" s="7">
        <f>IF($R350="","",IF($R350="Data Pending","Enter the 3Y return",IF($R350="Best Fund","Hold / consider top-up",IF($R350="Need to Improve","Watch 2 quarters, then decide","Review with client - switch or exit"))))</f>
        <v/>
      </c>
      <c r="T350" s="27" t="n"/>
      <c r="U350" s="7">
        <f>IF($R350&lt;&gt;"Best Fund","",COUNTIFS($R$6:$R$505,"Best Fund",$L$6:$L$505,"&gt;"&amp;$L350)+COUNTIFS($R$6:$R350,"Best Fund",$L$6:$L350,$L350))</f>
        <v/>
      </c>
      <c r="V350" s="7">
        <f>IF($R350&lt;&gt;"Need to Improve","",COUNTIFS($R$6:$R$505,"Need to Improve",$L$6:$L$505,"&lt;"&amp;$L350)+COUNTIFS($R$6:$R350,"Need to Improve",$L$6:$L350,$L350))</f>
        <v/>
      </c>
      <c r="W350" s="7">
        <f>IF($R350&lt;&gt;"Not Performing","",COUNTIFS($R$6:$R$505,"Not Performing",$L$6:$L$505,"&lt;"&amp;$L350)+COUNTIFS($R$6:$R350,"Not Performing",$L$6:$L350,$L350))</f>
        <v/>
      </c>
    </row>
    <row r="351" ht="15" customHeight="1">
      <c r="A351" s="27" t="n"/>
      <c r="B351" s="27" t="n"/>
      <c r="C351" s="27" t="n"/>
      <c r="D351" s="28">
        <f>IF($C351="","",IFERROR(TRIM(LEFT($C351,FIND("-",$C351)-1)),""))</f>
        <v/>
      </c>
      <c r="E351" s="27" t="n"/>
      <c r="F351" s="29" t="n"/>
      <c r="G351" s="30" t="n"/>
      <c r="H351" s="30" t="n"/>
      <c r="I351" s="31">
        <f>IF($B351="","",$H351-$G351)</f>
        <v/>
      </c>
      <c r="J351" s="32">
        <f>IF(OR($B351="",$G351=0,$G351=""),"",$I351/$G351)</f>
        <v/>
      </c>
      <c r="K351" s="33" t="n"/>
      <c r="L351" s="33" t="n"/>
      <c r="M351" s="33" t="n"/>
      <c r="N351" s="33" t="n"/>
      <c r="O351" s="33" t="n"/>
      <c r="P351" s="32">
        <f>IF(OR($L351="",$N351=""),"",$L351-$N351)</f>
        <v/>
      </c>
      <c r="Q351" s="28">
        <f>IF($B351="","",IF(N($H351)&gt;0,"Live","Exited"))</f>
        <v/>
      </c>
      <c r="R351" s="28">
        <f>IF($B351="","",IF($L351="","Data Pending",IF($L351&gt;=Instructions!$D$19,"Best Fund",IF($L351&gt;=Instructions!$D$20,"Need to Improve","Not Performing"))))</f>
        <v/>
      </c>
      <c r="S351" s="7">
        <f>IF($R351="","",IF($R351="Data Pending","Enter the 3Y return",IF($R351="Best Fund","Hold / consider top-up",IF($R351="Need to Improve","Watch 2 quarters, then decide","Review with client - switch or exit"))))</f>
        <v/>
      </c>
      <c r="T351" s="27" t="n"/>
      <c r="U351" s="7">
        <f>IF($R351&lt;&gt;"Best Fund","",COUNTIFS($R$6:$R$505,"Best Fund",$L$6:$L$505,"&gt;"&amp;$L351)+COUNTIFS($R$6:$R351,"Best Fund",$L$6:$L351,$L351))</f>
        <v/>
      </c>
      <c r="V351" s="7">
        <f>IF($R351&lt;&gt;"Need to Improve","",COUNTIFS($R$6:$R$505,"Need to Improve",$L$6:$L$505,"&lt;"&amp;$L351)+COUNTIFS($R$6:$R351,"Need to Improve",$L$6:$L351,$L351))</f>
        <v/>
      </c>
      <c r="W351" s="7">
        <f>IF($R351&lt;&gt;"Not Performing","",COUNTIFS($R$6:$R$505,"Not Performing",$L$6:$L$505,"&lt;"&amp;$L351)+COUNTIFS($R$6:$R351,"Not Performing",$L$6:$L351,$L351))</f>
        <v/>
      </c>
    </row>
    <row r="352" ht="15" customHeight="1">
      <c r="A352" s="27" t="n"/>
      <c r="B352" s="27" t="n"/>
      <c r="C352" s="27" t="n"/>
      <c r="D352" s="28">
        <f>IF($C352="","",IFERROR(TRIM(LEFT($C352,FIND("-",$C352)-1)),""))</f>
        <v/>
      </c>
      <c r="E352" s="27" t="n"/>
      <c r="F352" s="29" t="n"/>
      <c r="G352" s="30" t="n"/>
      <c r="H352" s="30" t="n"/>
      <c r="I352" s="31">
        <f>IF($B352="","",$H352-$G352)</f>
        <v/>
      </c>
      <c r="J352" s="32">
        <f>IF(OR($B352="",$G352=0,$G352=""),"",$I352/$G352)</f>
        <v/>
      </c>
      <c r="K352" s="33" t="n"/>
      <c r="L352" s="33" t="n"/>
      <c r="M352" s="33" t="n"/>
      <c r="N352" s="33" t="n"/>
      <c r="O352" s="33" t="n"/>
      <c r="P352" s="32">
        <f>IF(OR($L352="",$N352=""),"",$L352-$N352)</f>
        <v/>
      </c>
      <c r="Q352" s="28">
        <f>IF($B352="","",IF(N($H352)&gt;0,"Live","Exited"))</f>
        <v/>
      </c>
      <c r="R352" s="28">
        <f>IF($B352="","",IF($L352="","Data Pending",IF($L352&gt;=Instructions!$D$19,"Best Fund",IF($L352&gt;=Instructions!$D$20,"Need to Improve","Not Performing"))))</f>
        <v/>
      </c>
      <c r="S352" s="7">
        <f>IF($R352="","",IF($R352="Data Pending","Enter the 3Y return",IF($R352="Best Fund","Hold / consider top-up",IF($R352="Need to Improve","Watch 2 quarters, then decide","Review with client - switch or exit"))))</f>
        <v/>
      </c>
      <c r="T352" s="27" t="n"/>
      <c r="U352" s="7">
        <f>IF($R352&lt;&gt;"Best Fund","",COUNTIFS($R$6:$R$505,"Best Fund",$L$6:$L$505,"&gt;"&amp;$L352)+COUNTIFS($R$6:$R352,"Best Fund",$L$6:$L352,$L352))</f>
        <v/>
      </c>
      <c r="V352" s="7">
        <f>IF($R352&lt;&gt;"Need to Improve","",COUNTIFS($R$6:$R$505,"Need to Improve",$L$6:$L$505,"&lt;"&amp;$L352)+COUNTIFS($R$6:$R352,"Need to Improve",$L$6:$L352,$L352))</f>
        <v/>
      </c>
      <c r="W352" s="7">
        <f>IF($R352&lt;&gt;"Not Performing","",COUNTIFS($R$6:$R$505,"Not Performing",$L$6:$L$505,"&lt;"&amp;$L352)+COUNTIFS($R$6:$R352,"Not Performing",$L$6:$L352,$L352))</f>
        <v/>
      </c>
    </row>
    <row r="353" ht="15" customHeight="1">
      <c r="A353" s="27" t="n"/>
      <c r="B353" s="27" t="n"/>
      <c r="C353" s="27" t="n"/>
      <c r="D353" s="28">
        <f>IF($C353="","",IFERROR(TRIM(LEFT($C353,FIND("-",$C353)-1)),""))</f>
        <v/>
      </c>
      <c r="E353" s="27" t="n"/>
      <c r="F353" s="29" t="n"/>
      <c r="G353" s="30" t="n"/>
      <c r="H353" s="30" t="n"/>
      <c r="I353" s="31">
        <f>IF($B353="","",$H353-$G353)</f>
        <v/>
      </c>
      <c r="J353" s="32">
        <f>IF(OR($B353="",$G353=0,$G353=""),"",$I353/$G353)</f>
        <v/>
      </c>
      <c r="K353" s="33" t="n"/>
      <c r="L353" s="33" t="n"/>
      <c r="M353" s="33" t="n"/>
      <c r="N353" s="33" t="n"/>
      <c r="O353" s="33" t="n"/>
      <c r="P353" s="32">
        <f>IF(OR($L353="",$N353=""),"",$L353-$N353)</f>
        <v/>
      </c>
      <c r="Q353" s="28">
        <f>IF($B353="","",IF(N($H353)&gt;0,"Live","Exited"))</f>
        <v/>
      </c>
      <c r="R353" s="28">
        <f>IF($B353="","",IF($L353="","Data Pending",IF($L353&gt;=Instructions!$D$19,"Best Fund",IF($L353&gt;=Instructions!$D$20,"Need to Improve","Not Performing"))))</f>
        <v/>
      </c>
      <c r="S353" s="7">
        <f>IF($R353="","",IF($R353="Data Pending","Enter the 3Y return",IF($R353="Best Fund","Hold / consider top-up",IF($R353="Need to Improve","Watch 2 quarters, then decide","Review with client - switch or exit"))))</f>
        <v/>
      </c>
      <c r="T353" s="27" t="n"/>
      <c r="U353" s="7">
        <f>IF($R353&lt;&gt;"Best Fund","",COUNTIFS($R$6:$R$505,"Best Fund",$L$6:$L$505,"&gt;"&amp;$L353)+COUNTIFS($R$6:$R353,"Best Fund",$L$6:$L353,$L353))</f>
        <v/>
      </c>
      <c r="V353" s="7">
        <f>IF($R353&lt;&gt;"Need to Improve","",COUNTIFS($R$6:$R$505,"Need to Improve",$L$6:$L$505,"&lt;"&amp;$L353)+COUNTIFS($R$6:$R353,"Need to Improve",$L$6:$L353,$L353))</f>
        <v/>
      </c>
      <c r="W353" s="7">
        <f>IF($R353&lt;&gt;"Not Performing","",COUNTIFS($R$6:$R$505,"Not Performing",$L$6:$L$505,"&lt;"&amp;$L353)+COUNTIFS($R$6:$R353,"Not Performing",$L$6:$L353,$L353))</f>
        <v/>
      </c>
    </row>
    <row r="354" ht="15" customHeight="1">
      <c r="A354" s="27" t="n"/>
      <c r="B354" s="27" t="n"/>
      <c r="C354" s="27" t="n"/>
      <c r="D354" s="28">
        <f>IF($C354="","",IFERROR(TRIM(LEFT($C354,FIND("-",$C354)-1)),""))</f>
        <v/>
      </c>
      <c r="E354" s="27" t="n"/>
      <c r="F354" s="29" t="n"/>
      <c r="G354" s="30" t="n"/>
      <c r="H354" s="30" t="n"/>
      <c r="I354" s="31">
        <f>IF($B354="","",$H354-$G354)</f>
        <v/>
      </c>
      <c r="J354" s="32">
        <f>IF(OR($B354="",$G354=0,$G354=""),"",$I354/$G354)</f>
        <v/>
      </c>
      <c r="K354" s="33" t="n"/>
      <c r="L354" s="33" t="n"/>
      <c r="M354" s="33" t="n"/>
      <c r="N354" s="33" t="n"/>
      <c r="O354" s="33" t="n"/>
      <c r="P354" s="32">
        <f>IF(OR($L354="",$N354=""),"",$L354-$N354)</f>
        <v/>
      </c>
      <c r="Q354" s="28">
        <f>IF($B354="","",IF(N($H354)&gt;0,"Live","Exited"))</f>
        <v/>
      </c>
      <c r="R354" s="28">
        <f>IF($B354="","",IF($L354="","Data Pending",IF($L354&gt;=Instructions!$D$19,"Best Fund",IF($L354&gt;=Instructions!$D$20,"Need to Improve","Not Performing"))))</f>
        <v/>
      </c>
      <c r="S354" s="7">
        <f>IF($R354="","",IF($R354="Data Pending","Enter the 3Y return",IF($R354="Best Fund","Hold / consider top-up",IF($R354="Need to Improve","Watch 2 quarters, then decide","Review with client - switch or exit"))))</f>
        <v/>
      </c>
      <c r="T354" s="27" t="n"/>
      <c r="U354" s="7">
        <f>IF($R354&lt;&gt;"Best Fund","",COUNTIFS($R$6:$R$505,"Best Fund",$L$6:$L$505,"&gt;"&amp;$L354)+COUNTIFS($R$6:$R354,"Best Fund",$L$6:$L354,$L354))</f>
        <v/>
      </c>
      <c r="V354" s="7">
        <f>IF($R354&lt;&gt;"Need to Improve","",COUNTIFS($R$6:$R$505,"Need to Improve",$L$6:$L$505,"&lt;"&amp;$L354)+COUNTIFS($R$6:$R354,"Need to Improve",$L$6:$L354,$L354))</f>
        <v/>
      </c>
      <c r="W354" s="7">
        <f>IF($R354&lt;&gt;"Not Performing","",COUNTIFS($R$6:$R$505,"Not Performing",$L$6:$L$505,"&lt;"&amp;$L354)+COUNTIFS($R$6:$R354,"Not Performing",$L$6:$L354,$L354))</f>
        <v/>
      </c>
    </row>
    <row r="355" ht="15" customHeight="1">
      <c r="A355" s="27" t="n"/>
      <c r="B355" s="27" t="n"/>
      <c r="C355" s="27" t="n"/>
      <c r="D355" s="28">
        <f>IF($C355="","",IFERROR(TRIM(LEFT($C355,FIND("-",$C355)-1)),""))</f>
        <v/>
      </c>
      <c r="E355" s="27" t="n"/>
      <c r="F355" s="29" t="n"/>
      <c r="G355" s="30" t="n"/>
      <c r="H355" s="30" t="n"/>
      <c r="I355" s="31">
        <f>IF($B355="","",$H355-$G355)</f>
        <v/>
      </c>
      <c r="J355" s="32">
        <f>IF(OR($B355="",$G355=0,$G355=""),"",$I355/$G355)</f>
        <v/>
      </c>
      <c r="K355" s="33" t="n"/>
      <c r="L355" s="33" t="n"/>
      <c r="M355" s="33" t="n"/>
      <c r="N355" s="33" t="n"/>
      <c r="O355" s="33" t="n"/>
      <c r="P355" s="32">
        <f>IF(OR($L355="",$N355=""),"",$L355-$N355)</f>
        <v/>
      </c>
      <c r="Q355" s="28">
        <f>IF($B355="","",IF(N($H355)&gt;0,"Live","Exited"))</f>
        <v/>
      </c>
      <c r="R355" s="28">
        <f>IF($B355="","",IF($L355="","Data Pending",IF($L355&gt;=Instructions!$D$19,"Best Fund",IF($L355&gt;=Instructions!$D$20,"Need to Improve","Not Performing"))))</f>
        <v/>
      </c>
      <c r="S355" s="7">
        <f>IF($R355="","",IF($R355="Data Pending","Enter the 3Y return",IF($R355="Best Fund","Hold / consider top-up",IF($R355="Need to Improve","Watch 2 quarters, then decide","Review with client - switch or exit"))))</f>
        <v/>
      </c>
      <c r="T355" s="27" t="n"/>
      <c r="U355" s="7">
        <f>IF($R355&lt;&gt;"Best Fund","",COUNTIFS($R$6:$R$505,"Best Fund",$L$6:$L$505,"&gt;"&amp;$L355)+COUNTIFS($R$6:$R355,"Best Fund",$L$6:$L355,$L355))</f>
        <v/>
      </c>
      <c r="V355" s="7">
        <f>IF($R355&lt;&gt;"Need to Improve","",COUNTIFS($R$6:$R$505,"Need to Improve",$L$6:$L$505,"&lt;"&amp;$L355)+COUNTIFS($R$6:$R355,"Need to Improve",$L$6:$L355,$L355))</f>
        <v/>
      </c>
      <c r="W355" s="7">
        <f>IF($R355&lt;&gt;"Not Performing","",COUNTIFS($R$6:$R$505,"Not Performing",$L$6:$L$505,"&lt;"&amp;$L355)+COUNTIFS($R$6:$R355,"Not Performing",$L$6:$L355,$L355))</f>
        <v/>
      </c>
    </row>
    <row r="356" ht="15" customHeight="1">
      <c r="A356" s="27" t="n"/>
      <c r="B356" s="27" t="n"/>
      <c r="C356" s="27" t="n"/>
      <c r="D356" s="28">
        <f>IF($C356="","",IFERROR(TRIM(LEFT($C356,FIND("-",$C356)-1)),""))</f>
        <v/>
      </c>
      <c r="E356" s="27" t="n"/>
      <c r="F356" s="29" t="n"/>
      <c r="G356" s="30" t="n"/>
      <c r="H356" s="30" t="n"/>
      <c r="I356" s="31">
        <f>IF($B356="","",$H356-$G356)</f>
        <v/>
      </c>
      <c r="J356" s="32">
        <f>IF(OR($B356="",$G356=0,$G356=""),"",$I356/$G356)</f>
        <v/>
      </c>
      <c r="K356" s="33" t="n"/>
      <c r="L356" s="33" t="n"/>
      <c r="M356" s="33" t="n"/>
      <c r="N356" s="33" t="n"/>
      <c r="O356" s="33" t="n"/>
      <c r="P356" s="32">
        <f>IF(OR($L356="",$N356=""),"",$L356-$N356)</f>
        <v/>
      </c>
      <c r="Q356" s="28">
        <f>IF($B356="","",IF(N($H356)&gt;0,"Live","Exited"))</f>
        <v/>
      </c>
      <c r="R356" s="28">
        <f>IF($B356="","",IF($L356="","Data Pending",IF($L356&gt;=Instructions!$D$19,"Best Fund",IF($L356&gt;=Instructions!$D$20,"Need to Improve","Not Performing"))))</f>
        <v/>
      </c>
      <c r="S356" s="7">
        <f>IF($R356="","",IF($R356="Data Pending","Enter the 3Y return",IF($R356="Best Fund","Hold / consider top-up",IF($R356="Need to Improve","Watch 2 quarters, then decide","Review with client - switch or exit"))))</f>
        <v/>
      </c>
      <c r="T356" s="27" t="n"/>
      <c r="U356" s="7">
        <f>IF($R356&lt;&gt;"Best Fund","",COUNTIFS($R$6:$R$505,"Best Fund",$L$6:$L$505,"&gt;"&amp;$L356)+COUNTIFS($R$6:$R356,"Best Fund",$L$6:$L356,$L356))</f>
        <v/>
      </c>
      <c r="V356" s="7">
        <f>IF($R356&lt;&gt;"Need to Improve","",COUNTIFS($R$6:$R$505,"Need to Improve",$L$6:$L$505,"&lt;"&amp;$L356)+COUNTIFS($R$6:$R356,"Need to Improve",$L$6:$L356,$L356))</f>
        <v/>
      </c>
      <c r="W356" s="7">
        <f>IF($R356&lt;&gt;"Not Performing","",COUNTIFS($R$6:$R$505,"Not Performing",$L$6:$L$505,"&lt;"&amp;$L356)+COUNTIFS($R$6:$R356,"Not Performing",$L$6:$L356,$L356))</f>
        <v/>
      </c>
    </row>
    <row r="357" ht="15" customHeight="1">
      <c r="A357" s="27" t="n"/>
      <c r="B357" s="27" t="n"/>
      <c r="C357" s="27" t="n"/>
      <c r="D357" s="28">
        <f>IF($C357="","",IFERROR(TRIM(LEFT($C357,FIND("-",$C357)-1)),""))</f>
        <v/>
      </c>
      <c r="E357" s="27" t="n"/>
      <c r="F357" s="29" t="n"/>
      <c r="G357" s="30" t="n"/>
      <c r="H357" s="30" t="n"/>
      <c r="I357" s="31">
        <f>IF($B357="","",$H357-$G357)</f>
        <v/>
      </c>
      <c r="J357" s="32">
        <f>IF(OR($B357="",$G357=0,$G357=""),"",$I357/$G357)</f>
        <v/>
      </c>
      <c r="K357" s="33" t="n"/>
      <c r="L357" s="33" t="n"/>
      <c r="M357" s="33" t="n"/>
      <c r="N357" s="33" t="n"/>
      <c r="O357" s="33" t="n"/>
      <c r="P357" s="32">
        <f>IF(OR($L357="",$N357=""),"",$L357-$N357)</f>
        <v/>
      </c>
      <c r="Q357" s="28">
        <f>IF($B357="","",IF(N($H357)&gt;0,"Live","Exited"))</f>
        <v/>
      </c>
      <c r="R357" s="28">
        <f>IF($B357="","",IF($L357="","Data Pending",IF($L357&gt;=Instructions!$D$19,"Best Fund",IF($L357&gt;=Instructions!$D$20,"Need to Improve","Not Performing"))))</f>
        <v/>
      </c>
      <c r="S357" s="7">
        <f>IF($R357="","",IF($R357="Data Pending","Enter the 3Y return",IF($R357="Best Fund","Hold / consider top-up",IF($R357="Need to Improve","Watch 2 quarters, then decide","Review with client - switch or exit"))))</f>
        <v/>
      </c>
      <c r="T357" s="27" t="n"/>
      <c r="U357" s="7">
        <f>IF($R357&lt;&gt;"Best Fund","",COUNTIFS($R$6:$R$505,"Best Fund",$L$6:$L$505,"&gt;"&amp;$L357)+COUNTIFS($R$6:$R357,"Best Fund",$L$6:$L357,$L357))</f>
        <v/>
      </c>
      <c r="V357" s="7">
        <f>IF($R357&lt;&gt;"Need to Improve","",COUNTIFS($R$6:$R$505,"Need to Improve",$L$6:$L$505,"&lt;"&amp;$L357)+COUNTIFS($R$6:$R357,"Need to Improve",$L$6:$L357,$L357))</f>
        <v/>
      </c>
      <c r="W357" s="7">
        <f>IF($R357&lt;&gt;"Not Performing","",COUNTIFS($R$6:$R$505,"Not Performing",$L$6:$L$505,"&lt;"&amp;$L357)+COUNTIFS($R$6:$R357,"Not Performing",$L$6:$L357,$L357))</f>
        <v/>
      </c>
    </row>
    <row r="358" ht="15" customHeight="1">
      <c r="A358" s="27" t="n"/>
      <c r="B358" s="27" t="n"/>
      <c r="C358" s="27" t="n"/>
      <c r="D358" s="28">
        <f>IF($C358="","",IFERROR(TRIM(LEFT($C358,FIND("-",$C358)-1)),""))</f>
        <v/>
      </c>
      <c r="E358" s="27" t="n"/>
      <c r="F358" s="29" t="n"/>
      <c r="G358" s="30" t="n"/>
      <c r="H358" s="30" t="n"/>
      <c r="I358" s="31">
        <f>IF($B358="","",$H358-$G358)</f>
        <v/>
      </c>
      <c r="J358" s="32">
        <f>IF(OR($B358="",$G358=0,$G358=""),"",$I358/$G358)</f>
        <v/>
      </c>
      <c r="K358" s="33" t="n"/>
      <c r="L358" s="33" t="n"/>
      <c r="M358" s="33" t="n"/>
      <c r="N358" s="33" t="n"/>
      <c r="O358" s="33" t="n"/>
      <c r="P358" s="32">
        <f>IF(OR($L358="",$N358=""),"",$L358-$N358)</f>
        <v/>
      </c>
      <c r="Q358" s="28">
        <f>IF($B358="","",IF(N($H358)&gt;0,"Live","Exited"))</f>
        <v/>
      </c>
      <c r="R358" s="28">
        <f>IF($B358="","",IF($L358="","Data Pending",IF($L358&gt;=Instructions!$D$19,"Best Fund",IF($L358&gt;=Instructions!$D$20,"Need to Improve","Not Performing"))))</f>
        <v/>
      </c>
      <c r="S358" s="7">
        <f>IF($R358="","",IF($R358="Data Pending","Enter the 3Y return",IF($R358="Best Fund","Hold / consider top-up",IF($R358="Need to Improve","Watch 2 quarters, then decide","Review with client - switch or exit"))))</f>
        <v/>
      </c>
      <c r="T358" s="27" t="n"/>
      <c r="U358" s="7">
        <f>IF($R358&lt;&gt;"Best Fund","",COUNTIFS($R$6:$R$505,"Best Fund",$L$6:$L$505,"&gt;"&amp;$L358)+COUNTIFS($R$6:$R358,"Best Fund",$L$6:$L358,$L358))</f>
        <v/>
      </c>
      <c r="V358" s="7">
        <f>IF($R358&lt;&gt;"Need to Improve","",COUNTIFS($R$6:$R$505,"Need to Improve",$L$6:$L$505,"&lt;"&amp;$L358)+COUNTIFS($R$6:$R358,"Need to Improve",$L$6:$L358,$L358))</f>
        <v/>
      </c>
      <c r="W358" s="7">
        <f>IF($R358&lt;&gt;"Not Performing","",COUNTIFS($R$6:$R$505,"Not Performing",$L$6:$L$505,"&lt;"&amp;$L358)+COUNTIFS($R$6:$R358,"Not Performing",$L$6:$L358,$L358))</f>
        <v/>
      </c>
    </row>
    <row r="359" ht="15" customHeight="1">
      <c r="A359" s="27" t="n"/>
      <c r="B359" s="27" t="n"/>
      <c r="C359" s="27" t="n"/>
      <c r="D359" s="28">
        <f>IF($C359="","",IFERROR(TRIM(LEFT($C359,FIND("-",$C359)-1)),""))</f>
        <v/>
      </c>
      <c r="E359" s="27" t="n"/>
      <c r="F359" s="29" t="n"/>
      <c r="G359" s="30" t="n"/>
      <c r="H359" s="30" t="n"/>
      <c r="I359" s="31">
        <f>IF($B359="","",$H359-$G359)</f>
        <v/>
      </c>
      <c r="J359" s="32">
        <f>IF(OR($B359="",$G359=0,$G359=""),"",$I359/$G359)</f>
        <v/>
      </c>
      <c r="K359" s="33" t="n"/>
      <c r="L359" s="33" t="n"/>
      <c r="M359" s="33" t="n"/>
      <c r="N359" s="33" t="n"/>
      <c r="O359" s="33" t="n"/>
      <c r="P359" s="32">
        <f>IF(OR($L359="",$N359=""),"",$L359-$N359)</f>
        <v/>
      </c>
      <c r="Q359" s="28">
        <f>IF($B359="","",IF(N($H359)&gt;0,"Live","Exited"))</f>
        <v/>
      </c>
      <c r="R359" s="28">
        <f>IF($B359="","",IF($L359="","Data Pending",IF($L359&gt;=Instructions!$D$19,"Best Fund",IF($L359&gt;=Instructions!$D$20,"Need to Improve","Not Performing"))))</f>
        <v/>
      </c>
      <c r="S359" s="7">
        <f>IF($R359="","",IF($R359="Data Pending","Enter the 3Y return",IF($R359="Best Fund","Hold / consider top-up",IF($R359="Need to Improve","Watch 2 quarters, then decide","Review with client - switch or exit"))))</f>
        <v/>
      </c>
      <c r="T359" s="27" t="n"/>
      <c r="U359" s="7">
        <f>IF($R359&lt;&gt;"Best Fund","",COUNTIFS($R$6:$R$505,"Best Fund",$L$6:$L$505,"&gt;"&amp;$L359)+COUNTIFS($R$6:$R359,"Best Fund",$L$6:$L359,$L359))</f>
        <v/>
      </c>
      <c r="V359" s="7">
        <f>IF($R359&lt;&gt;"Need to Improve","",COUNTIFS($R$6:$R$505,"Need to Improve",$L$6:$L$505,"&lt;"&amp;$L359)+COUNTIFS($R$6:$R359,"Need to Improve",$L$6:$L359,$L359))</f>
        <v/>
      </c>
      <c r="W359" s="7">
        <f>IF($R359&lt;&gt;"Not Performing","",COUNTIFS($R$6:$R$505,"Not Performing",$L$6:$L$505,"&lt;"&amp;$L359)+COUNTIFS($R$6:$R359,"Not Performing",$L$6:$L359,$L359))</f>
        <v/>
      </c>
    </row>
    <row r="360" ht="15" customHeight="1">
      <c r="A360" s="27" t="n"/>
      <c r="B360" s="27" t="n"/>
      <c r="C360" s="27" t="n"/>
      <c r="D360" s="28">
        <f>IF($C360="","",IFERROR(TRIM(LEFT($C360,FIND("-",$C360)-1)),""))</f>
        <v/>
      </c>
      <c r="E360" s="27" t="n"/>
      <c r="F360" s="29" t="n"/>
      <c r="G360" s="30" t="n"/>
      <c r="H360" s="30" t="n"/>
      <c r="I360" s="31">
        <f>IF($B360="","",$H360-$G360)</f>
        <v/>
      </c>
      <c r="J360" s="32">
        <f>IF(OR($B360="",$G360=0,$G360=""),"",$I360/$G360)</f>
        <v/>
      </c>
      <c r="K360" s="33" t="n"/>
      <c r="L360" s="33" t="n"/>
      <c r="M360" s="33" t="n"/>
      <c r="N360" s="33" t="n"/>
      <c r="O360" s="33" t="n"/>
      <c r="P360" s="32">
        <f>IF(OR($L360="",$N360=""),"",$L360-$N360)</f>
        <v/>
      </c>
      <c r="Q360" s="28">
        <f>IF($B360="","",IF(N($H360)&gt;0,"Live","Exited"))</f>
        <v/>
      </c>
      <c r="R360" s="28">
        <f>IF($B360="","",IF($L360="","Data Pending",IF($L360&gt;=Instructions!$D$19,"Best Fund",IF($L360&gt;=Instructions!$D$20,"Need to Improve","Not Performing"))))</f>
        <v/>
      </c>
      <c r="S360" s="7">
        <f>IF($R360="","",IF($R360="Data Pending","Enter the 3Y return",IF($R360="Best Fund","Hold / consider top-up",IF($R360="Need to Improve","Watch 2 quarters, then decide","Review with client - switch or exit"))))</f>
        <v/>
      </c>
      <c r="T360" s="27" t="n"/>
      <c r="U360" s="7">
        <f>IF($R360&lt;&gt;"Best Fund","",COUNTIFS($R$6:$R$505,"Best Fund",$L$6:$L$505,"&gt;"&amp;$L360)+COUNTIFS($R$6:$R360,"Best Fund",$L$6:$L360,$L360))</f>
        <v/>
      </c>
      <c r="V360" s="7">
        <f>IF($R360&lt;&gt;"Need to Improve","",COUNTIFS($R$6:$R$505,"Need to Improve",$L$6:$L$505,"&lt;"&amp;$L360)+COUNTIFS($R$6:$R360,"Need to Improve",$L$6:$L360,$L360))</f>
        <v/>
      </c>
      <c r="W360" s="7">
        <f>IF($R360&lt;&gt;"Not Performing","",COUNTIFS($R$6:$R$505,"Not Performing",$L$6:$L$505,"&lt;"&amp;$L360)+COUNTIFS($R$6:$R360,"Not Performing",$L$6:$L360,$L360))</f>
        <v/>
      </c>
    </row>
    <row r="361" ht="15" customHeight="1">
      <c r="A361" s="27" t="n"/>
      <c r="B361" s="27" t="n"/>
      <c r="C361" s="27" t="n"/>
      <c r="D361" s="28">
        <f>IF($C361="","",IFERROR(TRIM(LEFT($C361,FIND("-",$C361)-1)),""))</f>
        <v/>
      </c>
      <c r="E361" s="27" t="n"/>
      <c r="F361" s="29" t="n"/>
      <c r="G361" s="30" t="n"/>
      <c r="H361" s="30" t="n"/>
      <c r="I361" s="31">
        <f>IF($B361="","",$H361-$G361)</f>
        <v/>
      </c>
      <c r="J361" s="32">
        <f>IF(OR($B361="",$G361=0,$G361=""),"",$I361/$G361)</f>
        <v/>
      </c>
      <c r="K361" s="33" t="n"/>
      <c r="L361" s="33" t="n"/>
      <c r="M361" s="33" t="n"/>
      <c r="N361" s="33" t="n"/>
      <c r="O361" s="33" t="n"/>
      <c r="P361" s="32">
        <f>IF(OR($L361="",$N361=""),"",$L361-$N361)</f>
        <v/>
      </c>
      <c r="Q361" s="28">
        <f>IF($B361="","",IF(N($H361)&gt;0,"Live","Exited"))</f>
        <v/>
      </c>
      <c r="R361" s="28">
        <f>IF($B361="","",IF($L361="","Data Pending",IF($L361&gt;=Instructions!$D$19,"Best Fund",IF($L361&gt;=Instructions!$D$20,"Need to Improve","Not Performing"))))</f>
        <v/>
      </c>
      <c r="S361" s="7">
        <f>IF($R361="","",IF($R361="Data Pending","Enter the 3Y return",IF($R361="Best Fund","Hold / consider top-up",IF($R361="Need to Improve","Watch 2 quarters, then decide","Review with client - switch or exit"))))</f>
        <v/>
      </c>
      <c r="T361" s="27" t="n"/>
      <c r="U361" s="7">
        <f>IF($R361&lt;&gt;"Best Fund","",COUNTIFS($R$6:$R$505,"Best Fund",$L$6:$L$505,"&gt;"&amp;$L361)+COUNTIFS($R$6:$R361,"Best Fund",$L$6:$L361,$L361))</f>
        <v/>
      </c>
      <c r="V361" s="7">
        <f>IF($R361&lt;&gt;"Need to Improve","",COUNTIFS($R$6:$R$505,"Need to Improve",$L$6:$L$505,"&lt;"&amp;$L361)+COUNTIFS($R$6:$R361,"Need to Improve",$L$6:$L361,$L361))</f>
        <v/>
      </c>
      <c r="W361" s="7">
        <f>IF($R361&lt;&gt;"Not Performing","",COUNTIFS($R$6:$R$505,"Not Performing",$L$6:$L$505,"&lt;"&amp;$L361)+COUNTIFS($R$6:$R361,"Not Performing",$L$6:$L361,$L361))</f>
        <v/>
      </c>
    </row>
    <row r="362" ht="15" customHeight="1">
      <c r="A362" s="27" t="n"/>
      <c r="B362" s="27" t="n"/>
      <c r="C362" s="27" t="n"/>
      <c r="D362" s="28">
        <f>IF($C362="","",IFERROR(TRIM(LEFT($C362,FIND("-",$C362)-1)),""))</f>
        <v/>
      </c>
      <c r="E362" s="27" t="n"/>
      <c r="F362" s="29" t="n"/>
      <c r="G362" s="30" t="n"/>
      <c r="H362" s="30" t="n"/>
      <c r="I362" s="31">
        <f>IF($B362="","",$H362-$G362)</f>
        <v/>
      </c>
      <c r="J362" s="32">
        <f>IF(OR($B362="",$G362=0,$G362=""),"",$I362/$G362)</f>
        <v/>
      </c>
      <c r="K362" s="33" t="n"/>
      <c r="L362" s="33" t="n"/>
      <c r="M362" s="33" t="n"/>
      <c r="N362" s="33" t="n"/>
      <c r="O362" s="33" t="n"/>
      <c r="P362" s="32">
        <f>IF(OR($L362="",$N362=""),"",$L362-$N362)</f>
        <v/>
      </c>
      <c r="Q362" s="28">
        <f>IF($B362="","",IF(N($H362)&gt;0,"Live","Exited"))</f>
        <v/>
      </c>
      <c r="R362" s="28">
        <f>IF($B362="","",IF($L362="","Data Pending",IF($L362&gt;=Instructions!$D$19,"Best Fund",IF($L362&gt;=Instructions!$D$20,"Need to Improve","Not Performing"))))</f>
        <v/>
      </c>
      <c r="S362" s="7">
        <f>IF($R362="","",IF($R362="Data Pending","Enter the 3Y return",IF($R362="Best Fund","Hold / consider top-up",IF($R362="Need to Improve","Watch 2 quarters, then decide","Review with client - switch or exit"))))</f>
        <v/>
      </c>
      <c r="T362" s="27" t="n"/>
      <c r="U362" s="7">
        <f>IF($R362&lt;&gt;"Best Fund","",COUNTIFS($R$6:$R$505,"Best Fund",$L$6:$L$505,"&gt;"&amp;$L362)+COUNTIFS($R$6:$R362,"Best Fund",$L$6:$L362,$L362))</f>
        <v/>
      </c>
      <c r="V362" s="7">
        <f>IF($R362&lt;&gt;"Need to Improve","",COUNTIFS($R$6:$R$505,"Need to Improve",$L$6:$L$505,"&lt;"&amp;$L362)+COUNTIFS($R$6:$R362,"Need to Improve",$L$6:$L362,$L362))</f>
        <v/>
      </c>
      <c r="W362" s="7">
        <f>IF($R362&lt;&gt;"Not Performing","",COUNTIFS($R$6:$R$505,"Not Performing",$L$6:$L$505,"&lt;"&amp;$L362)+COUNTIFS($R$6:$R362,"Not Performing",$L$6:$L362,$L362))</f>
        <v/>
      </c>
    </row>
    <row r="363" ht="15" customHeight="1">
      <c r="A363" s="27" t="n"/>
      <c r="B363" s="27" t="n"/>
      <c r="C363" s="27" t="n"/>
      <c r="D363" s="28">
        <f>IF($C363="","",IFERROR(TRIM(LEFT($C363,FIND("-",$C363)-1)),""))</f>
        <v/>
      </c>
      <c r="E363" s="27" t="n"/>
      <c r="F363" s="29" t="n"/>
      <c r="G363" s="30" t="n"/>
      <c r="H363" s="30" t="n"/>
      <c r="I363" s="31">
        <f>IF($B363="","",$H363-$G363)</f>
        <v/>
      </c>
      <c r="J363" s="32">
        <f>IF(OR($B363="",$G363=0,$G363=""),"",$I363/$G363)</f>
        <v/>
      </c>
      <c r="K363" s="33" t="n"/>
      <c r="L363" s="33" t="n"/>
      <c r="M363" s="33" t="n"/>
      <c r="N363" s="33" t="n"/>
      <c r="O363" s="33" t="n"/>
      <c r="P363" s="32">
        <f>IF(OR($L363="",$N363=""),"",$L363-$N363)</f>
        <v/>
      </c>
      <c r="Q363" s="28">
        <f>IF($B363="","",IF(N($H363)&gt;0,"Live","Exited"))</f>
        <v/>
      </c>
      <c r="R363" s="28">
        <f>IF($B363="","",IF($L363="","Data Pending",IF($L363&gt;=Instructions!$D$19,"Best Fund",IF($L363&gt;=Instructions!$D$20,"Need to Improve","Not Performing"))))</f>
        <v/>
      </c>
      <c r="S363" s="7">
        <f>IF($R363="","",IF($R363="Data Pending","Enter the 3Y return",IF($R363="Best Fund","Hold / consider top-up",IF($R363="Need to Improve","Watch 2 quarters, then decide","Review with client - switch or exit"))))</f>
        <v/>
      </c>
      <c r="T363" s="27" t="n"/>
      <c r="U363" s="7">
        <f>IF($R363&lt;&gt;"Best Fund","",COUNTIFS($R$6:$R$505,"Best Fund",$L$6:$L$505,"&gt;"&amp;$L363)+COUNTIFS($R$6:$R363,"Best Fund",$L$6:$L363,$L363))</f>
        <v/>
      </c>
      <c r="V363" s="7">
        <f>IF($R363&lt;&gt;"Need to Improve","",COUNTIFS($R$6:$R$505,"Need to Improve",$L$6:$L$505,"&lt;"&amp;$L363)+COUNTIFS($R$6:$R363,"Need to Improve",$L$6:$L363,$L363))</f>
        <v/>
      </c>
      <c r="W363" s="7">
        <f>IF($R363&lt;&gt;"Not Performing","",COUNTIFS($R$6:$R$505,"Not Performing",$L$6:$L$505,"&lt;"&amp;$L363)+COUNTIFS($R$6:$R363,"Not Performing",$L$6:$L363,$L363))</f>
        <v/>
      </c>
    </row>
    <row r="364" ht="15" customHeight="1">
      <c r="A364" s="27" t="n"/>
      <c r="B364" s="27" t="n"/>
      <c r="C364" s="27" t="n"/>
      <c r="D364" s="28">
        <f>IF($C364="","",IFERROR(TRIM(LEFT($C364,FIND("-",$C364)-1)),""))</f>
        <v/>
      </c>
      <c r="E364" s="27" t="n"/>
      <c r="F364" s="29" t="n"/>
      <c r="G364" s="30" t="n"/>
      <c r="H364" s="30" t="n"/>
      <c r="I364" s="31">
        <f>IF($B364="","",$H364-$G364)</f>
        <v/>
      </c>
      <c r="J364" s="32">
        <f>IF(OR($B364="",$G364=0,$G364=""),"",$I364/$G364)</f>
        <v/>
      </c>
      <c r="K364" s="33" t="n"/>
      <c r="L364" s="33" t="n"/>
      <c r="M364" s="33" t="n"/>
      <c r="N364" s="33" t="n"/>
      <c r="O364" s="33" t="n"/>
      <c r="P364" s="32">
        <f>IF(OR($L364="",$N364=""),"",$L364-$N364)</f>
        <v/>
      </c>
      <c r="Q364" s="28">
        <f>IF($B364="","",IF(N($H364)&gt;0,"Live","Exited"))</f>
        <v/>
      </c>
      <c r="R364" s="28">
        <f>IF($B364="","",IF($L364="","Data Pending",IF($L364&gt;=Instructions!$D$19,"Best Fund",IF($L364&gt;=Instructions!$D$20,"Need to Improve","Not Performing"))))</f>
        <v/>
      </c>
      <c r="S364" s="7">
        <f>IF($R364="","",IF($R364="Data Pending","Enter the 3Y return",IF($R364="Best Fund","Hold / consider top-up",IF($R364="Need to Improve","Watch 2 quarters, then decide","Review with client - switch or exit"))))</f>
        <v/>
      </c>
      <c r="T364" s="27" t="n"/>
      <c r="U364" s="7">
        <f>IF($R364&lt;&gt;"Best Fund","",COUNTIFS($R$6:$R$505,"Best Fund",$L$6:$L$505,"&gt;"&amp;$L364)+COUNTIFS($R$6:$R364,"Best Fund",$L$6:$L364,$L364))</f>
        <v/>
      </c>
      <c r="V364" s="7">
        <f>IF($R364&lt;&gt;"Need to Improve","",COUNTIFS($R$6:$R$505,"Need to Improve",$L$6:$L$505,"&lt;"&amp;$L364)+COUNTIFS($R$6:$R364,"Need to Improve",$L$6:$L364,$L364))</f>
        <v/>
      </c>
      <c r="W364" s="7">
        <f>IF($R364&lt;&gt;"Not Performing","",COUNTIFS($R$6:$R$505,"Not Performing",$L$6:$L$505,"&lt;"&amp;$L364)+COUNTIFS($R$6:$R364,"Not Performing",$L$6:$L364,$L364))</f>
        <v/>
      </c>
    </row>
    <row r="365" ht="15" customHeight="1">
      <c r="A365" s="27" t="n"/>
      <c r="B365" s="27" t="n"/>
      <c r="C365" s="27" t="n"/>
      <c r="D365" s="28">
        <f>IF($C365="","",IFERROR(TRIM(LEFT($C365,FIND("-",$C365)-1)),""))</f>
        <v/>
      </c>
      <c r="E365" s="27" t="n"/>
      <c r="F365" s="29" t="n"/>
      <c r="G365" s="30" t="n"/>
      <c r="H365" s="30" t="n"/>
      <c r="I365" s="31">
        <f>IF($B365="","",$H365-$G365)</f>
        <v/>
      </c>
      <c r="J365" s="32">
        <f>IF(OR($B365="",$G365=0,$G365=""),"",$I365/$G365)</f>
        <v/>
      </c>
      <c r="K365" s="33" t="n"/>
      <c r="L365" s="33" t="n"/>
      <c r="M365" s="33" t="n"/>
      <c r="N365" s="33" t="n"/>
      <c r="O365" s="33" t="n"/>
      <c r="P365" s="32">
        <f>IF(OR($L365="",$N365=""),"",$L365-$N365)</f>
        <v/>
      </c>
      <c r="Q365" s="28">
        <f>IF($B365="","",IF(N($H365)&gt;0,"Live","Exited"))</f>
        <v/>
      </c>
      <c r="R365" s="28">
        <f>IF($B365="","",IF($L365="","Data Pending",IF($L365&gt;=Instructions!$D$19,"Best Fund",IF($L365&gt;=Instructions!$D$20,"Need to Improve","Not Performing"))))</f>
        <v/>
      </c>
      <c r="S365" s="7">
        <f>IF($R365="","",IF($R365="Data Pending","Enter the 3Y return",IF($R365="Best Fund","Hold / consider top-up",IF($R365="Need to Improve","Watch 2 quarters, then decide","Review with client - switch or exit"))))</f>
        <v/>
      </c>
      <c r="T365" s="27" t="n"/>
      <c r="U365" s="7">
        <f>IF($R365&lt;&gt;"Best Fund","",COUNTIFS($R$6:$R$505,"Best Fund",$L$6:$L$505,"&gt;"&amp;$L365)+COUNTIFS($R$6:$R365,"Best Fund",$L$6:$L365,$L365))</f>
        <v/>
      </c>
      <c r="V365" s="7">
        <f>IF($R365&lt;&gt;"Need to Improve","",COUNTIFS($R$6:$R$505,"Need to Improve",$L$6:$L$505,"&lt;"&amp;$L365)+COUNTIFS($R$6:$R365,"Need to Improve",$L$6:$L365,$L365))</f>
        <v/>
      </c>
      <c r="W365" s="7">
        <f>IF($R365&lt;&gt;"Not Performing","",COUNTIFS($R$6:$R$505,"Not Performing",$L$6:$L$505,"&lt;"&amp;$L365)+COUNTIFS($R$6:$R365,"Not Performing",$L$6:$L365,$L365))</f>
        <v/>
      </c>
    </row>
    <row r="366" ht="15" customHeight="1">
      <c r="A366" s="27" t="n"/>
      <c r="B366" s="27" t="n"/>
      <c r="C366" s="27" t="n"/>
      <c r="D366" s="28">
        <f>IF($C366="","",IFERROR(TRIM(LEFT($C366,FIND("-",$C366)-1)),""))</f>
        <v/>
      </c>
      <c r="E366" s="27" t="n"/>
      <c r="F366" s="29" t="n"/>
      <c r="G366" s="30" t="n"/>
      <c r="H366" s="30" t="n"/>
      <c r="I366" s="31">
        <f>IF($B366="","",$H366-$G366)</f>
        <v/>
      </c>
      <c r="J366" s="32">
        <f>IF(OR($B366="",$G366=0,$G366=""),"",$I366/$G366)</f>
        <v/>
      </c>
      <c r="K366" s="33" t="n"/>
      <c r="L366" s="33" t="n"/>
      <c r="M366" s="33" t="n"/>
      <c r="N366" s="33" t="n"/>
      <c r="O366" s="33" t="n"/>
      <c r="P366" s="32">
        <f>IF(OR($L366="",$N366=""),"",$L366-$N366)</f>
        <v/>
      </c>
      <c r="Q366" s="28">
        <f>IF($B366="","",IF(N($H366)&gt;0,"Live","Exited"))</f>
        <v/>
      </c>
      <c r="R366" s="28">
        <f>IF($B366="","",IF($L366="","Data Pending",IF($L366&gt;=Instructions!$D$19,"Best Fund",IF($L366&gt;=Instructions!$D$20,"Need to Improve","Not Performing"))))</f>
        <v/>
      </c>
      <c r="S366" s="7">
        <f>IF($R366="","",IF($R366="Data Pending","Enter the 3Y return",IF($R366="Best Fund","Hold / consider top-up",IF($R366="Need to Improve","Watch 2 quarters, then decide","Review with client - switch or exit"))))</f>
        <v/>
      </c>
      <c r="T366" s="27" t="n"/>
      <c r="U366" s="7">
        <f>IF($R366&lt;&gt;"Best Fund","",COUNTIFS($R$6:$R$505,"Best Fund",$L$6:$L$505,"&gt;"&amp;$L366)+COUNTIFS($R$6:$R366,"Best Fund",$L$6:$L366,$L366))</f>
        <v/>
      </c>
      <c r="V366" s="7">
        <f>IF($R366&lt;&gt;"Need to Improve","",COUNTIFS($R$6:$R$505,"Need to Improve",$L$6:$L$505,"&lt;"&amp;$L366)+COUNTIFS($R$6:$R366,"Need to Improve",$L$6:$L366,$L366))</f>
        <v/>
      </c>
      <c r="W366" s="7">
        <f>IF($R366&lt;&gt;"Not Performing","",COUNTIFS($R$6:$R$505,"Not Performing",$L$6:$L$505,"&lt;"&amp;$L366)+COUNTIFS($R$6:$R366,"Not Performing",$L$6:$L366,$L366))</f>
        <v/>
      </c>
    </row>
    <row r="367" ht="15" customHeight="1">
      <c r="A367" s="27" t="n"/>
      <c r="B367" s="27" t="n"/>
      <c r="C367" s="27" t="n"/>
      <c r="D367" s="28">
        <f>IF($C367="","",IFERROR(TRIM(LEFT($C367,FIND("-",$C367)-1)),""))</f>
        <v/>
      </c>
      <c r="E367" s="27" t="n"/>
      <c r="F367" s="29" t="n"/>
      <c r="G367" s="30" t="n"/>
      <c r="H367" s="30" t="n"/>
      <c r="I367" s="31">
        <f>IF($B367="","",$H367-$G367)</f>
        <v/>
      </c>
      <c r="J367" s="32">
        <f>IF(OR($B367="",$G367=0,$G367=""),"",$I367/$G367)</f>
        <v/>
      </c>
      <c r="K367" s="33" t="n"/>
      <c r="L367" s="33" t="n"/>
      <c r="M367" s="33" t="n"/>
      <c r="N367" s="33" t="n"/>
      <c r="O367" s="33" t="n"/>
      <c r="P367" s="32">
        <f>IF(OR($L367="",$N367=""),"",$L367-$N367)</f>
        <v/>
      </c>
      <c r="Q367" s="28">
        <f>IF($B367="","",IF(N($H367)&gt;0,"Live","Exited"))</f>
        <v/>
      </c>
      <c r="R367" s="28">
        <f>IF($B367="","",IF($L367="","Data Pending",IF($L367&gt;=Instructions!$D$19,"Best Fund",IF($L367&gt;=Instructions!$D$20,"Need to Improve","Not Performing"))))</f>
        <v/>
      </c>
      <c r="S367" s="7">
        <f>IF($R367="","",IF($R367="Data Pending","Enter the 3Y return",IF($R367="Best Fund","Hold / consider top-up",IF($R367="Need to Improve","Watch 2 quarters, then decide","Review with client - switch or exit"))))</f>
        <v/>
      </c>
      <c r="T367" s="27" t="n"/>
      <c r="U367" s="7">
        <f>IF($R367&lt;&gt;"Best Fund","",COUNTIFS($R$6:$R$505,"Best Fund",$L$6:$L$505,"&gt;"&amp;$L367)+COUNTIFS($R$6:$R367,"Best Fund",$L$6:$L367,$L367))</f>
        <v/>
      </c>
      <c r="V367" s="7">
        <f>IF($R367&lt;&gt;"Need to Improve","",COUNTIFS($R$6:$R$505,"Need to Improve",$L$6:$L$505,"&lt;"&amp;$L367)+COUNTIFS($R$6:$R367,"Need to Improve",$L$6:$L367,$L367))</f>
        <v/>
      </c>
      <c r="W367" s="7">
        <f>IF($R367&lt;&gt;"Not Performing","",COUNTIFS($R$6:$R$505,"Not Performing",$L$6:$L$505,"&lt;"&amp;$L367)+COUNTIFS($R$6:$R367,"Not Performing",$L$6:$L367,$L367))</f>
        <v/>
      </c>
    </row>
    <row r="368" ht="15" customHeight="1">
      <c r="A368" s="27" t="n"/>
      <c r="B368" s="27" t="n"/>
      <c r="C368" s="27" t="n"/>
      <c r="D368" s="28">
        <f>IF($C368="","",IFERROR(TRIM(LEFT($C368,FIND("-",$C368)-1)),""))</f>
        <v/>
      </c>
      <c r="E368" s="27" t="n"/>
      <c r="F368" s="29" t="n"/>
      <c r="G368" s="30" t="n"/>
      <c r="H368" s="30" t="n"/>
      <c r="I368" s="31">
        <f>IF($B368="","",$H368-$G368)</f>
        <v/>
      </c>
      <c r="J368" s="32">
        <f>IF(OR($B368="",$G368=0,$G368=""),"",$I368/$G368)</f>
        <v/>
      </c>
      <c r="K368" s="33" t="n"/>
      <c r="L368" s="33" t="n"/>
      <c r="M368" s="33" t="n"/>
      <c r="N368" s="33" t="n"/>
      <c r="O368" s="33" t="n"/>
      <c r="P368" s="32">
        <f>IF(OR($L368="",$N368=""),"",$L368-$N368)</f>
        <v/>
      </c>
      <c r="Q368" s="28">
        <f>IF($B368="","",IF(N($H368)&gt;0,"Live","Exited"))</f>
        <v/>
      </c>
      <c r="R368" s="28">
        <f>IF($B368="","",IF($L368="","Data Pending",IF($L368&gt;=Instructions!$D$19,"Best Fund",IF($L368&gt;=Instructions!$D$20,"Need to Improve","Not Performing"))))</f>
        <v/>
      </c>
      <c r="S368" s="7">
        <f>IF($R368="","",IF($R368="Data Pending","Enter the 3Y return",IF($R368="Best Fund","Hold / consider top-up",IF($R368="Need to Improve","Watch 2 quarters, then decide","Review with client - switch or exit"))))</f>
        <v/>
      </c>
      <c r="T368" s="27" t="n"/>
      <c r="U368" s="7">
        <f>IF($R368&lt;&gt;"Best Fund","",COUNTIFS($R$6:$R$505,"Best Fund",$L$6:$L$505,"&gt;"&amp;$L368)+COUNTIFS($R$6:$R368,"Best Fund",$L$6:$L368,$L368))</f>
        <v/>
      </c>
      <c r="V368" s="7">
        <f>IF($R368&lt;&gt;"Need to Improve","",COUNTIFS($R$6:$R$505,"Need to Improve",$L$6:$L$505,"&lt;"&amp;$L368)+COUNTIFS($R$6:$R368,"Need to Improve",$L$6:$L368,$L368))</f>
        <v/>
      </c>
      <c r="W368" s="7">
        <f>IF($R368&lt;&gt;"Not Performing","",COUNTIFS($R$6:$R$505,"Not Performing",$L$6:$L$505,"&lt;"&amp;$L368)+COUNTIFS($R$6:$R368,"Not Performing",$L$6:$L368,$L368))</f>
        <v/>
      </c>
    </row>
    <row r="369" ht="15" customHeight="1">
      <c r="A369" s="27" t="n"/>
      <c r="B369" s="27" t="n"/>
      <c r="C369" s="27" t="n"/>
      <c r="D369" s="28">
        <f>IF($C369="","",IFERROR(TRIM(LEFT($C369,FIND("-",$C369)-1)),""))</f>
        <v/>
      </c>
      <c r="E369" s="27" t="n"/>
      <c r="F369" s="29" t="n"/>
      <c r="G369" s="30" t="n"/>
      <c r="H369" s="30" t="n"/>
      <c r="I369" s="31">
        <f>IF($B369="","",$H369-$G369)</f>
        <v/>
      </c>
      <c r="J369" s="32">
        <f>IF(OR($B369="",$G369=0,$G369=""),"",$I369/$G369)</f>
        <v/>
      </c>
      <c r="K369" s="33" t="n"/>
      <c r="L369" s="33" t="n"/>
      <c r="M369" s="33" t="n"/>
      <c r="N369" s="33" t="n"/>
      <c r="O369" s="33" t="n"/>
      <c r="P369" s="32">
        <f>IF(OR($L369="",$N369=""),"",$L369-$N369)</f>
        <v/>
      </c>
      <c r="Q369" s="28">
        <f>IF($B369="","",IF(N($H369)&gt;0,"Live","Exited"))</f>
        <v/>
      </c>
      <c r="R369" s="28">
        <f>IF($B369="","",IF($L369="","Data Pending",IF($L369&gt;=Instructions!$D$19,"Best Fund",IF($L369&gt;=Instructions!$D$20,"Need to Improve","Not Performing"))))</f>
        <v/>
      </c>
      <c r="S369" s="7">
        <f>IF($R369="","",IF($R369="Data Pending","Enter the 3Y return",IF($R369="Best Fund","Hold / consider top-up",IF($R369="Need to Improve","Watch 2 quarters, then decide","Review with client - switch or exit"))))</f>
        <v/>
      </c>
      <c r="T369" s="27" t="n"/>
      <c r="U369" s="7">
        <f>IF($R369&lt;&gt;"Best Fund","",COUNTIFS($R$6:$R$505,"Best Fund",$L$6:$L$505,"&gt;"&amp;$L369)+COUNTIFS($R$6:$R369,"Best Fund",$L$6:$L369,$L369))</f>
        <v/>
      </c>
      <c r="V369" s="7">
        <f>IF($R369&lt;&gt;"Need to Improve","",COUNTIFS($R$6:$R$505,"Need to Improve",$L$6:$L$505,"&lt;"&amp;$L369)+COUNTIFS($R$6:$R369,"Need to Improve",$L$6:$L369,$L369))</f>
        <v/>
      </c>
      <c r="W369" s="7">
        <f>IF($R369&lt;&gt;"Not Performing","",COUNTIFS($R$6:$R$505,"Not Performing",$L$6:$L$505,"&lt;"&amp;$L369)+COUNTIFS($R$6:$R369,"Not Performing",$L$6:$L369,$L369))</f>
        <v/>
      </c>
    </row>
    <row r="370" ht="15" customHeight="1">
      <c r="A370" s="27" t="n"/>
      <c r="B370" s="27" t="n"/>
      <c r="C370" s="27" t="n"/>
      <c r="D370" s="28">
        <f>IF($C370="","",IFERROR(TRIM(LEFT($C370,FIND("-",$C370)-1)),""))</f>
        <v/>
      </c>
      <c r="E370" s="27" t="n"/>
      <c r="F370" s="29" t="n"/>
      <c r="G370" s="30" t="n"/>
      <c r="H370" s="30" t="n"/>
      <c r="I370" s="31">
        <f>IF($B370="","",$H370-$G370)</f>
        <v/>
      </c>
      <c r="J370" s="32">
        <f>IF(OR($B370="",$G370=0,$G370=""),"",$I370/$G370)</f>
        <v/>
      </c>
      <c r="K370" s="33" t="n"/>
      <c r="L370" s="33" t="n"/>
      <c r="M370" s="33" t="n"/>
      <c r="N370" s="33" t="n"/>
      <c r="O370" s="33" t="n"/>
      <c r="P370" s="32">
        <f>IF(OR($L370="",$N370=""),"",$L370-$N370)</f>
        <v/>
      </c>
      <c r="Q370" s="28">
        <f>IF($B370="","",IF(N($H370)&gt;0,"Live","Exited"))</f>
        <v/>
      </c>
      <c r="R370" s="28">
        <f>IF($B370="","",IF($L370="","Data Pending",IF($L370&gt;=Instructions!$D$19,"Best Fund",IF($L370&gt;=Instructions!$D$20,"Need to Improve","Not Performing"))))</f>
        <v/>
      </c>
      <c r="S370" s="7">
        <f>IF($R370="","",IF($R370="Data Pending","Enter the 3Y return",IF($R370="Best Fund","Hold / consider top-up",IF($R370="Need to Improve","Watch 2 quarters, then decide","Review with client - switch or exit"))))</f>
        <v/>
      </c>
      <c r="T370" s="27" t="n"/>
      <c r="U370" s="7">
        <f>IF($R370&lt;&gt;"Best Fund","",COUNTIFS($R$6:$R$505,"Best Fund",$L$6:$L$505,"&gt;"&amp;$L370)+COUNTIFS($R$6:$R370,"Best Fund",$L$6:$L370,$L370))</f>
        <v/>
      </c>
      <c r="V370" s="7">
        <f>IF($R370&lt;&gt;"Need to Improve","",COUNTIFS($R$6:$R$505,"Need to Improve",$L$6:$L$505,"&lt;"&amp;$L370)+COUNTIFS($R$6:$R370,"Need to Improve",$L$6:$L370,$L370))</f>
        <v/>
      </c>
      <c r="W370" s="7">
        <f>IF($R370&lt;&gt;"Not Performing","",COUNTIFS($R$6:$R$505,"Not Performing",$L$6:$L$505,"&lt;"&amp;$L370)+COUNTIFS($R$6:$R370,"Not Performing",$L$6:$L370,$L370))</f>
        <v/>
      </c>
    </row>
    <row r="371" ht="15" customHeight="1">
      <c r="A371" s="27" t="n"/>
      <c r="B371" s="27" t="n"/>
      <c r="C371" s="27" t="n"/>
      <c r="D371" s="28">
        <f>IF($C371="","",IFERROR(TRIM(LEFT($C371,FIND("-",$C371)-1)),""))</f>
        <v/>
      </c>
      <c r="E371" s="27" t="n"/>
      <c r="F371" s="29" t="n"/>
      <c r="G371" s="30" t="n"/>
      <c r="H371" s="30" t="n"/>
      <c r="I371" s="31">
        <f>IF($B371="","",$H371-$G371)</f>
        <v/>
      </c>
      <c r="J371" s="32">
        <f>IF(OR($B371="",$G371=0,$G371=""),"",$I371/$G371)</f>
        <v/>
      </c>
      <c r="K371" s="33" t="n"/>
      <c r="L371" s="33" t="n"/>
      <c r="M371" s="33" t="n"/>
      <c r="N371" s="33" t="n"/>
      <c r="O371" s="33" t="n"/>
      <c r="P371" s="32">
        <f>IF(OR($L371="",$N371=""),"",$L371-$N371)</f>
        <v/>
      </c>
      <c r="Q371" s="28">
        <f>IF($B371="","",IF(N($H371)&gt;0,"Live","Exited"))</f>
        <v/>
      </c>
      <c r="R371" s="28">
        <f>IF($B371="","",IF($L371="","Data Pending",IF($L371&gt;=Instructions!$D$19,"Best Fund",IF($L371&gt;=Instructions!$D$20,"Need to Improve","Not Performing"))))</f>
        <v/>
      </c>
      <c r="S371" s="7">
        <f>IF($R371="","",IF($R371="Data Pending","Enter the 3Y return",IF($R371="Best Fund","Hold / consider top-up",IF($R371="Need to Improve","Watch 2 quarters, then decide","Review with client - switch or exit"))))</f>
        <v/>
      </c>
      <c r="T371" s="27" t="n"/>
      <c r="U371" s="7">
        <f>IF($R371&lt;&gt;"Best Fund","",COUNTIFS($R$6:$R$505,"Best Fund",$L$6:$L$505,"&gt;"&amp;$L371)+COUNTIFS($R$6:$R371,"Best Fund",$L$6:$L371,$L371))</f>
        <v/>
      </c>
      <c r="V371" s="7">
        <f>IF($R371&lt;&gt;"Need to Improve","",COUNTIFS($R$6:$R$505,"Need to Improve",$L$6:$L$505,"&lt;"&amp;$L371)+COUNTIFS($R$6:$R371,"Need to Improve",$L$6:$L371,$L371))</f>
        <v/>
      </c>
      <c r="W371" s="7">
        <f>IF($R371&lt;&gt;"Not Performing","",COUNTIFS($R$6:$R$505,"Not Performing",$L$6:$L$505,"&lt;"&amp;$L371)+COUNTIFS($R$6:$R371,"Not Performing",$L$6:$L371,$L371))</f>
        <v/>
      </c>
    </row>
    <row r="372" ht="15" customHeight="1">
      <c r="A372" s="27" t="n"/>
      <c r="B372" s="27" t="n"/>
      <c r="C372" s="27" t="n"/>
      <c r="D372" s="28">
        <f>IF($C372="","",IFERROR(TRIM(LEFT($C372,FIND("-",$C372)-1)),""))</f>
        <v/>
      </c>
      <c r="E372" s="27" t="n"/>
      <c r="F372" s="29" t="n"/>
      <c r="G372" s="30" t="n"/>
      <c r="H372" s="30" t="n"/>
      <c r="I372" s="31">
        <f>IF($B372="","",$H372-$G372)</f>
        <v/>
      </c>
      <c r="J372" s="32">
        <f>IF(OR($B372="",$G372=0,$G372=""),"",$I372/$G372)</f>
        <v/>
      </c>
      <c r="K372" s="33" t="n"/>
      <c r="L372" s="33" t="n"/>
      <c r="M372" s="33" t="n"/>
      <c r="N372" s="33" t="n"/>
      <c r="O372" s="33" t="n"/>
      <c r="P372" s="32">
        <f>IF(OR($L372="",$N372=""),"",$L372-$N372)</f>
        <v/>
      </c>
      <c r="Q372" s="28">
        <f>IF($B372="","",IF(N($H372)&gt;0,"Live","Exited"))</f>
        <v/>
      </c>
      <c r="R372" s="28">
        <f>IF($B372="","",IF($L372="","Data Pending",IF($L372&gt;=Instructions!$D$19,"Best Fund",IF($L372&gt;=Instructions!$D$20,"Need to Improve","Not Performing"))))</f>
        <v/>
      </c>
      <c r="S372" s="7">
        <f>IF($R372="","",IF($R372="Data Pending","Enter the 3Y return",IF($R372="Best Fund","Hold / consider top-up",IF($R372="Need to Improve","Watch 2 quarters, then decide","Review with client - switch or exit"))))</f>
        <v/>
      </c>
      <c r="T372" s="27" t="n"/>
      <c r="U372" s="7">
        <f>IF($R372&lt;&gt;"Best Fund","",COUNTIFS($R$6:$R$505,"Best Fund",$L$6:$L$505,"&gt;"&amp;$L372)+COUNTIFS($R$6:$R372,"Best Fund",$L$6:$L372,$L372))</f>
        <v/>
      </c>
      <c r="V372" s="7">
        <f>IF($R372&lt;&gt;"Need to Improve","",COUNTIFS($R$6:$R$505,"Need to Improve",$L$6:$L$505,"&lt;"&amp;$L372)+COUNTIFS($R$6:$R372,"Need to Improve",$L$6:$L372,$L372))</f>
        <v/>
      </c>
      <c r="W372" s="7">
        <f>IF($R372&lt;&gt;"Not Performing","",COUNTIFS($R$6:$R$505,"Not Performing",$L$6:$L$505,"&lt;"&amp;$L372)+COUNTIFS($R$6:$R372,"Not Performing",$L$6:$L372,$L372))</f>
        <v/>
      </c>
    </row>
    <row r="373" ht="15" customHeight="1">
      <c r="A373" s="27" t="n"/>
      <c r="B373" s="27" t="n"/>
      <c r="C373" s="27" t="n"/>
      <c r="D373" s="28">
        <f>IF($C373="","",IFERROR(TRIM(LEFT($C373,FIND("-",$C373)-1)),""))</f>
        <v/>
      </c>
      <c r="E373" s="27" t="n"/>
      <c r="F373" s="29" t="n"/>
      <c r="G373" s="30" t="n"/>
      <c r="H373" s="30" t="n"/>
      <c r="I373" s="31">
        <f>IF($B373="","",$H373-$G373)</f>
        <v/>
      </c>
      <c r="J373" s="32">
        <f>IF(OR($B373="",$G373=0,$G373=""),"",$I373/$G373)</f>
        <v/>
      </c>
      <c r="K373" s="33" t="n"/>
      <c r="L373" s="33" t="n"/>
      <c r="M373" s="33" t="n"/>
      <c r="N373" s="33" t="n"/>
      <c r="O373" s="33" t="n"/>
      <c r="P373" s="32">
        <f>IF(OR($L373="",$N373=""),"",$L373-$N373)</f>
        <v/>
      </c>
      <c r="Q373" s="28">
        <f>IF($B373="","",IF(N($H373)&gt;0,"Live","Exited"))</f>
        <v/>
      </c>
      <c r="R373" s="28">
        <f>IF($B373="","",IF($L373="","Data Pending",IF($L373&gt;=Instructions!$D$19,"Best Fund",IF($L373&gt;=Instructions!$D$20,"Need to Improve","Not Performing"))))</f>
        <v/>
      </c>
      <c r="S373" s="7">
        <f>IF($R373="","",IF($R373="Data Pending","Enter the 3Y return",IF($R373="Best Fund","Hold / consider top-up",IF($R373="Need to Improve","Watch 2 quarters, then decide","Review with client - switch or exit"))))</f>
        <v/>
      </c>
      <c r="T373" s="27" t="n"/>
      <c r="U373" s="7">
        <f>IF($R373&lt;&gt;"Best Fund","",COUNTIFS($R$6:$R$505,"Best Fund",$L$6:$L$505,"&gt;"&amp;$L373)+COUNTIFS($R$6:$R373,"Best Fund",$L$6:$L373,$L373))</f>
        <v/>
      </c>
      <c r="V373" s="7">
        <f>IF($R373&lt;&gt;"Need to Improve","",COUNTIFS($R$6:$R$505,"Need to Improve",$L$6:$L$505,"&lt;"&amp;$L373)+COUNTIFS($R$6:$R373,"Need to Improve",$L$6:$L373,$L373))</f>
        <v/>
      </c>
      <c r="W373" s="7">
        <f>IF($R373&lt;&gt;"Not Performing","",COUNTIFS($R$6:$R$505,"Not Performing",$L$6:$L$505,"&lt;"&amp;$L373)+COUNTIFS($R$6:$R373,"Not Performing",$L$6:$L373,$L373))</f>
        <v/>
      </c>
    </row>
    <row r="374" ht="15" customHeight="1">
      <c r="A374" s="27" t="n"/>
      <c r="B374" s="27" t="n"/>
      <c r="C374" s="27" t="n"/>
      <c r="D374" s="28">
        <f>IF($C374="","",IFERROR(TRIM(LEFT($C374,FIND("-",$C374)-1)),""))</f>
        <v/>
      </c>
      <c r="E374" s="27" t="n"/>
      <c r="F374" s="29" t="n"/>
      <c r="G374" s="30" t="n"/>
      <c r="H374" s="30" t="n"/>
      <c r="I374" s="31">
        <f>IF($B374="","",$H374-$G374)</f>
        <v/>
      </c>
      <c r="J374" s="32">
        <f>IF(OR($B374="",$G374=0,$G374=""),"",$I374/$G374)</f>
        <v/>
      </c>
      <c r="K374" s="33" t="n"/>
      <c r="L374" s="33" t="n"/>
      <c r="M374" s="33" t="n"/>
      <c r="N374" s="33" t="n"/>
      <c r="O374" s="33" t="n"/>
      <c r="P374" s="32">
        <f>IF(OR($L374="",$N374=""),"",$L374-$N374)</f>
        <v/>
      </c>
      <c r="Q374" s="28">
        <f>IF($B374="","",IF(N($H374)&gt;0,"Live","Exited"))</f>
        <v/>
      </c>
      <c r="R374" s="28">
        <f>IF($B374="","",IF($L374="","Data Pending",IF($L374&gt;=Instructions!$D$19,"Best Fund",IF($L374&gt;=Instructions!$D$20,"Need to Improve","Not Performing"))))</f>
        <v/>
      </c>
      <c r="S374" s="7">
        <f>IF($R374="","",IF($R374="Data Pending","Enter the 3Y return",IF($R374="Best Fund","Hold / consider top-up",IF($R374="Need to Improve","Watch 2 quarters, then decide","Review with client - switch or exit"))))</f>
        <v/>
      </c>
      <c r="T374" s="27" t="n"/>
      <c r="U374" s="7">
        <f>IF($R374&lt;&gt;"Best Fund","",COUNTIFS($R$6:$R$505,"Best Fund",$L$6:$L$505,"&gt;"&amp;$L374)+COUNTIFS($R$6:$R374,"Best Fund",$L$6:$L374,$L374))</f>
        <v/>
      </c>
      <c r="V374" s="7">
        <f>IF($R374&lt;&gt;"Need to Improve","",COUNTIFS($R$6:$R$505,"Need to Improve",$L$6:$L$505,"&lt;"&amp;$L374)+COUNTIFS($R$6:$R374,"Need to Improve",$L$6:$L374,$L374))</f>
        <v/>
      </c>
      <c r="W374" s="7">
        <f>IF($R374&lt;&gt;"Not Performing","",COUNTIFS($R$6:$R$505,"Not Performing",$L$6:$L$505,"&lt;"&amp;$L374)+COUNTIFS($R$6:$R374,"Not Performing",$L$6:$L374,$L374))</f>
        <v/>
      </c>
    </row>
    <row r="375" ht="15" customHeight="1">
      <c r="A375" s="27" t="n"/>
      <c r="B375" s="27" t="n"/>
      <c r="C375" s="27" t="n"/>
      <c r="D375" s="28">
        <f>IF($C375="","",IFERROR(TRIM(LEFT($C375,FIND("-",$C375)-1)),""))</f>
        <v/>
      </c>
      <c r="E375" s="27" t="n"/>
      <c r="F375" s="29" t="n"/>
      <c r="G375" s="30" t="n"/>
      <c r="H375" s="30" t="n"/>
      <c r="I375" s="31">
        <f>IF($B375="","",$H375-$G375)</f>
        <v/>
      </c>
      <c r="J375" s="32">
        <f>IF(OR($B375="",$G375=0,$G375=""),"",$I375/$G375)</f>
        <v/>
      </c>
      <c r="K375" s="33" t="n"/>
      <c r="L375" s="33" t="n"/>
      <c r="M375" s="33" t="n"/>
      <c r="N375" s="33" t="n"/>
      <c r="O375" s="33" t="n"/>
      <c r="P375" s="32">
        <f>IF(OR($L375="",$N375=""),"",$L375-$N375)</f>
        <v/>
      </c>
      <c r="Q375" s="28">
        <f>IF($B375="","",IF(N($H375)&gt;0,"Live","Exited"))</f>
        <v/>
      </c>
      <c r="R375" s="28">
        <f>IF($B375="","",IF($L375="","Data Pending",IF($L375&gt;=Instructions!$D$19,"Best Fund",IF($L375&gt;=Instructions!$D$20,"Need to Improve","Not Performing"))))</f>
        <v/>
      </c>
      <c r="S375" s="7">
        <f>IF($R375="","",IF($R375="Data Pending","Enter the 3Y return",IF($R375="Best Fund","Hold / consider top-up",IF($R375="Need to Improve","Watch 2 quarters, then decide","Review with client - switch or exit"))))</f>
        <v/>
      </c>
      <c r="T375" s="27" t="n"/>
      <c r="U375" s="7">
        <f>IF($R375&lt;&gt;"Best Fund","",COUNTIFS($R$6:$R$505,"Best Fund",$L$6:$L$505,"&gt;"&amp;$L375)+COUNTIFS($R$6:$R375,"Best Fund",$L$6:$L375,$L375))</f>
        <v/>
      </c>
      <c r="V375" s="7">
        <f>IF($R375&lt;&gt;"Need to Improve","",COUNTIFS($R$6:$R$505,"Need to Improve",$L$6:$L$505,"&lt;"&amp;$L375)+COUNTIFS($R$6:$R375,"Need to Improve",$L$6:$L375,$L375))</f>
        <v/>
      </c>
      <c r="W375" s="7">
        <f>IF($R375&lt;&gt;"Not Performing","",COUNTIFS($R$6:$R$505,"Not Performing",$L$6:$L$505,"&lt;"&amp;$L375)+COUNTIFS($R$6:$R375,"Not Performing",$L$6:$L375,$L375))</f>
        <v/>
      </c>
    </row>
    <row r="376" ht="15" customHeight="1">
      <c r="A376" s="27" t="n"/>
      <c r="B376" s="27" t="n"/>
      <c r="C376" s="27" t="n"/>
      <c r="D376" s="28">
        <f>IF($C376="","",IFERROR(TRIM(LEFT($C376,FIND("-",$C376)-1)),""))</f>
        <v/>
      </c>
      <c r="E376" s="27" t="n"/>
      <c r="F376" s="29" t="n"/>
      <c r="G376" s="30" t="n"/>
      <c r="H376" s="30" t="n"/>
      <c r="I376" s="31">
        <f>IF($B376="","",$H376-$G376)</f>
        <v/>
      </c>
      <c r="J376" s="32">
        <f>IF(OR($B376="",$G376=0,$G376=""),"",$I376/$G376)</f>
        <v/>
      </c>
      <c r="K376" s="33" t="n"/>
      <c r="L376" s="33" t="n"/>
      <c r="M376" s="33" t="n"/>
      <c r="N376" s="33" t="n"/>
      <c r="O376" s="33" t="n"/>
      <c r="P376" s="32">
        <f>IF(OR($L376="",$N376=""),"",$L376-$N376)</f>
        <v/>
      </c>
      <c r="Q376" s="28">
        <f>IF($B376="","",IF(N($H376)&gt;0,"Live","Exited"))</f>
        <v/>
      </c>
      <c r="R376" s="28">
        <f>IF($B376="","",IF($L376="","Data Pending",IF($L376&gt;=Instructions!$D$19,"Best Fund",IF($L376&gt;=Instructions!$D$20,"Need to Improve","Not Performing"))))</f>
        <v/>
      </c>
      <c r="S376" s="7">
        <f>IF($R376="","",IF($R376="Data Pending","Enter the 3Y return",IF($R376="Best Fund","Hold / consider top-up",IF($R376="Need to Improve","Watch 2 quarters, then decide","Review with client - switch or exit"))))</f>
        <v/>
      </c>
      <c r="T376" s="27" t="n"/>
      <c r="U376" s="7">
        <f>IF($R376&lt;&gt;"Best Fund","",COUNTIFS($R$6:$R$505,"Best Fund",$L$6:$L$505,"&gt;"&amp;$L376)+COUNTIFS($R$6:$R376,"Best Fund",$L$6:$L376,$L376))</f>
        <v/>
      </c>
      <c r="V376" s="7">
        <f>IF($R376&lt;&gt;"Need to Improve","",COUNTIFS($R$6:$R$505,"Need to Improve",$L$6:$L$505,"&lt;"&amp;$L376)+COUNTIFS($R$6:$R376,"Need to Improve",$L$6:$L376,$L376))</f>
        <v/>
      </c>
      <c r="W376" s="7">
        <f>IF($R376&lt;&gt;"Not Performing","",COUNTIFS($R$6:$R$505,"Not Performing",$L$6:$L$505,"&lt;"&amp;$L376)+COUNTIFS($R$6:$R376,"Not Performing",$L$6:$L376,$L376))</f>
        <v/>
      </c>
    </row>
    <row r="377" ht="15" customHeight="1">
      <c r="A377" s="27" t="n"/>
      <c r="B377" s="27" t="n"/>
      <c r="C377" s="27" t="n"/>
      <c r="D377" s="28">
        <f>IF($C377="","",IFERROR(TRIM(LEFT($C377,FIND("-",$C377)-1)),""))</f>
        <v/>
      </c>
      <c r="E377" s="27" t="n"/>
      <c r="F377" s="29" t="n"/>
      <c r="G377" s="30" t="n"/>
      <c r="H377" s="30" t="n"/>
      <c r="I377" s="31">
        <f>IF($B377="","",$H377-$G377)</f>
        <v/>
      </c>
      <c r="J377" s="32">
        <f>IF(OR($B377="",$G377=0,$G377=""),"",$I377/$G377)</f>
        <v/>
      </c>
      <c r="K377" s="33" t="n"/>
      <c r="L377" s="33" t="n"/>
      <c r="M377" s="33" t="n"/>
      <c r="N377" s="33" t="n"/>
      <c r="O377" s="33" t="n"/>
      <c r="P377" s="32">
        <f>IF(OR($L377="",$N377=""),"",$L377-$N377)</f>
        <v/>
      </c>
      <c r="Q377" s="28">
        <f>IF($B377="","",IF(N($H377)&gt;0,"Live","Exited"))</f>
        <v/>
      </c>
      <c r="R377" s="28">
        <f>IF($B377="","",IF($L377="","Data Pending",IF($L377&gt;=Instructions!$D$19,"Best Fund",IF($L377&gt;=Instructions!$D$20,"Need to Improve","Not Performing"))))</f>
        <v/>
      </c>
      <c r="S377" s="7">
        <f>IF($R377="","",IF($R377="Data Pending","Enter the 3Y return",IF($R377="Best Fund","Hold / consider top-up",IF($R377="Need to Improve","Watch 2 quarters, then decide","Review with client - switch or exit"))))</f>
        <v/>
      </c>
      <c r="T377" s="27" t="n"/>
      <c r="U377" s="7">
        <f>IF($R377&lt;&gt;"Best Fund","",COUNTIFS($R$6:$R$505,"Best Fund",$L$6:$L$505,"&gt;"&amp;$L377)+COUNTIFS($R$6:$R377,"Best Fund",$L$6:$L377,$L377))</f>
        <v/>
      </c>
      <c r="V377" s="7">
        <f>IF($R377&lt;&gt;"Need to Improve","",COUNTIFS($R$6:$R$505,"Need to Improve",$L$6:$L$505,"&lt;"&amp;$L377)+COUNTIFS($R$6:$R377,"Need to Improve",$L$6:$L377,$L377))</f>
        <v/>
      </c>
      <c r="W377" s="7">
        <f>IF($R377&lt;&gt;"Not Performing","",COUNTIFS($R$6:$R$505,"Not Performing",$L$6:$L$505,"&lt;"&amp;$L377)+COUNTIFS($R$6:$R377,"Not Performing",$L$6:$L377,$L377))</f>
        <v/>
      </c>
    </row>
    <row r="378" ht="15" customHeight="1">
      <c r="A378" s="27" t="n"/>
      <c r="B378" s="27" t="n"/>
      <c r="C378" s="27" t="n"/>
      <c r="D378" s="28">
        <f>IF($C378="","",IFERROR(TRIM(LEFT($C378,FIND("-",$C378)-1)),""))</f>
        <v/>
      </c>
      <c r="E378" s="27" t="n"/>
      <c r="F378" s="29" t="n"/>
      <c r="G378" s="30" t="n"/>
      <c r="H378" s="30" t="n"/>
      <c r="I378" s="31">
        <f>IF($B378="","",$H378-$G378)</f>
        <v/>
      </c>
      <c r="J378" s="32">
        <f>IF(OR($B378="",$G378=0,$G378=""),"",$I378/$G378)</f>
        <v/>
      </c>
      <c r="K378" s="33" t="n"/>
      <c r="L378" s="33" t="n"/>
      <c r="M378" s="33" t="n"/>
      <c r="N378" s="33" t="n"/>
      <c r="O378" s="33" t="n"/>
      <c r="P378" s="32">
        <f>IF(OR($L378="",$N378=""),"",$L378-$N378)</f>
        <v/>
      </c>
      <c r="Q378" s="28">
        <f>IF($B378="","",IF(N($H378)&gt;0,"Live","Exited"))</f>
        <v/>
      </c>
      <c r="R378" s="28">
        <f>IF($B378="","",IF($L378="","Data Pending",IF($L378&gt;=Instructions!$D$19,"Best Fund",IF($L378&gt;=Instructions!$D$20,"Need to Improve","Not Performing"))))</f>
        <v/>
      </c>
      <c r="S378" s="7">
        <f>IF($R378="","",IF($R378="Data Pending","Enter the 3Y return",IF($R378="Best Fund","Hold / consider top-up",IF($R378="Need to Improve","Watch 2 quarters, then decide","Review with client - switch or exit"))))</f>
        <v/>
      </c>
      <c r="T378" s="27" t="n"/>
      <c r="U378" s="7">
        <f>IF($R378&lt;&gt;"Best Fund","",COUNTIFS($R$6:$R$505,"Best Fund",$L$6:$L$505,"&gt;"&amp;$L378)+COUNTIFS($R$6:$R378,"Best Fund",$L$6:$L378,$L378))</f>
        <v/>
      </c>
      <c r="V378" s="7">
        <f>IF($R378&lt;&gt;"Need to Improve","",COUNTIFS($R$6:$R$505,"Need to Improve",$L$6:$L$505,"&lt;"&amp;$L378)+COUNTIFS($R$6:$R378,"Need to Improve",$L$6:$L378,$L378))</f>
        <v/>
      </c>
      <c r="W378" s="7">
        <f>IF($R378&lt;&gt;"Not Performing","",COUNTIFS($R$6:$R$505,"Not Performing",$L$6:$L$505,"&lt;"&amp;$L378)+COUNTIFS($R$6:$R378,"Not Performing",$L$6:$L378,$L378))</f>
        <v/>
      </c>
    </row>
    <row r="379" ht="15" customHeight="1">
      <c r="A379" s="27" t="n"/>
      <c r="B379" s="27" t="n"/>
      <c r="C379" s="27" t="n"/>
      <c r="D379" s="28">
        <f>IF($C379="","",IFERROR(TRIM(LEFT($C379,FIND("-",$C379)-1)),""))</f>
        <v/>
      </c>
      <c r="E379" s="27" t="n"/>
      <c r="F379" s="29" t="n"/>
      <c r="G379" s="30" t="n"/>
      <c r="H379" s="30" t="n"/>
      <c r="I379" s="31">
        <f>IF($B379="","",$H379-$G379)</f>
        <v/>
      </c>
      <c r="J379" s="32">
        <f>IF(OR($B379="",$G379=0,$G379=""),"",$I379/$G379)</f>
        <v/>
      </c>
      <c r="K379" s="33" t="n"/>
      <c r="L379" s="33" t="n"/>
      <c r="M379" s="33" t="n"/>
      <c r="N379" s="33" t="n"/>
      <c r="O379" s="33" t="n"/>
      <c r="P379" s="32">
        <f>IF(OR($L379="",$N379=""),"",$L379-$N379)</f>
        <v/>
      </c>
      <c r="Q379" s="28">
        <f>IF($B379="","",IF(N($H379)&gt;0,"Live","Exited"))</f>
        <v/>
      </c>
      <c r="R379" s="28">
        <f>IF($B379="","",IF($L379="","Data Pending",IF($L379&gt;=Instructions!$D$19,"Best Fund",IF($L379&gt;=Instructions!$D$20,"Need to Improve","Not Performing"))))</f>
        <v/>
      </c>
      <c r="S379" s="7">
        <f>IF($R379="","",IF($R379="Data Pending","Enter the 3Y return",IF($R379="Best Fund","Hold / consider top-up",IF($R379="Need to Improve","Watch 2 quarters, then decide","Review with client - switch or exit"))))</f>
        <v/>
      </c>
      <c r="T379" s="27" t="n"/>
      <c r="U379" s="7">
        <f>IF($R379&lt;&gt;"Best Fund","",COUNTIFS($R$6:$R$505,"Best Fund",$L$6:$L$505,"&gt;"&amp;$L379)+COUNTIFS($R$6:$R379,"Best Fund",$L$6:$L379,$L379))</f>
        <v/>
      </c>
      <c r="V379" s="7">
        <f>IF($R379&lt;&gt;"Need to Improve","",COUNTIFS($R$6:$R$505,"Need to Improve",$L$6:$L$505,"&lt;"&amp;$L379)+COUNTIFS($R$6:$R379,"Need to Improve",$L$6:$L379,$L379))</f>
        <v/>
      </c>
      <c r="W379" s="7">
        <f>IF($R379&lt;&gt;"Not Performing","",COUNTIFS($R$6:$R$505,"Not Performing",$L$6:$L$505,"&lt;"&amp;$L379)+COUNTIFS($R$6:$R379,"Not Performing",$L$6:$L379,$L379))</f>
        <v/>
      </c>
    </row>
    <row r="380" ht="15" customHeight="1">
      <c r="A380" s="27" t="n"/>
      <c r="B380" s="27" t="n"/>
      <c r="C380" s="27" t="n"/>
      <c r="D380" s="28">
        <f>IF($C380="","",IFERROR(TRIM(LEFT($C380,FIND("-",$C380)-1)),""))</f>
        <v/>
      </c>
      <c r="E380" s="27" t="n"/>
      <c r="F380" s="29" t="n"/>
      <c r="G380" s="30" t="n"/>
      <c r="H380" s="30" t="n"/>
      <c r="I380" s="31">
        <f>IF($B380="","",$H380-$G380)</f>
        <v/>
      </c>
      <c r="J380" s="32">
        <f>IF(OR($B380="",$G380=0,$G380=""),"",$I380/$G380)</f>
        <v/>
      </c>
      <c r="K380" s="33" t="n"/>
      <c r="L380" s="33" t="n"/>
      <c r="M380" s="33" t="n"/>
      <c r="N380" s="33" t="n"/>
      <c r="O380" s="33" t="n"/>
      <c r="P380" s="32">
        <f>IF(OR($L380="",$N380=""),"",$L380-$N380)</f>
        <v/>
      </c>
      <c r="Q380" s="28">
        <f>IF($B380="","",IF(N($H380)&gt;0,"Live","Exited"))</f>
        <v/>
      </c>
      <c r="R380" s="28">
        <f>IF($B380="","",IF($L380="","Data Pending",IF($L380&gt;=Instructions!$D$19,"Best Fund",IF($L380&gt;=Instructions!$D$20,"Need to Improve","Not Performing"))))</f>
        <v/>
      </c>
      <c r="S380" s="7">
        <f>IF($R380="","",IF($R380="Data Pending","Enter the 3Y return",IF($R380="Best Fund","Hold / consider top-up",IF($R380="Need to Improve","Watch 2 quarters, then decide","Review with client - switch or exit"))))</f>
        <v/>
      </c>
      <c r="T380" s="27" t="n"/>
      <c r="U380" s="7">
        <f>IF($R380&lt;&gt;"Best Fund","",COUNTIFS($R$6:$R$505,"Best Fund",$L$6:$L$505,"&gt;"&amp;$L380)+COUNTIFS($R$6:$R380,"Best Fund",$L$6:$L380,$L380))</f>
        <v/>
      </c>
      <c r="V380" s="7">
        <f>IF($R380&lt;&gt;"Need to Improve","",COUNTIFS($R$6:$R$505,"Need to Improve",$L$6:$L$505,"&lt;"&amp;$L380)+COUNTIFS($R$6:$R380,"Need to Improve",$L$6:$L380,$L380))</f>
        <v/>
      </c>
      <c r="W380" s="7">
        <f>IF($R380&lt;&gt;"Not Performing","",COUNTIFS($R$6:$R$505,"Not Performing",$L$6:$L$505,"&lt;"&amp;$L380)+COUNTIFS($R$6:$R380,"Not Performing",$L$6:$L380,$L380))</f>
        <v/>
      </c>
    </row>
    <row r="381" ht="15" customHeight="1">
      <c r="A381" s="27" t="n"/>
      <c r="B381" s="27" t="n"/>
      <c r="C381" s="27" t="n"/>
      <c r="D381" s="28">
        <f>IF($C381="","",IFERROR(TRIM(LEFT($C381,FIND("-",$C381)-1)),""))</f>
        <v/>
      </c>
      <c r="E381" s="27" t="n"/>
      <c r="F381" s="29" t="n"/>
      <c r="G381" s="30" t="n"/>
      <c r="H381" s="30" t="n"/>
      <c r="I381" s="31">
        <f>IF($B381="","",$H381-$G381)</f>
        <v/>
      </c>
      <c r="J381" s="32">
        <f>IF(OR($B381="",$G381=0,$G381=""),"",$I381/$G381)</f>
        <v/>
      </c>
      <c r="K381" s="33" t="n"/>
      <c r="L381" s="33" t="n"/>
      <c r="M381" s="33" t="n"/>
      <c r="N381" s="33" t="n"/>
      <c r="O381" s="33" t="n"/>
      <c r="P381" s="32">
        <f>IF(OR($L381="",$N381=""),"",$L381-$N381)</f>
        <v/>
      </c>
      <c r="Q381" s="28">
        <f>IF($B381="","",IF(N($H381)&gt;0,"Live","Exited"))</f>
        <v/>
      </c>
      <c r="R381" s="28">
        <f>IF($B381="","",IF($L381="","Data Pending",IF($L381&gt;=Instructions!$D$19,"Best Fund",IF($L381&gt;=Instructions!$D$20,"Need to Improve","Not Performing"))))</f>
        <v/>
      </c>
      <c r="S381" s="7">
        <f>IF($R381="","",IF($R381="Data Pending","Enter the 3Y return",IF($R381="Best Fund","Hold / consider top-up",IF($R381="Need to Improve","Watch 2 quarters, then decide","Review with client - switch or exit"))))</f>
        <v/>
      </c>
      <c r="T381" s="27" t="n"/>
      <c r="U381" s="7">
        <f>IF($R381&lt;&gt;"Best Fund","",COUNTIFS($R$6:$R$505,"Best Fund",$L$6:$L$505,"&gt;"&amp;$L381)+COUNTIFS($R$6:$R381,"Best Fund",$L$6:$L381,$L381))</f>
        <v/>
      </c>
      <c r="V381" s="7">
        <f>IF($R381&lt;&gt;"Need to Improve","",COUNTIFS($R$6:$R$505,"Need to Improve",$L$6:$L$505,"&lt;"&amp;$L381)+COUNTIFS($R$6:$R381,"Need to Improve",$L$6:$L381,$L381))</f>
        <v/>
      </c>
      <c r="W381" s="7">
        <f>IF($R381&lt;&gt;"Not Performing","",COUNTIFS($R$6:$R$505,"Not Performing",$L$6:$L$505,"&lt;"&amp;$L381)+COUNTIFS($R$6:$R381,"Not Performing",$L$6:$L381,$L381))</f>
        <v/>
      </c>
    </row>
    <row r="382" ht="15" customHeight="1">
      <c r="A382" s="27" t="n"/>
      <c r="B382" s="27" t="n"/>
      <c r="C382" s="27" t="n"/>
      <c r="D382" s="28">
        <f>IF($C382="","",IFERROR(TRIM(LEFT($C382,FIND("-",$C382)-1)),""))</f>
        <v/>
      </c>
      <c r="E382" s="27" t="n"/>
      <c r="F382" s="29" t="n"/>
      <c r="G382" s="30" t="n"/>
      <c r="H382" s="30" t="n"/>
      <c r="I382" s="31">
        <f>IF($B382="","",$H382-$G382)</f>
        <v/>
      </c>
      <c r="J382" s="32">
        <f>IF(OR($B382="",$G382=0,$G382=""),"",$I382/$G382)</f>
        <v/>
      </c>
      <c r="K382" s="33" t="n"/>
      <c r="L382" s="33" t="n"/>
      <c r="M382" s="33" t="n"/>
      <c r="N382" s="33" t="n"/>
      <c r="O382" s="33" t="n"/>
      <c r="P382" s="32">
        <f>IF(OR($L382="",$N382=""),"",$L382-$N382)</f>
        <v/>
      </c>
      <c r="Q382" s="28">
        <f>IF($B382="","",IF(N($H382)&gt;0,"Live","Exited"))</f>
        <v/>
      </c>
      <c r="R382" s="28">
        <f>IF($B382="","",IF($L382="","Data Pending",IF($L382&gt;=Instructions!$D$19,"Best Fund",IF($L382&gt;=Instructions!$D$20,"Need to Improve","Not Performing"))))</f>
        <v/>
      </c>
      <c r="S382" s="7">
        <f>IF($R382="","",IF($R382="Data Pending","Enter the 3Y return",IF($R382="Best Fund","Hold / consider top-up",IF($R382="Need to Improve","Watch 2 quarters, then decide","Review with client - switch or exit"))))</f>
        <v/>
      </c>
      <c r="T382" s="27" t="n"/>
      <c r="U382" s="7">
        <f>IF($R382&lt;&gt;"Best Fund","",COUNTIFS($R$6:$R$505,"Best Fund",$L$6:$L$505,"&gt;"&amp;$L382)+COUNTIFS($R$6:$R382,"Best Fund",$L$6:$L382,$L382))</f>
        <v/>
      </c>
      <c r="V382" s="7">
        <f>IF($R382&lt;&gt;"Need to Improve","",COUNTIFS($R$6:$R$505,"Need to Improve",$L$6:$L$505,"&lt;"&amp;$L382)+COUNTIFS($R$6:$R382,"Need to Improve",$L$6:$L382,$L382))</f>
        <v/>
      </c>
      <c r="W382" s="7">
        <f>IF($R382&lt;&gt;"Not Performing","",COUNTIFS($R$6:$R$505,"Not Performing",$L$6:$L$505,"&lt;"&amp;$L382)+COUNTIFS($R$6:$R382,"Not Performing",$L$6:$L382,$L382))</f>
        <v/>
      </c>
    </row>
    <row r="383" ht="15" customHeight="1">
      <c r="A383" s="27" t="n"/>
      <c r="B383" s="27" t="n"/>
      <c r="C383" s="27" t="n"/>
      <c r="D383" s="28">
        <f>IF($C383="","",IFERROR(TRIM(LEFT($C383,FIND("-",$C383)-1)),""))</f>
        <v/>
      </c>
      <c r="E383" s="27" t="n"/>
      <c r="F383" s="29" t="n"/>
      <c r="G383" s="30" t="n"/>
      <c r="H383" s="30" t="n"/>
      <c r="I383" s="31">
        <f>IF($B383="","",$H383-$G383)</f>
        <v/>
      </c>
      <c r="J383" s="32">
        <f>IF(OR($B383="",$G383=0,$G383=""),"",$I383/$G383)</f>
        <v/>
      </c>
      <c r="K383" s="33" t="n"/>
      <c r="L383" s="33" t="n"/>
      <c r="M383" s="33" t="n"/>
      <c r="N383" s="33" t="n"/>
      <c r="O383" s="33" t="n"/>
      <c r="P383" s="32">
        <f>IF(OR($L383="",$N383=""),"",$L383-$N383)</f>
        <v/>
      </c>
      <c r="Q383" s="28">
        <f>IF($B383="","",IF(N($H383)&gt;0,"Live","Exited"))</f>
        <v/>
      </c>
      <c r="R383" s="28">
        <f>IF($B383="","",IF($L383="","Data Pending",IF($L383&gt;=Instructions!$D$19,"Best Fund",IF($L383&gt;=Instructions!$D$20,"Need to Improve","Not Performing"))))</f>
        <v/>
      </c>
      <c r="S383" s="7">
        <f>IF($R383="","",IF($R383="Data Pending","Enter the 3Y return",IF($R383="Best Fund","Hold / consider top-up",IF($R383="Need to Improve","Watch 2 quarters, then decide","Review with client - switch or exit"))))</f>
        <v/>
      </c>
      <c r="T383" s="27" t="n"/>
      <c r="U383" s="7">
        <f>IF($R383&lt;&gt;"Best Fund","",COUNTIFS($R$6:$R$505,"Best Fund",$L$6:$L$505,"&gt;"&amp;$L383)+COUNTIFS($R$6:$R383,"Best Fund",$L$6:$L383,$L383))</f>
        <v/>
      </c>
      <c r="V383" s="7">
        <f>IF($R383&lt;&gt;"Need to Improve","",COUNTIFS($R$6:$R$505,"Need to Improve",$L$6:$L$505,"&lt;"&amp;$L383)+COUNTIFS($R$6:$R383,"Need to Improve",$L$6:$L383,$L383))</f>
        <v/>
      </c>
      <c r="W383" s="7">
        <f>IF($R383&lt;&gt;"Not Performing","",COUNTIFS($R$6:$R$505,"Not Performing",$L$6:$L$505,"&lt;"&amp;$L383)+COUNTIFS($R$6:$R383,"Not Performing",$L$6:$L383,$L383))</f>
        <v/>
      </c>
    </row>
    <row r="384" ht="15" customHeight="1">
      <c r="A384" s="27" t="n"/>
      <c r="B384" s="27" t="n"/>
      <c r="C384" s="27" t="n"/>
      <c r="D384" s="28">
        <f>IF($C384="","",IFERROR(TRIM(LEFT($C384,FIND("-",$C384)-1)),""))</f>
        <v/>
      </c>
      <c r="E384" s="27" t="n"/>
      <c r="F384" s="29" t="n"/>
      <c r="G384" s="30" t="n"/>
      <c r="H384" s="30" t="n"/>
      <c r="I384" s="31">
        <f>IF($B384="","",$H384-$G384)</f>
        <v/>
      </c>
      <c r="J384" s="32">
        <f>IF(OR($B384="",$G384=0,$G384=""),"",$I384/$G384)</f>
        <v/>
      </c>
      <c r="K384" s="33" t="n"/>
      <c r="L384" s="33" t="n"/>
      <c r="M384" s="33" t="n"/>
      <c r="N384" s="33" t="n"/>
      <c r="O384" s="33" t="n"/>
      <c r="P384" s="32">
        <f>IF(OR($L384="",$N384=""),"",$L384-$N384)</f>
        <v/>
      </c>
      <c r="Q384" s="28">
        <f>IF($B384="","",IF(N($H384)&gt;0,"Live","Exited"))</f>
        <v/>
      </c>
      <c r="R384" s="28">
        <f>IF($B384="","",IF($L384="","Data Pending",IF($L384&gt;=Instructions!$D$19,"Best Fund",IF($L384&gt;=Instructions!$D$20,"Need to Improve","Not Performing"))))</f>
        <v/>
      </c>
      <c r="S384" s="7">
        <f>IF($R384="","",IF($R384="Data Pending","Enter the 3Y return",IF($R384="Best Fund","Hold / consider top-up",IF($R384="Need to Improve","Watch 2 quarters, then decide","Review with client - switch or exit"))))</f>
        <v/>
      </c>
      <c r="T384" s="27" t="n"/>
      <c r="U384" s="7">
        <f>IF($R384&lt;&gt;"Best Fund","",COUNTIFS($R$6:$R$505,"Best Fund",$L$6:$L$505,"&gt;"&amp;$L384)+COUNTIFS($R$6:$R384,"Best Fund",$L$6:$L384,$L384))</f>
        <v/>
      </c>
      <c r="V384" s="7">
        <f>IF($R384&lt;&gt;"Need to Improve","",COUNTIFS($R$6:$R$505,"Need to Improve",$L$6:$L$505,"&lt;"&amp;$L384)+COUNTIFS($R$6:$R384,"Need to Improve",$L$6:$L384,$L384))</f>
        <v/>
      </c>
      <c r="W384" s="7">
        <f>IF($R384&lt;&gt;"Not Performing","",COUNTIFS($R$6:$R$505,"Not Performing",$L$6:$L$505,"&lt;"&amp;$L384)+COUNTIFS($R$6:$R384,"Not Performing",$L$6:$L384,$L384))</f>
        <v/>
      </c>
    </row>
    <row r="385" ht="15" customHeight="1">
      <c r="A385" s="27" t="n"/>
      <c r="B385" s="27" t="n"/>
      <c r="C385" s="27" t="n"/>
      <c r="D385" s="28">
        <f>IF($C385="","",IFERROR(TRIM(LEFT($C385,FIND("-",$C385)-1)),""))</f>
        <v/>
      </c>
      <c r="E385" s="27" t="n"/>
      <c r="F385" s="29" t="n"/>
      <c r="G385" s="30" t="n"/>
      <c r="H385" s="30" t="n"/>
      <c r="I385" s="31">
        <f>IF($B385="","",$H385-$G385)</f>
        <v/>
      </c>
      <c r="J385" s="32">
        <f>IF(OR($B385="",$G385=0,$G385=""),"",$I385/$G385)</f>
        <v/>
      </c>
      <c r="K385" s="33" t="n"/>
      <c r="L385" s="33" t="n"/>
      <c r="M385" s="33" t="n"/>
      <c r="N385" s="33" t="n"/>
      <c r="O385" s="33" t="n"/>
      <c r="P385" s="32">
        <f>IF(OR($L385="",$N385=""),"",$L385-$N385)</f>
        <v/>
      </c>
      <c r="Q385" s="28">
        <f>IF($B385="","",IF(N($H385)&gt;0,"Live","Exited"))</f>
        <v/>
      </c>
      <c r="R385" s="28">
        <f>IF($B385="","",IF($L385="","Data Pending",IF($L385&gt;=Instructions!$D$19,"Best Fund",IF($L385&gt;=Instructions!$D$20,"Need to Improve","Not Performing"))))</f>
        <v/>
      </c>
      <c r="S385" s="7">
        <f>IF($R385="","",IF($R385="Data Pending","Enter the 3Y return",IF($R385="Best Fund","Hold / consider top-up",IF($R385="Need to Improve","Watch 2 quarters, then decide","Review with client - switch or exit"))))</f>
        <v/>
      </c>
      <c r="T385" s="27" t="n"/>
      <c r="U385" s="7">
        <f>IF($R385&lt;&gt;"Best Fund","",COUNTIFS($R$6:$R$505,"Best Fund",$L$6:$L$505,"&gt;"&amp;$L385)+COUNTIFS($R$6:$R385,"Best Fund",$L$6:$L385,$L385))</f>
        <v/>
      </c>
      <c r="V385" s="7">
        <f>IF($R385&lt;&gt;"Need to Improve","",COUNTIFS($R$6:$R$505,"Need to Improve",$L$6:$L$505,"&lt;"&amp;$L385)+COUNTIFS($R$6:$R385,"Need to Improve",$L$6:$L385,$L385))</f>
        <v/>
      </c>
      <c r="W385" s="7">
        <f>IF($R385&lt;&gt;"Not Performing","",COUNTIFS($R$6:$R$505,"Not Performing",$L$6:$L$505,"&lt;"&amp;$L385)+COUNTIFS($R$6:$R385,"Not Performing",$L$6:$L385,$L385))</f>
        <v/>
      </c>
    </row>
    <row r="386" ht="15" customHeight="1">
      <c r="A386" s="27" t="n"/>
      <c r="B386" s="27" t="n"/>
      <c r="C386" s="27" t="n"/>
      <c r="D386" s="28">
        <f>IF($C386="","",IFERROR(TRIM(LEFT($C386,FIND("-",$C386)-1)),""))</f>
        <v/>
      </c>
      <c r="E386" s="27" t="n"/>
      <c r="F386" s="29" t="n"/>
      <c r="G386" s="30" t="n"/>
      <c r="H386" s="30" t="n"/>
      <c r="I386" s="31">
        <f>IF($B386="","",$H386-$G386)</f>
        <v/>
      </c>
      <c r="J386" s="32">
        <f>IF(OR($B386="",$G386=0,$G386=""),"",$I386/$G386)</f>
        <v/>
      </c>
      <c r="K386" s="33" t="n"/>
      <c r="L386" s="33" t="n"/>
      <c r="M386" s="33" t="n"/>
      <c r="N386" s="33" t="n"/>
      <c r="O386" s="33" t="n"/>
      <c r="P386" s="32">
        <f>IF(OR($L386="",$N386=""),"",$L386-$N386)</f>
        <v/>
      </c>
      <c r="Q386" s="28">
        <f>IF($B386="","",IF(N($H386)&gt;0,"Live","Exited"))</f>
        <v/>
      </c>
      <c r="R386" s="28">
        <f>IF($B386="","",IF($L386="","Data Pending",IF($L386&gt;=Instructions!$D$19,"Best Fund",IF($L386&gt;=Instructions!$D$20,"Need to Improve","Not Performing"))))</f>
        <v/>
      </c>
      <c r="S386" s="7">
        <f>IF($R386="","",IF($R386="Data Pending","Enter the 3Y return",IF($R386="Best Fund","Hold / consider top-up",IF($R386="Need to Improve","Watch 2 quarters, then decide","Review with client - switch or exit"))))</f>
        <v/>
      </c>
      <c r="T386" s="27" t="n"/>
      <c r="U386" s="7">
        <f>IF($R386&lt;&gt;"Best Fund","",COUNTIFS($R$6:$R$505,"Best Fund",$L$6:$L$505,"&gt;"&amp;$L386)+COUNTIFS($R$6:$R386,"Best Fund",$L$6:$L386,$L386))</f>
        <v/>
      </c>
      <c r="V386" s="7">
        <f>IF($R386&lt;&gt;"Need to Improve","",COUNTIFS($R$6:$R$505,"Need to Improve",$L$6:$L$505,"&lt;"&amp;$L386)+COUNTIFS($R$6:$R386,"Need to Improve",$L$6:$L386,$L386))</f>
        <v/>
      </c>
      <c r="W386" s="7">
        <f>IF($R386&lt;&gt;"Not Performing","",COUNTIFS($R$6:$R$505,"Not Performing",$L$6:$L$505,"&lt;"&amp;$L386)+COUNTIFS($R$6:$R386,"Not Performing",$L$6:$L386,$L386))</f>
        <v/>
      </c>
    </row>
    <row r="387" ht="15" customHeight="1">
      <c r="A387" s="27" t="n"/>
      <c r="B387" s="27" t="n"/>
      <c r="C387" s="27" t="n"/>
      <c r="D387" s="28">
        <f>IF($C387="","",IFERROR(TRIM(LEFT($C387,FIND("-",$C387)-1)),""))</f>
        <v/>
      </c>
      <c r="E387" s="27" t="n"/>
      <c r="F387" s="29" t="n"/>
      <c r="G387" s="30" t="n"/>
      <c r="H387" s="30" t="n"/>
      <c r="I387" s="31">
        <f>IF($B387="","",$H387-$G387)</f>
        <v/>
      </c>
      <c r="J387" s="32">
        <f>IF(OR($B387="",$G387=0,$G387=""),"",$I387/$G387)</f>
        <v/>
      </c>
      <c r="K387" s="33" t="n"/>
      <c r="L387" s="33" t="n"/>
      <c r="M387" s="33" t="n"/>
      <c r="N387" s="33" t="n"/>
      <c r="O387" s="33" t="n"/>
      <c r="P387" s="32">
        <f>IF(OR($L387="",$N387=""),"",$L387-$N387)</f>
        <v/>
      </c>
      <c r="Q387" s="28">
        <f>IF($B387="","",IF(N($H387)&gt;0,"Live","Exited"))</f>
        <v/>
      </c>
      <c r="R387" s="28">
        <f>IF($B387="","",IF($L387="","Data Pending",IF($L387&gt;=Instructions!$D$19,"Best Fund",IF($L387&gt;=Instructions!$D$20,"Need to Improve","Not Performing"))))</f>
        <v/>
      </c>
      <c r="S387" s="7">
        <f>IF($R387="","",IF($R387="Data Pending","Enter the 3Y return",IF($R387="Best Fund","Hold / consider top-up",IF($R387="Need to Improve","Watch 2 quarters, then decide","Review with client - switch or exit"))))</f>
        <v/>
      </c>
      <c r="T387" s="27" t="n"/>
      <c r="U387" s="7">
        <f>IF($R387&lt;&gt;"Best Fund","",COUNTIFS($R$6:$R$505,"Best Fund",$L$6:$L$505,"&gt;"&amp;$L387)+COUNTIFS($R$6:$R387,"Best Fund",$L$6:$L387,$L387))</f>
        <v/>
      </c>
      <c r="V387" s="7">
        <f>IF($R387&lt;&gt;"Need to Improve","",COUNTIFS($R$6:$R$505,"Need to Improve",$L$6:$L$505,"&lt;"&amp;$L387)+COUNTIFS($R$6:$R387,"Need to Improve",$L$6:$L387,$L387))</f>
        <v/>
      </c>
      <c r="W387" s="7">
        <f>IF($R387&lt;&gt;"Not Performing","",COUNTIFS($R$6:$R$505,"Not Performing",$L$6:$L$505,"&lt;"&amp;$L387)+COUNTIFS($R$6:$R387,"Not Performing",$L$6:$L387,$L387))</f>
        <v/>
      </c>
    </row>
    <row r="388" ht="15" customHeight="1">
      <c r="A388" s="27" t="n"/>
      <c r="B388" s="27" t="n"/>
      <c r="C388" s="27" t="n"/>
      <c r="D388" s="28">
        <f>IF($C388="","",IFERROR(TRIM(LEFT($C388,FIND("-",$C388)-1)),""))</f>
        <v/>
      </c>
      <c r="E388" s="27" t="n"/>
      <c r="F388" s="29" t="n"/>
      <c r="G388" s="30" t="n"/>
      <c r="H388" s="30" t="n"/>
      <c r="I388" s="31">
        <f>IF($B388="","",$H388-$G388)</f>
        <v/>
      </c>
      <c r="J388" s="32">
        <f>IF(OR($B388="",$G388=0,$G388=""),"",$I388/$G388)</f>
        <v/>
      </c>
      <c r="K388" s="33" t="n"/>
      <c r="L388" s="33" t="n"/>
      <c r="M388" s="33" t="n"/>
      <c r="N388" s="33" t="n"/>
      <c r="O388" s="33" t="n"/>
      <c r="P388" s="32">
        <f>IF(OR($L388="",$N388=""),"",$L388-$N388)</f>
        <v/>
      </c>
      <c r="Q388" s="28">
        <f>IF($B388="","",IF(N($H388)&gt;0,"Live","Exited"))</f>
        <v/>
      </c>
      <c r="R388" s="28">
        <f>IF($B388="","",IF($L388="","Data Pending",IF($L388&gt;=Instructions!$D$19,"Best Fund",IF($L388&gt;=Instructions!$D$20,"Need to Improve","Not Performing"))))</f>
        <v/>
      </c>
      <c r="S388" s="7">
        <f>IF($R388="","",IF($R388="Data Pending","Enter the 3Y return",IF($R388="Best Fund","Hold / consider top-up",IF($R388="Need to Improve","Watch 2 quarters, then decide","Review with client - switch or exit"))))</f>
        <v/>
      </c>
      <c r="T388" s="27" t="n"/>
      <c r="U388" s="7">
        <f>IF($R388&lt;&gt;"Best Fund","",COUNTIFS($R$6:$R$505,"Best Fund",$L$6:$L$505,"&gt;"&amp;$L388)+COUNTIFS($R$6:$R388,"Best Fund",$L$6:$L388,$L388))</f>
        <v/>
      </c>
      <c r="V388" s="7">
        <f>IF($R388&lt;&gt;"Need to Improve","",COUNTIFS($R$6:$R$505,"Need to Improve",$L$6:$L$505,"&lt;"&amp;$L388)+COUNTIFS($R$6:$R388,"Need to Improve",$L$6:$L388,$L388))</f>
        <v/>
      </c>
      <c r="W388" s="7">
        <f>IF($R388&lt;&gt;"Not Performing","",COUNTIFS($R$6:$R$505,"Not Performing",$L$6:$L$505,"&lt;"&amp;$L388)+COUNTIFS($R$6:$R388,"Not Performing",$L$6:$L388,$L388))</f>
        <v/>
      </c>
    </row>
    <row r="389" ht="15" customHeight="1">
      <c r="A389" s="27" t="n"/>
      <c r="B389" s="27" t="n"/>
      <c r="C389" s="27" t="n"/>
      <c r="D389" s="28">
        <f>IF($C389="","",IFERROR(TRIM(LEFT($C389,FIND("-",$C389)-1)),""))</f>
        <v/>
      </c>
      <c r="E389" s="27" t="n"/>
      <c r="F389" s="29" t="n"/>
      <c r="G389" s="30" t="n"/>
      <c r="H389" s="30" t="n"/>
      <c r="I389" s="31">
        <f>IF($B389="","",$H389-$G389)</f>
        <v/>
      </c>
      <c r="J389" s="32">
        <f>IF(OR($B389="",$G389=0,$G389=""),"",$I389/$G389)</f>
        <v/>
      </c>
      <c r="K389" s="33" t="n"/>
      <c r="L389" s="33" t="n"/>
      <c r="M389" s="33" t="n"/>
      <c r="N389" s="33" t="n"/>
      <c r="O389" s="33" t="n"/>
      <c r="P389" s="32">
        <f>IF(OR($L389="",$N389=""),"",$L389-$N389)</f>
        <v/>
      </c>
      <c r="Q389" s="28">
        <f>IF($B389="","",IF(N($H389)&gt;0,"Live","Exited"))</f>
        <v/>
      </c>
      <c r="R389" s="28">
        <f>IF($B389="","",IF($L389="","Data Pending",IF($L389&gt;=Instructions!$D$19,"Best Fund",IF($L389&gt;=Instructions!$D$20,"Need to Improve","Not Performing"))))</f>
        <v/>
      </c>
      <c r="S389" s="7">
        <f>IF($R389="","",IF($R389="Data Pending","Enter the 3Y return",IF($R389="Best Fund","Hold / consider top-up",IF($R389="Need to Improve","Watch 2 quarters, then decide","Review with client - switch or exit"))))</f>
        <v/>
      </c>
      <c r="T389" s="27" t="n"/>
      <c r="U389" s="7">
        <f>IF($R389&lt;&gt;"Best Fund","",COUNTIFS($R$6:$R$505,"Best Fund",$L$6:$L$505,"&gt;"&amp;$L389)+COUNTIFS($R$6:$R389,"Best Fund",$L$6:$L389,$L389))</f>
        <v/>
      </c>
      <c r="V389" s="7">
        <f>IF($R389&lt;&gt;"Need to Improve","",COUNTIFS($R$6:$R$505,"Need to Improve",$L$6:$L$505,"&lt;"&amp;$L389)+COUNTIFS($R$6:$R389,"Need to Improve",$L$6:$L389,$L389))</f>
        <v/>
      </c>
      <c r="W389" s="7">
        <f>IF($R389&lt;&gt;"Not Performing","",COUNTIFS($R$6:$R$505,"Not Performing",$L$6:$L$505,"&lt;"&amp;$L389)+COUNTIFS($R$6:$R389,"Not Performing",$L$6:$L389,$L389))</f>
        <v/>
      </c>
    </row>
    <row r="390" ht="15" customHeight="1">
      <c r="A390" s="27" t="n"/>
      <c r="B390" s="27" t="n"/>
      <c r="C390" s="27" t="n"/>
      <c r="D390" s="28">
        <f>IF($C390="","",IFERROR(TRIM(LEFT($C390,FIND("-",$C390)-1)),""))</f>
        <v/>
      </c>
      <c r="E390" s="27" t="n"/>
      <c r="F390" s="29" t="n"/>
      <c r="G390" s="30" t="n"/>
      <c r="H390" s="30" t="n"/>
      <c r="I390" s="31">
        <f>IF($B390="","",$H390-$G390)</f>
        <v/>
      </c>
      <c r="J390" s="32">
        <f>IF(OR($B390="",$G390=0,$G390=""),"",$I390/$G390)</f>
        <v/>
      </c>
      <c r="K390" s="33" t="n"/>
      <c r="L390" s="33" t="n"/>
      <c r="M390" s="33" t="n"/>
      <c r="N390" s="33" t="n"/>
      <c r="O390" s="33" t="n"/>
      <c r="P390" s="32">
        <f>IF(OR($L390="",$N390=""),"",$L390-$N390)</f>
        <v/>
      </c>
      <c r="Q390" s="28">
        <f>IF($B390="","",IF(N($H390)&gt;0,"Live","Exited"))</f>
        <v/>
      </c>
      <c r="R390" s="28">
        <f>IF($B390="","",IF($L390="","Data Pending",IF($L390&gt;=Instructions!$D$19,"Best Fund",IF($L390&gt;=Instructions!$D$20,"Need to Improve","Not Performing"))))</f>
        <v/>
      </c>
      <c r="S390" s="7">
        <f>IF($R390="","",IF($R390="Data Pending","Enter the 3Y return",IF($R390="Best Fund","Hold / consider top-up",IF($R390="Need to Improve","Watch 2 quarters, then decide","Review with client - switch or exit"))))</f>
        <v/>
      </c>
      <c r="T390" s="27" t="n"/>
      <c r="U390" s="7">
        <f>IF($R390&lt;&gt;"Best Fund","",COUNTIFS($R$6:$R$505,"Best Fund",$L$6:$L$505,"&gt;"&amp;$L390)+COUNTIFS($R$6:$R390,"Best Fund",$L$6:$L390,$L390))</f>
        <v/>
      </c>
      <c r="V390" s="7">
        <f>IF($R390&lt;&gt;"Need to Improve","",COUNTIFS($R$6:$R$505,"Need to Improve",$L$6:$L$505,"&lt;"&amp;$L390)+COUNTIFS($R$6:$R390,"Need to Improve",$L$6:$L390,$L390))</f>
        <v/>
      </c>
      <c r="W390" s="7">
        <f>IF($R390&lt;&gt;"Not Performing","",COUNTIFS($R$6:$R$505,"Not Performing",$L$6:$L$505,"&lt;"&amp;$L390)+COUNTIFS($R$6:$R390,"Not Performing",$L$6:$L390,$L390))</f>
        <v/>
      </c>
    </row>
    <row r="391" ht="15" customHeight="1">
      <c r="A391" s="27" t="n"/>
      <c r="B391" s="27" t="n"/>
      <c r="C391" s="27" t="n"/>
      <c r="D391" s="28">
        <f>IF($C391="","",IFERROR(TRIM(LEFT($C391,FIND("-",$C391)-1)),""))</f>
        <v/>
      </c>
      <c r="E391" s="27" t="n"/>
      <c r="F391" s="29" t="n"/>
      <c r="G391" s="30" t="n"/>
      <c r="H391" s="30" t="n"/>
      <c r="I391" s="31">
        <f>IF($B391="","",$H391-$G391)</f>
        <v/>
      </c>
      <c r="J391" s="32">
        <f>IF(OR($B391="",$G391=0,$G391=""),"",$I391/$G391)</f>
        <v/>
      </c>
      <c r="K391" s="33" t="n"/>
      <c r="L391" s="33" t="n"/>
      <c r="M391" s="33" t="n"/>
      <c r="N391" s="33" t="n"/>
      <c r="O391" s="33" t="n"/>
      <c r="P391" s="32">
        <f>IF(OR($L391="",$N391=""),"",$L391-$N391)</f>
        <v/>
      </c>
      <c r="Q391" s="28">
        <f>IF($B391="","",IF(N($H391)&gt;0,"Live","Exited"))</f>
        <v/>
      </c>
      <c r="R391" s="28">
        <f>IF($B391="","",IF($L391="","Data Pending",IF($L391&gt;=Instructions!$D$19,"Best Fund",IF($L391&gt;=Instructions!$D$20,"Need to Improve","Not Performing"))))</f>
        <v/>
      </c>
      <c r="S391" s="7">
        <f>IF($R391="","",IF($R391="Data Pending","Enter the 3Y return",IF($R391="Best Fund","Hold / consider top-up",IF($R391="Need to Improve","Watch 2 quarters, then decide","Review with client - switch or exit"))))</f>
        <v/>
      </c>
      <c r="T391" s="27" t="n"/>
      <c r="U391" s="7">
        <f>IF($R391&lt;&gt;"Best Fund","",COUNTIFS($R$6:$R$505,"Best Fund",$L$6:$L$505,"&gt;"&amp;$L391)+COUNTIFS($R$6:$R391,"Best Fund",$L$6:$L391,$L391))</f>
        <v/>
      </c>
      <c r="V391" s="7">
        <f>IF($R391&lt;&gt;"Need to Improve","",COUNTIFS($R$6:$R$505,"Need to Improve",$L$6:$L$505,"&lt;"&amp;$L391)+COUNTIFS($R$6:$R391,"Need to Improve",$L$6:$L391,$L391))</f>
        <v/>
      </c>
      <c r="W391" s="7">
        <f>IF($R391&lt;&gt;"Not Performing","",COUNTIFS($R$6:$R$505,"Not Performing",$L$6:$L$505,"&lt;"&amp;$L391)+COUNTIFS($R$6:$R391,"Not Performing",$L$6:$L391,$L391))</f>
        <v/>
      </c>
    </row>
    <row r="392" ht="15" customHeight="1">
      <c r="A392" s="27" t="n"/>
      <c r="B392" s="27" t="n"/>
      <c r="C392" s="27" t="n"/>
      <c r="D392" s="28">
        <f>IF($C392="","",IFERROR(TRIM(LEFT($C392,FIND("-",$C392)-1)),""))</f>
        <v/>
      </c>
      <c r="E392" s="27" t="n"/>
      <c r="F392" s="29" t="n"/>
      <c r="G392" s="30" t="n"/>
      <c r="H392" s="30" t="n"/>
      <c r="I392" s="31">
        <f>IF($B392="","",$H392-$G392)</f>
        <v/>
      </c>
      <c r="J392" s="32">
        <f>IF(OR($B392="",$G392=0,$G392=""),"",$I392/$G392)</f>
        <v/>
      </c>
      <c r="K392" s="33" t="n"/>
      <c r="L392" s="33" t="n"/>
      <c r="M392" s="33" t="n"/>
      <c r="N392" s="33" t="n"/>
      <c r="O392" s="33" t="n"/>
      <c r="P392" s="32">
        <f>IF(OR($L392="",$N392=""),"",$L392-$N392)</f>
        <v/>
      </c>
      <c r="Q392" s="28">
        <f>IF($B392="","",IF(N($H392)&gt;0,"Live","Exited"))</f>
        <v/>
      </c>
      <c r="R392" s="28">
        <f>IF($B392="","",IF($L392="","Data Pending",IF($L392&gt;=Instructions!$D$19,"Best Fund",IF($L392&gt;=Instructions!$D$20,"Need to Improve","Not Performing"))))</f>
        <v/>
      </c>
      <c r="S392" s="7">
        <f>IF($R392="","",IF($R392="Data Pending","Enter the 3Y return",IF($R392="Best Fund","Hold / consider top-up",IF($R392="Need to Improve","Watch 2 quarters, then decide","Review with client - switch or exit"))))</f>
        <v/>
      </c>
      <c r="T392" s="27" t="n"/>
      <c r="U392" s="7">
        <f>IF($R392&lt;&gt;"Best Fund","",COUNTIFS($R$6:$R$505,"Best Fund",$L$6:$L$505,"&gt;"&amp;$L392)+COUNTIFS($R$6:$R392,"Best Fund",$L$6:$L392,$L392))</f>
        <v/>
      </c>
      <c r="V392" s="7">
        <f>IF($R392&lt;&gt;"Need to Improve","",COUNTIFS($R$6:$R$505,"Need to Improve",$L$6:$L$505,"&lt;"&amp;$L392)+COUNTIFS($R$6:$R392,"Need to Improve",$L$6:$L392,$L392))</f>
        <v/>
      </c>
      <c r="W392" s="7">
        <f>IF($R392&lt;&gt;"Not Performing","",COUNTIFS($R$6:$R$505,"Not Performing",$L$6:$L$505,"&lt;"&amp;$L392)+COUNTIFS($R$6:$R392,"Not Performing",$L$6:$L392,$L392))</f>
        <v/>
      </c>
    </row>
    <row r="393" ht="15" customHeight="1">
      <c r="A393" s="27" t="n"/>
      <c r="B393" s="27" t="n"/>
      <c r="C393" s="27" t="n"/>
      <c r="D393" s="28">
        <f>IF($C393="","",IFERROR(TRIM(LEFT($C393,FIND("-",$C393)-1)),""))</f>
        <v/>
      </c>
      <c r="E393" s="27" t="n"/>
      <c r="F393" s="29" t="n"/>
      <c r="G393" s="30" t="n"/>
      <c r="H393" s="30" t="n"/>
      <c r="I393" s="31">
        <f>IF($B393="","",$H393-$G393)</f>
        <v/>
      </c>
      <c r="J393" s="32">
        <f>IF(OR($B393="",$G393=0,$G393=""),"",$I393/$G393)</f>
        <v/>
      </c>
      <c r="K393" s="33" t="n"/>
      <c r="L393" s="33" t="n"/>
      <c r="M393" s="33" t="n"/>
      <c r="N393" s="33" t="n"/>
      <c r="O393" s="33" t="n"/>
      <c r="P393" s="32">
        <f>IF(OR($L393="",$N393=""),"",$L393-$N393)</f>
        <v/>
      </c>
      <c r="Q393" s="28">
        <f>IF($B393="","",IF(N($H393)&gt;0,"Live","Exited"))</f>
        <v/>
      </c>
      <c r="R393" s="28">
        <f>IF($B393="","",IF($L393="","Data Pending",IF($L393&gt;=Instructions!$D$19,"Best Fund",IF($L393&gt;=Instructions!$D$20,"Need to Improve","Not Performing"))))</f>
        <v/>
      </c>
      <c r="S393" s="7">
        <f>IF($R393="","",IF($R393="Data Pending","Enter the 3Y return",IF($R393="Best Fund","Hold / consider top-up",IF($R393="Need to Improve","Watch 2 quarters, then decide","Review with client - switch or exit"))))</f>
        <v/>
      </c>
      <c r="T393" s="27" t="n"/>
      <c r="U393" s="7">
        <f>IF($R393&lt;&gt;"Best Fund","",COUNTIFS($R$6:$R$505,"Best Fund",$L$6:$L$505,"&gt;"&amp;$L393)+COUNTIFS($R$6:$R393,"Best Fund",$L$6:$L393,$L393))</f>
        <v/>
      </c>
      <c r="V393" s="7">
        <f>IF($R393&lt;&gt;"Need to Improve","",COUNTIFS($R$6:$R$505,"Need to Improve",$L$6:$L$505,"&lt;"&amp;$L393)+COUNTIFS($R$6:$R393,"Need to Improve",$L$6:$L393,$L393))</f>
        <v/>
      </c>
      <c r="W393" s="7">
        <f>IF($R393&lt;&gt;"Not Performing","",COUNTIFS($R$6:$R$505,"Not Performing",$L$6:$L$505,"&lt;"&amp;$L393)+COUNTIFS($R$6:$R393,"Not Performing",$L$6:$L393,$L393))</f>
        <v/>
      </c>
    </row>
    <row r="394" ht="15" customHeight="1">
      <c r="A394" s="27" t="n"/>
      <c r="B394" s="27" t="n"/>
      <c r="C394" s="27" t="n"/>
      <c r="D394" s="28">
        <f>IF($C394="","",IFERROR(TRIM(LEFT($C394,FIND("-",$C394)-1)),""))</f>
        <v/>
      </c>
      <c r="E394" s="27" t="n"/>
      <c r="F394" s="29" t="n"/>
      <c r="G394" s="30" t="n"/>
      <c r="H394" s="30" t="n"/>
      <c r="I394" s="31">
        <f>IF($B394="","",$H394-$G394)</f>
        <v/>
      </c>
      <c r="J394" s="32">
        <f>IF(OR($B394="",$G394=0,$G394=""),"",$I394/$G394)</f>
        <v/>
      </c>
      <c r="K394" s="33" t="n"/>
      <c r="L394" s="33" t="n"/>
      <c r="M394" s="33" t="n"/>
      <c r="N394" s="33" t="n"/>
      <c r="O394" s="33" t="n"/>
      <c r="P394" s="32">
        <f>IF(OR($L394="",$N394=""),"",$L394-$N394)</f>
        <v/>
      </c>
      <c r="Q394" s="28">
        <f>IF($B394="","",IF(N($H394)&gt;0,"Live","Exited"))</f>
        <v/>
      </c>
      <c r="R394" s="28">
        <f>IF($B394="","",IF($L394="","Data Pending",IF($L394&gt;=Instructions!$D$19,"Best Fund",IF($L394&gt;=Instructions!$D$20,"Need to Improve","Not Performing"))))</f>
        <v/>
      </c>
      <c r="S394" s="7">
        <f>IF($R394="","",IF($R394="Data Pending","Enter the 3Y return",IF($R394="Best Fund","Hold / consider top-up",IF($R394="Need to Improve","Watch 2 quarters, then decide","Review with client - switch or exit"))))</f>
        <v/>
      </c>
      <c r="T394" s="27" t="n"/>
      <c r="U394" s="7">
        <f>IF($R394&lt;&gt;"Best Fund","",COUNTIFS($R$6:$R$505,"Best Fund",$L$6:$L$505,"&gt;"&amp;$L394)+COUNTIFS($R$6:$R394,"Best Fund",$L$6:$L394,$L394))</f>
        <v/>
      </c>
      <c r="V394" s="7">
        <f>IF($R394&lt;&gt;"Need to Improve","",COUNTIFS($R$6:$R$505,"Need to Improve",$L$6:$L$505,"&lt;"&amp;$L394)+COUNTIFS($R$6:$R394,"Need to Improve",$L$6:$L394,$L394))</f>
        <v/>
      </c>
      <c r="W394" s="7">
        <f>IF($R394&lt;&gt;"Not Performing","",COUNTIFS($R$6:$R$505,"Not Performing",$L$6:$L$505,"&lt;"&amp;$L394)+COUNTIFS($R$6:$R394,"Not Performing",$L$6:$L394,$L394))</f>
        <v/>
      </c>
    </row>
    <row r="395" ht="15" customHeight="1">
      <c r="A395" s="27" t="n"/>
      <c r="B395" s="27" t="n"/>
      <c r="C395" s="27" t="n"/>
      <c r="D395" s="28">
        <f>IF($C395="","",IFERROR(TRIM(LEFT($C395,FIND("-",$C395)-1)),""))</f>
        <v/>
      </c>
      <c r="E395" s="27" t="n"/>
      <c r="F395" s="29" t="n"/>
      <c r="G395" s="30" t="n"/>
      <c r="H395" s="30" t="n"/>
      <c r="I395" s="31">
        <f>IF($B395="","",$H395-$G395)</f>
        <v/>
      </c>
      <c r="J395" s="32">
        <f>IF(OR($B395="",$G395=0,$G395=""),"",$I395/$G395)</f>
        <v/>
      </c>
      <c r="K395" s="33" t="n"/>
      <c r="L395" s="33" t="n"/>
      <c r="M395" s="33" t="n"/>
      <c r="N395" s="33" t="n"/>
      <c r="O395" s="33" t="n"/>
      <c r="P395" s="32">
        <f>IF(OR($L395="",$N395=""),"",$L395-$N395)</f>
        <v/>
      </c>
      <c r="Q395" s="28">
        <f>IF($B395="","",IF(N($H395)&gt;0,"Live","Exited"))</f>
        <v/>
      </c>
      <c r="R395" s="28">
        <f>IF($B395="","",IF($L395="","Data Pending",IF($L395&gt;=Instructions!$D$19,"Best Fund",IF($L395&gt;=Instructions!$D$20,"Need to Improve","Not Performing"))))</f>
        <v/>
      </c>
      <c r="S395" s="7">
        <f>IF($R395="","",IF($R395="Data Pending","Enter the 3Y return",IF($R395="Best Fund","Hold / consider top-up",IF($R395="Need to Improve","Watch 2 quarters, then decide","Review with client - switch or exit"))))</f>
        <v/>
      </c>
      <c r="T395" s="27" t="n"/>
      <c r="U395" s="7">
        <f>IF($R395&lt;&gt;"Best Fund","",COUNTIFS($R$6:$R$505,"Best Fund",$L$6:$L$505,"&gt;"&amp;$L395)+COUNTIFS($R$6:$R395,"Best Fund",$L$6:$L395,$L395))</f>
        <v/>
      </c>
      <c r="V395" s="7">
        <f>IF($R395&lt;&gt;"Need to Improve","",COUNTIFS($R$6:$R$505,"Need to Improve",$L$6:$L$505,"&lt;"&amp;$L395)+COUNTIFS($R$6:$R395,"Need to Improve",$L$6:$L395,$L395))</f>
        <v/>
      </c>
      <c r="W395" s="7">
        <f>IF($R395&lt;&gt;"Not Performing","",COUNTIFS($R$6:$R$505,"Not Performing",$L$6:$L$505,"&lt;"&amp;$L395)+COUNTIFS($R$6:$R395,"Not Performing",$L$6:$L395,$L395))</f>
        <v/>
      </c>
    </row>
    <row r="396" ht="15" customHeight="1">
      <c r="A396" s="27" t="n"/>
      <c r="B396" s="27" t="n"/>
      <c r="C396" s="27" t="n"/>
      <c r="D396" s="28">
        <f>IF($C396="","",IFERROR(TRIM(LEFT($C396,FIND("-",$C396)-1)),""))</f>
        <v/>
      </c>
      <c r="E396" s="27" t="n"/>
      <c r="F396" s="29" t="n"/>
      <c r="G396" s="30" t="n"/>
      <c r="H396" s="30" t="n"/>
      <c r="I396" s="31">
        <f>IF($B396="","",$H396-$G396)</f>
        <v/>
      </c>
      <c r="J396" s="32">
        <f>IF(OR($B396="",$G396=0,$G396=""),"",$I396/$G396)</f>
        <v/>
      </c>
      <c r="K396" s="33" t="n"/>
      <c r="L396" s="33" t="n"/>
      <c r="M396" s="33" t="n"/>
      <c r="N396" s="33" t="n"/>
      <c r="O396" s="33" t="n"/>
      <c r="P396" s="32">
        <f>IF(OR($L396="",$N396=""),"",$L396-$N396)</f>
        <v/>
      </c>
      <c r="Q396" s="28">
        <f>IF($B396="","",IF(N($H396)&gt;0,"Live","Exited"))</f>
        <v/>
      </c>
      <c r="R396" s="28">
        <f>IF($B396="","",IF($L396="","Data Pending",IF($L396&gt;=Instructions!$D$19,"Best Fund",IF($L396&gt;=Instructions!$D$20,"Need to Improve","Not Performing"))))</f>
        <v/>
      </c>
      <c r="S396" s="7">
        <f>IF($R396="","",IF($R396="Data Pending","Enter the 3Y return",IF($R396="Best Fund","Hold / consider top-up",IF($R396="Need to Improve","Watch 2 quarters, then decide","Review with client - switch or exit"))))</f>
        <v/>
      </c>
      <c r="T396" s="27" t="n"/>
      <c r="U396" s="7">
        <f>IF($R396&lt;&gt;"Best Fund","",COUNTIFS($R$6:$R$505,"Best Fund",$L$6:$L$505,"&gt;"&amp;$L396)+COUNTIFS($R$6:$R396,"Best Fund",$L$6:$L396,$L396))</f>
        <v/>
      </c>
      <c r="V396" s="7">
        <f>IF($R396&lt;&gt;"Need to Improve","",COUNTIFS($R$6:$R$505,"Need to Improve",$L$6:$L$505,"&lt;"&amp;$L396)+COUNTIFS($R$6:$R396,"Need to Improve",$L$6:$L396,$L396))</f>
        <v/>
      </c>
      <c r="W396" s="7">
        <f>IF($R396&lt;&gt;"Not Performing","",COUNTIFS($R$6:$R$505,"Not Performing",$L$6:$L$505,"&lt;"&amp;$L396)+COUNTIFS($R$6:$R396,"Not Performing",$L$6:$L396,$L396))</f>
        <v/>
      </c>
    </row>
    <row r="397" ht="15" customHeight="1">
      <c r="A397" s="27" t="n"/>
      <c r="B397" s="27" t="n"/>
      <c r="C397" s="27" t="n"/>
      <c r="D397" s="28">
        <f>IF($C397="","",IFERROR(TRIM(LEFT($C397,FIND("-",$C397)-1)),""))</f>
        <v/>
      </c>
      <c r="E397" s="27" t="n"/>
      <c r="F397" s="29" t="n"/>
      <c r="G397" s="30" t="n"/>
      <c r="H397" s="30" t="n"/>
      <c r="I397" s="31">
        <f>IF($B397="","",$H397-$G397)</f>
        <v/>
      </c>
      <c r="J397" s="32">
        <f>IF(OR($B397="",$G397=0,$G397=""),"",$I397/$G397)</f>
        <v/>
      </c>
      <c r="K397" s="33" t="n"/>
      <c r="L397" s="33" t="n"/>
      <c r="M397" s="33" t="n"/>
      <c r="N397" s="33" t="n"/>
      <c r="O397" s="33" t="n"/>
      <c r="P397" s="32">
        <f>IF(OR($L397="",$N397=""),"",$L397-$N397)</f>
        <v/>
      </c>
      <c r="Q397" s="28">
        <f>IF($B397="","",IF(N($H397)&gt;0,"Live","Exited"))</f>
        <v/>
      </c>
      <c r="R397" s="28">
        <f>IF($B397="","",IF($L397="","Data Pending",IF($L397&gt;=Instructions!$D$19,"Best Fund",IF($L397&gt;=Instructions!$D$20,"Need to Improve","Not Performing"))))</f>
        <v/>
      </c>
      <c r="S397" s="7">
        <f>IF($R397="","",IF($R397="Data Pending","Enter the 3Y return",IF($R397="Best Fund","Hold / consider top-up",IF($R397="Need to Improve","Watch 2 quarters, then decide","Review with client - switch or exit"))))</f>
        <v/>
      </c>
      <c r="T397" s="27" t="n"/>
      <c r="U397" s="7">
        <f>IF($R397&lt;&gt;"Best Fund","",COUNTIFS($R$6:$R$505,"Best Fund",$L$6:$L$505,"&gt;"&amp;$L397)+COUNTIFS($R$6:$R397,"Best Fund",$L$6:$L397,$L397))</f>
        <v/>
      </c>
      <c r="V397" s="7">
        <f>IF($R397&lt;&gt;"Need to Improve","",COUNTIFS($R$6:$R$505,"Need to Improve",$L$6:$L$505,"&lt;"&amp;$L397)+COUNTIFS($R$6:$R397,"Need to Improve",$L$6:$L397,$L397))</f>
        <v/>
      </c>
      <c r="W397" s="7">
        <f>IF($R397&lt;&gt;"Not Performing","",COUNTIFS($R$6:$R$505,"Not Performing",$L$6:$L$505,"&lt;"&amp;$L397)+COUNTIFS($R$6:$R397,"Not Performing",$L$6:$L397,$L397))</f>
        <v/>
      </c>
    </row>
    <row r="398" ht="15" customHeight="1">
      <c r="A398" s="27" t="n"/>
      <c r="B398" s="27" t="n"/>
      <c r="C398" s="27" t="n"/>
      <c r="D398" s="28">
        <f>IF($C398="","",IFERROR(TRIM(LEFT($C398,FIND("-",$C398)-1)),""))</f>
        <v/>
      </c>
      <c r="E398" s="27" t="n"/>
      <c r="F398" s="29" t="n"/>
      <c r="G398" s="30" t="n"/>
      <c r="H398" s="30" t="n"/>
      <c r="I398" s="31">
        <f>IF($B398="","",$H398-$G398)</f>
        <v/>
      </c>
      <c r="J398" s="32">
        <f>IF(OR($B398="",$G398=0,$G398=""),"",$I398/$G398)</f>
        <v/>
      </c>
      <c r="K398" s="33" t="n"/>
      <c r="L398" s="33" t="n"/>
      <c r="M398" s="33" t="n"/>
      <c r="N398" s="33" t="n"/>
      <c r="O398" s="33" t="n"/>
      <c r="P398" s="32">
        <f>IF(OR($L398="",$N398=""),"",$L398-$N398)</f>
        <v/>
      </c>
      <c r="Q398" s="28">
        <f>IF($B398="","",IF(N($H398)&gt;0,"Live","Exited"))</f>
        <v/>
      </c>
      <c r="R398" s="28">
        <f>IF($B398="","",IF($L398="","Data Pending",IF($L398&gt;=Instructions!$D$19,"Best Fund",IF($L398&gt;=Instructions!$D$20,"Need to Improve","Not Performing"))))</f>
        <v/>
      </c>
      <c r="S398" s="7">
        <f>IF($R398="","",IF($R398="Data Pending","Enter the 3Y return",IF($R398="Best Fund","Hold / consider top-up",IF($R398="Need to Improve","Watch 2 quarters, then decide","Review with client - switch or exit"))))</f>
        <v/>
      </c>
      <c r="T398" s="27" t="n"/>
      <c r="U398" s="7">
        <f>IF($R398&lt;&gt;"Best Fund","",COUNTIFS($R$6:$R$505,"Best Fund",$L$6:$L$505,"&gt;"&amp;$L398)+COUNTIFS($R$6:$R398,"Best Fund",$L$6:$L398,$L398))</f>
        <v/>
      </c>
      <c r="V398" s="7">
        <f>IF($R398&lt;&gt;"Need to Improve","",COUNTIFS($R$6:$R$505,"Need to Improve",$L$6:$L$505,"&lt;"&amp;$L398)+COUNTIFS($R$6:$R398,"Need to Improve",$L$6:$L398,$L398))</f>
        <v/>
      </c>
      <c r="W398" s="7">
        <f>IF($R398&lt;&gt;"Not Performing","",COUNTIFS($R$6:$R$505,"Not Performing",$L$6:$L$505,"&lt;"&amp;$L398)+COUNTIFS($R$6:$R398,"Not Performing",$L$6:$L398,$L398))</f>
        <v/>
      </c>
    </row>
    <row r="399" ht="15" customHeight="1">
      <c r="A399" s="27" t="n"/>
      <c r="B399" s="27" t="n"/>
      <c r="C399" s="27" t="n"/>
      <c r="D399" s="28">
        <f>IF($C399="","",IFERROR(TRIM(LEFT($C399,FIND("-",$C399)-1)),""))</f>
        <v/>
      </c>
      <c r="E399" s="27" t="n"/>
      <c r="F399" s="29" t="n"/>
      <c r="G399" s="30" t="n"/>
      <c r="H399" s="30" t="n"/>
      <c r="I399" s="31">
        <f>IF($B399="","",$H399-$G399)</f>
        <v/>
      </c>
      <c r="J399" s="32">
        <f>IF(OR($B399="",$G399=0,$G399=""),"",$I399/$G399)</f>
        <v/>
      </c>
      <c r="K399" s="33" t="n"/>
      <c r="L399" s="33" t="n"/>
      <c r="M399" s="33" t="n"/>
      <c r="N399" s="33" t="n"/>
      <c r="O399" s="33" t="n"/>
      <c r="P399" s="32">
        <f>IF(OR($L399="",$N399=""),"",$L399-$N399)</f>
        <v/>
      </c>
      <c r="Q399" s="28">
        <f>IF($B399="","",IF(N($H399)&gt;0,"Live","Exited"))</f>
        <v/>
      </c>
      <c r="R399" s="28">
        <f>IF($B399="","",IF($L399="","Data Pending",IF($L399&gt;=Instructions!$D$19,"Best Fund",IF($L399&gt;=Instructions!$D$20,"Need to Improve","Not Performing"))))</f>
        <v/>
      </c>
      <c r="S399" s="7">
        <f>IF($R399="","",IF($R399="Data Pending","Enter the 3Y return",IF($R399="Best Fund","Hold / consider top-up",IF($R399="Need to Improve","Watch 2 quarters, then decide","Review with client - switch or exit"))))</f>
        <v/>
      </c>
      <c r="T399" s="27" t="n"/>
      <c r="U399" s="7">
        <f>IF($R399&lt;&gt;"Best Fund","",COUNTIFS($R$6:$R$505,"Best Fund",$L$6:$L$505,"&gt;"&amp;$L399)+COUNTIFS($R$6:$R399,"Best Fund",$L$6:$L399,$L399))</f>
        <v/>
      </c>
      <c r="V399" s="7">
        <f>IF($R399&lt;&gt;"Need to Improve","",COUNTIFS($R$6:$R$505,"Need to Improve",$L$6:$L$505,"&lt;"&amp;$L399)+COUNTIFS($R$6:$R399,"Need to Improve",$L$6:$L399,$L399))</f>
        <v/>
      </c>
      <c r="W399" s="7">
        <f>IF($R399&lt;&gt;"Not Performing","",COUNTIFS($R$6:$R$505,"Not Performing",$L$6:$L$505,"&lt;"&amp;$L399)+COUNTIFS($R$6:$R399,"Not Performing",$L$6:$L399,$L399))</f>
        <v/>
      </c>
    </row>
    <row r="400" ht="15" customHeight="1">
      <c r="A400" s="27" t="n"/>
      <c r="B400" s="27" t="n"/>
      <c r="C400" s="27" t="n"/>
      <c r="D400" s="28">
        <f>IF($C400="","",IFERROR(TRIM(LEFT($C400,FIND("-",$C400)-1)),""))</f>
        <v/>
      </c>
      <c r="E400" s="27" t="n"/>
      <c r="F400" s="29" t="n"/>
      <c r="G400" s="30" t="n"/>
      <c r="H400" s="30" t="n"/>
      <c r="I400" s="31">
        <f>IF($B400="","",$H400-$G400)</f>
        <v/>
      </c>
      <c r="J400" s="32">
        <f>IF(OR($B400="",$G400=0,$G400=""),"",$I400/$G400)</f>
        <v/>
      </c>
      <c r="K400" s="33" t="n"/>
      <c r="L400" s="33" t="n"/>
      <c r="M400" s="33" t="n"/>
      <c r="N400" s="33" t="n"/>
      <c r="O400" s="33" t="n"/>
      <c r="P400" s="32">
        <f>IF(OR($L400="",$N400=""),"",$L400-$N400)</f>
        <v/>
      </c>
      <c r="Q400" s="28">
        <f>IF($B400="","",IF(N($H400)&gt;0,"Live","Exited"))</f>
        <v/>
      </c>
      <c r="R400" s="28">
        <f>IF($B400="","",IF($L400="","Data Pending",IF($L400&gt;=Instructions!$D$19,"Best Fund",IF($L400&gt;=Instructions!$D$20,"Need to Improve","Not Performing"))))</f>
        <v/>
      </c>
      <c r="S400" s="7">
        <f>IF($R400="","",IF($R400="Data Pending","Enter the 3Y return",IF($R400="Best Fund","Hold / consider top-up",IF($R400="Need to Improve","Watch 2 quarters, then decide","Review with client - switch or exit"))))</f>
        <v/>
      </c>
      <c r="T400" s="27" t="n"/>
      <c r="U400" s="7">
        <f>IF($R400&lt;&gt;"Best Fund","",COUNTIFS($R$6:$R$505,"Best Fund",$L$6:$L$505,"&gt;"&amp;$L400)+COUNTIFS($R$6:$R400,"Best Fund",$L$6:$L400,$L400))</f>
        <v/>
      </c>
      <c r="V400" s="7">
        <f>IF($R400&lt;&gt;"Need to Improve","",COUNTIFS($R$6:$R$505,"Need to Improve",$L$6:$L$505,"&lt;"&amp;$L400)+COUNTIFS($R$6:$R400,"Need to Improve",$L$6:$L400,$L400))</f>
        <v/>
      </c>
      <c r="W400" s="7">
        <f>IF($R400&lt;&gt;"Not Performing","",COUNTIFS($R$6:$R$505,"Not Performing",$L$6:$L$505,"&lt;"&amp;$L400)+COUNTIFS($R$6:$R400,"Not Performing",$L$6:$L400,$L400))</f>
        <v/>
      </c>
    </row>
    <row r="401" ht="15" customHeight="1">
      <c r="A401" s="27" t="n"/>
      <c r="B401" s="27" t="n"/>
      <c r="C401" s="27" t="n"/>
      <c r="D401" s="28">
        <f>IF($C401="","",IFERROR(TRIM(LEFT($C401,FIND("-",$C401)-1)),""))</f>
        <v/>
      </c>
      <c r="E401" s="27" t="n"/>
      <c r="F401" s="29" t="n"/>
      <c r="G401" s="30" t="n"/>
      <c r="H401" s="30" t="n"/>
      <c r="I401" s="31">
        <f>IF($B401="","",$H401-$G401)</f>
        <v/>
      </c>
      <c r="J401" s="32">
        <f>IF(OR($B401="",$G401=0,$G401=""),"",$I401/$G401)</f>
        <v/>
      </c>
      <c r="K401" s="33" t="n"/>
      <c r="L401" s="33" t="n"/>
      <c r="M401" s="33" t="n"/>
      <c r="N401" s="33" t="n"/>
      <c r="O401" s="33" t="n"/>
      <c r="P401" s="32">
        <f>IF(OR($L401="",$N401=""),"",$L401-$N401)</f>
        <v/>
      </c>
      <c r="Q401" s="28">
        <f>IF($B401="","",IF(N($H401)&gt;0,"Live","Exited"))</f>
        <v/>
      </c>
      <c r="R401" s="28">
        <f>IF($B401="","",IF($L401="","Data Pending",IF($L401&gt;=Instructions!$D$19,"Best Fund",IF($L401&gt;=Instructions!$D$20,"Need to Improve","Not Performing"))))</f>
        <v/>
      </c>
      <c r="S401" s="7">
        <f>IF($R401="","",IF($R401="Data Pending","Enter the 3Y return",IF($R401="Best Fund","Hold / consider top-up",IF($R401="Need to Improve","Watch 2 quarters, then decide","Review with client - switch or exit"))))</f>
        <v/>
      </c>
      <c r="T401" s="27" t="n"/>
      <c r="U401" s="7">
        <f>IF($R401&lt;&gt;"Best Fund","",COUNTIFS($R$6:$R$505,"Best Fund",$L$6:$L$505,"&gt;"&amp;$L401)+COUNTIFS($R$6:$R401,"Best Fund",$L$6:$L401,$L401))</f>
        <v/>
      </c>
      <c r="V401" s="7">
        <f>IF($R401&lt;&gt;"Need to Improve","",COUNTIFS($R$6:$R$505,"Need to Improve",$L$6:$L$505,"&lt;"&amp;$L401)+COUNTIFS($R$6:$R401,"Need to Improve",$L$6:$L401,$L401))</f>
        <v/>
      </c>
      <c r="W401" s="7">
        <f>IF($R401&lt;&gt;"Not Performing","",COUNTIFS($R$6:$R$505,"Not Performing",$L$6:$L$505,"&lt;"&amp;$L401)+COUNTIFS($R$6:$R401,"Not Performing",$L$6:$L401,$L401))</f>
        <v/>
      </c>
    </row>
    <row r="402" ht="15" customHeight="1">
      <c r="A402" s="27" t="n"/>
      <c r="B402" s="27" t="n"/>
      <c r="C402" s="27" t="n"/>
      <c r="D402" s="28">
        <f>IF($C402="","",IFERROR(TRIM(LEFT($C402,FIND("-",$C402)-1)),""))</f>
        <v/>
      </c>
      <c r="E402" s="27" t="n"/>
      <c r="F402" s="29" t="n"/>
      <c r="G402" s="30" t="n"/>
      <c r="H402" s="30" t="n"/>
      <c r="I402" s="31">
        <f>IF($B402="","",$H402-$G402)</f>
        <v/>
      </c>
      <c r="J402" s="32">
        <f>IF(OR($B402="",$G402=0,$G402=""),"",$I402/$G402)</f>
        <v/>
      </c>
      <c r="K402" s="33" t="n"/>
      <c r="L402" s="33" t="n"/>
      <c r="M402" s="33" t="n"/>
      <c r="N402" s="33" t="n"/>
      <c r="O402" s="33" t="n"/>
      <c r="P402" s="32">
        <f>IF(OR($L402="",$N402=""),"",$L402-$N402)</f>
        <v/>
      </c>
      <c r="Q402" s="28">
        <f>IF($B402="","",IF(N($H402)&gt;0,"Live","Exited"))</f>
        <v/>
      </c>
      <c r="R402" s="28">
        <f>IF($B402="","",IF($L402="","Data Pending",IF($L402&gt;=Instructions!$D$19,"Best Fund",IF($L402&gt;=Instructions!$D$20,"Need to Improve","Not Performing"))))</f>
        <v/>
      </c>
      <c r="S402" s="7">
        <f>IF($R402="","",IF($R402="Data Pending","Enter the 3Y return",IF($R402="Best Fund","Hold / consider top-up",IF($R402="Need to Improve","Watch 2 quarters, then decide","Review with client - switch or exit"))))</f>
        <v/>
      </c>
      <c r="T402" s="27" t="n"/>
      <c r="U402" s="7">
        <f>IF($R402&lt;&gt;"Best Fund","",COUNTIFS($R$6:$R$505,"Best Fund",$L$6:$L$505,"&gt;"&amp;$L402)+COUNTIFS($R$6:$R402,"Best Fund",$L$6:$L402,$L402))</f>
        <v/>
      </c>
      <c r="V402" s="7">
        <f>IF($R402&lt;&gt;"Need to Improve","",COUNTIFS($R$6:$R$505,"Need to Improve",$L$6:$L$505,"&lt;"&amp;$L402)+COUNTIFS($R$6:$R402,"Need to Improve",$L$6:$L402,$L402))</f>
        <v/>
      </c>
      <c r="W402" s="7">
        <f>IF($R402&lt;&gt;"Not Performing","",COUNTIFS($R$6:$R$505,"Not Performing",$L$6:$L$505,"&lt;"&amp;$L402)+COUNTIFS($R$6:$R402,"Not Performing",$L$6:$L402,$L402))</f>
        <v/>
      </c>
    </row>
    <row r="403" ht="15" customHeight="1">
      <c r="A403" s="27" t="n"/>
      <c r="B403" s="27" t="n"/>
      <c r="C403" s="27" t="n"/>
      <c r="D403" s="28">
        <f>IF($C403="","",IFERROR(TRIM(LEFT($C403,FIND("-",$C403)-1)),""))</f>
        <v/>
      </c>
      <c r="E403" s="27" t="n"/>
      <c r="F403" s="29" t="n"/>
      <c r="G403" s="30" t="n"/>
      <c r="H403" s="30" t="n"/>
      <c r="I403" s="31">
        <f>IF($B403="","",$H403-$G403)</f>
        <v/>
      </c>
      <c r="J403" s="32">
        <f>IF(OR($B403="",$G403=0,$G403=""),"",$I403/$G403)</f>
        <v/>
      </c>
      <c r="K403" s="33" t="n"/>
      <c r="L403" s="33" t="n"/>
      <c r="M403" s="33" t="n"/>
      <c r="N403" s="33" t="n"/>
      <c r="O403" s="33" t="n"/>
      <c r="P403" s="32">
        <f>IF(OR($L403="",$N403=""),"",$L403-$N403)</f>
        <v/>
      </c>
      <c r="Q403" s="28">
        <f>IF($B403="","",IF(N($H403)&gt;0,"Live","Exited"))</f>
        <v/>
      </c>
      <c r="R403" s="28">
        <f>IF($B403="","",IF($L403="","Data Pending",IF($L403&gt;=Instructions!$D$19,"Best Fund",IF($L403&gt;=Instructions!$D$20,"Need to Improve","Not Performing"))))</f>
        <v/>
      </c>
      <c r="S403" s="7">
        <f>IF($R403="","",IF($R403="Data Pending","Enter the 3Y return",IF($R403="Best Fund","Hold / consider top-up",IF($R403="Need to Improve","Watch 2 quarters, then decide","Review with client - switch or exit"))))</f>
        <v/>
      </c>
      <c r="T403" s="27" t="n"/>
      <c r="U403" s="7">
        <f>IF($R403&lt;&gt;"Best Fund","",COUNTIFS($R$6:$R$505,"Best Fund",$L$6:$L$505,"&gt;"&amp;$L403)+COUNTIFS($R$6:$R403,"Best Fund",$L$6:$L403,$L403))</f>
        <v/>
      </c>
      <c r="V403" s="7">
        <f>IF($R403&lt;&gt;"Need to Improve","",COUNTIFS($R$6:$R$505,"Need to Improve",$L$6:$L$505,"&lt;"&amp;$L403)+COUNTIFS($R$6:$R403,"Need to Improve",$L$6:$L403,$L403))</f>
        <v/>
      </c>
      <c r="W403" s="7">
        <f>IF($R403&lt;&gt;"Not Performing","",COUNTIFS($R$6:$R$505,"Not Performing",$L$6:$L$505,"&lt;"&amp;$L403)+COUNTIFS($R$6:$R403,"Not Performing",$L$6:$L403,$L403))</f>
        <v/>
      </c>
    </row>
    <row r="404" ht="15" customHeight="1">
      <c r="A404" s="27" t="n"/>
      <c r="B404" s="27" t="n"/>
      <c r="C404" s="27" t="n"/>
      <c r="D404" s="28">
        <f>IF($C404="","",IFERROR(TRIM(LEFT($C404,FIND("-",$C404)-1)),""))</f>
        <v/>
      </c>
      <c r="E404" s="27" t="n"/>
      <c r="F404" s="29" t="n"/>
      <c r="G404" s="30" t="n"/>
      <c r="H404" s="30" t="n"/>
      <c r="I404" s="31">
        <f>IF($B404="","",$H404-$G404)</f>
        <v/>
      </c>
      <c r="J404" s="32">
        <f>IF(OR($B404="",$G404=0,$G404=""),"",$I404/$G404)</f>
        <v/>
      </c>
      <c r="K404" s="33" t="n"/>
      <c r="L404" s="33" t="n"/>
      <c r="M404" s="33" t="n"/>
      <c r="N404" s="33" t="n"/>
      <c r="O404" s="33" t="n"/>
      <c r="P404" s="32">
        <f>IF(OR($L404="",$N404=""),"",$L404-$N404)</f>
        <v/>
      </c>
      <c r="Q404" s="28">
        <f>IF($B404="","",IF(N($H404)&gt;0,"Live","Exited"))</f>
        <v/>
      </c>
      <c r="R404" s="28">
        <f>IF($B404="","",IF($L404="","Data Pending",IF($L404&gt;=Instructions!$D$19,"Best Fund",IF($L404&gt;=Instructions!$D$20,"Need to Improve","Not Performing"))))</f>
        <v/>
      </c>
      <c r="S404" s="7">
        <f>IF($R404="","",IF($R404="Data Pending","Enter the 3Y return",IF($R404="Best Fund","Hold / consider top-up",IF($R404="Need to Improve","Watch 2 quarters, then decide","Review with client - switch or exit"))))</f>
        <v/>
      </c>
      <c r="T404" s="27" t="n"/>
      <c r="U404" s="7">
        <f>IF($R404&lt;&gt;"Best Fund","",COUNTIFS($R$6:$R$505,"Best Fund",$L$6:$L$505,"&gt;"&amp;$L404)+COUNTIFS($R$6:$R404,"Best Fund",$L$6:$L404,$L404))</f>
        <v/>
      </c>
      <c r="V404" s="7">
        <f>IF($R404&lt;&gt;"Need to Improve","",COUNTIFS($R$6:$R$505,"Need to Improve",$L$6:$L$505,"&lt;"&amp;$L404)+COUNTIFS($R$6:$R404,"Need to Improve",$L$6:$L404,$L404))</f>
        <v/>
      </c>
      <c r="W404" s="7">
        <f>IF($R404&lt;&gt;"Not Performing","",COUNTIFS($R$6:$R$505,"Not Performing",$L$6:$L$505,"&lt;"&amp;$L404)+COUNTIFS($R$6:$R404,"Not Performing",$L$6:$L404,$L404))</f>
        <v/>
      </c>
    </row>
    <row r="405" ht="15" customHeight="1">
      <c r="A405" s="27" t="n"/>
      <c r="B405" s="27" t="n"/>
      <c r="C405" s="27" t="n"/>
      <c r="D405" s="28">
        <f>IF($C405="","",IFERROR(TRIM(LEFT($C405,FIND("-",$C405)-1)),""))</f>
        <v/>
      </c>
      <c r="E405" s="27" t="n"/>
      <c r="F405" s="29" t="n"/>
      <c r="G405" s="30" t="n"/>
      <c r="H405" s="30" t="n"/>
      <c r="I405" s="31">
        <f>IF($B405="","",$H405-$G405)</f>
        <v/>
      </c>
      <c r="J405" s="32">
        <f>IF(OR($B405="",$G405=0,$G405=""),"",$I405/$G405)</f>
        <v/>
      </c>
      <c r="K405" s="33" t="n"/>
      <c r="L405" s="33" t="n"/>
      <c r="M405" s="33" t="n"/>
      <c r="N405" s="33" t="n"/>
      <c r="O405" s="33" t="n"/>
      <c r="P405" s="32">
        <f>IF(OR($L405="",$N405=""),"",$L405-$N405)</f>
        <v/>
      </c>
      <c r="Q405" s="28">
        <f>IF($B405="","",IF(N($H405)&gt;0,"Live","Exited"))</f>
        <v/>
      </c>
      <c r="R405" s="28">
        <f>IF($B405="","",IF($L405="","Data Pending",IF($L405&gt;=Instructions!$D$19,"Best Fund",IF($L405&gt;=Instructions!$D$20,"Need to Improve","Not Performing"))))</f>
        <v/>
      </c>
      <c r="S405" s="7">
        <f>IF($R405="","",IF($R405="Data Pending","Enter the 3Y return",IF($R405="Best Fund","Hold / consider top-up",IF($R405="Need to Improve","Watch 2 quarters, then decide","Review with client - switch or exit"))))</f>
        <v/>
      </c>
      <c r="T405" s="27" t="n"/>
      <c r="U405" s="7">
        <f>IF($R405&lt;&gt;"Best Fund","",COUNTIFS($R$6:$R$505,"Best Fund",$L$6:$L$505,"&gt;"&amp;$L405)+COUNTIFS($R$6:$R405,"Best Fund",$L$6:$L405,$L405))</f>
        <v/>
      </c>
      <c r="V405" s="7">
        <f>IF($R405&lt;&gt;"Need to Improve","",COUNTIFS($R$6:$R$505,"Need to Improve",$L$6:$L$505,"&lt;"&amp;$L405)+COUNTIFS($R$6:$R405,"Need to Improve",$L$6:$L405,$L405))</f>
        <v/>
      </c>
      <c r="W405" s="7">
        <f>IF($R405&lt;&gt;"Not Performing","",COUNTIFS($R$6:$R$505,"Not Performing",$L$6:$L$505,"&lt;"&amp;$L405)+COUNTIFS($R$6:$R405,"Not Performing",$L$6:$L405,$L405))</f>
        <v/>
      </c>
    </row>
    <row r="406" ht="15" customHeight="1">
      <c r="A406" s="27" t="n"/>
      <c r="B406" s="27" t="n"/>
      <c r="C406" s="27" t="n"/>
      <c r="D406" s="28">
        <f>IF($C406="","",IFERROR(TRIM(LEFT($C406,FIND("-",$C406)-1)),""))</f>
        <v/>
      </c>
      <c r="E406" s="27" t="n"/>
      <c r="F406" s="29" t="n"/>
      <c r="G406" s="30" t="n"/>
      <c r="H406" s="30" t="n"/>
      <c r="I406" s="31">
        <f>IF($B406="","",$H406-$G406)</f>
        <v/>
      </c>
      <c r="J406" s="32">
        <f>IF(OR($B406="",$G406=0,$G406=""),"",$I406/$G406)</f>
        <v/>
      </c>
      <c r="K406" s="33" t="n"/>
      <c r="L406" s="33" t="n"/>
      <c r="M406" s="33" t="n"/>
      <c r="N406" s="33" t="n"/>
      <c r="O406" s="33" t="n"/>
      <c r="P406" s="32">
        <f>IF(OR($L406="",$N406=""),"",$L406-$N406)</f>
        <v/>
      </c>
      <c r="Q406" s="28">
        <f>IF($B406="","",IF(N($H406)&gt;0,"Live","Exited"))</f>
        <v/>
      </c>
      <c r="R406" s="28">
        <f>IF($B406="","",IF($L406="","Data Pending",IF($L406&gt;=Instructions!$D$19,"Best Fund",IF($L406&gt;=Instructions!$D$20,"Need to Improve","Not Performing"))))</f>
        <v/>
      </c>
      <c r="S406" s="7">
        <f>IF($R406="","",IF($R406="Data Pending","Enter the 3Y return",IF($R406="Best Fund","Hold / consider top-up",IF($R406="Need to Improve","Watch 2 quarters, then decide","Review with client - switch or exit"))))</f>
        <v/>
      </c>
      <c r="T406" s="27" t="n"/>
      <c r="U406" s="7">
        <f>IF($R406&lt;&gt;"Best Fund","",COUNTIFS($R$6:$R$505,"Best Fund",$L$6:$L$505,"&gt;"&amp;$L406)+COUNTIFS($R$6:$R406,"Best Fund",$L$6:$L406,$L406))</f>
        <v/>
      </c>
      <c r="V406" s="7">
        <f>IF($R406&lt;&gt;"Need to Improve","",COUNTIFS($R$6:$R$505,"Need to Improve",$L$6:$L$505,"&lt;"&amp;$L406)+COUNTIFS($R$6:$R406,"Need to Improve",$L$6:$L406,$L406))</f>
        <v/>
      </c>
      <c r="W406" s="7">
        <f>IF($R406&lt;&gt;"Not Performing","",COUNTIFS($R$6:$R$505,"Not Performing",$L$6:$L$505,"&lt;"&amp;$L406)+COUNTIFS($R$6:$R406,"Not Performing",$L$6:$L406,$L406))</f>
        <v/>
      </c>
    </row>
    <row r="407" ht="15" customHeight="1">
      <c r="A407" s="27" t="n"/>
      <c r="B407" s="27" t="n"/>
      <c r="C407" s="27" t="n"/>
      <c r="D407" s="28">
        <f>IF($C407="","",IFERROR(TRIM(LEFT($C407,FIND("-",$C407)-1)),""))</f>
        <v/>
      </c>
      <c r="E407" s="27" t="n"/>
      <c r="F407" s="29" t="n"/>
      <c r="G407" s="30" t="n"/>
      <c r="H407" s="30" t="n"/>
      <c r="I407" s="31">
        <f>IF($B407="","",$H407-$G407)</f>
        <v/>
      </c>
      <c r="J407" s="32">
        <f>IF(OR($B407="",$G407=0,$G407=""),"",$I407/$G407)</f>
        <v/>
      </c>
      <c r="K407" s="33" t="n"/>
      <c r="L407" s="33" t="n"/>
      <c r="M407" s="33" t="n"/>
      <c r="N407" s="33" t="n"/>
      <c r="O407" s="33" t="n"/>
      <c r="P407" s="32">
        <f>IF(OR($L407="",$N407=""),"",$L407-$N407)</f>
        <v/>
      </c>
      <c r="Q407" s="28">
        <f>IF($B407="","",IF(N($H407)&gt;0,"Live","Exited"))</f>
        <v/>
      </c>
      <c r="R407" s="28">
        <f>IF($B407="","",IF($L407="","Data Pending",IF($L407&gt;=Instructions!$D$19,"Best Fund",IF($L407&gt;=Instructions!$D$20,"Need to Improve","Not Performing"))))</f>
        <v/>
      </c>
      <c r="S407" s="7">
        <f>IF($R407="","",IF($R407="Data Pending","Enter the 3Y return",IF($R407="Best Fund","Hold / consider top-up",IF($R407="Need to Improve","Watch 2 quarters, then decide","Review with client - switch or exit"))))</f>
        <v/>
      </c>
      <c r="T407" s="27" t="n"/>
      <c r="U407" s="7">
        <f>IF($R407&lt;&gt;"Best Fund","",COUNTIFS($R$6:$R$505,"Best Fund",$L$6:$L$505,"&gt;"&amp;$L407)+COUNTIFS($R$6:$R407,"Best Fund",$L$6:$L407,$L407))</f>
        <v/>
      </c>
      <c r="V407" s="7">
        <f>IF($R407&lt;&gt;"Need to Improve","",COUNTIFS($R$6:$R$505,"Need to Improve",$L$6:$L$505,"&lt;"&amp;$L407)+COUNTIFS($R$6:$R407,"Need to Improve",$L$6:$L407,$L407))</f>
        <v/>
      </c>
      <c r="W407" s="7">
        <f>IF($R407&lt;&gt;"Not Performing","",COUNTIFS($R$6:$R$505,"Not Performing",$L$6:$L$505,"&lt;"&amp;$L407)+COUNTIFS($R$6:$R407,"Not Performing",$L$6:$L407,$L407))</f>
        <v/>
      </c>
    </row>
    <row r="408" ht="15" customHeight="1">
      <c r="A408" s="27" t="n"/>
      <c r="B408" s="27" t="n"/>
      <c r="C408" s="27" t="n"/>
      <c r="D408" s="28">
        <f>IF($C408="","",IFERROR(TRIM(LEFT($C408,FIND("-",$C408)-1)),""))</f>
        <v/>
      </c>
      <c r="E408" s="27" t="n"/>
      <c r="F408" s="29" t="n"/>
      <c r="G408" s="30" t="n"/>
      <c r="H408" s="30" t="n"/>
      <c r="I408" s="31">
        <f>IF($B408="","",$H408-$G408)</f>
        <v/>
      </c>
      <c r="J408" s="32">
        <f>IF(OR($B408="",$G408=0,$G408=""),"",$I408/$G408)</f>
        <v/>
      </c>
      <c r="K408" s="33" t="n"/>
      <c r="L408" s="33" t="n"/>
      <c r="M408" s="33" t="n"/>
      <c r="N408" s="33" t="n"/>
      <c r="O408" s="33" t="n"/>
      <c r="P408" s="32">
        <f>IF(OR($L408="",$N408=""),"",$L408-$N408)</f>
        <v/>
      </c>
      <c r="Q408" s="28">
        <f>IF($B408="","",IF(N($H408)&gt;0,"Live","Exited"))</f>
        <v/>
      </c>
      <c r="R408" s="28">
        <f>IF($B408="","",IF($L408="","Data Pending",IF($L408&gt;=Instructions!$D$19,"Best Fund",IF($L408&gt;=Instructions!$D$20,"Need to Improve","Not Performing"))))</f>
        <v/>
      </c>
      <c r="S408" s="7">
        <f>IF($R408="","",IF($R408="Data Pending","Enter the 3Y return",IF($R408="Best Fund","Hold / consider top-up",IF($R408="Need to Improve","Watch 2 quarters, then decide","Review with client - switch or exit"))))</f>
        <v/>
      </c>
      <c r="T408" s="27" t="n"/>
      <c r="U408" s="7">
        <f>IF($R408&lt;&gt;"Best Fund","",COUNTIFS($R$6:$R$505,"Best Fund",$L$6:$L$505,"&gt;"&amp;$L408)+COUNTIFS($R$6:$R408,"Best Fund",$L$6:$L408,$L408))</f>
        <v/>
      </c>
      <c r="V408" s="7">
        <f>IF($R408&lt;&gt;"Need to Improve","",COUNTIFS($R$6:$R$505,"Need to Improve",$L$6:$L$505,"&lt;"&amp;$L408)+COUNTIFS($R$6:$R408,"Need to Improve",$L$6:$L408,$L408))</f>
        <v/>
      </c>
      <c r="W408" s="7">
        <f>IF($R408&lt;&gt;"Not Performing","",COUNTIFS($R$6:$R$505,"Not Performing",$L$6:$L$505,"&lt;"&amp;$L408)+COUNTIFS($R$6:$R408,"Not Performing",$L$6:$L408,$L408))</f>
        <v/>
      </c>
    </row>
    <row r="409" ht="15" customHeight="1">
      <c r="A409" s="27" t="n"/>
      <c r="B409" s="27" t="n"/>
      <c r="C409" s="27" t="n"/>
      <c r="D409" s="28">
        <f>IF($C409="","",IFERROR(TRIM(LEFT($C409,FIND("-",$C409)-1)),""))</f>
        <v/>
      </c>
      <c r="E409" s="27" t="n"/>
      <c r="F409" s="29" t="n"/>
      <c r="G409" s="30" t="n"/>
      <c r="H409" s="30" t="n"/>
      <c r="I409" s="31">
        <f>IF($B409="","",$H409-$G409)</f>
        <v/>
      </c>
      <c r="J409" s="32">
        <f>IF(OR($B409="",$G409=0,$G409=""),"",$I409/$G409)</f>
        <v/>
      </c>
      <c r="K409" s="33" t="n"/>
      <c r="L409" s="33" t="n"/>
      <c r="M409" s="33" t="n"/>
      <c r="N409" s="33" t="n"/>
      <c r="O409" s="33" t="n"/>
      <c r="P409" s="32">
        <f>IF(OR($L409="",$N409=""),"",$L409-$N409)</f>
        <v/>
      </c>
      <c r="Q409" s="28">
        <f>IF($B409="","",IF(N($H409)&gt;0,"Live","Exited"))</f>
        <v/>
      </c>
      <c r="R409" s="28">
        <f>IF($B409="","",IF($L409="","Data Pending",IF($L409&gt;=Instructions!$D$19,"Best Fund",IF($L409&gt;=Instructions!$D$20,"Need to Improve","Not Performing"))))</f>
        <v/>
      </c>
      <c r="S409" s="7">
        <f>IF($R409="","",IF($R409="Data Pending","Enter the 3Y return",IF($R409="Best Fund","Hold / consider top-up",IF($R409="Need to Improve","Watch 2 quarters, then decide","Review with client - switch or exit"))))</f>
        <v/>
      </c>
      <c r="T409" s="27" t="n"/>
      <c r="U409" s="7">
        <f>IF($R409&lt;&gt;"Best Fund","",COUNTIFS($R$6:$R$505,"Best Fund",$L$6:$L$505,"&gt;"&amp;$L409)+COUNTIFS($R$6:$R409,"Best Fund",$L$6:$L409,$L409))</f>
        <v/>
      </c>
      <c r="V409" s="7">
        <f>IF($R409&lt;&gt;"Need to Improve","",COUNTIFS($R$6:$R$505,"Need to Improve",$L$6:$L$505,"&lt;"&amp;$L409)+COUNTIFS($R$6:$R409,"Need to Improve",$L$6:$L409,$L409))</f>
        <v/>
      </c>
      <c r="W409" s="7">
        <f>IF($R409&lt;&gt;"Not Performing","",COUNTIFS($R$6:$R$505,"Not Performing",$L$6:$L$505,"&lt;"&amp;$L409)+COUNTIFS($R$6:$R409,"Not Performing",$L$6:$L409,$L409))</f>
        <v/>
      </c>
    </row>
    <row r="410" ht="15" customHeight="1">
      <c r="A410" s="27" t="n"/>
      <c r="B410" s="27" t="n"/>
      <c r="C410" s="27" t="n"/>
      <c r="D410" s="28">
        <f>IF($C410="","",IFERROR(TRIM(LEFT($C410,FIND("-",$C410)-1)),""))</f>
        <v/>
      </c>
      <c r="E410" s="27" t="n"/>
      <c r="F410" s="29" t="n"/>
      <c r="G410" s="30" t="n"/>
      <c r="H410" s="30" t="n"/>
      <c r="I410" s="31">
        <f>IF($B410="","",$H410-$G410)</f>
        <v/>
      </c>
      <c r="J410" s="32">
        <f>IF(OR($B410="",$G410=0,$G410=""),"",$I410/$G410)</f>
        <v/>
      </c>
      <c r="K410" s="33" t="n"/>
      <c r="L410" s="33" t="n"/>
      <c r="M410" s="33" t="n"/>
      <c r="N410" s="33" t="n"/>
      <c r="O410" s="33" t="n"/>
      <c r="P410" s="32">
        <f>IF(OR($L410="",$N410=""),"",$L410-$N410)</f>
        <v/>
      </c>
      <c r="Q410" s="28">
        <f>IF($B410="","",IF(N($H410)&gt;0,"Live","Exited"))</f>
        <v/>
      </c>
      <c r="R410" s="28">
        <f>IF($B410="","",IF($L410="","Data Pending",IF($L410&gt;=Instructions!$D$19,"Best Fund",IF($L410&gt;=Instructions!$D$20,"Need to Improve","Not Performing"))))</f>
        <v/>
      </c>
      <c r="S410" s="7">
        <f>IF($R410="","",IF($R410="Data Pending","Enter the 3Y return",IF($R410="Best Fund","Hold / consider top-up",IF($R410="Need to Improve","Watch 2 quarters, then decide","Review with client - switch or exit"))))</f>
        <v/>
      </c>
      <c r="T410" s="27" t="n"/>
      <c r="U410" s="7">
        <f>IF($R410&lt;&gt;"Best Fund","",COUNTIFS($R$6:$R$505,"Best Fund",$L$6:$L$505,"&gt;"&amp;$L410)+COUNTIFS($R$6:$R410,"Best Fund",$L$6:$L410,$L410))</f>
        <v/>
      </c>
      <c r="V410" s="7">
        <f>IF($R410&lt;&gt;"Need to Improve","",COUNTIFS($R$6:$R$505,"Need to Improve",$L$6:$L$505,"&lt;"&amp;$L410)+COUNTIFS($R$6:$R410,"Need to Improve",$L$6:$L410,$L410))</f>
        <v/>
      </c>
      <c r="W410" s="7">
        <f>IF($R410&lt;&gt;"Not Performing","",COUNTIFS($R$6:$R$505,"Not Performing",$L$6:$L$505,"&lt;"&amp;$L410)+COUNTIFS($R$6:$R410,"Not Performing",$L$6:$L410,$L410))</f>
        <v/>
      </c>
    </row>
    <row r="411" ht="15" customHeight="1">
      <c r="A411" s="27" t="n"/>
      <c r="B411" s="27" t="n"/>
      <c r="C411" s="27" t="n"/>
      <c r="D411" s="28">
        <f>IF($C411="","",IFERROR(TRIM(LEFT($C411,FIND("-",$C411)-1)),""))</f>
        <v/>
      </c>
      <c r="E411" s="27" t="n"/>
      <c r="F411" s="29" t="n"/>
      <c r="G411" s="30" t="n"/>
      <c r="H411" s="30" t="n"/>
      <c r="I411" s="31">
        <f>IF($B411="","",$H411-$G411)</f>
        <v/>
      </c>
      <c r="J411" s="32">
        <f>IF(OR($B411="",$G411=0,$G411=""),"",$I411/$G411)</f>
        <v/>
      </c>
      <c r="K411" s="33" t="n"/>
      <c r="L411" s="33" t="n"/>
      <c r="M411" s="33" t="n"/>
      <c r="N411" s="33" t="n"/>
      <c r="O411" s="33" t="n"/>
      <c r="P411" s="32">
        <f>IF(OR($L411="",$N411=""),"",$L411-$N411)</f>
        <v/>
      </c>
      <c r="Q411" s="28">
        <f>IF($B411="","",IF(N($H411)&gt;0,"Live","Exited"))</f>
        <v/>
      </c>
      <c r="R411" s="28">
        <f>IF($B411="","",IF($L411="","Data Pending",IF($L411&gt;=Instructions!$D$19,"Best Fund",IF($L411&gt;=Instructions!$D$20,"Need to Improve","Not Performing"))))</f>
        <v/>
      </c>
      <c r="S411" s="7">
        <f>IF($R411="","",IF($R411="Data Pending","Enter the 3Y return",IF($R411="Best Fund","Hold / consider top-up",IF($R411="Need to Improve","Watch 2 quarters, then decide","Review with client - switch or exit"))))</f>
        <v/>
      </c>
      <c r="T411" s="27" t="n"/>
      <c r="U411" s="7">
        <f>IF($R411&lt;&gt;"Best Fund","",COUNTIFS($R$6:$R$505,"Best Fund",$L$6:$L$505,"&gt;"&amp;$L411)+COUNTIFS($R$6:$R411,"Best Fund",$L$6:$L411,$L411))</f>
        <v/>
      </c>
      <c r="V411" s="7">
        <f>IF($R411&lt;&gt;"Need to Improve","",COUNTIFS($R$6:$R$505,"Need to Improve",$L$6:$L$505,"&lt;"&amp;$L411)+COUNTIFS($R$6:$R411,"Need to Improve",$L$6:$L411,$L411))</f>
        <v/>
      </c>
      <c r="W411" s="7">
        <f>IF($R411&lt;&gt;"Not Performing","",COUNTIFS($R$6:$R$505,"Not Performing",$L$6:$L$505,"&lt;"&amp;$L411)+COUNTIFS($R$6:$R411,"Not Performing",$L$6:$L411,$L411))</f>
        <v/>
      </c>
    </row>
    <row r="412" ht="15" customHeight="1">
      <c r="A412" s="27" t="n"/>
      <c r="B412" s="27" t="n"/>
      <c r="C412" s="27" t="n"/>
      <c r="D412" s="28">
        <f>IF($C412="","",IFERROR(TRIM(LEFT($C412,FIND("-",$C412)-1)),""))</f>
        <v/>
      </c>
      <c r="E412" s="27" t="n"/>
      <c r="F412" s="29" t="n"/>
      <c r="G412" s="30" t="n"/>
      <c r="H412" s="30" t="n"/>
      <c r="I412" s="31">
        <f>IF($B412="","",$H412-$G412)</f>
        <v/>
      </c>
      <c r="J412" s="32">
        <f>IF(OR($B412="",$G412=0,$G412=""),"",$I412/$G412)</f>
        <v/>
      </c>
      <c r="K412" s="33" t="n"/>
      <c r="L412" s="33" t="n"/>
      <c r="M412" s="33" t="n"/>
      <c r="N412" s="33" t="n"/>
      <c r="O412" s="33" t="n"/>
      <c r="P412" s="32">
        <f>IF(OR($L412="",$N412=""),"",$L412-$N412)</f>
        <v/>
      </c>
      <c r="Q412" s="28">
        <f>IF($B412="","",IF(N($H412)&gt;0,"Live","Exited"))</f>
        <v/>
      </c>
      <c r="R412" s="28">
        <f>IF($B412="","",IF($L412="","Data Pending",IF($L412&gt;=Instructions!$D$19,"Best Fund",IF($L412&gt;=Instructions!$D$20,"Need to Improve","Not Performing"))))</f>
        <v/>
      </c>
      <c r="S412" s="7">
        <f>IF($R412="","",IF($R412="Data Pending","Enter the 3Y return",IF($R412="Best Fund","Hold / consider top-up",IF($R412="Need to Improve","Watch 2 quarters, then decide","Review with client - switch or exit"))))</f>
        <v/>
      </c>
      <c r="T412" s="27" t="n"/>
      <c r="U412" s="7">
        <f>IF($R412&lt;&gt;"Best Fund","",COUNTIFS($R$6:$R$505,"Best Fund",$L$6:$L$505,"&gt;"&amp;$L412)+COUNTIFS($R$6:$R412,"Best Fund",$L$6:$L412,$L412))</f>
        <v/>
      </c>
      <c r="V412" s="7">
        <f>IF($R412&lt;&gt;"Need to Improve","",COUNTIFS($R$6:$R$505,"Need to Improve",$L$6:$L$505,"&lt;"&amp;$L412)+COUNTIFS($R$6:$R412,"Need to Improve",$L$6:$L412,$L412))</f>
        <v/>
      </c>
      <c r="W412" s="7">
        <f>IF($R412&lt;&gt;"Not Performing","",COUNTIFS($R$6:$R$505,"Not Performing",$L$6:$L$505,"&lt;"&amp;$L412)+COUNTIFS($R$6:$R412,"Not Performing",$L$6:$L412,$L412))</f>
        <v/>
      </c>
    </row>
    <row r="413" ht="15" customHeight="1">
      <c r="A413" s="27" t="n"/>
      <c r="B413" s="27" t="n"/>
      <c r="C413" s="27" t="n"/>
      <c r="D413" s="28">
        <f>IF($C413="","",IFERROR(TRIM(LEFT($C413,FIND("-",$C413)-1)),""))</f>
        <v/>
      </c>
      <c r="E413" s="27" t="n"/>
      <c r="F413" s="29" t="n"/>
      <c r="G413" s="30" t="n"/>
      <c r="H413" s="30" t="n"/>
      <c r="I413" s="31">
        <f>IF($B413="","",$H413-$G413)</f>
        <v/>
      </c>
      <c r="J413" s="32">
        <f>IF(OR($B413="",$G413=0,$G413=""),"",$I413/$G413)</f>
        <v/>
      </c>
      <c r="K413" s="33" t="n"/>
      <c r="L413" s="33" t="n"/>
      <c r="M413" s="33" t="n"/>
      <c r="N413" s="33" t="n"/>
      <c r="O413" s="33" t="n"/>
      <c r="P413" s="32">
        <f>IF(OR($L413="",$N413=""),"",$L413-$N413)</f>
        <v/>
      </c>
      <c r="Q413" s="28">
        <f>IF($B413="","",IF(N($H413)&gt;0,"Live","Exited"))</f>
        <v/>
      </c>
      <c r="R413" s="28">
        <f>IF($B413="","",IF($L413="","Data Pending",IF($L413&gt;=Instructions!$D$19,"Best Fund",IF($L413&gt;=Instructions!$D$20,"Need to Improve","Not Performing"))))</f>
        <v/>
      </c>
      <c r="S413" s="7">
        <f>IF($R413="","",IF($R413="Data Pending","Enter the 3Y return",IF($R413="Best Fund","Hold / consider top-up",IF($R413="Need to Improve","Watch 2 quarters, then decide","Review with client - switch or exit"))))</f>
        <v/>
      </c>
      <c r="T413" s="27" t="n"/>
      <c r="U413" s="7">
        <f>IF($R413&lt;&gt;"Best Fund","",COUNTIFS($R$6:$R$505,"Best Fund",$L$6:$L$505,"&gt;"&amp;$L413)+COUNTIFS($R$6:$R413,"Best Fund",$L$6:$L413,$L413))</f>
        <v/>
      </c>
      <c r="V413" s="7">
        <f>IF($R413&lt;&gt;"Need to Improve","",COUNTIFS($R$6:$R$505,"Need to Improve",$L$6:$L$505,"&lt;"&amp;$L413)+COUNTIFS($R$6:$R413,"Need to Improve",$L$6:$L413,$L413))</f>
        <v/>
      </c>
      <c r="W413" s="7">
        <f>IF($R413&lt;&gt;"Not Performing","",COUNTIFS($R$6:$R$505,"Not Performing",$L$6:$L$505,"&lt;"&amp;$L413)+COUNTIFS($R$6:$R413,"Not Performing",$L$6:$L413,$L413))</f>
        <v/>
      </c>
    </row>
    <row r="414" ht="15" customHeight="1">
      <c r="A414" s="27" t="n"/>
      <c r="B414" s="27" t="n"/>
      <c r="C414" s="27" t="n"/>
      <c r="D414" s="28">
        <f>IF($C414="","",IFERROR(TRIM(LEFT($C414,FIND("-",$C414)-1)),""))</f>
        <v/>
      </c>
      <c r="E414" s="27" t="n"/>
      <c r="F414" s="29" t="n"/>
      <c r="G414" s="30" t="n"/>
      <c r="H414" s="30" t="n"/>
      <c r="I414" s="31">
        <f>IF($B414="","",$H414-$G414)</f>
        <v/>
      </c>
      <c r="J414" s="32">
        <f>IF(OR($B414="",$G414=0,$G414=""),"",$I414/$G414)</f>
        <v/>
      </c>
      <c r="K414" s="33" t="n"/>
      <c r="L414" s="33" t="n"/>
      <c r="M414" s="33" t="n"/>
      <c r="N414" s="33" t="n"/>
      <c r="O414" s="33" t="n"/>
      <c r="P414" s="32">
        <f>IF(OR($L414="",$N414=""),"",$L414-$N414)</f>
        <v/>
      </c>
      <c r="Q414" s="28">
        <f>IF($B414="","",IF(N($H414)&gt;0,"Live","Exited"))</f>
        <v/>
      </c>
      <c r="R414" s="28">
        <f>IF($B414="","",IF($L414="","Data Pending",IF($L414&gt;=Instructions!$D$19,"Best Fund",IF($L414&gt;=Instructions!$D$20,"Need to Improve","Not Performing"))))</f>
        <v/>
      </c>
      <c r="S414" s="7">
        <f>IF($R414="","",IF($R414="Data Pending","Enter the 3Y return",IF($R414="Best Fund","Hold / consider top-up",IF($R414="Need to Improve","Watch 2 quarters, then decide","Review with client - switch or exit"))))</f>
        <v/>
      </c>
      <c r="T414" s="27" t="n"/>
      <c r="U414" s="7">
        <f>IF($R414&lt;&gt;"Best Fund","",COUNTIFS($R$6:$R$505,"Best Fund",$L$6:$L$505,"&gt;"&amp;$L414)+COUNTIFS($R$6:$R414,"Best Fund",$L$6:$L414,$L414))</f>
        <v/>
      </c>
      <c r="V414" s="7">
        <f>IF($R414&lt;&gt;"Need to Improve","",COUNTIFS($R$6:$R$505,"Need to Improve",$L$6:$L$505,"&lt;"&amp;$L414)+COUNTIFS($R$6:$R414,"Need to Improve",$L$6:$L414,$L414))</f>
        <v/>
      </c>
      <c r="W414" s="7">
        <f>IF($R414&lt;&gt;"Not Performing","",COUNTIFS($R$6:$R$505,"Not Performing",$L$6:$L$505,"&lt;"&amp;$L414)+COUNTIFS($R$6:$R414,"Not Performing",$L$6:$L414,$L414))</f>
        <v/>
      </c>
    </row>
    <row r="415" ht="15" customHeight="1">
      <c r="A415" s="27" t="n"/>
      <c r="B415" s="27" t="n"/>
      <c r="C415" s="27" t="n"/>
      <c r="D415" s="28">
        <f>IF($C415="","",IFERROR(TRIM(LEFT($C415,FIND("-",$C415)-1)),""))</f>
        <v/>
      </c>
      <c r="E415" s="27" t="n"/>
      <c r="F415" s="29" t="n"/>
      <c r="G415" s="30" t="n"/>
      <c r="H415" s="30" t="n"/>
      <c r="I415" s="31">
        <f>IF($B415="","",$H415-$G415)</f>
        <v/>
      </c>
      <c r="J415" s="32">
        <f>IF(OR($B415="",$G415=0,$G415=""),"",$I415/$G415)</f>
        <v/>
      </c>
      <c r="K415" s="33" t="n"/>
      <c r="L415" s="33" t="n"/>
      <c r="M415" s="33" t="n"/>
      <c r="N415" s="33" t="n"/>
      <c r="O415" s="33" t="n"/>
      <c r="P415" s="32">
        <f>IF(OR($L415="",$N415=""),"",$L415-$N415)</f>
        <v/>
      </c>
      <c r="Q415" s="28">
        <f>IF($B415="","",IF(N($H415)&gt;0,"Live","Exited"))</f>
        <v/>
      </c>
      <c r="R415" s="28">
        <f>IF($B415="","",IF($L415="","Data Pending",IF($L415&gt;=Instructions!$D$19,"Best Fund",IF($L415&gt;=Instructions!$D$20,"Need to Improve","Not Performing"))))</f>
        <v/>
      </c>
      <c r="S415" s="7">
        <f>IF($R415="","",IF($R415="Data Pending","Enter the 3Y return",IF($R415="Best Fund","Hold / consider top-up",IF($R415="Need to Improve","Watch 2 quarters, then decide","Review with client - switch or exit"))))</f>
        <v/>
      </c>
      <c r="T415" s="27" t="n"/>
      <c r="U415" s="7">
        <f>IF($R415&lt;&gt;"Best Fund","",COUNTIFS($R$6:$R$505,"Best Fund",$L$6:$L$505,"&gt;"&amp;$L415)+COUNTIFS($R$6:$R415,"Best Fund",$L$6:$L415,$L415))</f>
        <v/>
      </c>
      <c r="V415" s="7">
        <f>IF($R415&lt;&gt;"Need to Improve","",COUNTIFS($R$6:$R$505,"Need to Improve",$L$6:$L$505,"&lt;"&amp;$L415)+COUNTIFS($R$6:$R415,"Need to Improve",$L$6:$L415,$L415))</f>
        <v/>
      </c>
      <c r="W415" s="7">
        <f>IF($R415&lt;&gt;"Not Performing","",COUNTIFS($R$6:$R$505,"Not Performing",$L$6:$L$505,"&lt;"&amp;$L415)+COUNTIFS($R$6:$R415,"Not Performing",$L$6:$L415,$L415))</f>
        <v/>
      </c>
    </row>
    <row r="416" ht="15" customHeight="1">
      <c r="A416" s="27" t="n"/>
      <c r="B416" s="27" t="n"/>
      <c r="C416" s="27" t="n"/>
      <c r="D416" s="28">
        <f>IF($C416="","",IFERROR(TRIM(LEFT($C416,FIND("-",$C416)-1)),""))</f>
        <v/>
      </c>
      <c r="E416" s="27" t="n"/>
      <c r="F416" s="29" t="n"/>
      <c r="G416" s="30" t="n"/>
      <c r="H416" s="30" t="n"/>
      <c r="I416" s="31">
        <f>IF($B416="","",$H416-$G416)</f>
        <v/>
      </c>
      <c r="J416" s="32">
        <f>IF(OR($B416="",$G416=0,$G416=""),"",$I416/$G416)</f>
        <v/>
      </c>
      <c r="K416" s="33" t="n"/>
      <c r="L416" s="33" t="n"/>
      <c r="M416" s="33" t="n"/>
      <c r="N416" s="33" t="n"/>
      <c r="O416" s="33" t="n"/>
      <c r="P416" s="32">
        <f>IF(OR($L416="",$N416=""),"",$L416-$N416)</f>
        <v/>
      </c>
      <c r="Q416" s="28">
        <f>IF($B416="","",IF(N($H416)&gt;0,"Live","Exited"))</f>
        <v/>
      </c>
      <c r="R416" s="28">
        <f>IF($B416="","",IF($L416="","Data Pending",IF($L416&gt;=Instructions!$D$19,"Best Fund",IF($L416&gt;=Instructions!$D$20,"Need to Improve","Not Performing"))))</f>
        <v/>
      </c>
      <c r="S416" s="7">
        <f>IF($R416="","",IF($R416="Data Pending","Enter the 3Y return",IF($R416="Best Fund","Hold / consider top-up",IF($R416="Need to Improve","Watch 2 quarters, then decide","Review with client - switch or exit"))))</f>
        <v/>
      </c>
      <c r="T416" s="27" t="n"/>
      <c r="U416" s="7">
        <f>IF($R416&lt;&gt;"Best Fund","",COUNTIFS($R$6:$R$505,"Best Fund",$L$6:$L$505,"&gt;"&amp;$L416)+COUNTIFS($R$6:$R416,"Best Fund",$L$6:$L416,$L416))</f>
        <v/>
      </c>
      <c r="V416" s="7">
        <f>IF($R416&lt;&gt;"Need to Improve","",COUNTIFS($R$6:$R$505,"Need to Improve",$L$6:$L$505,"&lt;"&amp;$L416)+COUNTIFS($R$6:$R416,"Need to Improve",$L$6:$L416,$L416))</f>
        <v/>
      </c>
      <c r="W416" s="7">
        <f>IF($R416&lt;&gt;"Not Performing","",COUNTIFS($R$6:$R$505,"Not Performing",$L$6:$L$505,"&lt;"&amp;$L416)+COUNTIFS($R$6:$R416,"Not Performing",$L$6:$L416,$L416))</f>
        <v/>
      </c>
    </row>
    <row r="417" ht="15" customHeight="1">
      <c r="A417" s="27" t="n"/>
      <c r="B417" s="27" t="n"/>
      <c r="C417" s="27" t="n"/>
      <c r="D417" s="28">
        <f>IF($C417="","",IFERROR(TRIM(LEFT($C417,FIND("-",$C417)-1)),""))</f>
        <v/>
      </c>
      <c r="E417" s="27" t="n"/>
      <c r="F417" s="29" t="n"/>
      <c r="G417" s="30" t="n"/>
      <c r="H417" s="30" t="n"/>
      <c r="I417" s="31">
        <f>IF($B417="","",$H417-$G417)</f>
        <v/>
      </c>
      <c r="J417" s="32">
        <f>IF(OR($B417="",$G417=0,$G417=""),"",$I417/$G417)</f>
        <v/>
      </c>
      <c r="K417" s="33" t="n"/>
      <c r="L417" s="33" t="n"/>
      <c r="M417" s="33" t="n"/>
      <c r="N417" s="33" t="n"/>
      <c r="O417" s="33" t="n"/>
      <c r="P417" s="32">
        <f>IF(OR($L417="",$N417=""),"",$L417-$N417)</f>
        <v/>
      </c>
      <c r="Q417" s="28">
        <f>IF($B417="","",IF(N($H417)&gt;0,"Live","Exited"))</f>
        <v/>
      </c>
      <c r="R417" s="28">
        <f>IF($B417="","",IF($L417="","Data Pending",IF($L417&gt;=Instructions!$D$19,"Best Fund",IF($L417&gt;=Instructions!$D$20,"Need to Improve","Not Performing"))))</f>
        <v/>
      </c>
      <c r="S417" s="7">
        <f>IF($R417="","",IF($R417="Data Pending","Enter the 3Y return",IF($R417="Best Fund","Hold / consider top-up",IF($R417="Need to Improve","Watch 2 quarters, then decide","Review with client - switch or exit"))))</f>
        <v/>
      </c>
      <c r="T417" s="27" t="n"/>
      <c r="U417" s="7">
        <f>IF($R417&lt;&gt;"Best Fund","",COUNTIFS($R$6:$R$505,"Best Fund",$L$6:$L$505,"&gt;"&amp;$L417)+COUNTIFS($R$6:$R417,"Best Fund",$L$6:$L417,$L417))</f>
        <v/>
      </c>
      <c r="V417" s="7">
        <f>IF($R417&lt;&gt;"Need to Improve","",COUNTIFS($R$6:$R$505,"Need to Improve",$L$6:$L$505,"&lt;"&amp;$L417)+COUNTIFS($R$6:$R417,"Need to Improve",$L$6:$L417,$L417))</f>
        <v/>
      </c>
      <c r="W417" s="7">
        <f>IF($R417&lt;&gt;"Not Performing","",COUNTIFS($R$6:$R$505,"Not Performing",$L$6:$L$505,"&lt;"&amp;$L417)+COUNTIFS($R$6:$R417,"Not Performing",$L$6:$L417,$L417))</f>
        <v/>
      </c>
    </row>
    <row r="418" ht="15" customHeight="1">
      <c r="A418" s="27" t="n"/>
      <c r="B418" s="27" t="n"/>
      <c r="C418" s="27" t="n"/>
      <c r="D418" s="28">
        <f>IF($C418="","",IFERROR(TRIM(LEFT($C418,FIND("-",$C418)-1)),""))</f>
        <v/>
      </c>
      <c r="E418" s="27" t="n"/>
      <c r="F418" s="29" t="n"/>
      <c r="G418" s="30" t="n"/>
      <c r="H418" s="30" t="n"/>
      <c r="I418" s="31">
        <f>IF($B418="","",$H418-$G418)</f>
        <v/>
      </c>
      <c r="J418" s="32">
        <f>IF(OR($B418="",$G418=0,$G418=""),"",$I418/$G418)</f>
        <v/>
      </c>
      <c r="K418" s="33" t="n"/>
      <c r="L418" s="33" t="n"/>
      <c r="M418" s="33" t="n"/>
      <c r="N418" s="33" t="n"/>
      <c r="O418" s="33" t="n"/>
      <c r="P418" s="32">
        <f>IF(OR($L418="",$N418=""),"",$L418-$N418)</f>
        <v/>
      </c>
      <c r="Q418" s="28">
        <f>IF($B418="","",IF(N($H418)&gt;0,"Live","Exited"))</f>
        <v/>
      </c>
      <c r="R418" s="28">
        <f>IF($B418="","",IF($L418="","Data Pending",IF($L418&gt;=Instructions!$D$19,"Best Fund",IF($L418&gt;=Instructions!$D$20,"Need to Improve","Not Performing"))))</f>
        <v/>
      </c>
      <c r="S418" s="7">
        <f>IF($R418="","",IF($R418="Data Pending","Enter the 3Y return",IF($R418="Best Fund","Hold / consider top-up",IF($R418="Need to Improve","Watch 2 quarters, then decide","Review with client - switch or exit"))))</f>
        <v/>
      </c>
      <c r="T418" s="27" t="n"/>
      <c r="U418" s="7">
        <f>IF($R418&lt;&gt;"Best Fund","",COUNTIFS($R$6:$R$505,"Best Fund",$L$6:$L$505,"&gt;"&amp;$L418)+COUNTIFS($R$6:$R418,"Best Fund",$L$6:$L418,$L418))</f>
        <v/>
      </c>
      <c r="V418" s="7">
        <f>IF($R418&lt;&gt;"Need to Improve","",COUNTIFS($R$6:$R$505,"Need to Improve",$L$6:$L$505,"&lt;"&amp;$L418)+COUNTIFS($R$6:$R418,"Need to Improve",$L$6:$L418,$L418))</f>
        <v/>
      </c>
      <c r="W418" s="7">
        <f>IF($R418&lt;&gt;"Not Performing","",COUNTIFS($R$6:$R$505,"Not Performing",$L$6:$L$505,"&lt;"&amp;$L418)+COUNTIFS($R$6:$R418,"Not Performing",$L$6:$L418,$L418))</f>
        <v/>
      </c>
    </row>
    <row r="419" ht="15" customHeight="1">
      <c r="A419" s="27" t="n"/>
      <c r="B419" s="27" t="n"/>
      <c r="C419" s="27" t="n"/>
      <c r="D419" s="28">
        <f>IF($C419="","",IFERROR(TRIM(LEFT($C419,FIND("-",$C419)-1)),""))</f>
        <v/>
      </c>
      <c r="E419" s="27" t="n"/>
      <c r="F419" s="29" t="n"/>
      <c r="G419" s="30" t="n"/>
      <c r="H419" s="30" t="n"/>
      <c r="I419" s="31">
        <f>IF($B419="","",$H419-$G419)</f>
        <v/>
      </c>
      <c r="J419" s="32">
        <f>IF(OR($B419="",$G419=0,$G419=""),"",$I419/$G419)</f>
        <v/>
      </c>
      <c r="K419" s="33" t="n"/>
      <c r="L419" s="33" t="n"/>
      <c r="M419" s="33" t="n"/>
      <c r="N419" s="33" t="n"/>
      <c r="O419" s="33" t="n"/>
      <c r="P419" s="32">
        <f>IF(OR($L419="",$N419=""),"",$L419-$N419)</f>
        <v/>
      </c>
      <c r="Q419" s="28">
        <f>IF($B419="","",IF(N($H419)&gt;0,"Live","Exited"))</f>
        <v/>
      </c>
      <c r="R419" s="28">
        <f>IF($B419="","",IF($L419="","Data Pending",IF($L419&gt;=Instructions!$D$19,"Best Fund",IF($L419&gt;=Instructions!$D$20,"Need to Improve","Not Performing"))))</f>
        <v/>
      </c>
      <c r="S419" s="7">
        <f>IF($R419="","",IF($R419="Data Pending","Enter the 3Y return",IF($R419="Best Fund","Hold / consider top-up",IF($R419="Need to Improve","Watch 2 quarters, then decide","Review with client - switch or exit"))))</f>
        <v/>
      </c>
      <c r="T419" s="27" t="n"/>
      <c r="U419" s="7">
        <f>IF($R419&lt;&gt;"Best Fund","",COUNTIFS($R$6:$R$505,"Best Fund",$L$6:$L$505,"&gt;"&amp;$L419)+COUNTIFS($R$6:$R419,"Best Fund",$L$6:$L419,$L419))</f>
        <v/>
      </c>
      <c r="V419" s="7">
        <f>IF($R419&lt;&gt;"Need to Improve","",COUNTIFS($R$6:$R$505,"Need to Improve",$L$6:$L$505,"&lt;"&amp;$L419)+COUNTIFS($R$6:$R419,"Need to Improve",$L$6:$L419,$L419))</f>
        <v/>
      </c>
      <c r="W419" s="7">
        <f>IF($R419&lt;&gt;"Not Performing","",COUNTIFS($R$6:$R$505,"Not Performing",$L$6:$L$505,"&lt;"&amp;$L419)+COUNTIFS($R$6:$R419,"Not Performing",$L$6:$L419,$L419))</f>
        <v/>
      </c>
    </row>
    <row r="420" ht="15" customHeight="1">
      <c r="A420" s="27" t="n"/>
      <c r="B420" s="27" t="n"/>
      <c r="C420" s="27" t="n"/>
      <c r="D420" s="28">
        <f>IF($C420="","",IFERROR(TRIM(LEFT($C420,FIND("-",$C420)-1)),""))</f>
        <v/>
      </c>
      <c r="E420" s="27" t="n"/>
      <c r="F420" s="29" t="n"/>
      <c r="G420" s="30" t="n"/>
      <c r="H420" s="30" t="n"/>
      <c r="I420" s="31">
        <f>IF($B420="","",$H420-$G420)</f>
        <v/>
      </c>
      <c r="J420" s="32">
        <f>IF(OR($B420="",$G420=0,$G420=""),"",$I420/$G420)</f>
        <v/>
      </c>
      <c r="K420" s="33" t="n"/>
      <c r="L420" s="33" t="n"/>
      <c r="M420" s="33" t="n"/>
      <c r="N420" s="33" t="n"/>
      <c r="O420" s="33" t="n"/>
      <c r="P420" s="32">
        <f>IF(OR($L420="",$N420=""),"",$L420-$N420)</f>
        <v/>
      </c>
      <c r="Q420" s="28">
        <f>IF($B420="","",IF(N($H420)&gt;0,"Live","Exited"))</f>
        <v/>
      </c>
      <c r="R420" s="28">
        <f>IF($B420="","",IF($L420="","Data Pending",IF($L420&gt;=Instructions!$D$19,"Best Fund",IF($L420&gt;=Instructions!$D$20,"Need to Improve","Not Performing"))))</f>
        <v/>
      </c>
      <c r="S420" s="7">
        <f>IF($R420="","",IF($R420="Data Pending","Enter the 3Y return",IF($R420="Best Fund","Hold / consider top-up",IF($R420="Need to Improve","Watch 2 quarters, then decide","Review with client - switch or exit"))))</f>
        <v/>
      </c>
      <c r="T420" s="27" t="n"/>
      <c r="U420" s="7">
        <f>IF($R420&lt;&gt;"Best Fund","",COUNTIFS($R$6:$R$505,"Best Fund",$L$6:$L$505,"&gt;"&amp;$L420)+COUNTIFS($R$6:$R420,"Best Fund",$L$6:$L420,$L420))</f>
        <v/>
      </c>
      <c r="V420" s="7">
        <f>IF($R420&lt;&gt;"Need to Improve","",COUNTIFS($R$6:$R$505,"Need to Improve",$L$6:$L$505,"&lt;"&amp;$L420)+COUNTIFS($R$6:$R420,"Need to Improve",$L$6:$L420,$L420))</f>
        <v/>
      </c>
      <c r="W420" s="7">
        <f>IF($R420&lt;&gt;"Not Performing","",COUNTIFS($R$6:$R$505,"Not Performing",$L$6:$L$505,"&lt;"&amp;$L420)+COUNTIFS($R$6:$R420,"Not Performing",$L$6:$L420,$L420))</f>
        <v/>
      </c>
    </row>
    <row r="421" ht="15" customHeight="1">
      <c r="A421" s="27" t="n"/>
      <c r="B421" s="27" t="n"/>
      <c r="C421" s="27" t="n"/>
      <c r="D421" s="28">
        <f>IF($C421="","",IFERROR(TRIM(LEFT($C421,FIND("-",$C421)-1)),""))</f>
        <v/>
      </c>
      <c r="E421" s="27" t="n"/>
      <c r="F421" s="29" t="n"/>
      <c r="G421" s="30" t="n"/>
      <c r="H421" s="30" t="n"/>
      <c r="I421" s="31">
        <f>IF($B421="","",$H421-$G421)</f>
        <v/>
      </c>
      <c r="J421" s="32">
        <f>IF(OR($B421="",$G421=0,$G421=""),"",$I421/$G421)</f>
        <v/>
      </c>
      <c r="K421" s="33" t="n"/>
      <c r="L421" s="33" t="n"/>
      <c r="M421" s="33" t="n"/>
      <c r="N421" s="33" t="n"/>
      <c r="O421" s="33" t="n"/>
      <c r="P421" s="32">
        <f>IF(OR($L421="",$N421=""),"",$L421-$N421)</f>
        <v/>
      </c>
      <c r="Q421" s="28">
        <f>IF($B421="","",IF(N($H421)&gt;0,"Live","Exited"))</f>
        <v/>
      </c>
      <c r="R421" s="28">
        <f>IF($B421="","",IF($L421="","Data Pending",IF($L421&gt;=Instructions!$D$19,"Best Fund",IF($L421&gt;=Instructions!$D$20,"Need to Improve","Not Performing"))))</f>
        <v/>
      </c>
      <c r="S421" s="7">
        <f>IF($R421="","",IF($R421="Data Pending","Enter the 3Y return",IF($R421="Best Fund","Hold / consider top-up",IF($R421="Need to Improve","Watch 2 quarters, then decide","Review with client - switch or exit"))))</f>
        <v/>
      </c>
      <c r="T421" s="27" t="n"/>
      <c r="U421" s="7">
        <f>IF($R421&lt;&gt;"Best Fund","",COUNTIFS($R$6:$R$505,"Best Fund",$L$6:$L$505,"&gt;"&amp;$L421)+COUNTIFS($R$6:$R421,"Best Fund",$L$6:$L421,$L421))</f>
        <v/>
      </c>
      <c r="V421" s="7">
        <f>IF($R421&lt;&gt;"Need to Improve","",COUNTIFS($R$6:$R$505,"Need to Improve",$L$6:$L$505,"&lt;"&amp;$L421)+COUNTIFS($R$6:$R421,"Need to Improve",$L$6:$L421,$L421))</f>
        <v/>
      </c>
      <c r="W421" s="7">
        <f>IF($R421&lt;&gt;"Not Performing","",COUNTIFS($R$6:$R$505,"Not Performing",$L$6:$L$505,"&lt;"&amp;$L421)+COUNTIFS($R$6:$R421,"Not Performing",$L$6:$L421,$L421))</f>
        <v/>
      </c>
    </row>
    <row r="422" ht="15" customHeight="1">
      <c r="A422" s="27" t="n"/>
      <c r="B422" s="27" t="n"/>
      <c r="C422" s="27" t="n"/>
      <c r="D422" s="28">
        <f>IF($C422="","",IFERROR(TRIM(LEFT($C422,FIND("-",$C422)-1)),""))</f>
        <v/>
      </c>
      <c r="E422" s="27" t="n"/>
      <c r="F422" s="29" t="n"/>
      <c r="G422" s="30" t="n"/>
      <c r="H422" s="30" t="n"/>
      <c r="I422" s="31">
        <f>IF($B422="","",$H422-$G422)</f>
        <v/>
      </c>
      <c r="J422" s="32">
        <f>IF(OR($B422="",$G422=0,$G422=""),"",$I422/$G422)</f>
        <v/>
      </c>
      <c r="K422" s="33" t="n"/>
      <c r="L422" s="33" t="n"/>
      <c r="M422" s="33" t="n"/>
      <c r="N422" s="33" t="n"/>
      <c r="O422" s="33" t="n"/>
      <c r="P422" s="32">
        <f>IF(OR($L422="",$N422=""),"",$L422-$N422)</f>
        <v/>
      </c>
      <c r="Q422" s="28">
        <f>IF($B422="","",IF(N($H422)&gt;0,"Live","Exited"))</f>
        <v/>
      </c>
      <c r="R422" s="28">
        <f>IF($B422="","",IF($L422="","Data Pending",IF($L422&gt;=Instructions!$D$19,"Best Fund",IF($L422&gt;=Instructions!$D$20,"Need to Improve","Not Performing"))))</f>
        <v/>
      </c>
      <c r="S422" s="7">
        <f>IF($R422="","",IF($R422="Data Pending","Enter the 3Y return",IF($R422="Best Fund","Hold / consider top-up",IF($R422="Need to Improve","Watch 2 quarters, then decide","Review with client - switch or exit"))))</f>
        <v/>
      </c>
      <c r="T422" s="27" t="n"/>
      <c r="U422" s="7">
        <f>IF($R422&lt;&gt;"Best Fund","",COUNTIFS($R$6:$R$505,"Best Fund",$L$6:$L$505,"&gt;"&amp;$L422)+COUNTIFS($R$6:$R422,"Best Fund",$L$6:$L422,$L422))</f>
        <v/>
      </c>
      <c r="V422" s="7">
        <f>IF($R422&lt;&gt;"Need to Improve","",COUNTIFS($R$6:$R$505,"Need to Improve",$L$6:$L$505,"&lt;"&amp;$L422)+COUNTIFS($R$6:$R422,"Need to Improve",$L$6:$L422,$L422))</f>
        <v/>
      </c>
      <c r="W422" s="7">
        <f>IF($R422&lt;&gt;"Not Performing","",COUNTIFS($R$6:$R$505,"Not Performing",$L$6:$L$505,"&lt;"&amp;$L422)+COUNTIFS($R$6:$R422,"Not Performing",$L$6:$L422,$L422))</f>
        <v/>
      </c>
    </row>
    <row r="423" ht="15" customHeight="1">
      <c r="A423" s="27" t="n"/>
      <c r="B423" s="27" t="n"/>
      <c r="C423" s="27" t="n"/>
      <c r="D423" s="28">
        <f>IF($C423="","",IFERROR(TRIM(LEFT($C423,FIND("-",$C423)-1)),""))</f>
        <v/>
      </c>
      <c r="E423" s="27" t="n"/>
      <c r="F423" s="29" t="n"/>
      <c r="G423" s="30" t="n"/>
      <c r="H423" s="30" t="n"/>
      <c r="I423" s="31">
        <f>IF($B423="","",$H423-$G423)</f>
        <v/>
      </c>
      <c r="J423" s="32">
        <f>IF(OR($B423="",$G423=0,$G423=""),"",$I423/$G423)</f>
        <v/>
      </c>
      <c r="K423" s="33" t="n"/>
      <c r="L423" s="33" t="n"/>
      <c r="M423" s="33" t="n"/>
      <c r="N423" s="33" t="n"/>
      <c r="O423" s="33" t="n"/>
      <c r="P423" s="32">
        <f>IF(OR($L423="",$N423=""),"",$L423-$N423)</f>
        <v/>
      </c>
      <c r="Q423" s="28">
        <f>IF($B423="","",IF(N($H423)&gt;0,"Live","Exited"))</f>
        <v/>
      </c>
      <c r="R423" s="28">
        <f>IF($B423="","",IF($L423="","Data Pending",IF($L423&gt;=Instructions!$D$19,"Best Fund",IF($L423&gt;=Instructions!$D$20,"Need to Improve","Not Performing"))))</f>
        <v/>
      </c>
      <c r="S423" s="7">
        <f>IF($R423="","",IF($R423="Data Pending","Enter the 3Y return",IF($R423="Best Fund","Hold / consider top-up",IF($R423="Need to Improve","Watch 2 quarters, then decide","Review with client - switch or exit"))))</f>
        <v/>
      </c>
      <c r="T423" s="27" t="n"/>
      <c r="U423" s="7">
        <f>IF($R423&lt;&gt;"Best Fund","",COUNTIFS($R$6:$R$505,"Best Fund",$L$6:$L$505,"&gt;"&amp;$L423)+COUNTIFS($R$6:$R423,"Best Fund",$L$6:$L423,$L423))</f>
        <v/>
      </c>
      <c r="V423" s="7">
        <f>IF($R423&lt;&gt;"Need to Improve","",COUNTIFS($R$6:$R$505,"Need to Improve",$L$6:$L$505,"&lt;"&amp;$L423)+COUNTIFS($R$6:$R423,"Need to Improve",$L$6:$L423,$L423))</f>
        <v/>
      </c>
      <c r="W423" s="7">
        <f>IF($R423&lt;&gt;"Not Performing","",COUNTIFS($R$6:$R$505,"Not Performing",$L$6:$L$505,"&lt;"&amp;$L423)+COUNTIFS($R$6:$R423,"Not Performing",$L$6:$L423,$L423))</f>
        <v/>
      </c>
    </row>
    <row r="424" ht="15" customHeight="1">
      <c r="A424" s="27" t="n"/>
      <c r="B424" s="27" t="n"/>
      <c r="C424" s="27" t="n"/>
      <c r="D424" s="28">
        <f>IF($C424="","",IFERROR(TRIM(LEFT($C424,FIND("-",$C424)-1)),""))</f>
        <v/>
      </c>
      <c r="E424" s="27" t="n"/>
      <c r="F424" s="29" t="n"/>
      <c r="G424" s="30" t="n"/>
      <c r="H424" s="30" t="n"/>
      <c r="I424" s="31">
        <f>IF($B424="","",$H424-$G424)</f>
        <v/>
      </c>
      <c r="J424" s="32">
        <f>IF(OR($B424="",$G424=0,$G424=""),"",$I424/$G424)</f>
        <v/>
      </c>
      <c r="K424" s="33" t="n"/>
      <c r="L424" s="33" t="n"/>
      <c r="M424" s="33" t="n"/>
      <c r="N424" s="33" t="n"/>
      <c r="O424" s="33" t="n"/>
      <c r="P424" s="32">
        <f>IF(OR($L424="",$N424=""),"",$L424-$N424)</f>
        <v/>
      </c>
      <c r="Q424" s="28">
        <f>IF($B424="","",IF(N($H424)&gt;0,"Live","Exited"))</f>
        <v/>
      </c>
      <c r="R424" s="28">
        <f>IF($B424="","",IF($L424="","Data Pending",IF($L424&gt;=Instructions!$D$19,"Best Fund",IF($L424&gt;=Instructions!$D$20,"Need to Improve","Not Performing"))))</f>
        <v/>
      </c>
      <c r="S424" s="7">
        <f>IF($R424="","",IF($R424="Data Pending","Enter the 3Y return",IF($R424="Best Fund","Hold / consider top-up",IF($R424="Need to Improve","Watch 2 quarters, then decide","Review with client - switch or exit"))))</f>
        <v/>
      </c>
      <c r="T424" s="27" t="n"/>
      <c r="U424" s="7">
        <f>IF($R424&lt;&gt;"Best Fund","",COUNTIFS($R$6:$R$505,"Best Fund",$L$6:$L$505,"&gt;"&amp;$L424)+COUNTIFS($R$6:$R424,"Best Fund",$L$6:$L424,$L424))</f>
        <v/>
      </c>
      <c r="V424" s="7">
        <f>IF($R424&lt;&gt;"Need to Improve","",COUNTIFS($R$6:$R$505,"Need to Improve",$L$6:$L$505,"&lt;"&amp;$L424)+COUNTIFS($R$6:$R424,"Need to Improve",$L$6:$L424,$L424))</f>
        <v/>
      </c>
      <c r="W424" s="7">
        <f>IF($R424&lt;&gt;"Not Performing","",COUNTIFS($R$6:$R$505,"Not Performing",$L$6:$L$505,"&lt;"&amp;$L424)+COUNTIFS($R$6:$R424,"Not Performing",$L$6:$L424,$L424))</f>
        <v/>
      </c>
    </row>
    <row r="425" ht="15" customHeight="1">
      <c r="A425" s="27" t="n"/>
      <c r="B425" s="27" t="n"/>
      <c r="C425" s="27" t="n"/>
      <c r="D425" s="28">
        <f>IF($C425="","",IFERROR(TRIM(LEFT($C425,FIND("-",$C425)-1)),""))</f>
        <v/>
      </c>
      <c r="E425" s="27" t="n"/>
      <c r="F425" s="29" t="n"/>
      <c r="G425" s="30" t="n"/>
      <c r="H425" s="30" t="n"/>
      <c r="I425" s="31">
        <f>IF($B425="","",$H425-$G425)</f>
        <v/>
      </c>
      <c r="J425" s="32">
        <f>IF(OR($B425="",$G425=0,$G425=""),"",$I425/$G425)</f>
        <v/>
      </c>
      <c r="K425" s="33" t="n"/>
      <c r="L425" s="33" t="n"/>
      <c r="M425" s="33" t="n"/>
      <c r="N425" s="33" t="n"/>
      <c r="O425" s="33" t="n"/>
      <c r="P425" s="32">
        <f>IF(OR($L425="",$N425=""),"",$L425-$N425)</f>
        <v/>
      </c>
      <c r="Q425" s="28">
        <f>IF($B425="","",IF(N($H425)&gt;0,"Live","Exited"))</f>
        <v/>
      </c>
      <c r="R425" s="28">
        <f>IF($B425="","",IF($L425="","Data Pending",IF($L425&gt;=Instructions!$D$19,"Best Fund",IF($L425&gt;=Instructions!$D$20,"Need to Improve","Not Performing"))))</f>
        <v/>
      </c>
      <c r="S425" s="7">
        <f>IF($R425="","",IF($R425="Data Pending","Enter the 3Y return",IF($R425="Best Fund","Hold / consider top-up",IF($R425="Need to Improve","Watch 2 quarters, then decide","Review with client - switch or exit"))))</f>
        <v/>
      </c>
      <c r="T425" s="27" t="n"/>
      <c r="U425" s="7">
        <f>IF($R425&lt;&gt;"Best Fund","",COUNTIFS($R$6:$R$505,"Best Fund",$L$6:$L$505,"&gt;"&amp;$L425)+COUNTIFS($R$6:$R425,"Best Fund",$L$6:$L425,$L425))</f>
        <v/>
      </c>
      <c r="V425" s="7">
        <f>IF($R425&lt;&gt;"Need to Improve","",COUNTIFS($R$6:$R$505,"Need to Improve",$L$6:$L$505,"&lt;"&amp;$L425)+COUNTIFS($R$6:$R425,"Need to Improve",$L$6:$L425,$L425))</f>
        <v/>
      </c>
      <c r="W425" s="7">
        <f>IF($R425&lt;&gt;"Not Performing","",COUNTIFS($R$6:$R$505,"Not Performing",$L$6:$L$505,"&lt;"&amp;$L425)+COUNTIFS($R$6:$R425,"Not Performing",$L$6:$L425,$L425))</f>
        <v/>
      </c>
    </row>
    <row r="426" ht="15" customHeight="1">
      <c r="A426" s="27" t="n"/>
      <c r="B426" s="27" t="n"/>
      <c r="C426" s="27" t="n"/>
      <c r="D426" s="28">
        <f>IF($C426="","",IFERROR(TRIM(LEFT($C426,FIND("-",$C426)-1)),""))</f>
        <v/>
      </c>
      <c r="E426" s="27" t="n"/>
      <c r="F426" s="29" t="n"/>
      <c r="G426" s="30" t="n"/>
      <c r="H426" s="30" t="n"/>
      <c r="I426" s="31">
        <f>IF($B426="","",$H426-$G426)</f>
        <v/>
      </c>
      <c r="J426" s="32">
        <f>IF(OR($B426="",$G426=0,$G426=""),"",$I426/$G426)</f>
        <v/>
      </c>
      <c r="K426" s="33" t="n"/>
      <c r="L426" s="33" t="n"/>
      <c r="M426" s="33" t="n"/>
      <c r="N426" s="33" t="n"/>
      <c r="O426" s="33" t="n"/>
      <c r="P426" s="32">
        <f>IF(OR($L426="",$N426=""),"",$L426-$N426)</f>
        <v/>
      </c>
      <c r="Q426" s="28">
        <f>IF($B426="","",IF(N($H426)&gt;0,"Live","Exited"))</f>
        <v/>
      </c>
      <c r="R426" s="28">
        <f>IF($B426="","",IF($L426="","Data Pending",IF($L426&gt;=Instructions!$D$19,"Best Fund",IF($L426&gt;=Instructions!$D$20,"Need to Improve","Not Performing"))))</f>
        <v/>
      </c>
      <c r="S426" s="7">
        <f>IF($R426="","",IF($R426="Data Pending","Enter the 3Y return",IF($R426="Best Fund","Hold / consider top-up",IF($R426="Need to Improve","Watch 2 quarters, then decide","Review with client - switch or exit"))))</f>
        <v/>
      </c>
      <c r="T426" s="27" t="n"/>
      <c r="U426" s="7">
        <f>IF($R426&lt;&gt;"Best Fund","",COUNTIFS($R$6:$R$505,"Best Fund",$L$6:$L$505,"&gt;"&amp;$L426)+COUNTIFS($R$6:$R426,"Best Fund",$L$6:$L426,$L426))</f>
        <v/>
      </c>
      <c r="V426" s="7">
        <f>IF($R426&lt;&gt;"Need to Improve","",COUNTIFS($R$6:$R$505,"Need to Improve",$L$6:$L$505,"&lt;"&amp;$L426)+COUNTIFS($R$6:$R426,"Need to Improve",$L$6:$L426,$L426))</f>
        <v/>
      </c>
      <c r="W426" s="7">
        <f>IF($R426&lt;&gt;"Not Performing","",COUNTIFS($R$6:$R$505,"Not Performing",$L$6:$L$505,"&lt;"&amp;$L426)+COUNTIFS($R$6:$R426,"Not Performing",$L$6:$L426,$L426))</f>
        <v/>
      </c>
    </row>
    <row r="427" ht="15" customHeight="1">
      <c r="A427" s="27" t="n"/>
      <c r="B427" s="27" t="n"/>
      <c r="C427" s="27" t="n"/>
      <c r="D427" s="28">
        <f>IF($C427="","",IFERROR(TRIM(LEFT($C427,FIND("-",$C427)-1)),""))</f>
        <v/>
      </c>
      <c r="E427" s="27" t="n"/>
      <c r="F427" s="29" t="n"/>
      <c r="G427" s="30" t="n"/>
      <c r="H427" s="30" t="n"/>
      <c r="I427" s="31">
        <f>IF($B427="","",$H427-$G427)</f>
        <v/>
      </c>
      <c r="J427" s="32">
        <f>IF(OR($B427="",$G427=0,$G427=""),"",$I427/$G427)</f>
        <v/>
      </c>
      <c r="K427" s="33" t="n"/>
      <c r="L427" s="33" t="n"/>
      <c r="M427" s="33" t="n"/>
      <c r="N427" s="33" t="n"/>
      <c r="O427" s="33" t="n"/>
      <c r="P427" s="32">
        <f>IF(OR($L427="",$N427=""),"",$L427-$N427)</f>
        <v/>
      </c>
      <c r="Q427" s="28">
        <f>IF($B427="","",IF(N($H427)&gt;0,"Live","Exited"))</f>
        <v/>
      </c>
      <c r="R427" s="28">
        <f>IF($B427="","",IF($L427="","Data Pending",IF($L427&gt;=Instructions!$D$19,"Best Fund",IF($L427&gt;=Instructions!$D$20,"Need to Improve","Not Performing"))))</f>
        <v/>
      </c>
      <c r="S427" s="7">
        <f>IF($R427="","",IF($R427="Data Pending","Enter the 3Y return",IF($R427="Best Fund","Hold / consider top-up",IF($R427="Need to Improve","Watch 2 quarters, then decide","Review with client - switch or exit"))))</f>
        <v/>
      </c>
      <c r="T427" s="27" t="n"/>
      <c r="U427" s="7">
        <f>IF($R427&lt;&gt;"Best Fund","",COUNTIFS($R$6:$R$505,"Best Fund",$L$6:$L$505,"&gt;"&amp;$L427)+COUNTIFS($R$6:$R427,"Best Fund",$L$6:$L427,$L427))</f>
        <v/>
      </c>
      <c r="V427" s="7">
        <f>IF($R427&lt;&gt;"Need to Improve","",COUNTIFS($R$6:$R$505,"Need to Improve",$L$6:$L$505,"&lt;"&amp;$L427)+COUNTIFS($R$6:$R427,"Need to Improve",$L$6:$L427,$L427))</f>
        <v/>
      </c>
      <c r="W427" s="7">
        <f>IF($R427&lt;&gt;"Not Performing","",COUNTIFS($R$6:$R$505,"Not Performing",$L$6:$L$505,"&lt;"&amp;$L427)+COUNTIFS($R$6:$R427,"Not Performing",$L$6:$L427,$L427))</f>
        <v/>
      </c>
    </row>
    <row r="428" ht="15" customHeight="1">
      <c r="A428" s="27" t="n"/>
      <c r="B428" s="27" t="n"/>
      <c r="C428" s="27" t="n"/>
      <c r="D428" s="28">
        <f>IF($C428="","",IFERROR(TRIM(LEFT($C428,FIND("-",$C428)-1)),""))</f>
        <v/>
      </c>
      <c r="E428" s="27" t="n"/>
      <c r="F428" s="29" t="n"/>
      <c r="G428" s="30" t="n"/>
      <c r="H428" s="30" t="n"/>
      <c r="I428" s="31">
        <f>IF($B428="","",$H428-$G428)</f>
        <v/>
      </c>
      <c r="J428" s="32">
        <f>IF(OR($B428="",$G428=0,$G428=""),"",$I428/$G428)</f>
        <v/>
      </c>
      <c r="K428" s="33" t="n"/>
      <c r="L428" s="33" t="n"/>
      <c r="M428" s="33" t="n"/>
      <c r="N428" s="33" t="n"/>
      <c r="O428" s="33" t="n"/>
      <c r="P428" s="32">
        <f>IF(OR($L428="",$N428=""),"",$L428-$N428)</f>
        <v/>
      </c>
      <c r="Q428" s="28">
        <f>IF($B428="","",IF(N($H428)&gt;0,"Live","Exited"))</f>
        <v/>
      </c>
      <c r="R428" s="28">
        <f>IF($B428="","",IF($L428="","Data Pending",IF($L428&gt;=Instructions!$D$19,"Best Fund",IF($L428&gt;=Instructions!$D$20,"Need to Improve","Not Performing"))))</f>
        <v/>
      </c>
      <c r="S428" s="7">
        <f>IF($R428="","",IF($R428="Data Pending","Enter the 3Y return",IF($R428="Best Fund","Hold / consider top-up",IF($R428="Need to Improve","Watch 2 quarters, then decide","Review with client - switch or exit"))))</f>
        <v/>
      </c>
      <c r="T428" s="27" t="n"/>
      <c r="U428" s="7">
        <f>IF($R428&lt;&gt;"Best Fund","",COUNTIFS($R$6:$R$505,"Best Fund",$L$6:$L$505,"&gt;"&amp;$L428)+COUNTIFS($R$6:$R428,"Best Fund",$L$6:$L428,$L428))</f>
        <v/>
      </c>
      <c r="V428" s="7">
        <f>IF($R428&lt;&gt;"Need to Improve","",COUNTIFS($R$6:$R$505,"Need to Improve",$L$6:$L$505,"&lt;"&amp;$L428)+COUNTIFS($R$6:$R428,"Need to Improve",$L$6:$L428,$L428))</f>
        <v/>
      </c>
      <c r="W428" s="7">
        <f>IF($R428&lt;&gt;"Not Performing","",COUNTIFS($R$6:$R$505,"Not Performing",$L$6:$L$505,"&lt;"&amp;$L428)+COUNTIFS($R$6:$R428,"Not Performing",$L$6:$L428,$L428))</f>
        <v/>
      </c>
    </row>
    <row r="429" ht="15" customHeight="1">
      <c r="A429" s="27" t="n"/>
      <c r="B429" s="27" t="n"/>
      <c r="C429" s="27" t="n"/>
      <c r="D429" s="28">
        <f>IF($C429="","",IFERROR(TRIM(LEFT($C429,FIND("-",$C429)-1)),""))</f>
        <v/>
      </c>
      <c r="E429" s="27" t="n"/>
      <c r="F429" s="29" t="n"/>
      <c r="G429" s="30" t="n"/>
      <c r="H429" s="30" t="n"/>
      <c r="I429" s="31">
        <f>IF($B429="","",$H429-$G429)</f>
        <v/>
      </c>
      <c r="J429" s="32">
        <f>IF(OR($B429="",$G429=0,$G429=""),"",$I429/$G429)</f>
        <v/>
      </c>
      <c r="K429" s="33" t="n"/>
      <c r="L429" s="33" t="n"/>
      <c r="M429" s="33" t="n"/>
      <c r="N429" s="33" t="n"/>
      <c r="O429" s="33" t="n"/>
      <c r="P429" s="32">
        <f>IF(OR($L429="",$N429=""),"",$L429-$N429)</f>
        <v/>
      </c>
      <c r="Q429" s="28">
        <f>IF($B429="","",IF(N($H429)&gt;0,"Live","Exited"))</f>
        <v/>
      </c>
      <c r="R429" s="28">
        <f>IF($B429="","",IF($L429="","Data Pending",IF($L429&gt;=Instructions!$D$19,"Best Fund",IF($L429&gt;=Instructions!$D$20,"Need to Improve","Not Performing"))))</f>
        <v/>
      </c>
      <c r="S429" s="7">
        <f>IF($R429="","",IF($R429="Data Pending","Enter the 3Y return",IF($R429="Best Fund","Hold / consider top-up",IF($R429="Need to Improve","Watch 2 quarters, then decide","Review with client - switch or exit"))))</f>
        <v/>
      </c>
      <c r="T429" s="27" t="n"/>
      <c r="U429" s="7">
        <f>IF($R429&lt;&gt;"Best Fund","",COUNTIFS($R$6:$R$505,"Best Fund",$L$6:$L$505,"&gt;"&amp;$L429)+COUNTIFS($R$6:$R429,"Best Fund",$L$6:$L429,$L429))</f>
        <v/>
      </c>
      <c r="V429" s="7">
        <f>IF($R429&lt;&gt;"Need to Improve","",COUNTIFS($R$6:$R$505,"Need to Improve",$L$6:$L$505,"&lt;"&amp;$L429)+COUNTIFS($R$6:$R429,"Need to Improve",$L$6:$L429,$L429))</f>
        <v/>
      </c>
      <c r="W429" s="7">
        <f>IF($R429&lt;&gt;"Not Performing","",COUNTIFS($R$6:$R$505,"Not Performing",$L$6:$L$505,"&lt;"&amp;$L429)+COUNTIFS($R$6:$R429,"Not Performing",$L$6:$L429,$L429))</f>
        <v/>
      </c>
    </row>
    <row r="430" ht="15" customHeight="1">
      <c r="A430" s="27" t="n"/>
      <c r="B430" s="27" t="n"/>
      <c r="C430" s="27" t="n"/>
      <c r="D430" s="28">
        <f>IF($C430="","",IFERROR(TRIM(LEFT($C430,FIND("-",$C430)-1)),""))</f>
        <v/>
      </c>
      <c r="E430" s="27" t="n"/>
      <c r="F430" s="29" t="n"/>
      <c r="G430" s="30" t="n"/>
      <c r="H430" s="30" t="n"/>
      <c r="I430" s="31">
        <f>IF($B430="","",$H430-$G430)</f>
        <v/>
      </c>
      <c r="J430" s="32">
        <f>IF(OR($B430="",$G430=0,$G430=""),"",$I430/$G430)</f>
        <v/>
      </c>
      <c r="K430" s="33" t="n"/>
      <c r="L430" s="33" t="n"/>
      <c r="M430" s="33" t="n"/>
      <c r="N430" s="33" t="n"/>
      <c r="O430" s="33" t="n"/>
      <c r="P430" s="32">
        <f>IF(OR($L430="",$N430=""),"",$L430-$N430)</f>
        <v/>
      </c>
      <c r="Q430" s="28">
        <f>IF($B430="","",IF(N($H430)&gt;0,"Live","Exited"))</f>
        <v/>
      </c>
      <c r="R430" s="28">
        <f>IF($B430="","",IF($L430="","Data Pending",IF($L430&gt;=Instructions!$D$19,"Best Fund",IF($L430&gt;=Instructions!$D$20,"Need to Improve","Not Performing"))))</f>
        <v/>
      </c>
      <c r="S430" s="7">
        <f>IF($R430="","",IF($R430="Data Pending","Enter the 3Y return",IF($R430="Best Fund","Hold / consider top-up",IF($R430="Need to Improve","Watch 2 quarters, then decide","Review with client - switch or exit"))))</f>
        <v/>
      </c>
      <c r="T430" s="27" t="n"/>
      <c r="U430" s="7">
        <f>IF($R430&lt;&gt;"Best Fund","",COUNTIFS($R$6:$R$505,"Best Fund",$L$6:$L$505,"&gt;"&amp;$L430)+COUNTIFS($R$6:$R430,"Best Fund",$L$6:$L430,$L430))</f>
        <v/>
      </c>
      <c r="V430" s="7">
        <f>IF($R430&lt;&gt;"Need to Improve","",COUNTIFS($R$6:$R$505,"Need to Improve",$L$6:$L$505,"&lt;"&amp;$L430)+COUNTIFS($R$6:$R430,"Need to Improve",$L$6:$L430,$L430))</f>
        <v/>
      </c>
      <c r="W430" s="7">
        <f>IF($R430&lt;&gt;"Not Performing","",COUNTIFS($R$6:$R$505,"Not Performing",$L$6:$L$505,"&lt;"&amp;$L430)+COUNTIFS($R$6:$R430,"Not Performing",$L$6:$L430,$L430))</f>
        <v/>
      </c>
    </row>
    <row r="431" ht="15" customHeight="1">
      <c r="A431" s="27" t="n"/>
      <c r="B431" s="27" t="n"/>
      <c r="C431" s="27" t="n"/>
      <c r="D431" s="28">
        <f>IF($C431="","",IFERROR(TRIM(LEFT($C431,FIND("-",$C431)-1)),""))</f>
        <v/>
      </c>
      <c r="E431" s="27" t="n"/>
      <c r="F431" s="29" t="n"/>
      <c r="G431" s="30" t="n"/>
      <c r="H431" s="30" t="n"/>
      <c r="I431" s="31">
        <f>IF($B431="","",$H431-$G431)</f>
        <v/>
      </c>
      <c r="J431" s="32">
        <f>IF(OR($B431="",$G431=0,$G431=""),"",$I431/$G431)</f>
        <v/>
      </c>
      <c r="K431" s="33" t="n"/>
      <c r="L431" s="33" t="n"/>
      <c r="M431" s="33" t="n"/>
      <c r="N431" s="33" t="n"/>
      <c r="O431" s="33" t="n"/>
      <c r="P431" s="32">
        <f>IF(OR($L431="",$N431=""),"",$L431-$N431)</f>
        <v/>
      </c>
      <c r="Q431" s="28">
        <f>IF($B431="","",IF(N($H431)&gt;0,"Live","Exited"))</f>
        <v/>
      </c>
      <c r="R431" s="28">
        <f>IF($B431="","",IF($L431="","Data Pending",IF($L431&gt;=Instructions!$D$19,"Best Fund",IF($L431&gt;=Instructions!$D$20,"Need to Improve","Not Performing"))))</f>
        <v/>
      </c>
      <c r="S431" s="7">
        <f>IF($R431="","",IF($R431="Data Pending","Enter the 3Y return",IF($R431="Best Fund","Hold / consider top-up",IF($R431="Need to Improve","Watch 2 quarters, then decide","Review with client - switch or exit"))))</f>
        <v/>
      </c>
      <c r="T431" s="27" t="n"/>
      <c r="U431" s="7">
        <f>IF($R431&lt;&gt;"Best Fund","",COUNTIFS($R$6:$R$505,"Best Fund",$L$6:$L$505,"&gt;"&amp;$L431)+COUNTIFS($R$6:$R431,"Best Fund",$L$6:$L431,$L431))</f>
        <v/>
      </c>
      <c r="V431" s="7">
        <f>IF($R431&lt;&gt;"Need to Improve","",COUNTIFS($R$6:$R$505,"Need to Improve",$L$6:$L$505,"&lt;"&amp;$L431)+COUNTIFS($R$6:$R431,"Need to Improve",$L$6:$L431,$L431))</f>
        <v/>
      </c>
      <c r="W431" s="7">
        <f>IF($R431&lt;&gt;"Not Performing","",COUNTIFS($R$6:$R$505,"Not Performing",$L$6:$L$505,"&lt;"&amp;$L431)+COUNTIFS($R$6:$R431,"Not Performing",$L$6:$L431,$L431))</f>
        <v/>
      </c>
    </row>
    <row r="432" ht="15" customHeight="1">
      <c r="A432" s="27" t="n"/>
      <c r="B432" s="27" t="n"/>
      <c r="C432" s="27" t="n"/>
      <c r="D432" s="28">
        <f>IF($C432="","",IFERROR(TRIM(LEFT($C432,FIND("-",$C432)-1)),""))</f>
        <v/>
      </c>
      <c r="E432" s="27" t="n"/>
      <c r="F432" s="29" t="n"/>
      <c r="G432" s="30" t="n"/>
      <c r="H432" s="30" t="n"/>
      <c r="I432" s="31">
        <f>IF($B432="","",$H432-$G432)</f>
        <v/>
      </c>
      <c r="J432" s="32">
        <f>IF(OR($B432="",$G432=0,$G432=""),"",$I432/$G432)</f>
        <v/>
      </c>
      <c r="K432" s="33" t="n"/>
      <c r="L432" s="33" t="n"/>
      <c r="M432" s="33" t="n"/>
      <c r="N432" s="33" t="n"/>
      <c r="O432" s="33" t="n"/>
      <c r="P432" s="32">
        <f>IF(OR($L432="",$N432=""),"",$L432-$N432)</f>
        <v/>
      </c>
      <c r="Q432" s="28">
        <f>IF($B432="","",IF(N($H432)&gt;0,"Live","Exited"))</f>
        <v/>
      </c>
      <c r="R432" s="28">
        <f>IF($B432="","",IF($L432="","Data Pending",IF($L432&gt;=Instructions!$D$19,"Best Fund",IF($L432&gt;=Instructions!$D$20,"Need to Improve","Not Performing"))))</f>
        <v/>
      </c>
      <c r="S432" s="7">
        <f>IF($R432="","",IF($R432="Data Pending","Enter the 3Y return",IF($R432="Best Fund","Hold / consider top-up",IF($R432="Need to Improve","Watch 2 quarters, then decide","Review with client - switch or exit"))))</f>
        <v/>
      </c>
      <c r="T432" s="27" t="n"/>
      <c r="U432" s="7">
        <f>IF($R432&lt;&gt;"Best Fund","",COUNTIFS($R$6:$R$505,"Best Fund",$L$6:$L$505,"&gt;"&amp;$L432)+COUNTIFS($R$6:$R432,"Best Fund",$L$6:$L432,$L432))</f>
        <v/>
      </c>
      <c r="V432" s="7">
        <f>IF($R432&lt;&gt;"Need to Improve","",COUNTIFS($R$6:$R$505,"Need to Improve",$L$6:$L$505,"&lt;"&amp;$L432)+COUNTIFS($R$6:$R432,"Need to Improve",$L$6:$L432,$L432))</f>
        <v/>
      </c>
      <c r="W432" s="7">
        <f>IF($R432&lt;&gt;"Not Performing","",COUNTIFS($R$6:$R$505,"Not Performing",$L$6:$L$505,"&lt;"&amp;$L432)+COUNTIFS($R$6:$R432,"Not Performing",$L$6:$L432,$L432))</f>
        <v/>
      </c>
    </row>
    <row r="433" ht="15" customHeight="1">
      <c r="A433" s="27" t="n"/>
      <c r="B433" s="27" t="n"/>
      <c r="C433" s="27" t="n"/>
      <c r="D433" s="28">
        <f>IF($C433="","",IFERROR(TRIM(LEFT($C433,FIND("-",$C433)-1)),""))</f>
        <v/>
      </c>
      <c r="E433" s="27" t="n"/>
      <c r="F433" s="29" t="n"/>
      <c r="G433" s="30" t="n"/>
      <c r="H433" s="30" t="n"/>
      <c r="I433" s="31">
        <f>IF($B433="","",$H433-$G433)</f>
        <v/>
      </c>
      <c r="J433" s="32">
        <f>IF(OR($B433="",$G433=0,$G433=""),"",$I433/$G433)</f>
        <v/>
      </c>
      <c r="K433" s="33" t="n"/>
      <c r="L433" s="33" t="n"/>
      <c r="M433" s="33" t="n"/>
      <c r="N433" s="33" t="n"/>
      <c r="O433" s="33" t="n"/>
      <c r="P433" s="32">
        <f>IF(OR($L433="",$N433=""),"",$L433-$N433)</f>
        <v/>
      </c>
      <c r="Q433" s="28">
        <f>IF($B433="","",IF(N($H433)&gt;0,"Live","Exited"))</f>
        <v/>
      </c>
      <c r="R433" s="28">
        <f>IF($B433="","",IF($L433="","Data Pending",IF($L433&gt;=Instructions!$D$19,"Best Fund",IF($L433&gt;=Instructions!$D$20,"Need to Improve","Not Performing"))))</f>
        <v/>
      </c>
      <c r="S433" s="7">
        <f>IF($R433="","",IF($R433="Data Pending","Enter the 3Y return",IF($R433="Best Fund","Hold / consider top-up",IF($R433="Need to Improve","Watch 2 quarters, then decide","Review with client - switch or exit"))))</f>
        <v/>
      </c>
      <c r="T433" s="27" t="n"/>
      <c r="U433" s="7">
        <f>IF($R433&lt;&gt;"Best Fund","",COUNTIFS($R$6:$R$505,"Best Fund",$L$6:$L$505,"&gt;"&amp;$L433)+COUNTIFS($R$6:$R433,"Best Fund",$L$6:$L433,$L433))</f>
        <v/>
      </c>
      <c r="V433" s="7">
        <f>IF($R433&lt;&gt;"Need to Improve","",COUNTIFS($R$6:$R$505,"Need to Improve",$L$6:$L$505,"&lt;"&amp;$L433)+COUNTIFS($R$6:$R433,"Need to Improve",$L$6:$L433,$L433))</f>
        <v/>
      </c>
      <c r="W433" s="7">
        <f>IF($R433&lt;&gt;"Not Performing","",COUNTIFS($R$6:$R$505,"Not Performing",$L$6:$L$505,"&lt;"&amp;$L433)+COUNTIFS($R$6:$R433,"Not Performing",$L$6:$L433,$L433))</f>
        <v/>
      </c>
    </row>
    <row r="434" ht="15" customHeight="1">
      <c r="A434" s="27" t="n"/>
      <c r="B434" s="27" t="n"/>
      <c r="C434" s="27" t="n"/>
      <c r="D434" s="28">
        <f>IF($C434="","",IFERROR(TRIM(LEFT($C434,FIND("-",$C434)-1)),""))</f>
        <v/>
      </c>
      <c r="E434" s="27" t="n"/>
      <c r="F434" s="29" t="n"/>
      <c r="G434" s="30" t="n"/>
      <c r="H434" s="30" t="n"/>
      <c r="I434" s="31">
        <f>IF($B434="","",$H434-$G434)</f>
        <v/>
      </c>
      <c r="J434" s="32">
        <f>IF(OR($B434="",$G434=0,$G434=""),"",$I434/$G434)</f>
        <v/>
      </c>
      <c r="K434" s="33" t="n"/>
      <c r="L434" s="33" t="n"/>
      <c r="M434" s="33" t="n"/>
      <c r="N434" s="33" t="n"/>
      <c r="O434" s="33" t="n"/>
      <c r="P434" s="32">
        <f>IF(OR($L434="",$N434=""),"",$L434-$N434)</f>
        <v/>
      </c>
      <c r="Q434" s="28">
        <f>IF($B434="","",IF(N($H434)&gt;0,"Live","Exited"))</f>
        <v/>
      </c>
      <c r="R434" s="28">
        <f>IF($B434="","",IF($L434="","Data Pending",IF($L434&gt;=Instructions!$D$19,"Best Fund",IF($L434&gt;=Instructions!$D$20,"Need to Improve","Not Performing"))))</f>
        <v/>
      </c>
      <c r="S434" s="7">
        <f>IF($R434="","",IF($R434="Data Pending","Enter the 3Y return",IF($R434="Best Fund","Hold / consider top-up",IF($R434="Need to Improve","Watch 2 quarters, then decide","Review with client - switch or exit"))))</f>
        <v/>
      </c>
      <c r="T434" s="27" t="n"/>
      <c r="U434" s="7">
        <f>IF($R434&lt;&gt;"Best Fund","",COUNTIFS($R$6:$R$505,"Best Fund",$L$6:$L$505,"&gt;"&amp;$L434)+COUNTIFS($R$6:$R434,"Best Fund",$L$6:$L434,$L434))</f>
        <v/>
      </c>
      <c r="V434" s="7">
        <f>IF($R434&lt;&gt;"Need to Improve","",COUNTIFS($R$6:$R$505,"Need to Improve",$L$6:$L$505,"&lt;"&amp;$L434)+COUNTIFS($R$6:$R434,"Need to Improve",$L$6:$L434,$L434))</f>
        <v/>
      </c>
      <c r="W434" s="7">
        <f>IF($R434&lt;&gt;"Not Performing","",COUNTIFS($R$6:$R$505,"Not Performing",$L$6:$L$505,"&lt;"&amp;$L434)+COUNTIFS($R$6:$R434,"Not Performing",$L$6:$L434,$L434))</f>
        <v/>
      </c>
    </row>
    <row r="435" ht="15" customHeight="1">
      <c r="A435" s="27" t="n"/>
      <c r="B435" s="27" t="n"/>
      <c r="C435" s="27" t="n"/>
      <c r="D435" s="28">
        <f>IF($C435="","",IFERROR(TRIM(LEFT($C435,FIND("-",$C435)-1)),""))</f>
        <v/>
      </c>
      <c r="E435" s="27" t="n"/>
      <c r="F435" s="29" t="n"/>
      <c r="G435" s="30" t="n"/>
      <c r="H435" s="30" t="n"/>
      <c r="I435" s="31">
        <f>IF($B435="","",$H435-$G435)</f>
        <v/>
      </c>
      <c r="J435" s="32">
        <f>IF(OR($B435="",$G435=0,$G435=""),"",$I435/$G435)</f>
        <v/>
      </c>
      <c r="K435" s="33" t="n"/>
      <c r="L435" s="33" t="n"/>
      <c r="M435" s="33" t="n"/>
      <c r="N435" s="33" t="n"/>
      <c r="O435" s="33" t="n"/>
      <c r="P435" s="32">
        <f>IF(OR($L435="",$N435=""),"",$L435-$N435)</f>
        <v/>
      </c>
      <c r="Q435" s="28">
        <f>IF($B435="","",IF(N($H435)&gt;0,"Live","Exited"))</f>
        <v/>
      </c>
      <c r="R435" s="28">
        <f>IF($B435="","",IF($L435="","Data Pending",IF($L435&gt;=Instructions!$D$19,"Best Fund",IF($L435&gt;=Instructions!$D$20,"Need to Improve","Not Performing"))))</f>
        <v/>
      </c>
      <c r="S435" s="7">
        <f>IF($R435="","",IF($R435="Data Pending","Enter the 3Y return",IF($R435="Best Fund","Hold / consider top-up",IF($R435="Need to Improve","Watch 2 quarters, then decide","Review with client - switch or exit"))))</f>
        <v/>
      </c>
      <c r="T435" s="27" t="n"/>
      <c r="U435" s="7">
        <f>IF($R435&lt;&gt;"Best Fund","",COUNTIFS($R$6:$R$505,"Best Fund",$L$6:$L$505,"&gt;"&amp;$L435)+COUNTIFS($R$6:$R435,"Best Fund",$L$6:$L435,$L435))</f>
        <v/>
      </c>
      <c r="V435" s="7">
        <f>IF($R435&lt;&gt;"Need to Improve","",COUNTIFS($R$6:$R$505,"Need to Improve",$L$6:$L$505,"&lt;"&amp;$L435)+COUNTIFS($R$6:$R435,"Need to Improve",$L$6:$L435,$L435))</f>
        <v/>
      </c>
      <c r="W435" s="7">
        <f>IF($R435&lt;&gt;"Not Performing","",COUNTIFS($R$6:$R$505,"Not Performing",$L$6:$L$505,"&lt;"&amp;$L435)+COUNTIFS($R$6:$R435,"Not Performing",$L$6:$L435,$L435))</f>
        <v/>
      </c>
    </row>
    <row r="436" ht="15" customHeight="1">
      <c r="A436" s="27" t="n"/>
      <c r="B436" s="27" t="n"/>
      <c r="C436" s="27" t="n"/>
      <c r="D436" s="28">
        <f>IF($C436="","",IFERROR(TRIM(LEFT($C436,FIND("-",$C436)-1)),""))</f>
        <v/>
      </c>
      <c r="E436" s="27" t="n"/>
      <c r="F436" s="29" t="n"/>
      <c r="G436" s="30" t="n"/>
      <c r="H436" s="30" t="n"/>
      <c r="I436" s="31">
        <f>IF($B436="","",$H436-$G436)</f>
        <v/>
      </c>
      <c r="J436" s="32">
        <f>IF(OR($B436="",$G436=0,$G436=""),"",$I436/$G436)</f>
        <v/>
      </c>
      <c r="K436" s="33" t="n"/>
      <c r="L436" s="33" t="n"/>
      <c r="M436" s="33" t="n"/>
      <c r="N436" s="33" t="n"/>
      <c r="O436" s="33" t="n"/>
      <c r="P436" s="32">
        <f>IF(OR($L436="",$N436=""),"",$L436-$N436)</f>
        <v/>
      </c>
      <c r="Q436" s="28">
        <f>IF($B436="","",IF(N($H436)&gt;0,"Live","Exited"))</f>
        <v/>
      </c>
      <c r="R436" s="28">
        <f>IF($B436="","",IF($L436="","Data Pending",IF($L436&gt;=Instructions!$D$19,"Best Fund",IF($L436&gt;=Instructions!$D$20,"Need to Improve","Not Performing"))))</f>
        <v/>
      </c>
      <c r="S436" s="7">
        <f>IF($R436="","",IF($R436="Data Pending","Enter the 3Y return",IF($R436="Best Fund","Hold / consider top-up",IF($R436="Need to Improve","Watch 2 quarters, then decide","Review with client - switch or exit"))))</f>
        <v/>
      </c>
      <c r="T436" s="27" t="n"/>
      <c r="U436" s="7">
        <f>IF($R436&lt;&gt;"Best Fund","",COUNTIFS($R$6:$R$505,"Best Fund",$L$6:$L$505,"&gt;"&amp;$L436)+COUNTIFS($R$6:$R436,"Best Fund",$L$6:$L436,$L436))</f>
        <v/>
      </c>
      <c r="V436" s="7">
        <f>IF($R436&lt;&gt;"Need to Improve","",COUNTIFS($R$6:$R$505,"Need to Improve",$L$6:$L$505,"&lt;"&amp;$L436)+COUNTIFS($R$6:$R436,"Need to Improve",$L$6:$L436,$L436))</f>
        <v/>
      </c>
      <c r="W436" s="7">
        <f>IF($R436&lt;&gt;"Not Performing","",COUNTIFS($R$6:$R$505,"Not Performing",$L$6:$L$505,"&lt;"&amp;$L436)+COUNTIFS($R$6:$R436,"Not Performing",$L$6:$L436,$L436))</f>
        <v/>
      </c>
    </row>
    <row r="437" ht="15" customHeight="1">
      <c r="A437" s="27" t="n"/>
      <c r="B437" s="27" t="n"/>
      <c r="C437" s="27" t="n"/>
      <c r="D437" s="28">
        <f>IF($C437="","",IFERROR(TRIM(LEFT($C437,FIND("-",$C437)-1)),""))</f>
        <v/>
      </c>
      <c r="E437" s="27" t="n"/>
      <c r="F437" s="29" t="n"/>
      <c r="G437" s="30" t="n"/>
      <c r="H437" s="30" t="n"/>
      <c r="I437" s="31">
        <f>IF($B437="","",$H437-$G437)</f>
        <v/>
      </c>
      <c r="J437" s="32">
        <f>IF(OR($B437="",$G437=0,$G437=""),"",$I437/$G437)</f>
        <v/>
      </c>
      <c r="K437" s="33" t="n"/>
      <c r="L437" s="33" t="n"/>
      <c r="M437" s="33" t="n"/>
      <c r="N437" s="33" t="n"/>
      <c r="O437" s="33" t="n"/>
      <c r="P437" s="32">
        <f>IF(OR($L437="",$N437=""),"",$L437-$N437)</f>
        <v/>
      </c>
      <c r="Q437" s="28">
        <f>IF($B437="","",IF(N($H437)&gt;0,"Live","Exited"))</f>
        <v/>
      </c>
      <c r="R437" s="28">
        <f>IF($B437="","",IF($L437="","Data Pending",IF($L437&gt;=Instructions!$D$19,"Best Fund",IF($L437&gt;=Instructions!$D$20,"Need to Improve","Not Performing"))))</f>
        <v/>
      </c>
      <c r="S437" s="7">
        <f>IF($R437="","",IF($R437="Data Pending","Enter the 3Y return",IF($R437="Best Fund","Hold / consider top-up",IF($R437="Need to Improve","Watch 2 quarters, then decide","Review with client - switch or exit"))))</f>
        <v/>
      </c>
      <c r="T437" s="27" t="n"/>
      <c r="U437" s="7">
        <f>IF($R437&lt;&gt;"Best Fund","",COUNTIFS($R$6:$R$505,"Best Fund",$L$6:$L$505,"&gt;"&amp;$L437)+COUNTIFS($R$6:$R437,"Best Fund",$L$6:$L437,$L437))</f>
        <v/>
      </c>
      <c r="V437" s="7">
        <f>IF($R437&lt;&gt;"Need to Improve","",COUNTIFS($R$6:$R$505,"Need to Improve",$L$6:$L$505,"&lt;"&amp;$L437)+COUNTIFS($R$6:$R437,"Need to Improve",$L$6:$L437,$L437))</f>
        <v/>
      </c>
      <c r="W437" s="7">
        <f>IF($R437&lt;&gt;"Not Performing","",COUNTIFS($R$6:$R$505,"Not Performing",$L$6:$L$505,"&lt;"&amp;$L437)+COUNTIFS($R$6:$R437,"Not Performing",$L$6:$L437,$L437))</f>
        <v/>
      </c>
    </row>
    <row r="438" ht="15" customHeight="1">
      <c r="A438" s="27" t="n"/>
      <c r="B438" s="27" t="n"/>
      <c r="C438" s="27" t="n"/>
      <c r="D438" s="28">
        <f>IF($C438="","",IFERROR(TRIM(LEFT($C438,FIND("-",$C438)-1)),""))</f>
        <v/>
      </c>
      <c r="E438" s="27" t="n"/>
      <c r="F438" s="29" t="n"/>
      <c r="G438" s="30" t="n"/>
      <c r="H438" s="30" t="n"/>
      <c r="I438" s="31">
        <f>IF($B438="","",$H438-$G438)</f>
        <v/>
      </c>
      <c r="J438" s="32">
        <f>IF(OR($B438="",$G438=0,$G438=""),"",$I438/$G438)</f>
        <v/>
      </c>
      <c r="K438" s="33" t="n"/>
      <c r="L438" s="33" t="n"/>
      <c r="M438" s="33" t="n"/>
      <c r="N438" s="33" t="n"/>
      <c r="O438" s="33" t="n"/>
      <c r="P438" s="32">
        <f>IF(OR($L438="",$N438=""),"",$L438-$N438)</f>
        <v/>
      </c>
      <c r="Q438" s="28">
        <f>IF($B438="","",IF(N($H438)&gt;0,"Live","Exited"))</f>
        <v/>
      </c>
      <c r="R438" s="28">
        <f>IF($B438="","",IF($L438="","Data Pending",IF($L438&gt;=Instructions!$D$19,"Best Fund",IF($L438&gt;=Instructions!$D$20,"Need to Improve","Not Performing"))))</f>
        <v/>
      </c>
      <c r="S438" s="7">
        <f>IF($R438="","",IF($R438="Data Pending","Enter the 3Y return",IF($R438="Best Fund","Hold / consider top-up",IF($R438="Need to Improve","Watch 2 quarters, then decide","Review with client - switch or exit"))))</f>
        <v/>
      </c>
      <c r="T438" s="27" t="n"/>
      <c r="U438" s="7">
        <f>IF($R438&lt;&gt;"Best Fund","",COUNTIFS($R$6:$R$505,"Best Fund",$L$6:$L$505,"&gt;"&amp;$L438)+COUNTIFS($R$6:$R438,"Best Fund",$L$6:$L438,$L438))</f>
        <v/>
      </c>
      <c r="V438" s="7">
        <f>IF($R438&lt;&gt;"Need to Improve","",COUNTIFS($R$6:$R$505,"Need to Improve",$L$6:$L$505,"&lt;"&amp;$L438)+COUNTIFS($R$6:$R438,"Need to Improve",$L$6:$L438,$L438))</f>
        <v/>
      </c>
      <c r="W438" s="7">
        <f>IF($R438&lt;&gt;"Not Performing","",COUNTIFS($R$6:$R$505,"Not Performing",$L$6:$L$505,"&lt;"&amp;$L438)+COUNTIFS($R$6:$R438,"Not Performing",$L$6:$L438,$L438))</f>
        <v/>
      </c>
    </row>
    <row r="439" ht="15" customHeight="1">
      <c r="A439" s="27" t="n"/>
      <c r="B439" s="27" t="n"/>
      <c r="C439" s="27" t="n"/>
      <c r="D439" s="28">
        <f>IF($C439="","",IFERROR(TRIM(LEFT($C439,FIND("-",$C439)-1)),""))</f>
        <v/>
      </c>
      <c r="E439" s="27" t="n"/>
      <c r="F439" s="29" t="n"/>
      <c r="G439" s="30" t="n"/>
      <c r="H439" s="30" t="n"/>
      <c r="I439" s="31">
        <f>IF($B439="","",$H439-$G439)</f>
        <v/>
      </c>
      <c r="J439" s="32">
        <f>IF(OR($B439="",$G439=0,$G439=""),"",$I439/$G439)</f>
        <v/>
      </c>
      <c r="K439" s="33" t="n"/>
      <c r="L439" s="33" t="n"/>
      <c r="M439" s="33" t="n"/>
      <c r="N439" s="33" t="n"/>
      <c r="O439" s="33" t="n"/>
      <c r="P439" s="32">
        <f>IF(OR($L439="",$N439=""),"",$L439-$N439)</f>
        <v/>
      </c>
      <c r="Q439" s="28">
        <f>IF($B439="","",IF(N($H439)&gt;0,"Live","Exited"))</f>
        <v/>
      </c>
      <c r="R439" s="28">
        <f>IF($B439="","",IF($L439="","Data Pending",IF($L439&gt;=Instructions!$D$19,"Best Fund",IF($L439&gt;=Instructions!$D$20,"Need to Improve","Not Performing"))))</f>
        <v/>
      </c>
      <c r="S439" s="7">
        <f>IF($R439="","",IF($R439="Data Pending","Enter the 3Y return",IF($R439="Best Fund","Hold / consider top-up",IF($R439="Need to Improve","Watch 2 quarters, then decide","Review with client - switch or exit"))))</f>
        <v/>
      </c>
      <c r="T439" s="27" t="n"/>
      <c r="U439" s="7">
        <f>IF($R439&lt;&gt;"Best Fund","",COUNTIFS($R$6:$R$505,"Best Fund",$L$6:$L$505,"&gt;"&amp;$L439)+COUNTIFS($R$6:$R439,"Best Fund",$L$6:$L439,$L439))</f>
        <v/>
      </c>
      <c r="V439" s="7">
        <f>IF($R439&lt;&gt;"Need to Improve","",COUNTIFS($R$6:$R$505,"Need to Improve",$L$6:$L$505,"&lt;"&amp;$L439)+COUNTIFS($R$6:$R439,"Need to Improve",$L$6:$L439,$L439))</f>
        <v/>
      </c>
      <c r="W439" s="7">
        <f>IF($R439&lt;&gt;"Not Performing","",COUNTIFS($R$6:$R$505,"Not Performing",$L$6:$L$505,"&lt;"&amp;$L439)+COUNTIFS($R$6:$R439,"Not Performing",$L$6:$L439,$L439))</f>
        <v/>
      </c>
    </row>
    <row r="440" ht="15" customHeight="1">
      <c r="A440" s="27" t="n"/>
      <c r="B440" s="27" t="n"/>
      <c r="C440" s="27" t="n"/>
      <c r="D440" s="28">
        <f>IF($C440="","",IFERROR(TRIM(LEFT($C440,FIND("-",$C440)-1)),""))</f>
        <v/>
      </c>
      <c r="E440" s="27" t="n"/>
      <c r="F440" s="29" t="n"/>
      <c r="G440" s="30" t="n"/>
      <c r="H440" s="30" t="n"/>
      <c r="I440" s="31">
        <f>IF($B440="","",$H440-$G440)</f>
        <v/>
      </c>
      <c r="J440" s="32">
        <f>IF(OR($B440="",$G440=0,$G440=""),"",$I440/$G440)</f>
        <v/>
      </c>
      <c r="K440" s="33" t="n"/>
      <c r="L440" s="33" t="n"/>
      <c r="M440" s="33" t="n"/>
      <c r="N440" s="33" t="n"/>
      <c r="O440" s="33" t="n"/>
      <c r="P440" s="32">
        <f>IF(OR($L440="",$N440=""),"",$L440-$N440)</f>
        <v/>
      </c>
      <c r="Q440" s="28">
        <f>IF($B440="","",IF(N($H440)&gt;0,"Live","Exited"))</f>
        <v/>
      </c>
      <c r="R440" s="28">
        <f>IF($B440="","",IF($L440="","Data Pending",IF($L440&gt;=Instructions!$D$19,"Best Fund",IF($L440&gt;=Instructions!$D$20,"Need to Improve","Not Performing"))))</f>
        <v/>
      </c>
      <c r="S440" s="7">
        <f>IF($R440="","",IF($R440="Data Pending","Enter the 3Y return",IF($R440="Best Fund","Hold / consider top-up",IF($R440="Need to Improve","Watch 2 quarters, then decide","Review with client - switch or exit"))))</f>
        <v/>
      </c>
      <c r="T440" s="27" t="n"/>
      <c r="U440" s="7">
        <f>IF($R440&lt;&gt;"Best Fund","",COUNTIFS($R$6:$R$505,"Best Fund",$L$6:$L$505,"&gt;"&amp;$L440)+COUNTIFS($R$6:$R440,"Best Fund",$L$6:$L440,$L440))</f>
        <v/>
      </c>
      <c r="V440" s="7">
        <f>IF($R440&lt;&gt;"Need to Improve","",COUNTIFS($R$6:$R$505,"Need to Improve",$L$6:$L$505,"&lt;"&amp;$L440)+COUNTIFS($R$6:$R440,"Need to Improve",$L$6:$L440,$L440))</f>
        <v/>
      </c>
      <c r="W440" s="7">
        <f>IF($R440&lt;&gt;"Not Performing","",COUNTIFS($R$6:$R$505,"Not Performing",$L$6:$L$505,"&lt;"&amp;$L440)+COUNTIFS($R$6:$R440,"Not Performing",$L$6:$L440,$L440))</f>
        <v/>
      </c>
    </row>
    <row r="441" ht="15" customHeight="1">
      <c r="A441" s="27" t="n"/>
      <c r="B441" s="27" t="n"/>
      <c r="C441" s="27" t="n"/>
      <c r="D441" s="28">
        <f>IF($C441="","",IFERROR(TRIM(LEFT($C441,FIND("-",$C441)-1)),""))</f>
        <v/>
      </c>
      <c r="E441" s="27" t="n"/>
      <c r="F441" s="29" t="n"/>
      <c r="G441" s="30" t="n"/>
      <c r="H441" s="30" t="n"/>
      <c r="I441" s="31">
        <f>IF($B441="","",$H441-$G441)</f>
        <v/>
      </c>
      <c r="J441" s="32">
        <f>IF(OR($B441="",$G441=0,$G441=""),"",$I441/$G441)</f>
        <v/>
      </c>
      <c r="K441" s="33" t="n"/>
      <c r="L441" s="33" t="n"/>
      <c r="M441" s="33" t="n"/>
      <c r="N441" s="33" t="n"/>
      <c r="O441" s="33" t="n"/>
      <c r="P441" s="32">
        <f>IF(OR($L441="",$N441=""),"",$L441-$N441)</f>
        <v/>
      </c>
      <c r="Q441" s="28">
        <f>IF($B441="","",IF(N($H441)&gt;0,"Live","Exited"))</f>
        <v/>
      </c>
      <c r="R441" s="28">
        <f>IF($B441="","",IF($L441="","Data Pending",IF($L441&gt;=Instructions!$D$19,"Best Fund",IF($L441&gt;=Instructions!$D$20,"Need to Improve","Not Performing"))))</f>
        <v/>
      </c>
      <c r="S441" s="7">
        <f>IF($R441="","",IF($R441="Data Pending","Enter the 3Y return",IF($R441="Best Fund","Hold / consider top-up",IF($R441="Need to Improve","Watch 2 quarters, then decide","Review with client - switch or exit"))))</f>
        <v/>
      </c>
      <c r="T441" s="27" t="n"/>
      <c r="U441" s="7">
        <f>IF($R441&lt;&gt;"Best Fund","",COUNTIFS($R$6:$R$505,"Best Fund",$L$6:$L$505,"&gt;"&amp;$L441)+COUNTIFS($R$6:$R441,"Best Fund",$L$6:$L441,$L441))</f>
        <v/>
      </c>
      <c r="V441" s="7">
        <f>IF($R441&lt;&gt;"Need to Improve","",COUNTIFS($R$6:$R$505,"Need to Improve",$L$6:$L$505,"&lt;"&amp;$L441)+COUNTIFS($R$6:$R441,"Need to Improve",$L$6:$L441,$L441))</f>
        <v/>
      </c>
      <c r="W441" s="7">
        <f>IF($R441&lt;&gt;"Not Performing","",COUNTIFS($R$6:$R$505,"Not Performing",$L$6:$L$505,"&lt;"&amp;$L441)+COUNTIFS($R$6:$R441,"Not Performing",$L$6:$L441,$L441))</f>
        <v/>
      </c>
    </row>
    <row r="442" ht="15" customHeight="1">
      <c r="A442" s="27" t="n"/>
      <c r="B442" s="27" t="n"/>
      <c r="C442" s="27" t="n"/>
      <c r="D442" s="28">
        <f>IF($C442="","",IFERROR(TRIM(LEFT($C442,FIND("-",$C442)-1)),""))</f>
        <v/>
      </c>
      <c r="E442" s="27" t="n"/>
      <c r="F442" s="29" t="n"/>
      <c r="G442" s="30" t="n"/>
      <c r="H442" s="30" t="n"/>
      <c r="I442" s="31">
        <f>IF($B442="","",$H442-$G442)</f>
        <v/>
      </c>
      <c r="J442" s="32">
        <f>IF(OR($B442="",$G442=0,$G442=""),"",$I442/$G442)</f>
        <v/>
      </c>
      <c r="K442" s="33" t="n"/>
      <c r="L442" s="33" t="n"/>
      <c r="M442" s="33" t="n"/>
      <c r="N442" s="33" t="n"/>
      <c r="O442" s="33" t="n"/>
      <c r="P442" s="32">
        <f>IF(OR($L442="",$N442=""),"",$L442-$N442)</f>
        <v/>
      </c>
      <c r="Q442" s="28">
        <f>IF($B442="","",IF(N($H442)&gt;0,"Live","Exited"))</f>
        <v/>
      </c>
      <c r="R442" s="28">
        <f>IF($B442="","",IF($L442="","Data Pending",IF($L442&gt;=Instructions!$D$19,"Best Fund",IF($L442&gt;=Instructions!$D$20,"Need to Improve","Not Performing"))))</f>
        <v/>
      </c>
      <c r="S442" s="7">
        <f>IF($R442="","",IF($R442="Data Pending","Enter the 3Y return",IF($R442="Best Fund","Hold / consider top-up",IF($R442="Need to Improve","Watch 2 quarters, then decide","Review with client - switch or exit"))))</f>
        <v/>
      </c>
      <c r="T442" s="27" t="n"/>
      <c r="U442" s="7">
        <f>IF($R442&lt;&gt;"Best Fund","",COUNTIFS($R$6:$R$505,"Best Fund",$L$6:$L$505,"&gt;"&amp;$L442)+COUNTIFS($R$6:$R442,"Best Fund",$L$6:$L442,$L442))</f>
        <v/>
      </c>
      <c r="V442" s="7">
        <f>IF($R442&lt;&gt;"Need to Improve","",COUNTIFS($R$6:$R$505,"Need to Improve",$L$6:$L$505,"&lt;"&amp;$L442)+COUNTIFS($R$6:$R442,"Need to Improve",$L$6:$L442,$L442))</f>
        <v/>
      </c>
      <c r="W442" s="7">
        <f>IF($R442&lt;&gt;"Not Performing","",COUNTIFS($R$6:$R$505,"Not Performing",$L$6:$L$505,"&lt;"&amp;$L442)+COUNTIFS($R$6:$R442,"Not Performing",$L$6:$L442,$L442))</f>
        <v/>
      </c>
    </row>
    <row r="443" ht="15" customHeight="1">
      <c r="A443" s="27" t="n"/>
      <c r="B443" s="27" t="n"/>
      <c r="C443" s="27" t="n"/>
      <c r="D443" s="28">
        <f>IF($C443="","",IFERROR(TRIM(LEFT($C443,FIND("-",$C443)-1)),""))</f>
        <v/>
      </c>
      <c r="E443" s="27" t="n"/>
      <c r="F443" s="29" t="n"/>
      <c r="G443" s="30" t="n"/>
      <c r="H443" s="30" t="n"/>
      <c r="I443" s="31">
        <f>IF($B443="","",$H443-$G443)</f>
        <v/>
      </c>
      <c r="J443" s="32">
        <f>IF(OR($B443="",$G443=0,$G443=""),"",$I443/$G443)</f>
        <v/>
      </c>
      <c r="K443" s="33" t="n"/>
      <c r="L443" s="33" t="n"/>
      <c r="M443" s="33" t="n"/>
      <c r="N443" s="33" t="n"/>
      <c r="O443" s="33" t="n"/>
      <c r="P443" s="32">
        <f>IF(OR($L443="",$N443=""),"",$L443-$N443)</f>
        <v/>
      </c>
      <c r="Q443" s="28">
        <f>IF($B443="","",IF(N($H443)&gt;0,"Live","Exited"))</f>
        <v/>
      </c>
      <c r="R443" s="28">
        <f>IF($B443="","",IF($L443="","Data Pending",IF($L443&gt;=Instructions!$D$19,"Best Fund",IF($L443&gt;=Instructions!$D$20,"Need to Improve","Not Performing"))))</f>
        <v/>
      </c>
      <c r="S443" s="7">
        <f>IF($R443="","",IF($R443="Data Pending","Enter the 3Y return",IF($R443="Best Fund","Hold / consider top-up",IF($R443="Need to Improve","Watch 2 quarters, then decide","Review with client - switch or exit"))))</f>
        <v/>
      </c>
      <c r="T443" s="27" t="n"/>
      <c r="U443" s="7">
        <f>IF($R443&lt;&gt;"Best Fund","",COUNTIFS($R$6:$R$505,"Best Fund",$L$6:$L$505,"&gt;"&amp;$L443)+COUNTIFS($R$6:$R443,"Best Fund",$L$6:$L443,$L443))</f>
        <v/>
      </c>
      <c r="V443" s="7">
        <f>IF($R443&lt;&gt;"Need to Improve","",COUNTIFS($R$6:$R$505,"Need to Improve",$L$6:$L$505,"&lt;"&amp;$L443)+COUNTIFS($R$6:$R443,"Need to Improve",$L$6:$L443,$L443))</f>
        <v/>
      </c>
      <c r="W443" s="7">
        <f>IF($R443&lt;&gt;"Not Performing","",COUNTIFS($R$6:$R$505,"Not Performing",$L$6:$L$505,"&lt;"&amp;$L443)+COUNTIFS($R$6:$R443,"Not Performing",$L$6:$L443,$L443))</f>
        <v/>
      </c>
    </row>
    <row r="444" ht="15" customHeight="1">
      <c r="A444" s="27" t="n"/>
      <c r="B444" s="27" t="n"/>
      <c r="C444" s="27" t="n"/>
      <c r="D444" s="28">
        <f>IF($C444="","",IFERROR(TRIM(LEFT($C444,FIND("-",$C444)-1)),""))</f>
        <v/>
      </c>
      <c r="E444" s="27" t="n"/>
      <c r="F444" s="29" t="n"/>
      <c r="G444" s="30" t="n"/>
      <c r="H444" s="30" t="n"/>
      <c r="I444" s="31">
        <f>IF($B444="","",$H444-$G444)</f>
        <v/>
      </c>
      <c r="J444" s="32">
        <f>IF(OR($B444="",$G444=0,$G444=""),"",$I444/$G444)</f>
        <v/>
      </c>
      <c r="K444" s="33" t="n"/>
      <c r="L444" s="33" t="n"/>
      <c r="M444" s="33" t="n"/>
      <c r="N444" s="33" t="n"/>
      <c r="O444" s="33" t="n"/>
      <c r="P444" s="32">
        <f>IF(OR($L444="",$N444=""),"",$L444-$N444)</f>
        <v/>
      </c>
      <c r="Q444" s="28">
        <f>IF($B444="","",IF(N($H444)&gt;0,"Live","Exited"))</f>
        <v/>
      </c>
      <c r="R444" s="28">
        <f>IF($B444="","",IF($L444="","Data Pending",IF($L444&gt;=Instructions!$D$19,"Best Fund",IF($L444&gt;=Instructions!$D$20,"Need to Improve","Not Performing"))))</f>
        <v/>
      </c>
      <c r="S444" s="7">
        <f>IF($R444="","",IF($R444="Data Pending","Enter the 3Y return",IF($R444="Best Fund","Hold / consider top-up",IF($R444="Need to Improve","Watch 2 quarters, then decide","Review with client - switch or exit"))))</f>
        <v/>
      </c>
      <c r="T444" s="27" t="n"/>
      <c r="U444" s="7">
        <f>IF($R444&lt;&gt;"Best Fund","",COUNTIFS($R$6:$R$505,"Best Fund",$L$6:$L$505,"&gt;"&amp;$L444)+COUNTIFS($R$6:$R444,"Best Fund",$L$6:$L444,$L444))</f>
        <v/>
      </c>
      <c r="V444" s="7">
        <f>IF($R444&lt;&gt;"Need to Improve","",COUNTIFS($R$6:$R$505,"Need to Improve",$L$6:$L$505,"&lt;"&amp;$L444)+COUNTIFS($R$6:$R444,"Need to Improve",$L$6:$L444,$L444))</f>
        <v/>
      </c>
      <c r="W444" s="7">
        <f>IF($R444&lt;&gt;"Not Performing","",COUNTIFS($R$6:$R$505,"Not Performing",$L$6:$L$505,"&lt;"&amp;$L444)+COUNTIFS($R$6:$R444,"Not Performing",$L$6:$L444,$L444))</f>
        <v/>
      </c>
    </row>
    <row r="445" ht="15" customHeight="1">
      <c r="A445" s="27" t="n"/>
      <c r="B445" s="27" t="n"/>
      <c r="C445" s="27" t="n"/>
      <c r="D445" s="28">
        <f>IF($C445="","",IFERROR(TRIM(LEFT($C445,FIND("-",$C445)-1)),""))</f>
        <v/>
      </c>
      <c r="E445" s="27" t="n"/>
      <c r="F445" s="29" t="n"/>
      <c r="G445" s="30" t="n"/>
      <c r="H445" s="30" t="n"/>
      <c r="I445" s="31">
        <f>IF($B445="","",$H445-$G445)</f>
        <v/>
      </c>
      <c r="J445" s="32">
        <f>IF(OR($B445="",$G445=0,$G445=""),"",$I445/$G445)</f>
        <v/>
      </c>
      <c r="K445" s="33" t="n"/>
      <c r="L445" s="33" t="n"/>
      <c r="M445" s="33" t="n"/>
      <c r="N445" s="33" t="n"/>
      <c r="O445" s="33" t="n"/>
      <c r="P445" s="32">
        <f>IF(OR($L445="",$N445=""),"",$L445-$N445)</f>
        <v/>
      </c>
      <c r="Q445" s="28">
        <f>IF($B445="","",IF(N($H445)&gt;0,"Live","Exited"))</f>
        <v/>
      </c>
      <c r="R445" s="28">
        <f>IF($B445="","",IF($L445="","Data Pending",IF($L445&gt;=Instructions!$D$19,"Best Fund",IF($L445&gt;=Instructions!$D$20,"Need to Improve","Not Performing"))))</f>
        <v/>
      </c>
      <c r="S445" s="7">
        <f>IF($R445="","",IF($R445="Data Pending","Enter the 3Y return",IF($R445="Best Fund","Hold / consider top-up",IF($R445="Need to Improve","Watch 2 quarters, then decide","Review with client - switch or exit"))))</f>
        <v/>
      </c>
      <c r="T445" s="27" t="n"/>
      <c r="U445" s="7">
        <f>IF($R445&lt;&gt;"Best Fund","",COUNTIFS($R$6:$R$505,"Best Fund",$L$6:$L$505,"&gt;"&amp;$L445)+COUNTIFS($R$6:$R445,"Best Fund",$L$6:$L445,$L445))</f>
        <v/>
      </c>
      <c r="V445" s="7">
        <f>IF($R445&lt;&gt;"Need to Improve","",COUNTIFS($R$6:$R$505,"Need to Improve",$L$6:$L$505,"&lt;"&amp;$L445)+COUNTIFS($R$6:$R445,"Need to Improve",$L$6:$L445,$L445))</f>
        <v/>
      </c>
      <c r="W445" s="7">
        <f>IF($R445&lt;&gt;"Not Performing","",COUNTIFS($R$6:$R$505,"Not Performing",$L$6:$L$505,"&lt;"&amp;$L445)+COUNTIFS($R$6:$R445,"Not Performing",$L$6:$L445,$L445))</f>
        <v/>
      </c>
    </row>
    <row r="446" ht="15" customHeight="1">
      <c r="A446" s="27" t="n"/>
      <c r="B446" s="27" t="n"/>
      <c r="C446" s="27" t="n"/>
      <c r="D446" s="28">
        <f>IF($C446="","",IFERROR(TRIM(LEFT($C446,FIND("-",$C446)-1)),""))</f>
        <v/>
      </c>
      <c r="E446" s="27" t="n"/>
      <c r="F446" s="29" t="n"/>
      <c r="G446" s="30" t="n"/>
      <c r="H446" s="30" t="n"/>
      <c r="I446" s="31">
        <f>IF($B446="","",$H446-$G446)</f>
        <v/>
      </c>
      <c r="J446" s="32">
        <f>IF(OR($B446="",$G446=0,$G446=""),"",$I446/$G446)</f>
        <v/>
      </c>
      <c r="K446" s="33" t="n"/>
      <c r="L446" s="33" t="n"/>
      <c r="M446" s="33" t="n"/>
      <c r="N446" s="33" t="n"/>
      <c r="O446" s="33" t="n"/>
      <c r="P446" s="32">
        <f>IF(OR($L446="",$N446=""),"",$L446-$N446)</f>
        <v/>
      </c>
      <c r="Q446" s="28">
        <f>IF($B446="","",IF(N($H446)&gt;0,"Live","Exited"))</f>
        <v/>
      </c>
      <c r="R446" s="28">
        <f>IF($B446="","",IF($L446="","Data Pending",IF($L446&gt;=Instructions!$D$19,"Best Fund",IF($L446&gt;=Instructions!$D$20,"Need to Improve","Not Performing"))))</f>
        <v/>
      </c>
      <c r="S446" s="7">
        <f>IF($R446="","",IF($R446="Data Pending","Enter the 3Y return",IF($R446="Best Fund","Hold / consider top-up",IF($R446="Need to Improve","Watch 2 quarters, then decide","Review with client - switch or exit"))))</f>
        <v/>
      </c>
      <c r="T446" s="27" t="n"/>
      <c r="U446" s="7">
        <f>IF($R446&lt;&gt;"Best Fund","",COUNTIFS($R$6:$R$505,"Best Fund",$L$6:$L$505,"&gt;"&amp;$L446)+COUNTIFS($R$6:$R446,"Best Fund",$L$6:$L446,$L446))</f>
        <v/>
      </c>
      <c r="V446" s="7">
        <f>IF($R446&lt;&gt;"Need to Improve","",COUNTIFS($R$6:$R$505,"Need to Improve",$L$6:$L$505,"&lt;"&amp;$L446)+COUNTIFS($R$6:$R446,"Need to Improve",$L$6:$L446,$L446))</f>
        <v/>
      </c>
      <c r="W446" s="7">
        <f>IF($R446&lt;&gt;"Not Performing","",COUNTIFS($R$6:$R$505,"Not Performing",$L$6:$L$505,"&lt;"&amp;$L446)+COUNTIFS($R$6:$R446,"Not Performing",$L$6:$L446,$L446))</f>
        <v/>
      </c>
    </row>
    <row r="447" ht="15" customHeight="1">
      <c r="A447" s="27" t="n"/>
      <c r="B447" s="27" t="n"/>
      <c r="C447" s="27" t="n"/>
      <c r="D447" s="28">
        <f>IF($C447="","",IFERROR(TRIM(LEFT($C447,FIND("-",$C447)-1)),""))</f>
        <v/>
      </c>
      <c r="E447" s="27" t="n"/>
      <c r="F447" s="29" t="n"/>
      <c r="G447" s="30" t="n"/>
      <c r="H447" s="30" t="n"/>
      <c r="I447" s="31">
        <f>IF($B447="","",$H447-$G447)</f>
        <v/>
      </c>
      <c r="J447" s="32">
        <f>IF(OR($B447="",$G447=0,$G447=""),"",$I447/$G447)</f>
        <v/>
      </c>
      <c r="K447" s="33" t="n"/>
      <c r="L447" s="33" t="n"/>
      <c r="M447" s="33" t="n"/>
      <c r="N447" s="33" t="n"/>
      <c r="O447" s="33" t="n"/>
      <c r="P447" s="32">
        <f>IF(OR($L447="",$N447=""),"",$L447-$N447)</f>
        <v/>
      </c>
      <c r="Q447" s="28">
        <f>IF($B447="","",IF(N($H447)&gt;0,"Live","Exited"))</f>
        <v/>
      </c>
      <c r="R447" s="28">
        <f>IF($B447="","",IF($L447="","Data Pending",IF($L447&gt;=Instructions!$D$19,"Best Fund",IF($L447&gt;=Instructions!$D$20,"Need to Improve","Not Performing"))))</f>
        <v/>
      </c>
      <c r="S447" s="7">
        <f>IF($R447="","",IF($R447="Data Pending","Enter the 3Y return",IF($R447="Best Fund","Hold / consider top-up",IF($R447="Need to Improve","Watch 2 quarters, then decide","Review with client - switch or exit"))))</f>
        <v/>
      </c>
      <c r="T447" s="27" t="n"/>
      <c r="U447" s="7">
        <f>IF($R447&lt;&gt;"Best Fund","",COUNTIFS($R$6:$R$505,"Best Fund",$L$6:$L$505,"&gt;"&amp;$L447)+COUNTIFS($R$6:$R447,"Best Fund",$L$6:$L447,$L447))</f>
        <v/>
      </c>
      <c r="V447" s="7">
        <f>IF($R447&lt;&gt;"Need to Improve","",COUNTIFS($R$6:$R$505,"Need to Improve",$L$6:$L$505,"&lt;"&amp;$L447)+COUNTIFS($R$6:$R447,"Need to Improve",$L$6:$L447,$L447))</f>
        <v/>
      </c>
      <c r="W447" s="7">
        <f>IF($R447&lt;&gt;"Not Performing","",COUNTIFS($R$6:$R$505,"Not Performing",$L$6:$L$505,"&lt;"&amp;$L447)+COUNTIFS($R$6:$R447,"Not Performing",$L$6:$L447,$L447))</f>
        <v/>
      </c>
    </row>
    <row r="448" ht="15" customHeight="1">
      <c r="A448" s="27" t="n"/>
      <c r="B448" s="27" t="n"/>
      <c r="C448" s="27" t="n"/>
      <c r="D448" s="28">
        <f>IF($C448="","",IFERROR(TRIM(LEFT($C448,FIND("-",$C448)-1)),""))</f>
        <v/>
      </c>
      <c r="E448" s="27" t="n"/>
      <c r="F448" s="29" t="n"/>
      <c r="G448" s="30" t="n"/>
      <c r="H448" s="30" t="n"/>
      <c r="I448" s="31">
        <f>IF($B448="","",$H448-$G448)</f>
        <v/>
      </c>
      <c r="J448" s="32">
        <f>IF(OR($B448="",$G448=0,$G448=""),"",$I448/$G448)</f>
        <v/>
      </c>
      <c r="K448" s="33" t="n"/>
      <c r="L448" s="33" t="n"/>
      <c r="M448" s="33" t="n"/>
      <c r="N448" s="33" t="n"/>
      <c r="O448" s="33" t="n"/>
      <c r="P448" s="32">
        <f>IF(OR($L448="",$N448=""),"",$L448-$N448)</f>
        <v/>
      </c>
      <c r="Q448" s="28">
        <f>IF($B448="","",IF(N($H448)&gt;0,"Live","Exited"))</f>
        <v/>
      </c>
      <c r="R448" s="28">
        <f>IF($B448="","",IF($L448="","Data Pending",IF($L448&gt;=Instructions!$D$19,"Best Fund",IF($L448&gt;=Instructions!$D$20,"Need to Improve","Not Performing"))))</f>
        <v/>
      </c>
      <c r="S448" s="7">
        <f>IF($R448="","",IF($R448="Data Pending","Enter the 3Y return",IF($R448="Best Fund","Hold / consider top-up",IF($R448="Need to Improve","Watch 2 quarters, then decide","Review with client - switch or exit"))))</f>
        <v/>
      </c>
      <c r="T448" s="27" t="n"/>
      <c r="U448" s="7">
        <f>IF($R448&lt;&gt;"Best Fund","",COUNTIFS($R$6:$R$505,"Best Fund",$L$6:$L$505,"&gt;"&amp;$L448)+COUNTIFS($R$6:$R448,"Best Fund",$L$6:$L448,$L448))</f>
        <v/>
      </c>
      <c r="V448" s="7">
        <f>IF($R448&lt;&gt;"Need to Improve","",COUNTIFS($R$6:$R$505,"Need to Improve",$L$6:$L$505,"&lt;"&amp;$L448)+COUNTIFS($R$6:$R448,"Need to Improve",$L$6:$L448,$L448))</f>
        <v/>
      </c>
      <c r="W448" s="7">
        <f>IF($R448&lt;&gt;"Not Performing","",COUNTIFS($R$6:$R$505,"Not Performing",$L$6:$L$505,"&lt;"&amp;$L448)+COUNTIFS($R$6:$R448,"Not Performing",$L$6:$L448,$L448))</f>
        <v/>
      </c>
    </row>
    <row r="449" ht="15" customHeight="1">
      <c r="A449" s="27" t="n"/>
      <c r="B449" s="27" t="n"/>
      <c r="C449" s="27" t="n"/>
      <c r="D449" s="28">
        <f>IF($C449="","",IFERROR(TRIM(LEFT($C449,FIND("-",$C449)-1)),""))</f>
        <v/>
      </c>
      <c r="E449" s="27" t="n"/>
      <c r="F449" s="29" t="n"/>
      <c r="G449" s="30" t="n"/>
      <c r="H449" s="30" t="n"/>
      <c r="I449" s="31">
        <f>IF($B449="","",$H449-$G449)</f>
        <v/>
      </c>
      <c r="J449" s="32">
        <f>IF(OR($B449="",$G449=0,$G449=""),"",$I449/$G449)</f>
        <v/>
      </c>
      <c r="K449" s="33" t="n"/>
      <c r="L449" s="33" t="n"/>
      <c r="M449" s="33" t="n"/>
      <c r="N449" s="33" t="n"/>
      <c r="O449" s="33" t="n"/>
      <c r="P449" s="32">
        <f>IF(OR($L449="",$N449=""),"",$L449-$N449)</f>
        <v/>
      </c>
      <c r="Q449" s="28">
        <f>IF($B449="","",IF(N($H449)&gt;0,"Live","Exited"))</f>
        <v/>
      </c>
      <c r="R449" s="28">
        <f>IF($B449="","",IF($L449="","Data Pending",IF($L449&gt;=Instructions!$D$19,"Best Fund",IF($L449&gt;=Instructions!$D$20,"Need to Improve","Not Performing"))))</f>
        <v/>
      </c>
      <c r="S449" s="7">
        <f>IF($R449="","",IF($R449="Data Pending","Enter the 3Y return",IF($R449="Best Fund","Hold / consider top-up",IF($R449="Need to Improve","Watch 2 quarters, then decide","Review with client - switch or exit"))))</f>
        <v/>
      </c>
      <c r="T449" s="27" t="n"/>
      <c r="U449" s="7">
        <f>IF($R449&lt;&gt;"Best Fund","",COUNTIFS($R$6:$R$505,"Best Fund",$L$6:$L$505,"&gt;"&amp;$L449)+COUNTIFS($R$6:$R449,"Best Fund",$L$6:$L449,$L449))</f>
        <v/>
      </c>
      <c r="V449" s="7">
        <f>IF($R449&lt;&gt;"Need to Improve","",COUNTIFS($R$6:$R$505,"Need to Improve",$L$6:$L$505,"&lt;"&amp;$L449)+COUNTIFS($R$6:$R449,"Need to Improve",$L$6:$L449,$L449))</f>
        <v/>
      </c>
      <c r="W449" s="7">
        <f>IF($R449&lt;&gt;"Not Performing","",COUNTIFS($R$6:$R$505,"Not Performing",$L$6:$L$505,"&lt;"&amp;$L449)+COUNTIFS($R$6:$R449,"Not Performing",$L$6:$L449,$L449))</f>
        <v/>
      </c>
    </row>
    <row r="450" ht="15" customHeight="1">
      <c r="A450" s="27" t="n"/>
      <c r="B450" s="27" t="n"/>
      <c r="C450" s="27" t="n"/>
      <c r="D450" s="28">
        <f>IF($C450="","",IFERROR(TRIM(LEFT($C450,FIND("-",$C450)-1)),""))</f>
        <v/>
      </c>
      <c r="E450" s="27" t="n"/>
      <c r="F450" s="29" t="n"/>
      <c r="G450" s="30" t="n"/>
      <c r="H450" s="30" t="n"/>
      <c r="I450" s="31">
        <f>IF($B450="","",$H450-$G450)</f>
        <v/>
      </c>
      <c r="J450" s="32">
        <f>IF(OR($B450="",$G450=0,$G450=""),"",$I450/$G450)</f>
        <v/>
      </c>
      <c r="K450" s="33" t="n"/>
      <c r="L450" s="33" t="n"/>
      <c r="M450" s="33" t="n"/>
      <c r="N450" s="33" t="n"/>
      <c r="O450" s="33" t="n"/>
      <c r="P450" s="32">
        <f>IF(OR($L450="",$N450=""),"",$L450-$N450)</f>
        <v/>
      </c>
      <c r="Q450" s="28">
        <f>IF($B450="","",IF(N($H450)&gt;0,"Live","Exited"))</f>
        <v/>
      </c>
      <c r="R450" s="28">
        <f>IF($B450="","",IF($L450="","Data Pending",IF($L450&gt;=Instructions!$D$19,"Best Fund",IF($L450&gt;=Instructions!$D$20,"Need to Improve","Not Performing"))))</f>
        <v/>
      </c>
      <c r="S450" s="7">
        <f>IF($R450="","",IF($R450="Data Pending","Enter the 3Y return",IF($R450="Best Fund","Hold / consider top-up",IF($R450="Need to Improve","Watch 2 quarters, then decide","Review with client - switch or exit"))))</f>
        <v/>
      </c>
      <c r="T450" s="27" t="n"/>
      <c r="U450" s="7">
        <f>IF($R450&lt;&gt;"Best Fund","",COUNTIFS($R$6:$R$505,"Best Fund",$L$6:$L$505,"&gt;"&amp;$L450)+COUNTIFS($R$6:$R450,"Best Fund",$L$6:$L450,$L450))</f>
        <v/>
      </c>
      <c r="V450" s="7">
        <f>IF($R450&lt;&gt;"Need to Improve","",COUNTIFS($R$6:$R$505,"Need to Improve",$L$6:$L$505,"&lt;"&amp;$L450)+COUNTIFS($R$6:$R450,"Need to Improve",$L$6:$L450,$L450))</f>
        <v/>
      </c>
      <c r="W450" s="7">
        <f>IF($R450&lt;&gt;"Not Performing","",COUNTIFS($R$6:$R$505,"Not Performing",$L$6:$L$505,"&lt;"&amp;$L450)+COUNTIFS($R$6:$R450,"Not Performing",$L$6:$L450,$L450))</f>
        <v/>
      </c>
    </row>
    <row r="451" ht="15" customHeight="1">
      <c r="A451" s="27" t="n"/>
      <c r="B451" s="27" t="n"/>
      <c r="C451" s="27" t="n"/>
      <c r="D451" s="28">
        <f>IF($C451="","",IFERROR(TRIM(LEFT($C451,FIND("-",$C451)-1)),""))</f>
        <v/>
      </c>
      <c r="E451" s="27" t="n"/>
      <c r="F451" s="29" t="n"/>
      <c r="G451" s="30" t="n"/>
      <c r="H451" s="30" t="n"/>
      <c r="I451" s="31">
        <f>IF($B451="","",$H451-$G451)</f>
        <v/>
      </c>
      <c r="J451" s="32">
        <f>IF(OR($B451="",$G451=0,$G451=""),"",$I451/$G451)</f>
        <v/>
      </c>
      <c r="K451" s="33" t="n"/>
      <c r="L451" s="33" t="n"/>
      <c r="M451" s="33" t="n"/>
      <c r="N451" s="33" t="n"/>
      <c r="O451" s="33" t="n"/>
      <c r="P451" s="32">
        <f>IF(OR($L451="",$N451=""),"",$L451-$N451)</f>
        <v/>
      </c>
      <c r="Q451" s="28">
        <f>IF($B451="","",IF(N($H451)&gt;0,"Live","Exited"))</f>
        <v/>
      </c>
      <c r="R451" s="28">
        <f>IF($B451="","",IF($L451="","Data Pending",IF($L451&gt;=Instructions!$D$19,"Best Fund",IF($L451&gt;=Instructions!$D$20,"Need to Improve","Not Performing"))))</f>
        <v/>
      </c>
      <c r="S451" s="7">
        <f>IF($R451="","",IF($R451="Data Pending","Enter the 3Y return",IF($R451="Best Fund","Hold / consider top-up",IF($R451="Need to Improve","Watch 2 quarters, then decide","Review with client - switch or exit"))))</f>
        <v/>
      </c>
      <c r="T451" s="27" t="n"/>
      <c r="U451" s="7">
        <f>IF($R451&lt;&gt;"Best Fund","",COUNTIFS($R$6:$R$505,"Best Fund",$L$6:$L$505,"&gt;"&amp;$L451)+COUNTIFS($R$6:$R451,"Best Fund",$L$6:$L451,$L451))</f>
        <v/>
      </c>
      <c r="V451" s="7">
        <f>IF($R451&lt;&gt;"Need to Improve","",COUNTIFS($R$6:$R$505,"Need to Improve",$L$6:$L$505,"&lt;"&amp;$L451)+COUNTIFS($R$6:$R451,"Need to Improve",$L$6:$L451,$L451))</f>
        <v/>
      </c>
      <c r="W451" s="7">
        <f>IF($R451&lt;&gt;"Not Performing","",COUNTIFS($R$6:$R$505,"Not Performing",$L$6:$L$505,"&lt;"&amp;$L451)+COUNTIFS($R$6:$R451,"Not Performing",$L$6:$L451,$L451))</f>
        <v/>
      </c>
    </row>
    <row r="452" ht="15" customHeight="1">
      <c r="A452" s="27" t="n"/>
      <c r="B452" s="27" t="n"/>
      <c r="C452" s="27" t="n"/>
      <c r="D452" s="28">
        <f>IF($C452="","",IFERROR(TRIM(LEFT($C452,FIND("-",$C452)-1)),""))</f>
        <v/>
      </c>
      <c r="E452" s="27" t="n"/>
      <c r="F452" s="29" t="n"/>
      <c r="G452" s="30" t="n"/>
      <c r="H452" s="30" t="n"/>
      <c r="I452" s="31">
        <f>IF($B452="","",$H452-$G452)</f>
        <v/>
      </c>
      <c r="J452" s="32">
        <f>IF(OR($B452="",$G452=0,$G452=""),"",$I452/$G452)</f>
        <v/>
      </c>
      <c r="K452" s="33" t="n"/>
      <c r="L452" s="33" t="n"/>
      <c r="M452" s="33" t="n"/>
      <c r="N452" s="33" t="n"/>
      <c r="O452" s="33" t="n"/>
      <c r="P452" s="32">
        <f>IF(OR($L452="",$N452=""),"",$L452-$N452)</f>
        <v/>
      </c>
      <c r="Q452" s="28">
        <f>IF($B452="","",IF(N($H452)&gt;0,"Live","Exited"))</f>
        <v/>
      </c>
      <c r="R452" s="28">
        <f>IF($B452="","",IF($L452="","Data Pending",IF($L452&gt;=Instructions!$D$19,"Best Fund",IF($L452&gt;=Instructions!$D$20,"Need to Improve","Not Performing"))))</f>
        <v/>
      </c>
      <c r="S452" s="7">
        <f>IF($R452="","",IF($R452="Data Pending","Enter the 3Y return",IF($R452="Best Fund","Hold / consider top-up",IF($R452="Need to Improve","Watch 2 quarters, then decide","Review with client - switch or exit"))))</f>
        <v/>
      </c>
      <c r="T452" s="27" t="n"/>
      <c r="U452" s="7">
        <f>IF($R452&lt;&gt;"Best Fund","",COUNTIFS($R$6:$R$505,"Best Fund",$L$6:$L$505,"&gt;"&amp;$L452)+COUNTIFS($R$6:$R452,"Best Fund",$L$6:$L452,$L452))</f>
        <v/>
      </c>
      <c r="V452" s="7">
        <f>IF($R452&lt;&gt;"Need to Improve","",COUNTIFS($R$6:$R$505,"Need to Improve",$L$6:$L$505,"&lt;"&amp;$L452)+COUNTIFS($R$6:$R452,"Need to Improve",$L$6:$L452,$L452))</f>
        <v/>
      </c>
      <c r="W452" s="7">
        <f>IF($R452&lt;&gt;"Not Performing","",COUNTIFS($R$6:$R$505,"Not Performing",$L$6:$L$505,"&lt;"&amp;$L452)+COUNTIFS($R$6:$R452,"Not Performing",$L$6:$L452,$L452))</f>
        <v/>
      </c>
    </row>
    <row r="453" ht="15" customHeight="1">
      <c r="A453" s="27" t="n"/>
      <c r="B453" s="27" t="n"/>
      <c r="C453" s="27" t="n"/>
      <c r="D453" s="28">
        <f>IF($C453="","",IFERROR(TRIM(LEFT($C453,FIND("-",$C453)-1)),""))</f>
        <v/>
      </c>
      <c r="E453" s="27" t="n"/>
      <c r="F453" s="29" t="n"/>
      <c r="G453" s="30" t="n"/>
      <c r="H453" s="30" t="n"/>
      <c r="I453" s="31">
        <f>IF($B453="","",$H453-$G453)</f>
        <v/>
      </c>
      <c r="J453" s="32">
        <f>IF(OR($B453="",$G453=0,$G453=""),"",$I453/$G453)</f>
        <v/>
      </c>
      <c r="K453" s="33" t="n"/>
      <c r="L453" s="33" t="n"/>
      <c r="M453" s="33" t="n"/>
      <c r="N453" s="33" t="n"/>
      <c r="O453" s="33" t="n"/>
      <c r="P453" s="32">
        <f>IF(OR($L453="",$N453=""),"",$L453-$N453)</f>
        <v/>
      </c>
      <c r="Q453" s="28">
        <f>IF($B453="","",IF(N($H453)&gt;0,"Live","Exited"))</f>
        <v/>
      </c>
      <c r="R453" s="28">
        <f>IF($B453="","",IF($L453="","Data Pending",IF($L453&gt;=Instructions!$D$19,"Best Fund",IF($L453&gt;=Instructions!$D$20,"Need to Improve","Not Performing"))))</f>
        <v/>
      </c>
      <c r="S453" s="7">
        <f>IF($R453="","",IF($R453="Data Pending","Enter the 3Y return",IF($R453="Best Fund","Hold / consider top-up",IF($R453="Need to Improve","Watch 2 quarters, then decide","Review with client - switch or exit"))))</f>
        <v/>
      </c>
      <c r="T453" s="27" t="n"/>
      <c r="U453" s="7">
        <f>IF($R453&lt;&gt;"Best Fund","",COUNTIFS($R$6:$R$505,"Best Fund",$L$6:$L$505,"&gt;"&amp;$L453)+COUNTIFS($R$6:$R453,"Best Fund",$L$6:$L453,$L453))</f>
        <v/>
      </c>
      <c r="V453" s="7">
        <f>IF($R453&lt;&gt;"Need to Improve","",COUNTIFS($R$6:$R$505,"Need to Improve",$L$6:$L$505,"&lt;"&amp;$L453)+COUNTIFS($R$6:$R453,"Need to Improve",$L$6:$L453,$L453))</f>
        <v/>
      </c>
      <c r="W453" s="7">
        <f>IF($R453&lt;&gt;"Not Performing","",COUNTIFS($R$6:$R$505,"Not Performing",$L$6:$L$505,"&lt;"&amp;$L453)+COUNTIFS($R$6:$R453,"Not Performing",$L$6:$L453,$L453))</f>
        <v/>
      </c>
    </row>
    <row r="454" ht="15" customHeight="1">
      <c r="A454" s="27" t="n"/>
      <c r="B454" s="27" t="n"/>
      <c r="C454" s="27" t="n"/>
      <c r="D454" s="28">
        <f>IF($C454="","",IFERROR(TRIM(LEFT($C454,FIND("-",$C454)-1)),""))</f>
        <v/>
      </c>
      <c r="E454" s="27" t="n"/>
      <c r="F454" s="29" t="n"/>
      <c r="G454" s="30" t="n"/>
      <c r="H454" s="30" t="n"/>
      <c r="I454" s="31">
        <f>IF($B454="","",$H454-$G454)</f>
        <v/>
      </c>
      <c r="J454" s="32">
        <f>IF(OR($B454="",$G454=0,$G454=""),"",$I454/$G454)</f>
        <v/>
      </c>
      <c r="K454" s="33" t="n"/>
      <c r="L454" s="33" t="n"/>
      <c r="M454" s="33" t="n"/>
      <c r="N454" s="33" t="n"/>
      <c r="O454" s="33" t="n"/>
      <c r="P454" s="32">
        <f>IF(OR($L454="",$N454=""),"",$L454-$N454)</f>
        <v/>
      </c>
      <c r="Q454" s="28">
        <f>IF($B454="","",IF(N($H454)&gt;0,"Live","Exited"))</f>
        <v/>
      </c>
      <c r="R454" s="28">
        <f>IF($B454="","",IF($L454="","Data Pending",IF($L454&gt;=Instructions!$D$19,"Best Fund",IF($L454&gt;=Instructions!$D$20,"Need to Improve","Not Performing"))))</f>
        <v/>
      </c>
      <c r="S454" s="7">
        <f>IF($R454="","",IF($R454="Data Pending","Enter the 3Y return",IF($R454="Best Fund","Hold / consider top-up",IF($R454="Need to Improve","Watch 2 quarters, then decide","Review with client - switch or exit"))))</f>
        <v/>
      </c>
      <c r="T454" s="27" t="n"/>
      <c r="U454" s="7">
        <f>IF($R454&lt;&gt;"Best Fund","",COUNTIFS($R$6:$R$505,"Best Fund",$L$6:$L$505,"&gt;"&amp;$L454)+COUNTIFS($R$6:$R454,"Best Fund",$L$6:$L454,$L454))</f>
        <v/>
      </c>
      <c r="V454" s="7">
        <f>IF($R454&lt;&gt;"Need to Improve","",COUNTIFS($R$6:$R$505,"Need to Improve",$L$6:$L$505,"&lt;"&amp;$L454)+COUNTIFS($R$6:$R454,"Need to Improve",$L$6:$L454,$L454))</f>
        <v/>
      </c>
      <c r="W454" s="7">
        <f>IF($R454&lt;&gt;"Not Performing","",COUNTIFS($R$6:$R$505,"Not Performing",$L$6:$L$505,"&lt;"&amp;$L454)+COUNTIFS($R$6:$R454,"Not Performing",$L$6:$L454,$L454))</f>
        <v/>
      </c>
    </row>
    <row r="455" ht="15" customHeight="1">
      <c r="A455" s="27" t="n"/>
      <c r="B455" s="27" t="n"/>
      <c r="C455" s="27" t="n"/>
      <c r="D455" s="28">
        <f>IF($C455="","",IFERROR(TRIM(LEFT($C455,FIND("-",$C455)-1)),""))</f>
        <v/>
      </c>
      <c r="E455" s="27" t="n"/>
      <c r="F455" s="29" t="n"/>
      <c r="G455" s="30" t="n"/>
      <c r="H455" s="30" t="n"/>
      <c r="I455" s="31">
        <f>IF($B455="","",$H455-$G455)</f>
        <v/>
      </c>
      <c r="J455" s="32">
        <f>IF(OR($B455="",$G455=0,$G455=""),"",$I455/$G455)</f>
        <v/>
      </c>
      <c r="K455" s="33" t="n"/>
      <c r="L455" s="33" t="n"/>
      <c r="M455" s="33" t="n"/>
      <c r="N455" s="33" t="n"/>
      <c r="O455" s="33" t="n"/>
      <c r="P455" s="32">
        <f>IF(OR($L455="",$N455=""),"",$L455-$N455)</f>
        <v/>
      </c>
      <c r="Q455" s="28">
        <f>IF($B455="","",IF(N($H455)&gt;0,"Live","Exited"))</f>
        <v/>
      </c>
      <c r="R455" s="28">
        <f>IF($B455="","",IF($L455="","Data Pending",IF($L455&gt;=Instructions!$D$19,"Best Fund",IF($L455&gt;=Instructions!$D$20,"Need to Improve","Not Performing"))))</f>
        <v/>
      </c>
      <c r="S455" s="7">
        <f>IF($R455="","",IF($R455="Data Pending","Enter the 3Y return",IF($R455="Best Fund","Hold / consider top-up",IF($R455="Need to Improve","Watch 2 quarters, then decide","Review with client - switch or exit"))))</f>
        <v/>
      </c>
      <c r="T455" s="27" t="n"/>
      <c r="U455" s="7">
        <f>IF($R455&lt;&gt;"Best Fund","",COUNTIFS($R$6:$R$505,"Best Fund",$L$6:$L$505,"&gt;"&amp;$L455)+COUNTIFS($R$6:$R455,"Best Fund",$L$6:$L455,$L455))</f>
        <v/>
      </c>
      <c r="V455" s="7">
        <f>IF($R455&lt;&gt;"Need to Improve","",COUNTIFS($R$6:$R$505,"Need to Improve",$L$6:$L$505,"&lt;"&amp;$L455)+COUNTIFS($R$6:$R455,"Need to Improve",$L$6:$L455,$L455))</f>
        <v/>
      </c>
      <c r="W455" s="7">
        <f>IF($R455&lt;&gt;"Not Performing","",COUNTIFS($R$6:$R$505,"Not Performing",$L$6:$L$505,"&lt;"&amp;$L455)+COUNTIFS($R$6:$R455,"Not Performing",$L$6:$L455,$L455))</f>
        <v/>
      </c>
    </row>
    <row r="456" ht="15" customHeight="1">
      <c r="A456" s="27" t="n"/>
      <c r="B456" s="27" t="n"/>
      <c r="C456" s="27" t="n"/>
      <c r="D456" s="28">
        <f>IF($C456="","",IFERROR(TRIM(LEFT($C456,FIND("-",$C456)-1)),""))</f>
        <v/>
      </c>
      <c r="E456" s="27" t="n"/>
      <c r="F456" s="29" t="n"/>
      <c r="G456" s="30" t="n"/>
      <c r="H456" s="30" t="n"/>
      <c r="I456" s="31">
        <f>IF($B456="","",$H456-$G456)</f>
        <v/>
      </c>
      <c r="J456" s="32">
        <f>IF(OR($B456="",$G456=0,$G456=""),"",$I456/$G456)</f>
        <v/>
      </c>
      <c r="K456" s="33" t="n"/>
      <c r="L456" s="33" t="n"/>
      <c r="M456" s="33" t="n"/>
      <c r="N456" s="33" t="n"/>
      <c r="O456" s="33" t="n"/>
      <c r="P456" s="32">
        <f>IF(OR($L456="",$N456=""),"",$L456-$N456)</f>
        <v/>
      </c>
      <c r="Q456" s="28">
        <f>IF($B456="","",IF(N($H456)&gt;0,"Live","Exited"))</f>
        <v/>
      </c>
      <c r="R456" s="28">
        <f>IF($B456="","",IF($L456="","Data Pending",IF($L456&gt;=Instructions!$D$19,"Best Fund",IF($L456&gt;=Instructions!$D$20,"Need to Improve","Not Performing"))))</f>
        <v/>
      </c>
      <c r="S456" s="7">
        <f>IF($R456="","",IF($R456="Data Pending","Enter the 3Y return",IF($R456="Best Fund","Hold / consider top-up",IF($R456="Need to Improve","Watch 2 quarters, then decide","Review with client - switch or exit"))))</f>
        <v/>
      </c>
      <c r="T456" s="27" t="n"/>
      <c r="U456" s="7">
        <f>IF($R456&lt;&gt;"Best Fund","",COUNTIFS($R$6:$R$505,"Best Fund",$L$6:$L$505,"&gt;"&amp;$L456)+COUNTIFS($R$6:$R456,"Best Fund",$L$6:$L456,$L456))</f>
        <v/>
      </c>
      <c r="V456" s="7">
        <f>IF($R456&lt;&gt;"Need to Improve","",COUNTIFS($R$6:$R$505,"Need to Improve",$L$6:$L$505,"&lt;"&amp;$L456)+COUNTIFS($R$6:$R456,"Need to Improve",$L$6:$L456,$L456))</f>
        <v/>
      </c>
      <c r="W456" s="7">
        <f>IF($R456&lt;&gt;"Not Performing","",COUNTIFS($R$6:$R$505,"Not Performing",$L$6:$L$505,"&lt;"&amp;$L456)+COUNTIFS($R$6:$R456,"Not Performing",$L$6:$L456,$L456))</f>
        <v/>
      </c>
    </row>
    <row r="457" ht="15" customHeight="1">
      <c r="A457" s="27" t="n"/>
      <c r="B457" s="27" t="n"/>
      <c r="C457" s="27" t="n"/>
      <c r="D457" s="28">
        <f>IF($C457="","",IFERROR(TRIM(LEFT($C457,FIND("-",$C457)-1)),""))</f>
        <v/>
      </c>
      <c r="E457" s="27" t="n"/>
      <c r="F457" s="29" t="n"/>
      <c r="G457" s="30" t="n"/>
      <c r="H457" s="30" t="n"/>
      <c r="I457" s="31">
        <f>IF($B457="","",$H457-$G457)</f>
        <v/>
      </c>
      <c r="J457" s="32">
        <f>IF(OR($B457="",$G457=0,$G457=""),"",$I457/$G457)</f>
        <v/>
      </c>
      <c r="K457" s="33" t="n"/>
      <c r="L457" s="33" t="n"/>
      <c r="M457" s="33" t="n"/>
      <c r="N457" s="33" t="n"/>
      <c r="O457" s="33" t="n"/>
      <c r="P457" s="32">
        <f>IF(OR($L457="",$N457=""),"",$L457-$N457)</f>
        <v/>
      </c>
      <c r="Q457" s="28">
        <f>IF($B457="","",IF(N($H457)&gt;0,"Live","Exited"))</f>
        <v/>
      </c>
      <c r="R457" s="28">
        <f>IF($B457="","",IF($L457="","Data Pending",IF($L457&gt;=Instructions!$D$19,"Best Fund",IF($L457&gt;=Instructions!$D$20,"Need to Improve","Not Performing"))))</f>
        <v/>
      </c>
      <c r="S457" s="7">
        <f>IF($R457="","",IF($R457="Data Pending","Enter the 3Y return",IF($R457="Best Fund","Hold / consider top-up",IF($R457="Need to Improve","Watch 2 quarters, then decide","Review with client - switch or exit"))))</f>
        <v/>
      </c>
      <c r="T457" s="27" t="n"/>
      <c r="U457" s="7">
        <f>IF($R457&lt;&gt;"Best Fund","",COUNTIFS($R$6:$R$505,"Best Fund",$L$6:$L$505,"&gt;"&amp;$L457)+COUNTIFS($R$6:$R457,"Best Fund",$L$6:$L457,$L457))</f>
        <v/>
      </c>
      <c r="V457" s="7">
        <f>IF($R457&lt;&gt;"Need to Improve","",COUNTIFS($R$6:$R$505,"Need to Improve",$L$6:$L$505,"&lt;"&amp;$L457)+COUNTIFS($R$6:$R457,"Need to Improve",$L$6:$L457,$L457))</f>
        <v/>
      </c>
      <c r="W457" s="7">
        <f>IF($R457&lt;&gt;"Not Performing","",COUNTIFS($R$6:$R$505,"Not Performing",$L$6:$L$505,"&lt;"&amp;$L457)+COUNTIFS($R$6:$R457,"Not Performing",$L$6:$L457,$L457))</f>
        <v/>
      </c>
    </row>
    <row r="458" ht="15" customHeight="1">
      <c r="A458" s="27" t="n"/>
      <c r="B458" s="27" t="n"/>
      <c r="C458" s="27" t="n"/>
      <c r="D458" s="28">
        <f>IF($C458="","",IFERROR(TRIM(LEFT($C458,FIND("-",$C458)-1)),""))</f>
        <v/>
      </c>
      <c r="E458" s="27" t="n"/>
      <c r="F458" s="29" t="n"/>
      <c r="G458" s="30" t="n"/>
      <c r="H458" s="30" t="n"/>
      <c r="I458" s="31">
        <f>IF($B458="","",$H458-$G458)</f>
        <v/>
      </c>
      <c r="J458" s="32">
        <f>IF(OR($B458="",$G458=0,$G458=""),"",$I458/$G458)</f>
        <v/>
      </c>
      <c r="K458" s="33" t="n"/>
      <c r="L458" s="33" t="n"/>
      <c r="M458" s="33" t="n"/>
      <c r="N458" s="33" t="n"/>
      <c r="O458" s="33" t="n"/>
      <c r="P458" s="32">
        <f>IF(OR($L458="",$N458=""),"",$L458-$N458)</f>
        <v/>
      </c>
      <c r="Q458" s="28">
        <f>IF($B458="","",IF(N($H458)&gt;0,"Live","Exited"))</f>
        <v/>
      </c>
      <c r="R458" s="28">
        <f>IF($B458="","",IF($L458="","Data Pending",IF($L458&gt;=Instructions!$D$19,"Best Fund",IF($L458&gt;=Instructions!$D$20,"Need to Improve","Not Performing"))))</f>
        <v/>
      </c>
      <c r="S458" s="7">
        <f>IF($R458="","",IF($R458="Data Pending","Enter the 3Y return",IF($R458="Best Fund","Hold / consider top-up",IF($R458="Need to Improve","Watch 2 quarters, then decide","Review with client - switch or exit"))))</f>
        <v/>
      </c>
      <c r="T458" s="27" t="n"/>
      <c r="U458" s="7">
        <f>IF($R458&lt;&gt;"Best Fund","",COUNTIFS($R$6:$R$505,"Best Fund",$L$6:$L$505,"&gt;"&amp;$L458)+COUNTIFS($R$6:$R458,"Best Fund",$L$6:$L458,$L458))</f>
        <v/>
      </c>
      <c r="V458" s="7">
        <f>IF($R458&lt;&gt;"Need to Improve","",COUNTIFS($R$6:$R$505,"Need to Improve",$L$6:$L$505,"&lt;"&amp;$L458)+COUNTIFS($R$6:$R458,"Need to Improve",$L$6:$L458,$L458))</f>
        <v/>
      </c>
      <c r="W458" s="7">
        <f>IF($R458&lt;&gt;"Not Performing","",COUNTIFS($R$6:$R$505,"Not Performing",$L$6:$L$505,"&lt;"&amp;$L458)+COUNTIFS($R$6:$R458,"Not Performing",$L$6:$L458,$L458))</f>
        <v/>
      </c>
    </row>
    <row r="459" ht="15" customHeight="1">
      <c r="A459" s="27" t="n"/>
      <c r="B459" s="27" t="n"/>
      <c r="C459" s="27" t="n"/>
      <c r="D459" s="28">
        <f>IF($C459="","",IFERROR(TRIM(LEFT($C459,FIND("-",$C459)-1)),""))</f>
        <v/>
      </c>
      <c r="E459" s="27" t="n"/>
      <c r="F459" s="29" t="n"/>
      <c r="G459" s="30" t="n"/>
      <c r="H459" s="30" t="n"/>
      <c r="I459" s="31">
        <f>IF($B459="","",$H459-$G459)</f>
        <v/>
      </c>
      <c r="J459" s="32">
        <f>IF(OR($B459="",$G459=0,$G459=""),"",$I459/$G459)</f>
        <v/>
      </c>
      <c r="K459" s="33" t="n"/>
      <c r="L459" s="33" t="n"/>
      <c r="M459" s="33" t="n"/>
      <c r="N459" s="33" t="n"/>
      <c r="O459" s="33" t="n"/>
      <c r="P459" s="32">
        <f>IF(OR($L459="",$N459=""),"",$L459-$N459)</f>
        <v/>
      </c>
      <c r="Q459" s="28">
        <f>IF($B459="","",IF(N($H459)&gt;0,"Live","Exited"))</f>
        <v/>
      </c>
      <c r="R459" s="28">
        <f>IF($B459="","",IF($L459="","Data Pending",IF($L459&gt;=Instructions!$D$19,"Best Fund",IF($L459&gt;=Instructions!$D$20,"Need to Improve","Not Performing"))))</f>
        <v/>
      </c>
      <c r="S459" s="7">
        <f>IF($R459="","",IF($R459="Data Pending","Enter the 3Y return",IF($R459="Best Fund","Hold / consider top-up",IF($R459="Need to Improve","Watch 2 quarters, then decide","Review with client - switch or exit"))))</f>
        <v/>
      </c>
      <c r="T459" s="27" t="n"/>
      <c r="U459" s="7">
        <f>IF($R459&lt;&gt;"Best Fund","",COUNTIFS($R$6:$R$505,"Best Fund",$L$6:$L$505,"&gt;"&amp;$L459)+COUNTIFS($R$6:$R459,"Best Fund",$L$6:$L459,$L459))</f>
        <v/>
      </c>
      <c r="V459" s="7">
        <f>IF($R459&lt;&gt;"Need to Improve","",COUNTIFS($R$6:$R$505,"Need to Improve",$L$6:$L$505,"&lt;"&amp;$L459)+COUNTIFS($R$6:$R459,"Need to Improve",$L$6:$L459,$L459))</f>
        <v/>
      </c>
      <c r="W459" s="7">
        <f>IF($R459&lt;&gt;"Not Performing","",COUNTIFS($R$6:$R$505,"Not Performing",$L$6:$L$505,"&lt;"&amp;$L459)+COUNTIFS($R$6:$R459,"Not Performing",$L$6:$L459,$L459))</f>
        <v/>
      </c>
    </row>
    <row r="460" ht="15" customHeight="1">
      <c r="A460" s="27" t="n"/>
      <c r="B460" s="27" t="n"/>
      <c r="C460" s="27" t="n"/>
      <c r="D460" s="28">
        <f>IF($C460="","",IFERROR(TRIM(LEFT($C460,FIND("-",$C460)-1)),""))</f>
        <v/>
      </c>
      <c r="E460" s="27" t="n"/>
      <c r="F460" s="29" t="n"/>
      <c r="G460" s="30" t="n"/>
      <c r="H460" s="30" t="n"/>
      <c r="I460" s="31">
        <f>IF($B460="","",$H460-$G460)</f>
        <v/>
      </c>
      <c r="J460" s="32">
        <f>IF(OR($B460="",$G460=0,$G460=""),"",$I460/$G460)</f>
        <v/>
      </c>
      <c r="K460" s="33" t="n"/>
      <c r="L460" s="33" t="n"/>
      <c r="M460" s="33" t="n"/>
      <c r="N460" s="33" t="n"/>
      <c r="O460" s="33" t="n"/>
      <c r="P460" s="32">
        <f>IF(OR($L460="",$N460=""),"",$L460-$N460)</f>
        <v/>
      </c>
      <c r="Q460" s="28">
        <f>IF($B460="","",IF(N($H460)&gt;0,"Live","Exited"))</f>
        <v/>
      </c>
      <c r="R460" s="28">
        <f>IF($B460="","",IF($L460="","Data Pending",IF($L460&gt;=Instructions!$D$19,"Best Fund",IF($L460&gt;=Instructions!$D$20,"Need to Improve","Not Performing"))))</f>
        <v/>
      </c>
      <c r="S460" s="7">
        <f>IF($R460="","",IF($R460="Data Pending","Enter the 3Y return",IF($R460="Best Fund","Hold / consider top-up",IF($R460="Need to Improve","Watch 2 quarters, then decide","Review with client - switch or exit"))))</f>
        <v/>
      </c>
      <c r="T460" s="27" t="n"/>
      <c r="U460" s="7">
        <f>IF($R460&lt;&gt;"Best Fund","",COUNTIFS($R$6:$R$505,"Best Fund",$L$6:$L$505,"&gt;"&amp;$L460)+COUNTIFS($R$6:$R460,"Best Fund",$L$6:$L460,$L460))</f>
        <v/>
      </c>
      <c r="V460" s="7">
        <f>IF($R460&lt;&gt;"Need to Improve","",COUNTIFS($R$6:$R$505,"Need to Improve",$L$6:$L$505,"&lt;"&amp;$L460)+COUNTIFS($R$6:$R460,"Need to Improve",$L$6:$L460,$L460))</f>
        <v/>
      </c>
      <c r="W460" s="7">
        <f>IF($R460&lt;&gt;"Not Performing","",COUNTIFS($R$6:$R$505,"Not Performing",$L$6:$L$505,"&lt;"&amp;$L460)+COUNTIFS($R$6:$R460,"Not Performing",$L$6:$L460,$L460))</f>
        <v/>
      </c>
    </row>
    <row r="461" ht="15" customHeight="1">
      <c r="A461" s="27" t="n"/>
      <c r="B461" s="27" t="n"/>
      <c r="C461" s="27" t="n"/>
      <c r="D461" s="28">
        <f>IF($C461="","",IFERROR(TRIM(LEFT($C461,FIND("-",$C461)-1)),""))</f>
        <v/>
      </c>
      <c r="E461" s="27" t="n"/>
      <c r="F461" s="29" t="n"/>
      <c r="G461" s="30" t="n"/>
      <c r="H461" s="30" t="n"/>
      <c r="I461" s="31">
        <f>IF($B461="","",$H461-$G461)</f>
        <v/>
      </c>
      <c r="J461" s="32">
        <f>IF(OR($B461="",$G461=0,$G461=""),"",$I461/$G461)</f>
        <v/>
      </c>
      <c r="K461" s="33" t="n"/>
      <c r="L461" s="33" t="n"/>
      <c r="M461" s="33" t="n"/>
      <c r="N461" s="33" t="n"/>
      <c r="O461" s="33" t="n"/>
      <c r="P461" s="32">
        <f>IF(OR($L461="",$N461=""),"",$L461-$N461)</f>
        <v/>
      </c>
      <c r="Q461" s="28">
        <f>IF($B461="","",IF(N($H461)&gt;0,"Live","Exited"))</f>
        <v/>
      </c>
      <c r="R461" s="28">
        <f>IF($B461="","",IF($L461="","Data Pending",IF($L461&gt;=Instructions!$D$19,"Best Fund",IF($L461&gt;=Instructions!$D$20,"Need to Improve","Not Performing"))))</f>
        <v/>
      </c>
      <c r="S461" s="7">
        <f>IF($R461="","",IF($R461="Data Pending","Enter the 3Y return",IF($R461="Best Fund","Hold / consider top-up",IF($R461="Need to Improve","Watch 2 quarters, then decide","Review with client - switch or exit"))))</f>
        <v/>
      </c>
      <c r="T461" s="27" t="n"/>
      <c r="U461" s="7">
        <f>IF($R461&lt;&gt;"Best Fund","",COUNTIFS($R$6:$R$505,"Best Fund",$L$6:$L$505,"&gt;"&amp;$L461)+COUNTIFS($R$6:$R461,"Best Fund",$L$6:$L461,$L461))</f>
        <v/>
      </c>
      <c r="V461" s="7">
        <f>IF($R461&lt;&gt;"Need to Improve","",COUNTIFS($R$6:$R$505,"Need to Improve",$L$6:$L$505,"&lt;"&amp;$L461)+COUNTIFS($R$6:$R461,"Need to Improve",$L$6:$L461,$L461))</f>
        <v/>
      </c>
      <c r="W461" s="7">
        <f>IF($R461&lt;&gt;"Not Performing","",COUNTIFS($R$6:$R$505,"Not Performing",$L$6:$L$505,"&lt;"&amp;$L461)+COUNTIFS($R$6:$R461,"Not Performing",$L$6:$L461,$L461))</f>
        <v/>
      </c>
    </row>
    <row r="462" ht="15" customHeight="1">
      <c r="A462" s="27" t="n"/>
      <c r="B462" s="27" t="n"/>
      <c r="C462" s="27" t="n"/>
      <c r="D462" s="28">
        <f>IF($C462="","",IFERROR(TRIM(LEFT($C462,FIND("-",$C462)-1)),""))</f>
        <v/>
      </c>
      <c r="E462" s="27" t="n"/>
      <c r="F462" s="29" t="n"/>
      <c r="G462" s="30" t="n"/>
      <c r="H462" s="30" t="n"/>
      <c r="I462" s="31">
        <f>IF($B462="","",$H462-$G462)</f>
        <v/>
      </c>
      <c r="J462" s="32">
        <f>IF(OR($B462="",$G462=0,$G462=""),"",$I462/$G462)</f>
        <v/>
      </c>
      <c r="K462" s="33" t="n"/>
      <c r="L462" s="33" t="n"/>
      <c r="M462" s="33" t="n"/>
      <c r="N462" s="33" t="n"/>
      <c r="O462" s="33" t="n"/>
      <c r="P462" s="32">
        <f>IF(OR($L462="",$N462=""),"",$L462-$N462)</f>
        <v/>
      </c>
      <c r="Q462" s="28">
        <f>IF($B462="","",IF(N($H462)&gt;0,"Live","Exited"))</f>
        <v/>
      </c>
      <c r="R462" s="28">
        <f>IF($B462="","",IF($L462="","Data Pending",IF($L462&gt;=Instructions!$D$19,"Best Fund",IF($L462&gt;=Instructions!$D$20,"Need to Improve","Not Performing"))))</f>
        <v/>
      </c>
      <c r="S462" s="7">
        <f>IF($R462="","",IF($R462="Data Pending","Enter the 3Y return",IF($R462="Best Fund","Hold / consider top-up",IF($R462="Need to Improve","Watch 2 quarters, then decide","Review with client - switch or exit"))))</f>
        <v/>
      </c>
      <c r="T462" s="27" t="n"/>
      <c r="U462" s="7">
        <f>IF($R462&lt;&gt;"Best Fund","",COUNTIFS($R$6:$R$505,"Best Fund",$L$6:$L$505,"&gt;"&amp;$L462)+COUNTIFS($R$6:$R462,"Best Fund",$L$6:$L462,$L462))</f>
        <v/>
      </c>
      <c r="V462" s="7">
        <f>IF($R462&lt;&gt;"Need to Improve","",COUNTIFS($R$6:$R$505,"Need to Improve",$L$6:$L$505,"&lt;"&amp;$L462)+COUNTIFS($R$6:$R462,"Need to Improve",$L$6:$L462,$L462))</f>
        <v/>
      </c>
      <c r="W462" s="7">
        <f>IF($R462&lt;&gt;"Not Performing","",COUNTIFS($R$6:$R$505,"Not Performing",$L$6:$L$505,"&lt;"&amp;$L462)+COUNTIFS($R$6:$R462,"Not Performing",$L$6:$L462,$L462))</f>
        <v/>
      </c>
    </row>
    <row r="463" ht="15" customHeight="1">
      <c r="A463" s="27" t="n"/>
      <c r="B463" s="27" t="n"/>
      <c r="C463" s="27" t="n"/>
      <c r="D463" s="28">
        <f>IF($C463="","",IFERROR(TRIM(LEFT($C463,FIND("-",$C463)-1)),""))</f>
        <v/>
      </c>
      <c r="E463" s="27" t="n"/>
      <c r="F463" s="29" t="n"/>
      <c r="G463" s="30" t="n"/>
      <c r="H463" s="30" t="n"/>
      <c r="I463" s="31">
        <f>IF($B463="","",$H463-$G463)</f>
        <v/>
      </c>
      <c r="J463" s="32">
        <f>IF(OR($B463="",$G463=0,$G463=""),"",$I463/$G463)</f>
        <v/>
      </c>
      <c r="K463" s="33" t="n"/>
      <c r="L463" s="33" t="n"/>
      <c r="M463" s="33" t="n"/>
      <c r="N463" s="33" t="n"/>
      <c r="O463" s="33" t="n"/>
      <c r="P463" s="32">
        <f>IF(OR($L463="",$N463=""),"",$L463-$N463)</f>
        <v/>
      </c>
      <c r="Q463" s="28">
        <f>IF($B463="","",IF(N($H463)&gt;0,"Live","Exited"))</f>
        <v/>
      </c>
      <c r="R463" s="28">
        <f>IF($B463="","",IF($L463="","Data Pending",IF($L463&gt;=Instructions!$D$19,"Best Fund",IF($L463&gt;=Instructions!$D$20,"Need to Improve","Not Performing"))))</f>
        <v/>
      </c>
      <c r="S463" s="7">
        <f>IF($R463="","",IF($R463="Data Pending","Enter the 3Y return",IF($R463="Best Fund","Hold / consider top-up",IF($R463="Need to Improve","Watch 2 quarters, then decide","Review with client - switch or exit"))))</f>
        <v/>
      </c>
      <c r="T463" s="27" t="n"/>
      <c r="U463" s="7">
        <f>IF($R463&lt;&gt;"Best Fund","",COUNTIFS($R$6:$R$505,"Best Fund",$L$6:$L$505,"&gt;"&amp;$L463)+COUNTIFS($R$6:$R463,"Best Fund",$L$6:$L463,$L463))</f>
        <v/>
      </c>
      <c r="V463" s="7">
        <f>IF($R463&lt;&gt;"Need to Improve","",COUNTIFS($R$6:$R$505,"Need to Improve",$L$6:$L$505,"&lt;"&amp;$L463)+COUNTIFS($R$6:$R463,"Need to Improve",$L$6:$L463,$L463))</f>
        <v/>
      </c>
      <c r="W463" s="7">
        <f>IF($R463&lt;&gt;"Not Performing","",COUNTIFS($R$6:$R$505,"Not Performing",$L$6:$L$505,"&lt;"&amp;$L463)+COUNTIFS($R$6:$R463,"Not Performing",$L$6:$L463,$L463))</f>
        <v/>
      </c>
    </row>
    <row r="464" ht="15" customHeight="1">
      <c r="A464" s="27" t="n"/>
      <c r="B464" s="27" t="n"/>
      <c r="C464" s="27" t="n"/>
      <c r="D464" s="28">
        <f>IF($C464="","",IFERROR(TRIM(LEFT($C464,FIND("-",$C464)-1)),""))</f>
        <v/>
      </c>
      <c r="E464" s="27" t="n"/>
      <c r="F464" s="29" t="n"/>
      <c r="G464" s="30" t="n"/>
      <c r="H464" s="30" t="n"/>
      <c r="I464" s="31">
        <f>IF($B464="","",$H464-$G464)</f>
        <v/>
      </c>
      <c r="J464" s="32">
        <f>IF(OR($B464="",$G464=0,$G464=""),"",$I464/$G464)</f>
        <v/>
      </c>
      <c r="K464" s="33" t="n"/>
      <c r="L464" s="33" t="n"/>
      <c r="M464" s="33" t="n"/>
      <c r="N464" s="33" t="n"/>
      <c r="O464" s="33" t="n"/>
      <c r="P464" s="32">
        <f>IF(OR($L464="",$N464=""),"",$L464-$N464)</f>
        <v/>
      </c>
      <c r="Q464" s="28">
        <f>IF($B464="","",IF(N($H464)&gt;0,"Live","Exited"))</f>
        <v/>
      </c>
      <c r="R464" s="28">
        <f>IF($B464="","",IF($L464="","Data Pending",IF($L464&gt;=Instructions!$D$19,"Best Fund",IF($L464&gt;=Instructions!$D$20,"Need to Improve","Not Performing"))))</f>
        <v/>
      </c>
      <c r="S464" s="7">
        <f>IF($R464="","",IF($R464="Data Pending","Enter the 3Y return",IF($R464="Best Fund","Hold / consider top-up",IF($R464="Need to Improve","Watch 2 quarters, then decide","Review with client - switch or exit"))))</f>
        <v/>
      </c>
      <c r="T464" s="27" t="n"/>
      <c r="U464" s="7">
        <f>IF($R464&lt;&gt;"Best Fund","",COUNTIFS($R$6:$R$505,"Best Fund",$L$6:$L$505,"&gt;"&amp;$L464)+COUNTIFS($R$6:$R464,"Best Fund",$L$6:$L464,$L464))</f>
        <v/>
      </c>
      <c r="V464" s="7">
        <f>IF($R464&lt;&gt;"Need to Improve","",COUNTIFS($R$6:$R$505,"Need to Improve",$L$6:$L$505,"&lt;"&amp;$L464)+COUNTIFS($R$6:$R464,"Need to Improve",$L$6:$L464,$L464))</f>
        <v/>
      </c>
      <c r="W464" s="7">
        <f>IF($R464&lt;&gt;"Not Performing","",COUNTIFS($R$6:$R$505,"Not Performing",$L$6:$L$505,"&lt;"&amp;$L464)+COUNTIFS($R$6:$R464,"Not Performing",$L$6:$L464,$L464))</f>
        <v/>
      </c>
    </row>
    <row r="465" ht="15" customHeight="1">
      <c r="A465" s="27" t="n"/>
      <c r="B465" s="27" t="n"/>
      <c r="C465" s="27" t="n"/>
      <c r="D465" s="28">
        <f>IF($C465="","",IFERROR(TRIM(LEFT($C465,FIND("-",$C465)-1)),""))</f>
        <v/>
      </c>
      <c r="E465" s="27" t="n"/>
      <c r="F465" s="29" t="n"/>
      <c r="G465" s="30" t="n"/>
      <c r="H465" s="30" t="n"/>
      <c r="I465" s="31">
        <f>IF($B465="","",$H465-$G465)</f>
        <v/>
      </c>
      <c r="J465" s="32">
        <f>IF(OR($B465="",$G465=0,$G465=""),"",$I465/$G465)</f>
        <v/>
      </c>
      <c r="K465" s="33" t="n"/>
      <c r="L465" s="33" t="n"/>
      <c r="M465" s="33" t="n"/>
      <c r="N465" s="33" t="n"/>
      <c r="O465" s="33" t="n"/>
      <c r="P465" s="32">
        <f>IF(OR($L465="",$N465=""),"",$L465-$N465)</f>
        <v/>
      </c>
      <c r="Q465" s="28">
        <f>IF($B465="","",IF(N($H465)&gt;0,"Live","Exited"))</f>
        <v/>
      </c>
      <c r="R465" s="28">
        <f>IF($B465="","",IF($L465="","Data Pending",IF($L465&gt;=Instructions!$D$19,"Best Fund",IF($L465&gt;=Instructions!$D$20,"Need to Improve","Not Performing"))))</f>
        <v/>
      </c>
      <c r="S465" s="7">
        <f>IF($R465="","",IF($R465="Data Pending","Enter the 3Y return",IF($R465="Best Fund","Hold / consider top-up",IF($R465="Need to Improve","Watch 2 quarters, then decide","Review with client - switch or exit"))))</f>
        <v/>
      </c>
      <c r="T465" s="27" t="n"/>
      <c r="U465" s="7">
        <f>IF($R465&lt;&gt;"Best Fund","",COUNTIFS($R$6:$R$505,"Best Fund",$L$6:$L$505,"&gt;"&amp;$L465)+COUNTIFS($R$6:$R465,"Best Fund",$L$6:$L465,$L465))</f>
        <v/>
      </c>
      <c r="V465" s="7">
        <f>IF($R465&lt;&gt;"Need to Improve","",COUNTIFS($R$6:$R$505,"Need to Improve",$L$6:$L$505,"&lt;"&amp;$L465)+COUNTIFS($R$6:$R465,"Need to Improve",$L$6:$L465,$L465))</f>
        <v/>
      </c>
      <c r="W465" s="7">
        <f>IF($R465&lt;&gt;"Not Performing","",COUNTIFS($R$6:$R$505,"Not Performing",$L$6:$L$505,"&lt;"&amp;$L465)+COUNTIFS($R$6:$R465,"Not Performing",$L$6:$L465,$L465))</f>
        <v/>
      </c>
    </row>
    <row r="466" ht="15" customHeight="1">
      <c r="A466" s="27" t="n"/>
      <c r="B466" s="27" t="n"/>
      <c r="C466" s="27" t="n"/>
      <c r="D466" s="28">
        <f>IF($C466="","",IFERROR(TRIM(LEFT($C466,FIND("-",$C466)-1)),""))</f>
        <v/>
      </c>
      <c r="E466" s="27" t="n"/>
      <c r="F466" s="29" t="n"/>
      <c r="G466" s="30" t="n"/>
      <c r="H466" s="30" t="n"/>
      <c r="I466" s="31">
        <f>IF($B466="","",$H466-$G466)</f>
        <v/>
      </c>
      <c r="J466" s="32">
        <f>IF(OR($B466="",$G466=0,$G466=""),"",$I466/$G466)</f>
        <v/>
      </c>
      <c r="K466" s="33" t="n"/>
      <c r="L466" s="33" t="n"/>
      <c r="M466" s="33" t="n"/>
      <c r="N466" s="33" t="n"/>
      <c r="O466" s="33" t="n"/>
      <c r="P466" s="32">
        <f>IF(OR($L466="",$N466=""),"",$L466-$N466)</f>
        <v/>
      </c>
      <c r="Q466" s="28">
        <f>IF($B466="","",IF(N($H466)&gt;0,"Live","Exited"))</f>
        <v/>
      </c>
      <c r="R466" s="28">
        <f>IF($B466="","",IF($L466="","Data Pending",IF($L466&gt;=Instructions!$D$19,"Best Fund",IF($L466&gt;=Instructions!$D$20,"Need to Improve","Not Performing"))))</f>
        <v/>
      </c>
      <c r="S466" s="7">
        <f>IF($R466="","",IF($R466="Data Pending","Enter the 3Y return",IF($R466="Best Fund","Hold / consider top-up",IF($R466="Need to Improve","Watch 2 quarters, then decide","Review with client - switch or exit"))))</f>
        <v/>
      </c>
      <c r="T466" s="27" t="n"/>
      <c r="U466" s="7">
        <f>IF($R466&lt;&gt;"Best Fund","",COUNTIFS($R$6:$R$505,"Best Fund",$L$6:$L$505,"&gt;"&amp;$L466)+COUNTIFS($R$6:$R466,"Best Fund",$L$6:$L466,$L466))</f>
        <v/>
      </c>
      <c r="V466" s="7">
        <f>IF($R466&lt;&gt;"Need to Improve","",COUNTIFS($R$6:$R$505,"Need to Improve",$L$6:$L$505,"&lt;"&amp;$L466)+COUNTIFS($R$6:$R466,"Need to Improve",$L$6:$L466,$L466))</f>
        <v/>
      </c>
      <c r="W466" s="7">
        <f>IF($R466&lt;&gt;"Not Performing","",COUNTIFS($R$6:$R$505,"Not Performing",$L$6:$L$505,"&lt;"&amp;$L466)+COUNTIFS($R$6:$R466,"Not Performing",$L$6:$L466,$L466))</f>
        <v/>
      </c>
    </row>
    <row r="467" ht="15" customHeight="1">
      <c r="A467" s="27" t="n"/>
      <c r="B467" s="27" t="n"/>
      <c r="C467" s="27" t="n"/>
      <c r="D467" s="28">
        <f>IF($C467="","",IFERROR(TRIM(LEFT($C467,FIND("-",$C467)-1)),""))</f>
        <v/>
      </c>
      <c r="E467" s="27" t="n"/>
      <c r="F467" s="29" t="n"/>
      <c r="G467" s="30" t="n"/>
      <c r="H467" s="30" t="n"/>
      <c r="I467" s="31">
        <f>IF($B467="","",$H467-$G467)</f>
        <v/>
      </c>
      <c r="J467" s="32">
        <f>IF(OR($B467="",$G467=0,$G467=""),"",$I467/$G467)</f>
        <v/>
      </c>
      <c r="K467" s="33" t="n"/>
      <c r="L467" s="33" t="n"/>
      <c r="M467" s="33" t="n"/>
      <c r="N467" s="33" t="n"/>
      <c r="O467" s="33" t="n"/>
      <c r="P467" s="32">
        <f>IF(OR($L467="",$N467=""),"",$L467-$N467)</f>
        <v/>
      </c>
      <c r="Q467" s="28">
        <f>IF($B467="","",IF(N($H467)&gt;0,"Live","Exited"))</f>
        <v/>
      </c>
      <c r="R467" s="28">
        <f>IF($B467="","",IF($L467="","Data Pending",IF($L467&gt;=Instructions!$D$19,"Best Fund",IF($L467&gt;=Instructions!$D$20,"Need to Improve","Not Performing"))))</f>
        <v/>
      </c>
      <c r="S467" s="7">
        <f>IF($R467="","",IF($R467="Data Pending","Enter the 3Y return",IF($R467="Best Fund","Hold / consider top-up",IF($R467="Need to Improve","Watch 2 quarters, then decide","Review with client - switch or exit"))))</f>
        <v/>
      </c>
      <c r="T467" s="27" t="n"/>
      <c r="U467" s="7">
        <f>IF($R467&lt;&gt;"Best Fund","",COUNTIFS($R$6:$R$505,"Best Fund",$L$6:$L$505,"&gt;"&amp;$L467)+COUNTIFS($R$6:$R467,"Best Fund",$L$6:$L467,$L467))</f>
        <v/>
      </c>
      <c r="V467" s="7">
        <f>IF($R467&lt;&gt;"Need to Improve","",COUNTIFS($R$6:$R$505,"Need to Improve",$L$6:$L$505,"&lt;"&amp;$L467)+COUNTIFS($R$6:$R467,"Need to Improve",$L$6:$L467,$L467))</f>
        <v/>
      </c>
      <c r="W467" s="7">
        <f>IF($R467&lt;&gt;"Not Performing","",COUNTIFS($R$6:$R$505,"Not Performing",$L$6:$L$505,"&lt;"&amp;$L467)+COUNTIFS($R$6:$R467,"Not Performing",$L$6:$L467,$L467))</f>
        <v/>
      </c>
    </row>
    <row r="468" ht="15" customHeight="1">
      <c r="A468" s="27" t="n"/>
      <c r="B468" s="27" t="n"/>
      <c r="C468" s="27" t="n"/>
      <c r="D468" s="28">
        <f>IF($C468="","",IFERROR(TRIM(LEFT($C468,FIND("-",$C468)-1)),""))</f>
        <v/>
      </c>
      <c r="E468" s="27" t="n"/>
      <c r="F468" s="29" t="n"/>
      <c r="G468" s="30" t="n"/>
      <c r="H468" s="30" t="n"/>
      <c r="I468" s="31">
        <f>IF($B468="","",$H468-$G468)</f>
        <v/>
      </c>
      <c r="J468" s="32">
        <f>IF(OR($B468="",$G468=0,$G468=""),"",$I468/$G468)</f>
        <v/>
      </c>
      <c r="K468" s="33" t="n"/>
      <c r="L468" s="33" t="n"/>
      <c r="M468" s="33" t="n"/>
      <c r="N468" s="33" t="n"/>
      <c r="O468" s="33" t="n"/>
      <c r="P468" s="32">
        <f>IF(OR($L468="",$N468=""),"",$L468-$N468)</f>
        <v/>
      </c>
      <c r="Q468" s="28">
        <f>IF($B468="","",IF(N($H468)&gt;0,"Live","Exited"))</f>
        <v/>
      </c>
      <c r="R468" s="28">
        <f>IF($B468="","",IF($L468="","Data Pending",IF($L468&gt;=Instructions!$D$19,"Best Fund",IF($L468&gt;=Instructions!$D$20,"Need to Improve","Not Performing"))))</f>
        <v/>
      </c>
      <c r="S468" s="7">
        <f>IF($R468="","",IF($R468="Data Pending","Enter the 3Y return",IF($R468="Best Fund","Hold / consider top-up",IF($R468="Need to Improve","Watch 2 quarters, then decide","Review with client - switch or exit"))))</f>
        <v/>
      </c>
      <c r="T468" s="27" t="n"/>
      <c r="U468" s="7">
        <f>IF($R468&lt;&gt;"Best Fund","",COUNTIFS($R$6:$R$505,"Best Fund",$L$6:$L$505,"&gt;"&amp;$L468)+COUNTIFS($R$6:$R468,"Best Fund",$L$6:$L468,$L468))</f>
        <v/>
      </c>
      <c r="V468" s="7">
        <f>IF($R468&lt;&gt;"Need to Improve","",COUNTIFS($R$6:$R$505,"Need to Improve",$L$6:$L$505,"&lt;"&amp;$L468)+COUNTIFS($R$6:$R468,"Need to Improve",$L$6:$L468,$L468))</f>
        <v/>
      </c>
      <c r="W468" s="7">
        <f>IF($R468&lt;&gt;"Not Performing","",COUNTIFS($R$6:$R$505,"Not Performing",$L$6:$L$505,"&lt;"&amp;$L468)+COUNTIFS($R$6:$R468,"Not Performing",$L$6:$L468,$L468))</f>
        <v/>
      </c>
    </row>
    <row r="469" ht="15" customHeight="1">
      <c r="A469" s="27" t="n"/>
      <c r="B469" s="27" t="n"/>
      <c r="C469" s="27" t="n"/>
      <c r="D469" s="28">
        <f>IF($C469="","",IFERROR(TRIM(LEFT($C469,FIND("-",$C469)-1)),""))</f>
        <v/>
      </c>
      <c r="E469" s="27" t="n"/>
      <c r="F469" s="29" t="n"/>
      <c r="G469" s="30" t="n"/>
      <c r="H469" s="30" t="n"/>
      <c r="I469" s="31">
        <f>IF($B469="","",$H469-$G469)</f>
        <v/>
      </c>
      <c r="J469" s="32">
        <f>IF(OR($B469="",$G469=0,$G469=""),"",$I469/$G469)</f>
        <v/>
      </c>
      <c r="K469" s="33" t="n"/>
      <c r="L469" s="33" t="n"/>
      <c r="M469" s="33" t="n"/>
      <c r="N469" s="33" t="n"/>
      <c r="O469" s="33" t="n"/>
      <c r="P469" s="32">
        <f>IF(OR($L469="",$N469=""),"",$L469-$N469)</f>
        <v/>
      </c>
      <c r="Q469" s="28">
        <f>IF($B469="","",IF(N($H469)&gt;0,"Live","Exited"))</f>
        <v/>
      </c>
      <c r="R469" s="28">
        <f>IF($B469="","",IF($L469="","Data Pending",IF($L469&gt;=Instructions!$D$19,"Best Fund",IF($L469&gt;=Instructions!$D$20,"Need to Improve","Not Performing"))))</f>
        <v/>
      </c>
      <c r="S469" s="7">
        <f>IF($R469="","",IF($R469="Data Pending","Enter the 3Y return",IF($R469="Best Fund","Hold / consider top-up",IF($R469="Need to Improve","Watch 2 quarters, then decide","Review with client - switch or exit"))))</f>
        <v/>
      </c>
      <c r="T469" s="27" t="n"/>
      <c r="U469" s="7">
        <f>IF($R469&lt;&gt;"Best Fund","",COUNTIFS($R$6:$R$505,"Best Fund",$L$6:$L$505,"&gt;"&amp;$L469)+COUNTIFS($R$6:$R469,"Best Fund",$L$6:$L469,$L469))</f>
        <v/>
      </c>
      <c r="V469" s="7">
        <f>IF($R469&lt;&gt;"Need to Improve","",COUNTIFS($R$6:$R$505,"Need to Improve",$L$6:$L$505,"&lt;"&amp;$L469)+COUNTIFS($R$6:$R469,"Need to Improve",$L$6:$L469,$L469))</f>
        <v/>
      </c>
      <c r="W469" s="7">
        <f>IF($R469&lt;&gt;"Not Performing","",COUNTIFS($R$6:$R$505,"Not Performing",$L$6:$L$505,"&lt;"&amp;$L469)+COUNTIFS($R$6:$R469,"Not Performing",$L$6:$L469,$L469))</f>
        <v/>
      </c>
    </row>
    <row r="470" ht="15" customHeight="1">
      <c r="A470" s="27" t="n"/>
      <c r="B470" s="27" t="n"/>
      <c r="C470" s="27" t="n"/>
      <c r="D470" s="28">
        <f>IF($C470="","",IFERROR(TRIM(LEFT($C470,FIND("-",$C470)-1)),""))</f>
        <v/>
      </c>
      <c r="E470" s="27" t="n"/>
      <c r="F470" s="29" t="n"/>
      <c r="G470" s="30" t="n"/>
      <c r="H470" s="30" t="n"/>
      <c r="I470" s="31">
        <f>IF($B470="","",$H470-$G470)</f>
        <v/>
      </c>
      <c r="J470" s="32">
        <f>IF(OR($B470="",$G470=0,$G470=""),"",$I470/$G470)</f>
        <v/>
      </c>
      <c r="K470" s="33" t="n"/>
      <c r="L470" s="33" t="n"/>
      <c r="M470" s="33" t="n"/>
      <c r="N470" s="33" t="n"/>
      <c r="O470" s="33" t="n"/>
      <c r="P470" s="32">
        <f>IF(OR($L470="",$N470=""),"",$L470-$N470)</f>
        <v/>
      </c>
      <c r="Q470" s="28">
        <f>IF($B470="","",IF(N($H470)&gt;0,"Live","Exited"))</f>
        <v/>
      </c>
      <c r="R470" s="28">
        <f>IF($B470="","",IF($L470="","Data Pending",IF($L470&gt;=Instructions!$D$19,"Best Fund",IF($L470&gt;=Instructions!$D$20,"Need to Improve","Not Performing"))))</f>
        <v/>
      </c>
      <c r="S470" s="7">
        <f>IF($R470="","",IF($R470="Data Pending","Enter the 3Y return",IF($R470="Best Fund","Hold / consider top-up",IF($R470="Need to Improve","Watch 2 quarters, then decide","Review with client - switch or exit"))))</f>
        <v/>
      </c>
      <c r="T470" s="27" t="n"/>
      <c r="U470" s="7">
        <f>IF($R470&lt;&gt;"Best Fund","",COUNTIFS($R$6:$R$505,"Best Fund",$L$6:$L$505,"&gt;"&amp;$L470)+COUNTIFS($R$6:$R470,"Best Fund",$L$6:$L470,$L470))</f>
        <v/>
      </c>
      <c r="V470" s="7">
        <f>IF($R470&lt;&gt;"Need to Improve","",COUNTIFS($R$6:$R$505,"Need to Improve",$L$6:$L$505,"&lt;"&amp;$L470)+COUNTIFS($R$6:$R470,"Need to Improve",$L$6:$L470,$L470))</f>
        <v/>
      </c>
      <c r="W470" s="7">
        <f>IF($R470&lt;&gt;"Not Performing","",COUNTIFS($R$6:$R$505,"Not Performing",$L$6:$L$505,"&lt;"&amp;$L470)+COUNTIFS($R$6:$R470,"Not Performing",$L$6:$L470,$L470))</f>
        <v/>
      </c>
    </row>
    <row r="471" ht="15" customHeight="1">
      <c r="A471" s="27" t="n"/>
      <c r="B471" s="27" t="n"/>
      <c r="C471" s="27" t="n"/>
      <c r="D471" s="28">
        <f>IF($C471="","",IFERROR(TRIM(LEFT($C471,FIND("-",$C471)-1)),""))</f>
        <v/>
      </c>
      <c r="E471" s="27" t="n"/>
      <c r="F471" s="29" t="n"/>
      <c r="G471" s="30" t="n"/>
      <c r="H471" s="30" t="n"/>
      <c r="I471" s="31">
        <f>IF($B471="","",$H471-$G471)</f>
        <v/>
      </c>
      <c r="J471" s="32">
        <f>IF(OR($B471="",$G471=0,$G471=""),"",$I471/$G471)</f>
        <v/>
      </c>
      <c r="K471" s="33" t="n"/>
      <c r="L471" s="33" t="n"/>
      <c r="M471" s="33" t="n"/>
      <c r="N471" s="33" t="n"/>
      <c r="O471" s="33" t="n"/>
      <c r="P471" s="32">
        <f>IF(OR($L471="",$N471=""),"",$L471-$N471)</f>
        <v/>
      </c>
      <c r="Q471" s="28">
        <f>IF($B471="","",IF(N($H471)&gt;0,"Live","Exited"))</f>
        <v/>
      </c>
      <c r="R471" s="28">
        <f>IF($B471="","",IF($L471="","Data Pending",IF($L471&gt;=Instructions!$D$19,"Best Fund",IF($L471&gt;=Instructions!$D$20,"Need to Improve","Not Performing"))))</f>
        <v/>
      </c>
      <c r="S471" s="7">
        <f>IF($R471="","",IF($R471="Data Pending","Enter the 3Y return",IF($R471="Best Fund","Hold / consider top-up",IF($R471="Need to Improve","Watch 2 quarters, then decide","Review with client - switch or exit"))))</f>
        <v/>
      </c>
      <c r="T471" s="27" t="n"/>
      <c r="U471" s="7">
        <f>IF($R471&lt;&gt;"Best Fund","",COUNTIFS($R$6:$R$505,"Best Fund",$L$6:$L$505,"&gt;"&amp;$L471)+COUNTIFS($R$6:$R471,"Best Fund",$L$6:$L471,$L471))</f>
        <v/>
      </c>
      <c r="V471" s="7">
        <f>IF($R471&lt;&gt;"Need to Improve","",COUNTIFS($R$6:$R$505,"Need to Improve",$L$6:$L$505,"&lt;"&amp;$L471)+COUNTIFS($R$6:$R471,"Need to Improve",$L$6:$L471,$L471))</f>
        <v/>
      </c>
      <c r="W471" s="7">
        <f>IF($R471&lt;&gt;"Not Performing","",COUNTIFS($R$6:$R$505,"Not Performing",$L$6:$L$505,"&lt;"&amp;$L471)+COUNTIFS($R$6:$R471,"Not Performing",$L$6:$L471,$L471))</f>
        <v/>
      </c>
    </row>
    <row r="472" ht="15" customHeight="1">
      <c r="A472" s="27" t="n"/>
      <c r="B472" s="27" t="n"/>
      <c r="C472" s="27" t="n"/>
      <c r="D472" s="28">
        <f>IF($C472="","",IFERROR(TRIM(LEFT($C472,FIND("-",$C472)-1)),""))</f>
        <v/>
      </c>
      <c r="E472" s="27" t="n"/>
      <c r="F472" s="29" t="n"/>
      <c r="G472" s="30" t="n"/>
      <c r="H472" s="30" t="n"/>
      <c r="I472" s="31">
        <f>IF($B472="","",$H472-$G472)</f>
        <v/>
      </c>
      <c r="J472" s="32">
        <f>IF(OR($B472="",$G472=0,$G472=""),"",$I472/$G472)</f>
        <v/>
      </c>
      <c r="K472" s="33" t="n"/>
      <c r="L472" s="33" t="n"/>
      <c r="M472" s="33" t="n"/>
      <c r="N472" s="33" t="n"/>
      <c r="O472" s="33" t="n"/>
      <c r="P472" s="32">
        <f>IF(OR($L472="",$N472=""),"",$L472-$N472)</f>
        <v/>
      </c>
      <c r="Q472" s="28">
        <f>IF($B472="","",IF(N($H472)&gt;0,"Live","Exited"))</f>
        <v/>
      </c>
      <c r="R472" s="28">
        <f>IF($B472="","",IF($L472="","Data Pending",IF($L472&gt;=Instructions!$D$19,"Best Fund",IF($L472&gt;=Instructions!$D$20,"Need to Improve","Not Performing"))))</f>
        <v/>
      </c>
      <c r="S472" s="7">
        <f>IF($R472="","",IF($R472="Data Pending","Enter the 3Y return",IF($R472="Best Fund","Hold / consider top-up",IF($R472="Need to Improve","Watch 2 quarters, then decide","Review with client - switch or exit"))))</f>
        <v/>
      </c>
      <c r="T472" s="27" t="n"/>
      <c r="U472" s="7">
        <f>IF($R472&lt;&gt;"Best Fund","",COUNTIFS($R$6:$R$505,"Best Fund",$L$6:$L$505,"&gt;"&amp;$L472)+COUNTIFS($R$6:$R472,"Best Fund",$L$6:$L472,$L472))</f>
        <v/>
      </c>
      <c r="V472" s="7">
        <f>IF($R472&lt;&gt;"Need to Improve","",COUNTIFS($R$6:$R$505,"Need to Improve",$L$6:$L$505,"&lt;"&amp;$L472)+COUNTIFS($R$6:$R472,"Need to Improve",$L$6:$L472,$L472))</f>
        <v/>
      </c>
      <c r="W472" s="7">
        <f>IF($R472&lt;&gt;"Not Performing","",COUNTIFS($R$6:$R$505,"Not Performing",$L$6:$L$505,"&lt;"&amp;$L472)+COUNTIFS($R$6:$R472,"Not Performing",$L$6:$L472,$L472))</f>
        <v/>
      </c>
    </row>
    <row r="473" ht="15" customHeight="1">
      <c r="A473" s="27" t="n"/>
      <c r="B473" s="27" t="n"/>
      <c r="C473" s="27" t="n"/>
      <c r="D473" s="28">
        <f>IF($C473="","",IFERROR(TRIM(LEFT($C473,FIND("-",$C473)-1)),""))</f>
        <v/>
      </c>
      <c r="E473" s="27" t="n"/>
      <c r="F473" s="29" t="n"/>
      <c r="G473" s="30" t="n"/>
      <c r="H473" s="30" t="n"/>
      <c r="I473" s="31">
        <f>IF($B473="","",$H473-$G473)</f>
        <v/>
      </c>
      <c r="J473" s="32">
        <f>IF(OR($B473="",$G473=0,$G473=""),"",$I473/$G473)</f>
        <v/>
      </c>
      <c r="K473" s="33" t="n"/>
      <c r="L473" s="33" t="n"/>
      <c r="M473" s="33" t="n"/>
      <c r="N473" s="33" t="n"/>
      <c r="O473" s="33" t="n"/>
      <c r="P473" s="32">
        <f>IF(OR($L473="",$N473=""),"",$L473-$N473)</f>
        <v/>
      </c>
      <c r="Q473" s="28">
        <f>IF($B473="","",IF(N($H473)&gt;0,"Live","Exited"))</f>
        <v/>
      </c>
      <c r="R473" s="28">
        <f>IF($B473="","",IF($L473="","Data Pending",IF($L473&gt;=Instructions!$D$19,"Best Fund",IF($L473&gt;=Instructions!$D$20,"Need to Improve","Not Performing"))))</f>
        <v/>
      </c>
      <c r="S473" s="7">
        <f>IF($R473="","",IF($R473="Data Pending","Enter the 3Y return",IF($R473="Best Fund","Hold / consider top-up",IF($R473="Need to Improve","Watch 2 quarters, then decide","Review with client - switch or exit"))))</f>
        <v/>
      </c>
      <c r="T473" s="27" t="n"/>
      <c r="U473" s="7">
        <f>IF($R473&lt;&gt;"Best Fund","",COUNTIFS($R$6:$R$505,"Best Fund",$L$6:$L$505,"&gt;"&amp;$L473)+COUNTIFS($R$6:$R473,"Best Fund",$L$6:$L473,$L473))</f>
        <v/>
      </c>
      <c r="V473" s="7">
        <f>IF($R473&lt;&gt;"Need to Improve","",COUNTIFS($R$6:$R$505,"Need to Improve",$L$6:$L$505,"&lt;"&amp;$L473)+COUNTIFS($R$6:$R473,"Need to Improve",$L$6:$L473,$L473))</f>
        <v/>
      </c>
      <c r="W473" s="7">
        <f>IF($R473&lt;&gt;"Not Performing","",COUNTIFS($R$6:$R$505,"Not Performing",$L$6:$L$505,"&lt;"&amp;$L473)+COUNTIFS($R$6:$R473,"Not Performing",$L$6:$L473,$L473))</f>
        <v/>
      </c>
    </row>
    <row r="474" ht="15" customHeight="1">
      <c r="A474" s="27" t="n"/>
      <c r="B474" s="27" t="n"/>
      <c r="C474" s="27" t="n"/>
      <c r="D474" s="28">
        <f>IF($C474="","",IFERROR(TRIM(LEFT($C474,FIND("-",$C474)-1)),""))</f>
        <v/>
      </c>
      <c r="E474" s="27" t="n"/>
      <c r="F474" s="29" t="n"/>
      <c r="G474" s="30" t="n"/>
      <c r="H474" s="30" t="n"/>
      <c r="I474" s="31">
        <f>IF($B474="","",$H474-$G474)</f>
        <v/>
      </c>
      <c r="J474" s="32">
        <f>IF(OR($B474="",$G474=0,$G474=""),"",$I474/$G474)</f>
        <v/>
      </c>
      <c r="K474" s="33" t="n"/>
      <c r="L474" s="33" t="n"/>
      <c r="M474" s="33" t="n"/>
      <c r="N474" s="33" t="n"/>
      <c r="O474" s="33" t="n"/>
      <c r="P474" s="32">
        <f>IF(OR($L474="",$N474=""),"",$L474-$N474)</f>
        <v/>
      </c>
      <c r="Q474" s="28">
        <f>IF($B474="","",IF(N($H474)&gt;0,"Live","Exited"))</f>
        <v/>
      </c>
      <c r="R474" s="28">
        <f>IF($B474="","",IF($L474="","Data Pending",IF($L474&gt;=Instructions!$D$19,"Best Fund",IF($L474&gt;=Instructions!$D$20,"Need to Improve","Not Performing"))))</f>
        <v/>
      </c>
      <c r="S474" s="7">
        <f>IF($R474="","",IF($R474="Data Pending","Enter the 3Y return",IF($R474="Best Fund","Hold / consider top-up",IF($R474="Need to Improve","Watch 2 quarters, then decide","Review with client - switch or exit"))))</f>
        <v/>
      </c>
      <c r="T474" s="27" t="n"/>
      <c r="U474" s="7">
        <f>IF($R474&lt;&gt;"Best Fund","",COUNTIFS($R$6:$R$505,"Best Fund",$L$6:$L$505,"&gt;"&amp;$L474)+COUNTIFS($R$6:$R474,"Best Fund",$L$6:$L474,$L474))</f>
        <v/>
      </c>
      <c r="V474" s="7">
        <f>IF($R474&lt;&gt;"Need to Improve","",COUNTIFS($R$6:$R$505,"Need to Improve",$L$6:$L$505,"&lt;"&amp;$L474)+COUNTIFS($R$6:$R474,"Need to Improve",$L$6:$L474,$L474))</f>
        <v/>
      </c>
      <c r="W474" s="7">
        <f>IF($R474&lt;&gt;"Not Performing","",COUNTIFS($R$6:$R$505,"Not Performing",$L$6:$L$505,"&lt;"&amp;$L474)+COUNTIFS($R$6:$R474,"Not Performing",$L$6:$L474,$L474))</f>
        <v/>
      </c>
    </row>
    <row r="475" ht="15" customHeight="1">
      <c r="A475" s="27" t="n"/>
      <c r="B475" s="27" t="n"/>
      <c r="C475" s="27" t="n"/>
      <c r="D475" s="28">
        <f>IF($C475="","",IFERROR(TRIM(LEFT($C475,FIND("-",$C475)-1)),""))</f>
        <v/>
      </c>
      <c r="E475" s="27" t="n"/>
      <c r="F475" s="29" t="n"/>
      <c r="G475" s="30" t="n"/>
      <c r="H475" s="30" t="n"/>
      <c r="I475" s="31">
        <f>IF($B475="","",$H475-$G475)</f>
        <v/>
      </c>
      <c r="J475" s="32">
        <f>IF(OR($B475="",$G475=0,$G475=""),"",$I475/$G475)</f>
        <v/>
      </c>
      <c r="K475" s="33" t="n"/>
      <c r="L475" s="33" t="n"/>
      <c r="M475" s="33" t="n"/>
      <c r="N475" s="33" t="n"/>
      <c r="O475" s="33" t="n"/>
      <c r="P475" s="32">
        <f>IF(OR($L475="",$N475=""),"",$L475-$N475)</f>
        <v/>
      </c>
      <c r="Q475" s="28">
        <f>IF($B475="","",IF(N($H475)&gt;0,"Live","Exited"))</f>
        <v/>
      </c>
      <c r="R475" s="28">
        <f>IF($B475="","",IF($L475="","Data Pending",IF($L475&gt;=Instructions!$D$19,"Best Fund",IF($L475&gt;=Instructions!$D$20,"Need to Improve","Not Performing"))))</f>
        <v/>
      </c>
      <c r="S475" s="7">
        <f>IF($R475="","",IF($R475="Data Pending","Enter the 3Y return",IF($R475="Best Fund","Hold / consider top-up",IF($R475="Need to Improve","Watch 2 quarters, then decide","Review with client - switch or exit"))))</f>
        <v/>
      </c>
      <c r="T475" s="27" t="n"/>
      <c r="U475" s="7">
        <f>IF($R475&lt;&gt;"Best Fund","",COUNTIFS($R$6:$R$505,"Best Fund",$L$6:$L$505,"&gt;"&amp;$L475)+COUNTIFS($R$6:$R475,"Best Fund",$L$6:$L475,$L475))</f>
        <v/>
      </c>
      <c r="V475" s="7">
        <f>IF($R475&lt;&gt;"Need to Improve","",COUNTIFS($R$6:$R$505,"Need to Improve",$L$6:$L$505,"&lt;"&amp;$L475)+COUNTIFS($R$6:$R475,"Need to Improve",$L$6:$L475,$L475))</f>
        <v/>
      </c>
      <c r="W475" s="7">
        <f>IF($R475&lt;&gt;"Not Performing","",COUNTIFS($R$6:$R$505,"Not Performing",$L$6:$L$505,"&lt;"&amp;$L475)+COUNTIFS($R$6:$R475,"Not Performing",$L$6:$L475,$L475))</f>
        <v/>
      </c>
    </row>
    <row r="476" ht="15" customHeight="1">
      <c r="A476" s="27" t="n"/>
      <c r="B476" s="27" t="n"/>
      <c r="C476" s="27" t="n"/>
      <c r="D476" s="28">
        <f>IF($C476="","",IFERROR(TRIM(LEFT($C476,FIND("-",$C476)-1)),""))</f>
        <v/>
      </c>
      <c r="E476" s="27" t="n"/>
      <c r="F476" s="29" t="n"/>
      <c r="G476" s="30" t="n"/>
      <c r="H476" s="30" t="n"/>
      <c r="I476" s="31">
        <f>IF($B476="","",$H476-$G476)</f>
        <v/>
      </c>
      <c r="J476" s="32">
        <f>IF(OR($B476="",$G476=0,$G476=""),"",$I476/$G476)</f>
        <v/>
      </c>
      <c r="K476" s="33" t="n"/>
      <c r="L476" s="33" t="n"/>
      <c r="M476" s="33" t="n"/>
      <c r="N476" s="33" t="n"/>
      <c r="O476" s="33" t="n"/>
      <c r="P476" s="32">
        <f>IF(OR($L476="",$N476=""),"",$L476-$N476)</f>
        <v/>
      </c>
      <c r="Q476" s="28">
        <f>IF($B476="","",IF(N($H476)&gt;0,"Live","Exited"))</f>
        <v/>
      </c>
      <c r="R476" s="28">
        <f>IF($B476="","",IF($L476="","Data Pending",IF($L476&gt;=Instructions!$D$19,"Best Fund",IF($L476&gt;=Instructions!$D$20,"Need to Improve","Not Performing"))))</f>
        <v/>
      </c>
      <c r="S476" s="7">
        <f>IF($R476="","",IF($R476="Data Pending","Enter the 3Y return",IF($R476="Best Fund","Hold / consider top-up",IF($R476="Need to Improve","Watch 2 quarters, then decide","Review with client - switch or exit"))))</f>
        <v/>
      </c>
      <c r="T476" s="27" t="n"/>
      <c r="U476" s="7">
        <f>IF($R476&lt;&gt;"Best Fund","",COUNTIFS($R$6:$R$505,"Best Fund",$L$6:$L$505,"&gt;"&amp;$L476)+COUNTIFS($R$6:$R476,"Best Fund",$L$6:$L476,$L476))</f>
        <v/>
      </c>
      <c r="V476" s="7">
        <f>IF($R476&lt;&gt;"Need to Improve","",COUNTIFS($R$6:$R$505,"Need to Improve",$L$6:$L$505,"&lt;"&amp;$L476)+COUNTIFS($R$6:$R476,"Need to Improve",$L$6:$L476,$L476))</f>
        <v/>
      </c>
      <c r="W476" s="7">
        <f>IF($R476&lt;&gt;"Not Performing","",COUNTIFS($R$6:$R$505,"Not Performing",$L$6:$L$505,"&lt;"&amp;$L476)+COUNTIFS($R$6:$R476,"Not Performing",$L$6:$L476,$L476))</f>
        <v/>
      </c>
    </row>
    <row r="477" ht="15" customHeight="1">
      <c r="A477" s="27" t="n"/>
      <c r="B477" s="27" t="n"/>
      <c r="C477" s="27" t="n"/>
      <c r="D477" s="28">
        <f>IF($C477="","",IFERROR(TRIM(LEFT($C477,FIND("-",$C477)-1)),""))</f>
        <v/>
      </c>
      <c r="E477" s="27" t="n"/>
      <c r="F477" s="29" t="n"/>
      <c r="G477" s="30" t="n"/>
      <c r="H477" s="30" t="n"/>
      <c r="I477" s="31">
        <f>IF($B477="","",$H477-$G477)</f>
        <v/>
      </c>
      <c r="J477" s="32">
        <f>IF(OR($B477="",$G477=0,$G477=""),"",$I477/$G477)</f>
        <v/>
      </c>
      <c r="K477" s="33" t="n"/>
      <c r="L477" s="33" t="n"/>
      <c r="M477" s="33" t="n"/>
      <c r="N477" s="33" t="n"/>
      <c r="O477" s="33" t="n"/>
      <c r="P477" s="32">
        <f>IF(OR($L477="",$N477=""),"",$L477-$N477)</f>
        <v/>
      </c>
      <c r="Q477" s="28">
        <f>IF($B477="","",IF(N($H477)&gt;0,"Live","Exited"))</f>
        <v/>
      </c>
      <c r="R477" s="28">
        <f>IF($B477="","",IF($L477="","Data Pending",IF($L477&gt;=Instructions!$D$19,"Best Fund",IF($L477&gt;=Instructions!$D$20,"Need to Improve","Not Performing"))))</f>
        <v/>
      </c>
      <c r="S477" s="7">
        <f>IF($R477="","",IF($R477="Data Pending","Enter the 3Y return",IF($R477="Best Fund","Hold / consider top-up",IF($R477="Need to Improve","Watch 2 quarters, then decide","Review with client - switch or exit"))))</f>
        <v/>
      </c>
      <c r="T477" s="27" t="n"/>
      <c r="U477" s="7">
        <f>IF($R477&lt;&gt;"Best Fund","",COUNTIFS($R$6:$R$505,"Best Fund",$L$6:$L$505,"&gt;"&amp;$L477)+COUNTIFS($R$6:$R477,"Best Fund",$L$6:$L477,$L477))</f>
        <v/>
      </c>
      <c r="V477" s="7">
        <f>IF($R477&lt;&gt;"Need to Improve","",COUNTIFS($R$6:$R$505,"Need to Improve",$L$6:$L$505,"&lt;"&amp;$L477)+COUNTIFS($R$6:$R477,"Need to Improve",$L$6:$L477,$L477))</f>
        <v/>
      </c>
      <c r="W477" s="7">
        <f>IF($R477&lt;&gt;"Not Performing","",COUNTIFS($R$6:$R$505,"Not Performing",$L$6:$L$505,"&lt;"&amp;$L477)+COUNTIFS($R$6:$R477,"Not Performing",$L$6:$L477,$L477))</f>
        <v/>
      </c>
    </row>
    <row r="478" ht="15" customHeight="1">
      <c r="A478" s="27" t="n"/>
      <c r="B478" s="27" t="n"/>
      <c r="C478" s="27" t="n"/>
      <c r="D478" s="28">
        <f>IF($C478="","",IFERROR(TRIM(LEFT($C478,FIND("-",$C478)-1)),""))</f>
        <v/>
      </c>
      <c r="E478" s="27" t="n"/>
      <c r="F478" s="29" t="n"/>
      <c r="G478" s="30" t="n"/>
      <c r="H478" s="30" t="n"/>
      <c r="I478" s="31">
        <f>IF($B478="","",$H478-$G478)</f>
        <v/>
      </c>
      <c r="J478" s="32">
        <f>IF(OR($B478="",$G478=0,$G478=""),"",$I478/$G478)</f>
        <v/>
      </c>
      <c r="K478" s="33" t="n"/>
      <c r="L478" s="33" t="n"/>
      <c r="M478" s="33" t="n"/>
      <c r="N478" s="33" t="n"/>
      <c r="O478" s="33" t="n"/>
      <c r="P478" s="32">
        <f>IF(OR($L478="",$N478=""),"",$L478-$N478)</f>
        <v/>
      </c>
      <c r="Q478" s="28">
        <f>IF($B478="","",IF(N($H478)&gt;0,"Live","Exited"))</f>
        <v/>
      </c>
      <c r="R478" s="28">
        <f>IF($B478="","",IF($L478="","Data Pending",IF($L478&gt;=Instructions!$D$19,"Best Fund",IF($L478&gt;=Instructions!$D$20,"Need to Improve","Not Performing"))))</f>
        <v/>
      </c>
      <c r="S478" s="7">
        <f>IF($R478="","",IF($R478="Data Pending","Enter the 3Y return",IF($R478="Best Fund","Hold / consider top-up",IF($R478="Need to Improve","Watch 2 quarters, then decide","Review with client - switch or exit"))))</f>
        <v/>
      </c>
      <c r="T478" s="27" t="n"/>
      <c r="U478" s="7">
        <f>IF($R478&lt;&gt;"Best Fund","",COUNTIFS($R$6:$R$505,"Best Fund",$L$6:$L$505,"&gt;"&amp;$L478)+COUNTIFS($R$6:$R478,"Best Fund",$L$6:$L478,$L478))</f>
        <v/>
      </c>
      <c r="V478" s="7">
        <f>IF($R478&lt;&gt;"Need to Improve","",COUNTIFS($R$6:$R$505,"Need to Improve",$L$6:$L$505,"&lt;"&amp;$L478)+COUNTIFS($R$6:$R478,"Need to Improve",$L$6:$L478,$L478))</f>
        <v/>
      </c>
      <c r="W478" s="7">
        <f>IF($R478&lt;&gt;"Not Performing","",COUNTIFS($R$6:$R$505,"Not Performing",$L$6:$L$505,"&lt;"&amp;$L478)+COUNTIFS($R$6:$R478,"Not Performing",$L$6:$L478,$L478))</f>
        <v/>
      </c>
    </row>
    <row r="479" ht="15" customHeight="1">
      <c r="A479" s="27" t="n"/>
      <c r="B479" s="27" t="n"/>
      <c r="C479" s="27" t="n"/>
      <c r="D479" s="28">
        <f>IF($C479="","",IFERROR(TRIM(LEFT($C479,FIND("-",$C479)-1)),""))</f>
        <v/>
      </c>
      <c r="E479" s="27" t="n"/>
      <c r="F479" s="29" t="n"/>
      <c r="G479" s="30" t="n"/>
      <c r="H479" s="30" t="n"/>
      <c r="I479" s="31">
        <f>IF($B479="","",$H479-$G479)</f>
        <v/>
      </c>
      <c r="J479" s="32">
        <f>IF(OR($B479="",$G479=0,$G479=""),"",$I479/$G479)</f>
        <v/>
      </c>
      <c r="K479" s="33" t="n"/>
      <c r="L479" s="33" t="n"/>
      <c r="M479" s="33" t="n"/>
      <c r="N479" s="33" t="n"/>
      <c r="O479" s="33" t="n"/>
      <c r="P479" s="32">
        <f>IF(OR($L479="",$N479=""),"",$L479-$N479)</f>
        <v/>
      </c>
      <c r="Q479" s="28">
        <f>IF($B479="","",IF(N($H479)&gt;0,"Live","Exited"))</f>
        <v/>
      </c>
      <c r="R479" s="28">
        <f>IF($B479="","",IF($L479="","Data Pending",IF($L479&gt;=Instructions!$D$19,"Best Fund",IF($L479&gt;=Instructions!$D$20,"Need to Improve","Not Performing"))))</f>
        <v/>
      </c>
      <c r="S479" s="7">
        <f>IF($R479="","",IF($R479="Data Pending","Enter the 3Y return",IF($R479="Best Fund","Hold / consider top-up",IF($R479="Need to Improve","Watch 2 quarters, then decide","Review with client - switch or exit"))))</f>
        <v/>
      </c>
      <c r="T479" s="27" t="n"/>
      <c r="U479" s="7">
        <f>IF($R479&lt;&gt;"Best Fund","",COUNTIFS($R$6:$R$505,"Best Fund",$L$6:$L$505,"&gt;"&amp;$L479)+COUNTIFS($R$6:$R479,"Best Fund",$L$6:$L479,$L479))</f>
        <v/>
      </c>
      <c r="V479" s="7">
        <f>IF($R479&lt;&gt;"Need to Improve","",COUNTIFS($R$6:$R$505,"Need to Improve",$L$6:$L$505,"&lt;"&amp;$L479)+COUNTIFS($R$6:$R479,"Need to Improve",$L$6:$L479,$L479))</f>
        <v/>
      </c>
      <c r="W479" s="7">
        <f>IF($R479&lt;&gt;"Not Performing","",COUNTIFS($R$6:$R$505,"Not Performing",$L$6:$L$505,"&lt;"&amp;$L479)+COUNTIFS($R$6:$R479,"Not Performing",$L$6:$L479,$L479))</f>
        <v/>
      </c>
    </row>
    <row r="480" ht="15" customHeight="1">
      <c r="A480" s="27" t="n"/>
      <c r="B480" s="27" t="n"/>
      <c r="C480" s="27" t="n"/>
      <c r="D480" s="28">
        <f>IF($C480="","",IFERROR(TRIM(LEFT($C480,FIND("-",$C480)-1)),""))</f>
        <v/>
      </c>
      <c r="E480" s="27" t="n"/>
      <c r="F480" s="29" t="n"/>
      <c r="G480" s="30" t="n"/>
      <c r="H480" s="30" t="n"/>
      <c r="I480" s="31">
        <f>IF($B480="","",$H480-$G480)</f>
        <v/>
      </c>
      <c r="J480" s="32">
        <f>IF(OR($B480="",$G480=0,$G480=""),"",$I480/$G480)</f>
        <v/>
      </c>
      <c r="K480" s="33" t="n"/>
      <c r="L480" s="33" t="n"/>
      <c r="M480" s="33" t="n"/>
      <c r="N480" s="33" t="n"/>
      <c r="O480" s="33" t="n"/>
      <c r="P480" s="32">
        <f>IF(OR($L480="",$N480=""),"",$L480-$N480)</f>
        <v/>
      </c>
      <c r="Q480" s="28">
        <f>IF($B480="","",IF(N($H480)&gt;0,"Live","Exited"))</f>
        <v/>
      </c>
      <c r="R480" s="28">
        <f>IF($B480="","",IF($L480="","Data Pending",IF($L480&gt;=Instructions!$D$19,"Best Fund",IF($L480&gt;=Instructions!$D$20,"Need to Improve","Not Performing"))))</f>
        <v/>
      </c>
      <c r="S480" s="7">
        <f>IF($R480="","",IF($R480="Data Pending","Enter the 3Y return",IF($R480="Best Fund","Hold / consider top-up",IF($R480="Need to Improve","Watch 2 quarters, then decide","Review with client - switch or exit"))))</f>
        <v/>
      </c>
      <c r="T480" s="27" t="n"/>
      <c r="U480" s="7">
        <f>IF($R480&lt;&gt;"Best Fund","",COUNTIFS($R$6:$R$505,"Best Fund",$L$6:$L$505,"&gt;"&amp;$L480)+COUNTIFS($R$6:$R480,"Best Fund",$L$6:$L480,$L480))</f>
        <v/>
      </c>
      <c r="V480" s="7">
        <f>IF($R480&lt;&gt;"Need to Improve","",COUNTIFS($R$6:$R$505,"Need to Improve",$L$6:$L$505,"&lt;"&amp;$L480)+COUNTIFS($R$6:$R480,"Need to Improve",$L$6:$L480,$L480))</f>
        <v/>
      </c>
      <c r="W480" s="7">
        <f>IF($R480&lt;&gt;"Not Performing","",COUNTIFS($R$6:$R$505,"Not Performing",$L$6:$L$505,"&lt;"&amp;$L480)+COUNTIFS($R$6:$R480,"Not Performing",$L$6:$L480,$L480))</f>
        <v/>
      </c>
    </row>
    <row r="481" ht="15" customHeight="1">
      <c r="A481" s="27" t="n"/>
      <c r="B481" s="27" t="n"/>
      <c r="C481" s="27" t="n"/>
      <c r="D481" s="28">
        <f>IF($C481="","",IFERROR(TRIM(LEFT($C481,FIND("-",$C481)-1)),""))</f>
        <v/>
      </c>
      <c r="E481" s="27" t="n"/>
      <c r="F481" s="29" t="n"/>
      <c r="G481" s="30" t="n"/>
      <c r="H481" s="30" t="n"/>
      <c r="I481" s="31">
        <f>IF($B481="","",$H481-$G481)</f>
        <v/>
      </c>
      <c r="J481" s="32">
        <f>IF(OR($B481="",$G481=0,$G481=""),"",$I481/$G481)</f>
        <v/>
      </c>
      <c r="K481" s="33" t="n"/>
      <c r="L481" s="33" t="n"/>
      <c r="M481" s="33" t="n"/>
      <c r="N481" s="33" t="n"/>
      <c r="O481" s="33" t="n"/>
      <c r="P481" s="32">
        <f>IF(OR($L481="",$N481=""),"",$L481-$N481)</f>
        <v/>
      </c>
      <c r="Q481" s="28">
        <f>IF($B481="","",IF(N($H481)&gt;0,"Live","Exited"))</f>
        <v/>
      </c>
      <c r="R481" s="28">
        <f>IF($B481="","",IF($L481="","Data Pending",IF($L481&gt;=Instructions!$D$19,"Best Fund",IF($L481&gt;=Instructions!$D$20,"Need to Improve","Not Performing"))))</f>
        <v/>
      </c>
      <c r="S481" s="7">
        <f>IF($R481="","",IF($R481="Data Pending","Enter the 3Y return",IF($R481="Best Fund","Hold / consider top-up",IF($R481="Need to Improve","Watch 2 quarters, then decide","Review with client - switch or exit"))))</f>
        <v/>
      </c>
      <c r="T481" s="27" t="n"/>
      <c r="U481" s="7">
        <f>IF($R481&lt;&gt;"Best Fund","",COUNTIFS($R$6:$R$505,"Best Fund",$L$6:$L$505,"&gt;"&amp;$L481)+COUNTIFS($R$6:$R481,"Best Fund",$L$6:$L481,$L481))</f>
        <v/>
      </c>
      <c r="V481" s="7">
        <f>IF($R481&lt;&gt;"Need to Improve","",COUNTIFS($R$6:$R$505,"Need to Improve",$L$6:$L$505,"&lt;"&amp;$L481)+COUNTIFS($R$6:$R481,"Need to Improve",$L$6:$L481,$L481))</f>
        <v/>
      </c>
      <c r="W481" s="7">
        <f>IF($R481&lt;&gt;"Not Performing","",COUNTIFS($R$6:$R$505,"Not Performing",$L$6:$L$505,"&lt;"&amp;$L481)+COUNTIFS($R$6:$R481,"Not Performing",$L$6:$L481,$L481))</f>
        <v/>
      </c>
    </row>
    <row r="482" ht="15" customHeight="1">
      <c r="A482" s="27" t="n"/>
      <c r="B482" s="27" t="n"/>
      <c r="C482" s="27" t="n"/>
      <c r="D482" s="28">
        <f>IF($C482="","",IFERROR(TRIM(LEFT($C482,FIND("-",$C482)-1)),""))</f>
        <v/>
      </c>
      <c r="E482" s="27" t="n"/>
      <c r="F482" s="29" t="n"/>
      <c r="G482" s="30" t="n"/>
      <c r="H482" s="30" t="n"/>
      <c r="I482" s="31">
        <f>IF($B482="","",$H482-$G482)</f>
        <v/>
      </c>
      <c r="J482" s="32">
        <f>IF(OR($B482="",$G482=0,$G482=""),"",$I482/$G482)</f>
        <v/>
      </c>
      <c r="K482" s="33" t="n"/>
      <c r="L482" s="33" t="n"/>
      <c r="M482" s="33" t="n"/>
      <c r="N482" s="33" t="n"/>
      <c r="O482" s="33" t="n"/>
      <c r="P482" s="32">
        <f>IF(OR($L482="",$N482=""),"",$L482-$N482)</f>
        <v/>
      </c>
      <c r="Q482" s="28">
        <f>IF($B482="","",IF(N($H482)&gt;0,"Live","Exited"))</f>
        <v/>
      </c>
      <c r="R482" s="28">
        <f>IF($B482="","",IF($L482="","Data Pending",IF($L482&gt;=Instructions!$D$19,"Best Fund",IF($L482&gt;=Instructions!$D$20,"Need to Improve","Not Performing"))))</f>
        <v/>
      </c>
      <c r="S482" s="7">
        <f>IF($R482="","",IF($R482="Data Pending","Enter the 3Y return",IF($R482="Best Fund","Hold / consider top-up",IF($R482="Need to Improve","Watch 2 quarters, then decide","Review with client - switch or exit"))))</f>
        <v/>
      </c>
      <c r="T482" s="27" t="n"/>
      <c r="U482" s="7">
        <f>IF($R482&lt;&gt;"Best Fund","",COUNTIFS($R$6:$R$505,"Best Fund",$L$6:$L$505,"&gt;"&amp;$L482)+COUNTIFS($R$6:$R482,"Best Fund",$L$6:$L482,$L482))</f>
        <v/>
      </c>
      <c r="V482" s="7">
        <f>IF($R482&lt;&gt;"Need to Improve","",COUNTIFS($R$6:$R$505,"Need to Improve",$L$6:$L$505,"&lt;"&amp;$L482)+COUNTIFS($R$6:$R482,"Need to Improve",$L$6:$L482,$L482))</f>
        <v/>
      </c>
      <c r="W482" s="7">
        <f>IF($R482&lt;&gt;"Not Performing","",COUNTIFS($R$6:$R$505,"Not Performing",$L$6:$L$505,"&lt;"&amp;$L482)+COUNTIFS($R$6:$R482,"Not Performing",$L$6:$L482,$L482))</f>
        <v/>
      </c>
    </row>
    <row r="483" ht="15" customHeight="1">
      <c r="A483" s="27" t="n"/>
      <c r="B483" s="27" t="n"/>
      <c r="C483" s="27" t="n"/>
      <c r="D483" s="28">
        <f>IF($C483="","",IFERROR(TRIM(LEFT($C483,FIND("-",$C483)-1)),""))</f>
        <v/>
      </c>
      <c r="E483" s="27" t="n"/>
      <c r="F483" s="29" t="n"/>
      <c r="G483" s="30" t="n"/>
      <c r="H483" s="30" t="n"/>
      <c r="I483" s="31">
        <f>IF($B483="","",$H483-$G483)</f>
        <v/>
      </c>
      <c r="J483" s="32">
        <f>IF(OR($B483="",$G483=0,$G483=""),"",$I483/$G483)</f>
        <v/>
      </c>
      <c r="K483" s="33" t="n"/>
      <c r="L483" s="33" t="n"/>
      <c r="M483" s="33" t="n"/>
      <c r="N483" s="33" t="n"/>
      <c r="O483" s="33" t="n"/>
      <c r="P483" s="32">
        <f>IF(OR($L483="",$N483=""),"",$L483-$N483)</f>
        <v/>
      </c>
      <c r="Q483" s="28">
        <f>IF($B483="","",IF(N($H483)&gt;0,"Live","Exited"))</f>
        <v/>
      </c>
      <c r="R483" s="28">
        <f>IF($B483="","",IF($L483="","Data Pending",IF($L483&gt;=Instructions!$D$19,"Best Fund",IF($L483&gt;=Instructions!$D$20,"Need to Improve","Not Performing"))))</f>
        <v/>
      </c>
      <c r="S483" s="7">
        <f>IF($R483="","",IF($R483="Data Pending","Enter the 3Y return",IF($R483="Best Fund","Hold / consider top-up",IF($R483="Need to Improve","Watch 2 quarters, then decide","Review with client - switch or exit"))))</f>
        <v/>
      </c>
      <c r="T483" s="27" t="n"/>
      <c r="U483" s="7">
        <f>IF($R483&lt;&gt;"Best Fund","",COUNTIFS($R$6:$R$505,"Best Fund",$L$6:$L$505,"&gt;"&amp;$L483)+COUNTIFS($R$6:$R483,"Best Fund",$L$6:$L483,$L483))</f>
        <v/>
      </c>
      <c r="V483" s="7">
        <f>IF($R483&lt;&gt;"Need to Improve","",COUNTIFS($R$6:$R$505,"Need to Improve",$L$6:$L$505,"&lt;"&amp;$L483)+COUNTIFS($R$6:$R483,"Need to Improve",$L$6:$L483,$L483))</f>
        <v/>
      </c>
      <c r="W483" s="7">
        <f>IF($R483&lt;&gt;"Not Performing","",COUNTIFS($R$6:$R$505,"Not Performing",$L$6:$L$505,"&lt;"&amp;$L483)+COUNTIFS($R$6:$R483,"Not Performing",$L$6:$L483,$L483))</f>
        <v/>
      </c>
    </row>
    <row r="484" ht="15" customHeight="1">
      <c r="A484" s="27" t="n"/>
      <c r="B484" s="27" t="n"/>
      <c r="C484" s="27" t="n"/>
      <c r="D484" s="28">
        <f>IF($C484="","",IFERROR(TRIM(LEFT($C484,FIND("-",$C484)-1)),""))</f>
        <v/>
      </c>
      <c r="E484" s="27" t="n"/>
      <c r="F484" s="29" t="n"/>
      <c r="G484" s="30" t="n"/>
      <c r="H484" s="30" t="n"/>
      <c r="I484" s="31">
        <f>IF($B484="","",$H484-$G484)</f>
        <v/>
      </c>
      <c r="J484" s="32">
        <f>IF(OR($B484="",$G484=0,$G484=""),"",$I484/$G484)</f>
        <v/>
      </c>
      <c r="K484" s="33" t="n"/>
      <c r="L484" s="33" t="n"/>
      <c r="M484" s="33" t="n"/>
      <c r="N484" s="33" t="n"/>
      <c r="O484" s="33" t="n"/>
      <c r="P484" s="32">
        <f>IF(OR($L484="",$N484=""),"",$L484-$N484)</f>
        <v/>
      </c>
      <c r="Q484" s="28">
        <f>IF($B484="","",IF(N($H484)&gt;0,"Live","Exited"))</f>
        <v/>
      </c>
      <c r="R484" s="28">
        <f>IF($B484="","",IF($L484="","Data Pending",IF($L484&gt;=Instructions!$D$19,"Best Fund",IF($L484&gt;=Instructions!$D$20,"Need to Improve","Not Performing"))))</f>
        <v/>
      </c>
      <c r="S484" s="7">
        <f>IF($R484="","",IF($R484="Data Pending","Enter the 3Y return",IF($R484="Best Fund","Hold / consider top-up",IF($R484="Need to Improve","Watch 2 quarters, then decide","Review with client - switch or exit"))))</f>
        <v/>
      </c>
      <c r="T484" s="27" t="n"/>
      <c r="U484" s="7">
        <f>IF($R484&lt;&gt;"Best Fund","",COUNTIFS($R$6:$R$505,"Best Fund",$L$6:$L$505,"&gt;"&amp;$L484)+COUNTIFS($R$6:$R484,"Best Fund",$L$6:$L484,$L484))</f>
        <v/>
      </c>
      <c r="V484" s="7">
        <f>IF($R484&lt;&gt;"Need to Improve","",COUNTIFS($R$6:$R$505,"Need to Improve",$L$6:$L$505,"&lt;"&amp;$L484)+COUNTIFS($R$6:$R484,"Need to Improve",$L$6:$L484,$L484))</f>
        <v/>
      </c>
      <c r="W484" s="7">
        <f>IF($R484&lt;&gt;"Not Performing","",COUNTIFS($R$6:$R$505,"Not Performing",$L$6:$L$505,"&lt;"&amp;$L484)+COUNTIFS($R$6:$R484,"Not Performing",$L$6:$L484,$L484))</f>
        <v/>
      </c>
    </row>
    <row r="485" ht="15" customHeight="1">
      <c r="A485" s="27" t="n"/>
      <c r="B485" s="27" t="n"/>
      <c r="C485" s="27" t="n"/>
      <c r="D485" s="28">
        <f>IF($C485="","",IFERROR(TRIM(LEFT($C485,FIND("-",$C485)-1)),""))</f>
        <v/>
      </c>
      <c r="E485" s="27" t="n"/>
      <c r="F485" s="29" t="n"/>
      <c r="G485" s="30" t="n"/>
      <c r="H485" s="30" t="n"/>
      <c r="I485" s="31">
        <f>IF($B485="","",$H485-$G485)</f>
        <v/>
      </c>
      <c r="J485" s="32">
        <f>IF(OR($B485="",$G485=0,$G485=""),"",$I485/$G485)</f>
        <v/>
      </c>
      <c r="K485" s="33" t="n"/>
      <c r="L485" s="33" t="n"/>
      <c r="M485" s="33" t="n"/>
      <c r="N485" s="33" t="n"/>
      <c r="O485" s="33" t="n"/>
      <c r="P485" s="32">
        <f>IF(OR($L485="",$N485=""),"",$L485-$N485)</f>
        <v/>
      </c>
      <c r="Q485" s="28">
        <f>IF($B485="","",IF(N($H485)&gt;0,"Live","Exited"))</f>
        <v/>
      </c>
      <c r="R485" s="28">
        <f>IF($B485="","",IF($L485="","Data Pending",IF($L485&gt;=Instructions!$D$19,"Best Fund",IF($L485&gt;=Instructions!$D$20,"Need to Improve","Not Performing"))))</f>
        <v/>
      </c>
      <c r="S485" s="7">
        <f>IF($R485="","",IF($R485="Data Pending","Enter the 3Y return",IF($R485="Best Fund","Hold / consider top-up",IF($R485="Need to Improve","Watch 2 quarters, then decide","Review with client - switch or exit"))))</f>
        <v/>
      </c>
      <c r="T485" s="27" t="n"/>
      <c r="U485" s="7">
        <f>IF($R485&lt;&gt;"Best Fund","",COUNTIFS($R$6:$R$505,"Best Fund",$L$6:$L$505,"&gt;"&amp;$L485)+COUNTIFS($R$6:$R485,"Best Fund",$L$6:$L485,$L485))</f>
        <v/>
      </c>
      <c r="V485" s="7">
        <f>IF($R485&lt;&gt;"Need to Improve","",COUNTIFS($R$6:$R$505,"Need to Improve",$L$6:$L$505,"&lt;"&amp;$L485)+COUNTIFS($R$6:$R485,"Need to Improve",$L$6:$L485,$L485))</f>
        <v/>
      </c>
      <c r="W485" s="7">
        <f>IF($R485&lt;&gt;"Not Performing","",COUNTIFS($R$6:$R$505,"Not Performing",$L$6:$L$505,"&lt;"&amp;$L485)+COUNTIFS($R$6:$R485,"Not Performing",$L$6:$L485,$L485))</f>
        <v/>
      </c>
    </row>
    <row r="486" ht="15" customHeight="1">
      <c r="A486" s="27" t="n"/>
      <c r="B486" s="27" t="n"/>
      <c r="C486" s="27" t="n"/>
      <c r="D486" s="28">
        <f>IF($C486="","",IFERROR(TRIM(LEFT($C486,FIND("-",$C486)-1)),""))</f>
        <v/>
      </c>
      <c r="E486" s="27" t="n"/>
      <c r="F486" s="29" t="n"/>
      <c r="G486" s="30" t="n"/>
      <c r="H486" s="30" t="n"/>
      <c r="I486" s="31">
        <f>IF($B486="","",$H486-$G486)</f>
        <v/>
      </c>
      <c r="J486" s="32">
        <f>IF(OR($B486="",$G486=0,$G486=""),"",$I486/$G486)</f>
        <v/>
      </c>
      <c r="K486" s="33" t="n"/>
      <c r="L486" s="33" t="n"/>
      <c r="M486" s="33" t="n"/>
      <c r="N486" s="33" t="n"/>
      <c r="O486" s="33" t="n"/>
      <c r="P486" s="32">
        <f>IF(OR($L486="",$N486=""),"",$L486-$N486)</f>
        <v/>
      </c>
      <c r="Q486" s="28">
        <f>IF($B486="","",IF(N($H486)&gt;0,"Live","Exited"))</f>
        <v/>
      </c>
      <c r="R486" s="28">
        <f>IF($B486="","",IF($L486="","Data Pending",IF($L486&gt;=Instructions!$D$19,"Best Fund",IF($L486&gt;=Instructions!$D$20,"Need to Improve","Not Performing"))))</f>
        <v/>
      </c>
      <c r="S486" s="7">
        <f>IF($R486="","",IF($R486="Data Pending","Enter the 3Y return",IF($R486="Best Fund","Hold / consider top-up",IF($R486="Need to Improve","Watch 2 quarters, then decide","Review with client - switch or exit"))))</f>
        <v/>
      </c>
      <c r="T486" s="27" t="n"/>
      <c r="U486" s="7">
        <f>IF($R486&lt;&gt;"Best Fund","",COUNTIFS($R$6:$R$505,"Best Fund",$L$6:$L$505,"&gt;"&amp;$L486)+COUNTIFS($R$6:$R486,"Best Fund",$L$6:$L486,$L486))</f>
        <v/>
      </c>
      <c r="V486" s="7">
        <f>IF($R486&lt;&gt;"Need to Improve","",COUNTIFS($R$6:$R$505,"Need to Improve",$L$6:$L$505,"&lt;"&amp;$L486)+COUNTIFS($R$6:$R486,"Need to Improve",$L$6:$L486,$L486))</f>
        <v/>
      </c>
      <c r="W486" s="7">
        <f>IF($R486&lt;&gt;"Not Performing","",COUNTIFS($R$6:$R$505,"Not Performing",$L$6:$L$505,"&lt;"&amp;$L486)+COUNTIFS($R$6:$R486,"Not Performing",$L$6:$L486,$L486))</f>
        <v/>
      </c>
    </row>
    <row r="487" ht="15" customHeight="1">
      <c r="A487" s="27" t="n"/>
      <c r="B487" s="27" t="n"/>
      <c r="C487" s="27" t="n"/>
      <c r="D487" s="28">
        <f>IF($C487="","",IFERROR(TRIM(LEFT($C487,FIND("-",$C487)-1)),""))</f>
        <v/>
      </c>
      <c r="E487" s="27" t="n"/>
      <c r="F487" s="29" t="n"/>
      <c r="G487" s="30" t="n"/>
      <c r="H487" s="30" t="n"/>
      <c r="I487" s="31">
        <f>IF($B487="","",$H487-$G487)</f>
        <v/>
      </c>
      <c r="J487" s="32">
        <f>IF(OR($B487="",$G487=0,$G487=""),"",$I487/$G487)</f>
        <v/>
      </c>
      <c r="K487" s="33" t="n"/>
      <c r="L487" s="33" t="n"/>
      <c r="M487" s="33" t="n"/>
      <c r="N487" s="33" t="n"/>
      <c r="O487" s="33" t="n"/>
      <c r="P487" s="32">
        <f>IF(OR($L487="",$N487=""),"",$L487-$N487)</f>
        <v/>
      </c>
      <c r="Q487" s="28">
        <f>IF($B487="","",IF(N($H487)&gt;0,"Live","Exited"))</f>
        <v/>
      </c>
      <c r="R487" s="28">
        <f>IF($B487="","",IF($L487="","Data Pending",IF($L487&gt;=Instructions!$D$19,"Best Fund",IF($L487&gt;=Instructions!$D$20,"Need to Improve","Not Performing"))))</f>
        <v/>
      </c>
      <c r="S487" s="7">
        <f>IF($R487="","",IF($R487="Data Pending","Enter the 3Y return",IF($R487="Best Fund","Hold / consider top-up",IF($R487="Need to Improve","Watch 2 quarters, then decide","Review with client - switch or exit"))))</f>
        <v/>
      </c>
      <c r="T487" s="27" t="n"/>
      <c r="U487" s="7">
        <f>IF($R487&lt;&gt;"Best Fund","",COUNTIFS($R$6:$R$505,"Best Fund",$L$6:$L$505,"&gt;"&amp;$L487)+COUNTIFS($R$6:$R487,"Best Fund",$L$6:$L487,$L487))</f>
        <v/>
      </c>
      <c r="V487" s="7">
        <f>IF($R487&lt;&gt;"Need to Improve","",COUNTIFS($R$6:$R$505,"Need to Improve",$L$6:$L$505,"&lt;"&amp;$L487)+COUNTIFS($R$6:$R487,"Need to Improve",$L$6:$L487,$L487))</f>
        <v/>
      </c>
      <c r="W487" s="7">
        <f>IF($R487&lt;&gt;"Not Performing","",COUNTIFS($R$6:$R$505,"Not Performing",$L$6:$L$505,"&lt;"&amp;$L487)+COUNTIFS($R$6:$R487,"Not Performing",$L$6:$L487,$L487))</f>
        <v/>
      </c>
    </row>
    <row r="488" ht="15" customHeight="1">
      <c r="A488" s="27" t="n"/>
      <c r="B488" s="27" t="n"/>
      <c r="C488" s="27" t="n"/>
      <c r="D488" s="28">
        <f>IF($C488="","",IFERROR(TRIM(LEFT($C488,FIND("-",$C488)-1)),""))</f>
        <v/>
      </c>
      <c r="E488" s="27" t="n"/>
      <c r="F488" s="29" t="n"/>
      <c r="G488" s="30" t="n"/>
      <c r="H488" s="30" t="n"/>
      <c r="I488" s="31">
        <f>IF($B488="","",$H488-$G488)</f>
        <v/>
      </c>
      <c r="J488" s="32">
        <f>IF(OR($B488="",$G488=0,$G488=""),"",$I488/$G488)</f>
        <v/>
      </c>
      <c r="K488" s="33" t="n"/>
      <c r="L488" s="33" t="n"/>
      <c r="M488" s="33" t="n"/>
      <c r="N488" s="33" t="n"/>
      <c r="O488" s="33" t="n"/>
      <c r="P488" s="32">
        <f>IF(OR($L488="",$N488=""),"",$L488-$N488)</f>
        <v/>
      </c>
      <c r="Q488" s="28">
        <f>IF($B488="","",IF(N($H488)&gt;0,"Live","Exited"))</f>
        <v/>
      </c>
      <c r="R488" s="28">
        <f>IF($B488="","",IF($L488="","Data Pending",IF($L488&gt;=Instructions!$D$19,"Best Fund",IF($L488&gt;=Instructions!$D$20,"Need to Improve","Not Performing"))))</f>
        <v/>
      </c>
      <c r="S488" s="7">
        <f>IF($R488="","",IF($R488="Data Pending","Enter the 3Y return",IF($R488="Best Fund","Hold / consider top-up",IF($R488="Need to Improve","Watch 2 quarters, then decide","Review with client - switch or exit"))))</f>
        <v/>
      </c>
      <c r="T488" s="27" t="n"/>
      <c r="U488" s="7">
        <f>IF($R488&lt;&gt;"Best Fund","",COUNTIFS($R$6:$R$505,"Best Fund",$L$6:$L$505,"&gt;"&amp;$L488)+COUNTIFS($R$6:$R488,"Best Fund",$L$6:$L488,$L488))</f>
        <v/>
      </c>
      <c r="V488" s="7">
        <f>IF($R488&lt;&gt;"Need to Improve","",COUNTIFS($R$6:$R$505,"Need to Improve",$L$6:$L$505,"&lt;"&amp;$L488)+COUNTIFS($R$6:$R488,"Need to Improve",$L$6:$L488,$L488))</f>
        <v/>
      </c>
      <c r="W488" s="7">
        <f>IF($R488&lt;&gt;"Not Performing","",COUNTIFS($R$6:$R$505,"Not Performing",$L$6:$L$505,"&lt;"&amp;$L488)+COUNTIFS($R$6:$R488,"Not Performing",$L$6:$L488,$L488))</f>
        <v/>
      </c>
    </row>
    <row r="489" ht="15" customHeight="1">
      <c r="A489" s="27" t="n"/>
      <c r="B489" s="27" t="n"/>
      <c r="C489" s="27" t="n"/>
      <c r="D489" s="28">
        <f>IF($C489="","",IFERROR(TRIM(LEFT($C489,FIND("-",$C489)-1)),""))</f>
        <v/>
      </c>
      <c r="E489" s="27" t="n"/>
      <c r="F489" s="29" t="n"/>
      <c r="G489" s="30" t="n"/>
      <c r="H489" s="30" t="n"/>
      <c r="I489" s="31">
        <f>IF($B489="","",$H489-$G489)</f>
        <v/>
      </c>
      <c r="J489" s="32">
        <f>IF(OR($B489="",$G489=0,$G489=""),"",$I489/$G489)</f>
        <v/>
      </c>
      <c r="K489" s="33" t="n"/>
      <c r="L489" s="33" t="n"/>
      <c r="M489" s="33" t="n"/>
      <c r="N489" s="33" t="n"/>
      <c r="O489" s="33" t="n"/>
      <c r="P489" s="32">
        <f>IF(OR($L489="",$N489=""),"",$L489-$N489)</f>
        <v/>
      </c>
      <c r="Q489" s="28">
        <f>IF($B489="","",IF(N($H489)&gt;0,"Live","Exited"))</f>
        <v/>
      </c>
      <c r="R489" s="28">
        <f>IF($B489="","",IF($L489="","Data Pending",IF($L489&gt;=Instructions!$D$19,"Best Fund",IF($L489&gt;=Instructions!$D$20,"Need to Improve","Not Performing"))))</f>
        <v/>
      </c>
      <c r="S489" s="7">
        <f>IF($R489="","",IF($R489="Data Pending","Enter the 3Y return",IF($R489="Best Fund","Hold / consider top-up",IF($R489="Need to Improve","Watch 2 quarters, then decide","Review with client - switch or exit"))))</f>
        <v/>
      </c>
      <c r="T489" s="27" t="n"/>
      <c r="U489" s="7">
        <f>IF($R489&lt;&gt;"Best Fund","",COUNTIFS($R$6:$R$505,"Best Fund",$L$6:$L$505,"&gt;"&amp;$L489)+COUNTIFS($R$6:$R489,"Best Fund",$L$6:$L489,$L489))</f>
        <v/>
      </c>
      <c r="V489" s="7">
        <f>IF($R489&lt;&gt;"Need to Improve","",COUNTIFS($R$6:$R$505,"Need to Improve",$L$6:$L$505,"&lt;"&amp;$L489)+COUNTIFS($R$6:$R489,"Need to Improve",$L$6:$L489,$L489))</f>
        <v/>
      </c>
      <c r="W489" s="7">
        <f>IF($R489&lt;&gt;"Not Performing","",COUNTIFS($R$6:$R$505,"Not Performing",$L$6:$L$505,"&lt;"&amp;$L489)+COUNTIFS($R$6:$R489,"Not Performing",$L$6:$L489,$L489))</f>
        <v/>
      </c>
    </row>
    <row r="490" ht="15" customHeight="1">
      <c r="A490" s="27" t="n"/>
      <c r="B490" s="27" t="n"/>
      <c r="C490" s="27" t="n"/>
      <c r="D490" s="28">
        <f>IF($C490="","",IFERROR(TRIM(LEFT($C490,FIND("-",$C490)-1)),""))</f>
        <v/>
      </c>
      <c r="E490" s="27" t="n"/>
      <c r="F490" s="29" t="n"/>
      <c r="G490" s="30" t="n"/>
      <c r="H490" s="30" t="n"/>
      <c r="I490" s="31">
        <f>IF($B490="","",$H490-$G490)</f>
        <v/>
      </c>
      <c r="J490" s="32">
        <f>IF(OR($B490="",$G490=0,$G490=""),"",$I490/$G490)</f>
        <v/>
      </c>
      <c r="K490" s="33" t="n"/>
      <c r="L490" s="33" t="n"/>
      <c r="M490" s="33" t="n"/>
      <c r="N490" s="33" t="n"/>
      <c r="O490" s="33" t="n"/>
      <c r="P490" s="32">
        <f>IF(OR($L490="",$N490=""),"",$L490-$N490)</f>
        <v/>
      </c>
      <c r="Q490" s="28">
        <f>IF($B490="","",IF(N($H490)&gt;0,"Live","Exited"))</f>
        <v/>
      </c>
      <c r="R490" s="28">
        <f>IF($B490="","",IF($L490="","Data Pending",IF($L490&gt;=Instructions!$D$19,"Best Fund",IF($L490&gt;=Instructions!$D$20,"Need to Improve","Not Performing"))))</f>
        <v/>
      </c>
      <c r="S490" s="7">
        <f>IF($R490="","",IF($R490="Data Pending","Enter the 3Y return",IF($R490="Best Fund","Hold / consider top-up",IF($R490="Need to Improve","Watch 2 quarters, then decide","Review with client - switch or exit"))))</f>
        <v/>
      </c>
      <c r="T490" s="27" t="n"/>
      <c r="U490" s="7">
        <f>IF($R490&lt;&gt;"Best Fund","",COUNTIFS($R$6:$R$505,"Best Fund",$L$6:$L$505,"&gt;"&amp;$L490)+COUNTIFS($R$6:$R490,"Best Fund",$L$6:$L490,$L490))</f>
        <v/>
      </c>
      <c r="V490" s="7">
        <f>IF($R490&lt;&gt;"Need to Improve","",COUNTIFS($R$6:$R$505,"Need to Improve",$L$6:$L$505,"&lt;"&amp;$L490)+COUNTIFS($R$6:$R490,"Need to Improve",$L$6:$L490,$L490))</f>
        <v/>
      </c>
      <c r="W490" s="7">
        <f>IF($R490&lt;&gt;"Not Performing","",COUNTIFS($R$6:$R$505,"Not Performing",$L$6:$L$505,"&lt;"&amp;$L490)+COUNTIFS($R$6:$R490,"Not Performing",$L$6:$L490,$L490))</f>
        <v/>
      </c>
    </row>
    <row r="491" ht="15" customHeight="1">
      <c r="A491" s="27" t="n"/>
      <c r="B491" s="27" t="n"/>
      <c r="C491" s="27" t="n"/>
      <c r="D491" s="28">
        <f>IF($C491="","",IFERROR(TRIM(LEFT($C491,FIND("-",$C491)-1)),""))</f>
        <v/>
      </c>
      <c r="E491" s="27" t="n"/>
      <c r="F491" s="29" t="n"/>
      <c r="G491" s="30" t="n"/>
      <c r="H491" s="30" t="n"/>
      <c r="I491" s="31">
        <f>IF($B491="","",$H491-$G491)</f>
        <v/>
      </c>
      <c r="J491" s="32">
        <f>IF(OR($B491="",$G491=0,$G491=""),"",$I491/$G491)</f>
        <v/>
      </c>
      <c r="K491" s="33" t="n"/>
      <c r="L491" s="33" t="n"/>
      <c r="M491" s="33" t="n"/>
      <c r="N491" s="33" t="n"/>
      <c r="O491" s="33" t="n"/>
      <c r="P491" s="32">
        <f>IF(OR($L491="",$N491=""),"",$L491-$N491)</f>
        <v/>
      </c>
      <c r="Q491" s="28">
        <f>IF($B491="","",IF(N($H491)&gt;0,"Live","Exited"))</f>
        <v/>
      </c>
      <c r="R491" s="28">
        <f>IF($B491="","",IF($L491="","Data Pending",IF($L491&gt;=Instructions!$D$19,"Best Fund",IF($L491&gt;=Instructions!$D$20,"Need to Improve","Not Performing"))))</f>
        <v/>
      </c>
      <c r="S491" s="7">
        <f>IF($R491="","",IF($R491="Data Pending","Enter the 3Y return",IF($R491="Best Fund","Hold / consider top-up",IF($R491="Need to Improve","Watch 2 quarters, then decide","Review with client - switch or exit"))))</f>
        <v/>
      </c>
      <c r="T491" s="27" t="n"/>
      <c r="U491" s="7">
        <f>IF($R491&lt;&gt;"Best Fund","",COUNTIFS($R$6:$R$505,"Best Fund",$L$6:$L$505,"&gt;"&amp;$L491)+COUNTIFS($R$6:$R491,"Best Fund",$L$6:$L491,$L491))</f>
        <v/>
      </c>
      <c r="V491" s="7">
        <f>IF($R491&lt;&gt;"Need to Improve","",COUNTIFS($R$6:$R$505,"Need to Improve",$L$6:$L$505,"&lt;"&amp;$L491)+COUNTIFS($R$6:$R491,"Need to Improve",$L$6:$L491,$L491))</f>
        <v/>
      </c>
      <c r="W491" s="7">
        <f>IF($R491&lt;&gt;"Not Performing","",COUNTIFS($R$6:$R$505,"Not Performing",$L$6:$L$505,"&lt;"&amp;$L491)+COUNTIFS($R$6:$R491,"Not Performing",$L$6:$L491,$L491))</f>
        <v/>
      </c>
    </row>
    <row r="492" ht="15" customHeight="1">
      <c r="A492" s="27" t="n"/>
      <c r="B492" s="27" t="n"/>
      <c r="C492" s="27" t="n"/>
      <c r="D492" s="28">
        <f>IF($C492="","",IFERROR(TRIM(LEFT($C492,FIND("-",$C492)-1)),""))</f>
        <v/>
      </c>
      <c r="E492" s="27" t="n"/>
      <c r="F492" s="29" t="n"/>
      <c r="G492" s="30" t="n"/>
      <c r="H492" s="30" t="n"/>
      <c r="I492" s="31">
        <f>IF($B492="","",$H492-$G492)</f>
        <v/>
      </c>
      <c r="J492" s="32">
        <f>IF(OR($B492="",$G492=0,$G492=""),"",$I492/$G492)</f>
        <v/>
      </c>
      <c r="K492" s="33" t="n"/>
      <c r="L492" s="33" t="n"/>
      <c r="M492" s="33" t="n"/>
      <c r="N492" s="33" t="n"/>
      <c r="O492" s="33" t="n"/>
      <c r="P492" s="32">
        <f>IF(OR($L492="",$N492=""),"",$L492-$N492)</f>
        <v/>
      </c>
      <c r="Q492" s="28">
        <f>IF($B492="","",IF(N($H492)&gt;0,"Live","Exited"))</f>
        <v/>
      </c>
      <c r="R492" s="28">
        <f>IF($B492="","",IF($L492="","Data Pending",IF($L492&gt;=Instructions!$D$19,"Best Fund",IF($L492&gt;=Instructions!$D$20,"Need to Improve","Not Performing"))))</f>
        <v/>
      </c>
      <c r="S492" s="7">
        <f>IF($R492="","",IF($R492="Data Pending","Enter the 3Y return",IF($R492="Best Fund","Hold / consider top-up",IF($R492="Need to Improve","Watch 2 quarters, then decide","Review with client - switch or exit"))))</f>
        <v/>
      </c>
      <c r="T492" s="27" t="n"/>
      <c r="U492" s="7">
        <f>IF($R492&lt;&gt;"Best Fund","",COUNTIFS($R$6:$R$505,"Best Fund",$L$6:$L$505,"&gt;"&amp;$L492)+COUNTIFS($R$6:$R492,"Best Fund",$L$6:$L492,$L492))</f>
        <v/>
      </c>
      <c r="V492" s="7">
        <f>IF($R492&lt;&gt;"Need to Improve","",COUNTIFS($R$6:$R$505,"Need to Improve",$L$6:$L$505,"&lt;"&amp;$L492)+COUNTIFS($R$6:$R492,"Need to Improve",$L$6:$L492,$L492))</f>
        <v/>
      </c>
      <c r="W492" s="7">
        <f>IF($R492&lt;&gt;"Not Performing","",COUNTIFS($R$6:$R$505,"Not Performing",$L$6:$L$505,"&lt;"&amp;$L492)+COUNTIFS($R$6:$R492,"Not Performing",$L$6:$L492,$L492))</f>
        <v/>
      </c>
    </row>
    <row r="493" ht="15" customHeight="1">
      <c r="A493" s="27" t="n"/>
      <c r="B493" s="27" t="n"/>
      <c r="C493" s="27" t="n"/>
      <c r="D493" s="28">
        <f>IF($C493="","",IFERROR(TRIM(LEFT($C493,FIND("-",$C493)-1)),""))</f>
        <v/>
      </c>
      <c r="E493" s="27" t="n"/>
      <c r="F493" s="29" t="n"/>
      <c r="G493" s="30" t="n"/>
      <c r="H493" s="30" t="n"/>
      <c r="I493" s="31">
        <f>IF($B493="","",$H493-$G493)</f>
        <v/>
      </c>
      <c r="J493" s="32">
        <f>IF(OR($B493="",$G493=0,$G493=""),"",$I493/$G493)</f>
        <v/>
      </c>
      <c r="K493" s="33" t="n"/>
      <c r="L493" s="33" t="n"/>
      <c r="M493" s="33" t="n"/>
      <c r="N493" s="33" t="n"/>
      <c r="O493" s="33" t="n"/>
      <c r="P493" s="32">
        <f>IF(OR($L493="",$N493=""),"",$L493-$N493)</f>
        <v/>
      </c>
      <c r="Q493" s="28">
        <f>IF($B493="","",IF(N($H493)&gt;0,"Live","Exited"))</f>
        <v/>
      </c>
      <c r="R493" s="28">
        <f>IF($B493="","",IF($L493="","Data Pending",IF($L493&gt;=Instructions!$D$19,"Best Fund",IF($L493&gt;=Instructions!$D$20,"Need to Improve","Not Performing"))))</f>
        <v/>
      </c>
      <c r="S493" s="7">
        <f>IF($R493="","",IF($R493="Data Pending","Enter the 3Y return",IF($R493="Best Fund","Hold / consider top-up",IF($R493="Need to Improve","Watch 2 quarters, then decide","Review with client - switch or exit"))))</f>
        <v/>
      </c>
      <c r="T493" s="27" t="n"/>
      <c r="U493" s="7">
        <f>IF($R493&lt;&gt;"Best Fund","",COUNTIFS($R$6:$R$505,"Best Fund",$L$6:$L$505,"&gt;"&amp;$L493)+COUNTIFS($R$6:$R493,"Best Fund",$L$6:$L493,$L493))</f>
        <v/>
      </c>
      <c r="V493" s="7">
        <f>IF($R493&lt;&gt;"Need to Improve","",COUNTIFS($R$6:$R$505,"Need to Improve",$L$6:$L$505,"&lt;"&amp;$L493)+COUNTIFS($R$6:$R493,"Need to Improve",$L$6:$L493,$L493))</f>
        <v/>
      </c>
      <c r="W493" s="7">
        <f>IF($R493&lt;&gt;"Not Performing","",COUNTIFS($R$6:$R$505,"Not Performing",$L$6:$L$505,"&lt;"&amp;$L493)+COUNTIFS($R$6:$R493,"Not Performing",$L$6:$L493,$L493))</f>
        <v/>
      </c>
    </row>
    <row r="494" ht="15" customHeight="1">
      <c r="A494" s="27" t="n"/>
      <c r="B494" s="27" t="n"/>
      <c r="C494" s="27" t="n"/>
      <c r="D494" s="28">
        <f>IF($C494="","",IFERROR(TRIM(LEFT($C494,FIND("-",$C494)-1)),""))</f>
        <v/>
      </c>
      <c r="E494" s="27" t="n"/>
      <c r="F494" s="29" t="n"/>
      <c r="G494" s="30" t="n"/>
      <c r="H494" s="30" t="n"/>
      <c r="I494" s="31">
        <f>IF($B494="","",$H494-$G494)</f>
        <v/>
      </c>
      <c r="J494" s="32">
        <f>IF(OR($B494="",$G494=0,$G494=""),"",$I494/$G494)</f>
        <v/>
      </c>
      <c r="K494" s="33" t="n"/>
      <c r="L494" s="33" t="n"/>
      <c r="M494" s="33" t="n"/>
      <c r="N494" s="33" t="n"/>
      <c r="O494" s="33" t="n"/>
      <c r="P494" s="32">
        <f>IF(OR($L494="",$N494=""),"",$L494-$N494)</f>
        <v/>
      </c>
      <c r="Q494" s="28">
        <f>IF($B494="","",IF(N($H494)&gt;0,"Live","Exited"))</f>
        <v/>
      </c>
      <c r="R494" s="28">
        <f>IF($B494="","",IF($L494="","Data Pending",IF($L494&gt;=Instructions!$D$19,"Best Fund",IF($L494&gt;=Instructions!$D$20,"Need to Improve","Not Performing"))))</f>
        <v/>
      </c>
      <c r="S494" s="7">
        <f>IF($R494="","",IF($R494="Data Pending","Enter the 3Y return",IF($R494="Best Fund","Hold / consider top-up",IF($R494="Need to Improve","Watch 2 quarters, then decide","Review with client - switch or exit"))))</f>
        <v/>
      </c>
      <c r="T494" s="27" t="n"/>
      <c r="U494" s="7">
        <f>IF($R494&lt;&gt;"Best Fund","",COUNTIFS($R$6:$R$505,"Best Fund",$L$6:$L$505,"&gt;"&amp;$L494)+COUNTIFS($R$6:$R494,"Best Fund",$L$6:$L494,$L494))</f>
        <v/>
      </c>
      <c r="V494" s="7">
        <f>IF($R494&lt;&gt;"Need to Improve","",COUNTIFS($R$6:$R$505,"Need to Improve",$L$6:$L$505,"&lt;"&amp;$L494)+COUNTIFS($R$6:$R494,"Need to Improve",$L$6:$L494,$L494))</f>
        <v/>
      </c>
      <c r="W494" s="7">
        <f>IF($R494&lt;&gt;"Not Performing","",COUNTIFS($R$6:$R$505,"Not Performing",$L$6:$L$505,"&lt;"&amp;$L494)+COUNTIFS($R$6:$R494,"Not Performing",$L$6:$L494,$L494))</f>
        <v/>
      </c>
    </row>
    <row r="495" ht="15" customHeight="1">
      <c r="A495" s="27" t="n"/>
      <c r="B495" s="27" t="n"/>
      <c r="C495" s="27" t="n"/>
      <c r="D495" s="28">
        <f>IF($C495="","",IFERROR(TRIM(LEFT($C495,FIND("-",$C495)-1)),""))</f>
        <v/>
      </c>
      <c r="E495" s="27" t="n"/>
      <c r="F495" s="29" t="n"/>
      <c r="G495" s="30" t="n"/>
      <c r="H495" s="30" t="n"/>
      <c r="I495" s="31">
        <f>IF($B495="","",$H495-$G495)</f>
        <v/>
      </c>
      <c r="J495" s="32">
        <f>IF(OR($B495="",$G495=0,$G495=""),"",$I495/$G495)</f>
        <v/>
      </c>
      <c r="K495" s="33" t="n"/>
      <c r="L495" s="33" t="n"/>
      <c r="M495" s="33" t="n"/>
      <c r="N495" s="33" t="n"/>
      <c r="O495" s="33" t="n"/>
      <c r="P495" s="32">
        <f>IF(OR($L495="",$N495=""),"",$L495-$N495)</f>
        <v/>
      </c>
      <c r="Q495" s="28">
        <f>IF($B495="","",IF(N($H495)&gt;0,"Live","Exited"))</f>
        <v/>
      </c>
      <c r="R495" s="28">
        <f>IF($B495="","",IF($L495="","Data Pending",IF($L495&gt;=Instructions!$D$19,"Best Fund",IF($L495&gt;=Instructions!$D$20,"Need to Improve","Not Performing"))))</f>
        <v/>
      </c>
      <c r="S495" s="7">
        <f>IF($R495="","",IF($R495="Data Pending","Enter the 3Y return",IF($R495="Best Fund","Hold / consider top-up",IF($R495="Need to Improve","Watch 2 quarters, then decide","Review with client - switch or exit"))))</f>
        <v/>
      </c>
      <c r="T495" s="27" t="n"/>
      <c r="U495" s="7">
        <f>IF($R495&lt;&gt;"Best Fund","",COUNTIFS($R$6:$R$505,"Best Fund",$L$6:$L$505,"&gt;"&amp;$L495)+COUNTIFS($R$6:$R495,"Best Fund",$L$6:$L495,$L495))</f>
        <v/>
      </c>
      <c r="V495" s="7">
        <f>IF($R495&lt;&gt;"Need to Improve","",COUNTIFS($R$6:$R$505,"Need to Improve",$L$6:$L$505,"&lt;"&amp;$L495)+COUNTIFS($R$6:$R495,"Need to Improve",$L$6:$L495,$L495))</f>
        <v/>
      </c>
      <c r="W495" s="7">
        <f>IF($R495&lt;&gt;"Not Performing","",COUNTIFS($R$6:$R$505,"Not Performing",$L$6:$L$505,"&lt;"&amp;$L495)+COUNTIFS($R$6:$R495,"Not Performing",$L$6:$L495,$L495))</f>
        <v/>
      </c>
    </row>
    <row r="496" ht="15" customHeight="1">
      <c r="A496" s="27" t="n"/>
      <c r="B496" s="27" t="n"/>
      <c r="C496" s="27" t="n"/>
      <c r="D496" s="28">
        <f>IF($C496="","",IFERROR(TRIM(LEFT($C496,FIND("-",$C496)-1)),""))</f>
        <v/>
      </c>
      <c r="E496" s="27" t="n"/>
      <c r="F496" s="29" t="n"/>
      <c r="G496" s="30" t="n"/>
      <c r="H496" s="30" t="n"/>
      <c r="I496" s="31">
        <f>IF($B496="","",$H496-$G496)</f>
        <v/>
      </c>
      <c r="J496" s="32">
        <f>IF(OR($B496="",$G496=0,$G496=""),"",$I496/$G496)</f>
        <v/>
      </c>
      <c r="K496" s="33" t="n"/>
      <c r="L496" s="33" t="n"/>
      <c r="M496" s="33" t="n"/>
      <c r="N496" s="33" t="n"/>
      <c r="O496" s="33" t="n"/>
      <c r="P496" s="32">
        <f>IF(OR($L496="",$N496=""),"",$L496-$N496)</f>
        <v/>
      </c>
      <c r="Q496" s="28">
        <f>IF($B496="","",IF(N($H496)&gt;0,"Live","Exited"))</f>
        <v/>
      </c>
      <c r="R496" s="28">
        <f>IF($B496="","",IF($L496="","Data Pending",IF($L496&gt;=Instructions!$D$19,"Best Fund",IF($L496&gt;=Instructions!$D$20,"Need to Improve","Not Performing"))))</f>
        <v/>
      </c>
      <c r="S496" s="7">
        <f>IF($R496="","",IF($R496="Data Pending","Enter the 3Y return",IF($R496="Best Fund","Hold / consider top-up",IF($R496="Need to Improve","Watch 2 quarters, then decide","Review with client - switch or exit"))))</f>
        <v/>
      </c>
      <c r="T496" s="27" t="n"/>
      <c r="U496" s="7">
        <f>IF($R496&lt;&gt;"Best Fund","",COUNTIFS($R$6:$R$505,"Best Fund",$L$6:$L$505,"&gt;"&amp;$L496)+COUNTIFS($R$6:$R496,"Best Fund",$L$6:$L496,$L496))</f>
        <v/>
      </c>
      <c r="V496" s="7">
        <f>IF($R496&lt;&gt;"Need to Improve","",COUNTIFS($R$6:$R$505,"Need to Improve",$L$6:$L$505,"&lt;"&amp;$L496)+COUNTIFS($R$6:$R496,"Need to Improve",$L$6:$L496,$L496))</f>
        <v/>
      </c>
      <c r="W496" s="7">
        <f>IF($R496&lt;&gt;"Not Performing","",COUNTIFS($R$6:$R$505,"Not Performing",$L$6:$L$505,"&lt;"&amp;$L496)+COUNTIFS($R$6:$R496,"Not Performing",$L$6:$L496,$L496))</f>
        <v/>
      </c>
    </row>
    <row r="497" ht="15" customHeight="1">
      <c r="A497" s="27" t="n"/>
      <c r="B497" s="27" t="n"/>
      <c r="C497" s="27" t="n"/>
      <c r="D497" s="28">
        <f>IF($C497="","",IFERROR(TRIM(LEFT($C497,FIND("-",$C497)-1)),""))</f>
        <v/>
      </c>
      <c r="E497" s="27" t="n"/>
      <c r="F497" s="29" t="n"/>
      <c r="G497" s="30" t="n"/>
      <c r="H497" s="30" t="n"/>
      <c r="I497" s="31">
        <f>IF($B497="","",$H497-$G497)</f>
        <v/>
      </c>
      <c r="J497" s="32">
        <f>IF(OR($B497="",$G497=0,$G497=""),"",$I497/$G497)</f>
        <v/>
      </c>
      <c r="K497" s="33" t="n"/>
      <c r="L497" s="33" t="n"/>
      <c r="M497" s="33" t="n"/>
      <c r="N497" s="33" t="n"/>
      <c r="O497" s="33" t="n"/>
      <c r="P497" s="32">
        <f>IF(OR($L497="",$N497=""),"",$L497-$N497)</f>
        <v/>
      </c>
      <c r="Q497" s="28">
        <f>IF($B497="","",IF(N($H497)&gt;0,"Live","Exited"))</f>
        <v/>
      </c>
      <c r="R497" s="28">
        <f>IF($B497="","",IF($L497="","Data Pending",IF($L497&gt;=Instructions!$D$19,"Best Fund",IF($L497&gt;=Instructions!$D$20,"Need to Improve","Not Performing"))))</f>
        <v/>
      </c>
      <c r="S497" s="7">
        <f>IF($R497="","",IF($R497="Data Pending","Enter the 3Y return",IF($R497="Best Fund","Hold / consider top-up",IF($R497="Need to Improve","Watch 2 quarters, then decide","Review with client - switch or exit"))))</f>
        <v/>
      </c>
      <c r="T497" s="27" t="n"/>
      <c r="U497" s="7">
        <f>IF($R497&lt;&gt;"Best Fund","",COUNTIFS($R$6:$R$505,"Best Fund",$L$6:$L$505,"&gt;"&amp;$L497)+COUNTIFS($R$6:$R497,"Best Fund",$L$6:$L497,$L497))</f>
        <v/>
      </c>
      <c r="V497" s="7">
        <f>IF($R497&lt;&gt;"Need to Improve","",COUNTIFS($R$6:$R$505,"Need to Improve",$L$6:$L$505,"&lt;"&amp;$L497)+COUNTIFS($R$6:$R497,"Need to Improve",$L$6:$L497,$L497))</f>
        <v/>
      </c>
      <c r="W497" s="7">
        <f>IF($R497&lt;&gt;"Not Performing","",COUNTIFS($R$6:$R$505,"Not Performing",$L$6:$L$505,"&lt;"&amp;$L497)+COUNTIFS($R$6:$R497,"Not Performing",$L$6:$L497,$L497))</f>
        <v/>
      </c>
    </row>
    <row r="498" ht="15" customHeight="1">
      <c r="A498" s="27" t="n"/>
      <c r="B498" s="27" t="n"/>
      <c r="C498" s="27" t="n"/>
      <c r="D498" s="28">
        <f>IF($C498="","",IFERROR(TRIM(LEFT($C498,FIND("-",$C498)-1)),""))</f>
        <v/>
      </c>
      <c r="E498" s="27" t="n"/>
      <c r="F498" s="29" t="n"/>
      <c r="G498" s="30" t="n"/>
      <c r="H498" s="30" t="n"/>
      <c r="I498" s="31">
        <f>IF($B498="","",$H498-$G498)</f>
        <v/>
      </c>
      <c r="J498" s="32">
        <f>IF(OR($B498="",$G498=0,$G498=""),"",$I498/$G498)</f>
        <v/>
      </c>
      <c r="K498" s="33" t="n"/>
      <c r="L498" s="33" t="n"/>
      <c r="M498" s="33" t="n"/>
      <c r="N498" s="33" t="n"/>
      <c r="O498" s="33" t="n"/>
      <c r="P498" s="32">
        <f>IF(OR($L498="",$N498=""),"",$L498-$N498)</f>
        <v/>
      </c>
      <c r="Q498" s="28">
        <f>IF($B498="","",IF(N($H498)&gt;0,"Live","Exited"))</f>
        <v/>
      </c>
      <c r="R498" s="28">
        <f>IF($B498="","",IF($L498="","Data Pending",IF($L498&gt;=Instructions!$D$19,"Best Fund",IF($L498&gt;=Instructions!$D$20,"Need to Improve","Not Performing"))))</f>
        <v/>
      </c>
      <c r="S498" s="7">
        <f>IF($R498="","",IF($R498="Data Pending","Enter the 3Y return",IF($R498="Best Fund","Hold / consider top-up",IF($R498="Need to Improve","Watch 2 quarters, then decide","Review with client - switch or exit"))))</f>
        <v/>
      </c>
      <c r="T498" s="27" t="n"/>
      <c r="U498" s="7">
        <f>IF($R498&lt;&gt;"Best Fund","",COUNTIFS($R$6:$R$505,"Best Fund",$L$6:$L$505,"&gt;"&amp;$L498)+COUNTIFS($R$6:$R498,"Best Fund",$L$6:$L498,$L498))</f>
        <v/>
      </c>
      <c r="V498" s="7">
        <f>IF($R498&lt;&gt;"Need to Improve","",COUNTIFS($R$6:$R$505,"Need to Improve",$L$6:$L$505,"&lt;"&amp;$L498)+COUNTIFS($R$6:$R498,"Need to Improve",$L$6:$L498,$L498))</f>
        <v/>
      </c>
      <c r="W498" s="7">
        <f>IF($R498&lt;&gt;"Not Performing","",COUNTIFS($R$6:$R$505,"Not Performing",$L$6:$L$505,"&lt;"&amp;$L498)+COUNTIFS($R$6:$R498,"Not Performing",$L$6:$L498,$L498))</f>
        <v/>
      </c>
    </row>
    <row r="499" ht="15" customHeight="1">
      <c r="A499" s="27" t="n"/>
      <c r="B499" s="27" t="n"/>
      <c r="C499" s="27" t="n"/>
      <c r="D499" s="28">
        <f>IF($C499="","",IFERROR(TRIM(LEFT($C499,FIND("-",$C499)-1)),""))</f>
        <v/>
      </c>
      <c r="E499" s="27" t="n"/>
      <c r="F499" s="29" t="n"/>
      <c r="G499" s="30" t="n"/>
      <c r="H499" s="30" t="n"/>
      <c r="I499" s="31">
        <f>IF($B499="","",$H499-$G499)</f>
        <v/>
      </c>
      <c r="J499" s="32">
        <f>IF(OR($B499="",$G499=0,$G499=""),"",$I499/$G499)</f>
        <v/>
      </c>
      <c r="K499" s="33" t="n"/>
      <c r="L499" s="33" t="n"/>
      <c r="M499" s="33" t="n"/>
      <c r="N499" s="33" t="n"/>
      <c r="O499" s="33" t="n"/>
      <c r="P499" s="32">
        <f>IF(OR($L499="",$N499=""),"",$L499-$N499)</f>
        <v/>
      </c>
      <c r="Q499" s="28">
        <f>IF($B499="","",IF(N($H499)&gt;0,"Live","Exited"))</f>
        <v/>
      </c>
      <c r="R499" s="28">
        <f>IF($B499="","",IF($L499="","Data Pending",IF($L499&gt;=Instructions!$D$19,"Best Fund",IF($L499&gt;=Instructions!$D$20,"Need to Improve","Not Performing"))))</f>
        <v/>
      </c>
      <c r="S499" s="7">
        <f>IF($R499="","",IF($R499="Data Pending","Enter the 3Y return",IF($R499="Best Fund","Hold / consider top-up",IF($R499="Need to Improve","Watch 2 quarters, then decide","Review with client - switch or exit"))))</f>
        <v/>
      </c>
      <c r="T499" s="27" t="n"/>
      <c r="U499" s="7">
        <f>IF($R499&lt;&gt;"Best Fund","",COUNTIFS($R$6:$R$505,"Best Fund",$L$6:$L$505,"&gt;"&amp;$L499)+COUNTIFS($R$6:$R499,"Best Fund",$L$6:$L499,$L499))</f>
        <v/>
      </c>
      <c r="V499" s="7">
        <f>IF($R499&lt;&gt;"Need to Improve","",COUNTIFS($R$6:$R$505,"Need to Improve",$L$6:$L$505,"&lt;"&amp;$L499)+COUNTIFS($R$6:$R499,"Need to Improve",$L$6:$L499,$L499))</f>
        <v/>
      </c>
      <c r="W499" s="7">
        <f>IF($R499&lt;&gt;"Not Performing","",COUNTIFS($R$6:$R$505,"Not Performing",$L$6:$L$505,"&lt;"&amp;$L499)+COUNTIFS($R$6:$R499,"Not Performing",$L$6:$L499,$L499))</f>
        <v/>
      </c>
    </row>
    <row r="500" ht="15" customHeight="1">
      <c r="A500" s="27" t="n"/>
      <c r="B500" s="27" t="n"/>
      <c r="C500" s="27" t="n"/>
      <c r="D500" s="28">
        <f>IF($C500="","",IFERROR(TRIM(LEFT($C500,FIND("-",$C500)-1)),""))</f>
        <v/>
      </c>
      <c r="E500" s="27" t="n"/>
      <c r="F500" s="29" t="n"/>
      <c r="G500" s="30" t="n"/>
      <c r="H500" s="30" t="n"/>
      <c r="I500" s="31">
        <f>IF($B500="","",$H500-$G500)</f>
        <v/>
      </c>
      <c r="J500" s="32">
        <f>IF(OR($B500="",$G500=0,$G500=""),"",$I500/$G500)</f>
        <v/>
      </c>
      <c r="K500" s="33" t="n"/>
      <c r="L500" s="33" t="n"/>
      <c r="M500" s="33" t="n"/>
      <c r="N500" s="33" t="n"/>
      <c r="O500" s="33" t="n"/>
      <c r="P500" s="32">
        <f>IF(OR($L500="",$N500=""),"",$L500-$N500)</f>
        <v/>
      </c>
      <c r="Q500" s="28">
        <f>IF($B500="","",IF(N($H500)&gt;0,"Live","Exited"))</f>
        <v/>
      </c>
      <c r="R500" s="28">
        <f>IF($B500="","",IF($L500="","Data Pending",IF($L500&gt;=Instructions!$D$19,"Best Fund",IF($L500&gt;=Instructions!$D$20,"Need to Improve","Not Performing"))))</f>
        <v/>
      </c>
      <c r="S500" s="7">
        <f>IF($R500="","",IF($R500="Data Pending","Enter the 3Y return",IF($R500="Best Fund","Hold / consider top-up",IF($R500="Need to Improve","Watch 2 quarters, then decide","Review with client - switch or exit"))))</f>
        <v/>
      </c>
      <c r="T500" s="27" t="n"/>
      <c r="U500" s="7">
        <f>IF($R500&lt;&gt;"Best Fund","",COUNTIFS($R$6:$R$505,"Best Fund",$L$6:$L$505,"&gt;"&amp;$L500)+COUNTIFS($R$6:$R500,"Best Fund",$L$6:$L500,$L500))</f>
        <v/>
      </c>
      <c r="V500" s="7">
        <f>IF($R500&lt;&gt;"Need to Improve","",COUNTIFS($R$6:$R$505,"Need to Improve",$L$6:$L$505,"&lt;"&amp;$L500)+COUNTIFS($R$6:$R500,"Need to Improve",$L$6:$L500,$L500))</f>
        <v/>
      </c>
      <c r="W500" s="7">
        <f>IF($R500&lt;&gt;"Not Performing","",COUNTIFS($R$6:$R$505,"Not Performing",$L$6:$L$505,"&lt;"&amp;$L500)+COUNTIFS($R$6:$R500,"Not Performing",$L$6:$L500,$L500))</f>
        <v/>
      </c>
    </row>
    <row r="501" ht="15" customHeight="1">
      <c r="A501" s="27" t="n"/>
      <c r="B501" s="27" t="n"/>
      <c r="C501" s="27" t="n"/>
      <c r="D501" s="28">
        <f>IF($C501="","",IFERROR(TRIM(LEFT($C501,FIND("-",$C501)-1)),""))</f>
        <v/>
      </c>
      <c r="E501" s="27" t="n"/>
      <c r="F501" s="29" t="n"/>
      <c r="G501" s="30" t="n"/>
      <c r="H501" s="30" t="n"/>
      <c r="I501" s="31">
        <f>IF($B501="","",$H501-$G501)</f>
        <v/>
      </c>
      <c r="J501" s="32">
        <f>IF(OR($B501="",$G501=0,$G501=""),"",$I501/$G501)</f>
        <v/>
      </c>
      <c r="K501" s="33" t="n"/>
      <c r="L501" s="33" t="n"/>
      <c r="M501" s="33" t="n"/>
      <c r="N501" s="33" t="n"/>
      <c r="O501" s="33" t="n"/>
      <c r="P501" s="32">
        <f>IF(OR($L501="",$N501=""),"",$L501-$N501)</f>
        <v/>
      </c>
      <c r="Q501" s="28">
        <f>IF($B501="","",IF(N($H501)&gt;0,"Live","Exited"))</f>
        <v/>
      </c>
      <c r="R501" s="28">
        <f>IF($B501="","",IF($L501="","Data Pending",IF($L501&gt;=Instructions!$D$19,"Best Fund",IF($L501&gt;=Instructions!$D$20,"Need to Improve","Not Performing"))))</f>
        <v/>
      </c>
      <c r="S501" s="7">
        <f>IF($R501="","",IF($R501="Data Pending","Enter the 3Y return",IF($R501="Best Fund","Hold / consider top-up",IF($R501="Need to Improve","Watch 2 quarters, then decide","Review with client - switch or exit"))))</f>
        <v/>
      </c>
      <c r="T501" s="27" t="n"/>
      <c r="U501" s="7">
        <f>IF($R501&lt;&gt;"Best Fund","",COUNTIFS($R$6:$R$505,"Best Fund",$L$6:$L$505,"&gt;"&amp;$L501)+COUNTIFS($R$6:$R501,"Best Fund",$L$6:$L501,$L501))</f>
        <v/>
      </c>
      <c r="V501" s="7">
        <f>IF($R501&lt;&gt;"Need to Improve","",COUNTIFS($R$6:$R$505,"Need to Improve",$L$6:$L$505,"&lt;"&amp;$L501)+COUNTIFS($R$6:$R501,"Need to Improve",$L$6:$L501,$L501))</f>
        <v/>
      </c>
      <c r="W501" s="7">
        <f>IF($R501&lt;&gt;"Not Performing","",COUNTIFS($R$6:$R$505,"Not Performing",$L$6:$L$505,"&lt;"&amp;$L501)+COUNTIFS($R$6:$R501,"Not Performing",$L$6:$L501,$L501))</f>
        <v/>
      </c>
    </row>
    <row r="502" ht="15" customHeight="1">
      <c r="A502" s="27" t="n"/>
      <c r="B502" s="27" t="n"/>
      <c r="C502" s="27" t="n"/>
      <c r="D502" s="28">
        <f>IF($C502="","",IFERROR(TRIM(LEFT($C502,FIND("-",$C502)-1)),""))</f>
        <v/>
      </c>
      <c r="E502" s="27" t="n"/>
      <c r="F502" s="29" t="n"/>
      <c r="G502" s="30" t="n"/>
      <c r="H502" s="30" t="n"/>
      <c r="I502" s="31">
        <f>IF($B502="","",$H502-$G502)</f>
        <v/>
      </c>
      <c r="J502" s="32">
        <f>IF(OR($B502="",$G502=0,$G502=""),"",$I502/$G502)</f>
        <v/>
      </c>
      <c r="K502" s="33" t="n"/>
      <c r="L502" s="33" t="n"/>
      <c r="M502" s="33" t="n"/>
      <c r="N502" s="33" t="n"/>
      <c r="O502" s="33" t="n"/>
      <c r="P502" s="32">
        <f>IF(OR($L502="",$N502=""),"",$L502-$N502)</f>
        <v/>
      </c>
      <c r="Q502" s="28">
        <f>IF($B502="","",IF(N($H502)&gt;0,"Live","Exited"))</f>
        <v/>
      </c>
      <c r="R502" s="28">
        <f>IF($B502="","",IF($L502="","Data Pending",IF($L502&gt;=Instructions!$D$19,"Best Fund",IF($L502&gt;=Instructions!$D$20,"Need to Improve","Not Performing"))))</f>
        <v/>
      </c>
      <c r="S502" s="7">
        <f>IF($R502="","",IF($R502="Data Pending","Enter the 3Y return",IF($R502="Best Fund","Hold / consider top-up",IF($R502="Need to Improve","Watch 2 quarters, then decide","Review with client - switch or exit"))))</f>
        <v/>
      </c>
      <c r="T502" s="27" t="n"/>
      <c r="U502" s="7">
        <f>IF($R502&lt;&gt;"Best Fund","",COUNTIFS($R$6:$R$505,"Best Fund",$L$6:$L$505,"&gt;"&amp;$L502)+COUNTIFS($R$6:$R502,"Best Fund",$L$6:$L502,$L502))</f>
        <v/>
      </c>
      <c r="V502" s="7">
        <f>IF($R502&lt;&gt;"Need to Improve","",COUNTIFS($R$6:$R$505,"Need to Improve",$L$6:$L$505,"&lt;"&amp;$L502)+COUNTIFS($R$6:$R502,"Need to Improve",$L$6:$L502,$L502))</f>
        <v/>
      </c>
      <c r="W502" s="7">
        <f>IF($R502&lt;&gt;"Not Performing","",COUNTIFS($R$6:$R$505,"Not Performing",$L$6:$L$505,"&lt;"&amp;$L502)+COUNTIFS($R$6:$R502,"Not Performing",$L$6:$L502,$L502))</f>
        <v/>
      </c>
    </row>
    <row r="503" ht="15" customHeight="1">
      <c r="A503" s="27" t="n"/>
      <c r="B503" s="27" t="n"/>
      <c r="C503" s="27" t="n"/>
      <c r="D503" s="28">
        <f>IF($C503="","",IFERROR(TRIM(LEFT($C503,FIND("-",$C503)-1)),""))</f>
        <v/>
      </c>
      <c r="E503" s="27" t="n"/>
      <c r="F503" s="29" t="n"/>
      <c r="G503" s="30" t="n"/>
      <c r="H503" s="30" t="n"/>
      <c r="I503" s="31">
        <f>IF($B503="","",$H503-$G503)</f>
        <v/>
      </c>
      <c r="J503" s="32">
        <f>IF(OR($B503="",$G503=0,$G503=""),"",$I503/$G503)</f>
        <v/>
      </c>
      <c r="K503" s="33" t="n"/>
      <c r="L503" s="33" t="n"/>
      <c r="M503" s="33" t="n"/>
      <c r="N503" s="33" t="n"/>
      <c r="O503" s="33" t="n"/>
      <c r="P503" s="32">
        <f>IF(OR($L503="",$N503=""),"",$L503-$N503)</f>
        <v/>
      </c>
      <c r="Q503" s="28">
        <f>IF($B503="","",IF(N($H503)&gt;0,"Live","Exited"))</f>
        <v/>
      </c>
      <c r="R503" s="28">
        <f>IF($B503="","",IF($L503="","Data Pending",IF($L503&gt;=Instructions!$D$19,"Best Fund",IF($L503&gt;=Instructions!$D$20,"Need to Improve","Not Performing"))))</f>
        <v/>
      </c>
      <c r="S503" s="7">
        <f>IF($R503="","",IF($R503="Data Pending","Enter the 3Y return",IF($R503="Best Fund","Hold / consider top-up",IF($R503="Need to Improve","Watch 2 quarters, then decide","Review with client - switch or exit"))))</f>
        <v/>
      </c>
      <c r="T503" s="27" t="n"/>
      <c r="U503" s="7">
        <f>IF($R503&lt;&gt;"Best Fund","",COUNTIFS($R$6:$R$505,"Best Fund",$L$6:$L$505,"&gt;"&amp;$L503)+COUNTIFS($R$6:$R503,"Best Fund",$L$6:$L503,$L503))</f>
        <v/>
      </c>
      <c r="V503" s="7">
        <f>IF($R503&lt;&gt;"Need to Improve","",COUNTIFS($R$6:$R$505,"Need to Improve",$L$6:$L$505,"&lt;"&amp;$L503)+COUNTIFS($R$6:$R503,"Need to Improve",$L$6:$L503,$L503))</f>
        <v/>
      </c>
      <c r="W503" s="7">
        <f>IF($R503&lt;&gt;"Not Performing","",COUNTIFS($R$6:$R$505,"Not Performing",$L$6:$L$505,"&lt;"&amp;$L503)+COUNTIFS($R$6:$R503,"Not Performing",$L$6:$L503,$L503))</f>
        <v/>
      </c>
    </row>
    <row r="504" ht="15" customHeight="1">
      <c r="A504" s="27" t="n"/>
      <c r="B504" s="27" t="n"/>
      <c r="C504" s="27" t="n"/>
      <c r="D504" s="28">
        <f>IF($C504="","",IFERROR(TRIM(LEFT($C504,FIND("-",$C504)-1)),""))</f>
        <v/>
      </c>
      <c r="E504" s="27" t="n"/>
      <c r="F504" s="29" t="n"/>
      <c r="G504" s="30" t="n"/>
      <c r="H504" s="30" t="n"/>
      <c r="I504" s="31">
        <f>IF($B504="","",$H504-$G504)</f>
        <v/>
      </c>
      <c r="J504" s="32">
        <f>IF(OR($B504="",$G504=0,$G504=""),"",$I504/$G504)</f>
        <v/>
      </c>
      <c r="K504" s="33" t="n"/>
      <c r="L504" s="33" t="n"/>
      <c r="M504" s="33" t="n"/>
      <c r="N504" s="33" t="n"/>
      <c r="O504" s="33" t="n"/>
      <c r="P504" s="32">
        <f>IF(OR($L504="",$N504=""),"",$L504-$N504)</f>
        <v/>
      </c>
      <c r="Q504" s="28">
        <f>IF($B504="","",IF(N($H504)&gt;0,"Live","Exited"))</f>
        <v/>
      </c>
      <c r="R504" s="28">
        <f>IF($B504="","",IF($L504="","Data Pending",IF($L504&gt;=Instructions!$D$19,"Best Fund",IF($L504&gt;=Instructions!$D$20,"Need to Improve","Not Performing"))))</f>
        <v/>
      </c>
      <c r="S504" s="7">
        <f>IF($R504="","",IF($R504="Data Pending","Enter the 3Y return",IF($R504="Best Fund","Hold / consider top-up",IF($R504="Need to Improve","Watch 2 quarters, then decide","Review with client - switch or exit"))))</f>
        <v/>
      </c>
      <c r="T504" s="27" t="n"/>
      <c r="U504" s="7">
        <f>IF($R504&lt;&gt;"Best Fund","",COUNTIFS($R$6:$R$505,"Best Fund",$L$6:$L$505,"&gt;"&amp;$L504)+COUNTIFS($R$6:$R504,"Best Fund",$L$6:$L504,$L504))</f>
        <v/>
      </c>
      <c r="V504" s="7">
        <f>IF($R504&lt;&gt;"Need to Improve","",COUNTIFS($R$6:$R$505,"Need to Improve",$L$6:$L$505,"&lt;"&amp;$L504)+COUNTIFS($R$6:$R504,"Need to Improve",$L$6:$L504,$L504))</f>
        <v/>
      </c>
      <c r="W504" s="7">
        <f>IF($R504&lt;&gt;"Not Performing","",COUNTIFS($R$6:$R$505,"Not Performing",$L$6:$L$505,"&lt;"&amp;$L504)+COUNTIFS($R$6:$R504,"Not Performing",$L$6:$L504,$L504))</f>
        <v/>
      </c>
    </row>
    <row r="505" ht="15" customHeight="1">
      <c r="A505" s="27" t="n"/>
      <c r="B505" s="27" t="n"/>
      <c r="C505" s="27" t="n"/>
      <c r="D505" s="28">
        <f>IF($C505="","",IFERROR(TRIM(LEFT($C505,FIND("-",$C505)-1)),""))</f>
        <v/>
      </c>
      <c r="E505" s="27" t="n"/>
      <c r="F505" s="29" t="n"/>
      <c r="G505" s="30" t="n"/>
      <c r="H505" s="30" t="n"/>
      <c r="I505" s="31">
        <f>IF($B505="","",$H505-$G505)</f>
        <v/>
      </c>
      <c r="J505" s="32">
        <f>IF(OR($B505="",$G505=0,$G505=""),"",$I505/$G505)</f>
        <v/>
      </c>
      <c r="K505" s="33" t="n"/>
      <c r="L505" s="33" t="n"/>
      <c r="M505" s="33" t="n"/>
      <c r="N505" s="33" t="n"/>
      <c r="O505" s="33" t="n"/>
      <c r="P505" s="32">
        <f>IF(OR($L505="",$N505=""),"",$L505-$N505)</f>
        <v/>
      </c>
      <c r="Q505" s="28">
        <f>IF($B505="","",IF(N($H505)&gt;0,"Live","Exited"))</f>
        <v/>
      </c>
      <c r="R505" s="28">
        <f>IF($B505="","",IF($L505="","Data Pending",IF($L505&gt;=Instructions!$D$19,"Best Fund",IF($L505&gt;=Instructions!$D$20,"Need to Improve","Not Performing"))))</f>
        <v/>
      </c>
      <c r="S505" s="7">
        <f>IF($R505="","",IF($R505="Data Pending","Enter the 3Y return",IF($R505="Best Fund","Hold / consider top-up",IF($R505="Need to Improve","Watch 2 quarters, then decide","Review with client - switch or exit"))))</f>
        <v/>
      </c>
      <c r="T505" s="27" t="n"/>
      <c r="U505" s="7">
        <f>IF($R505&lt;&gt;"Best Fund","",COUNTIFS($R$6:$R$505,"Best Fund",$L$6:$L$505,"&gt;"&amp;$L505)+COUNTIFS($R$6:$R505,"Best Fund",$L$6:$L505,$L505))</f>
        <v/>
      </c>
      <c r="V505" s="7">
        <f>IF($R505&lt;&gt;"Need to Improve","",COUNTIFS($R$6:$R$505,"Need to Improve",$L$6:$L$505,"&lt;"&amp;$L505)+COUNTIFS($R$6:$R505,"Need to Improve",$L$6:$L505,$L505))</f>
        <v/>
      </c>
      <c r="W505" s="7">
        <f>IF($R505&lt;&gt;"Not Performing","",COUNTIFS($R$6:$R$505,"Not Performing",$L$6:$L$505,"&lt;"&amp;$L505)+COUNTIFS($R$6:$R505,"Not Performing",$L$6:$L505,$L505))</f>
        <v/>
      </c>
    </row>
  </sheetData>
  <autoFilter ref="A5:T505"/>
  <mergeCells count="4">
    <mergeCell ref="A1:T1"/>
    <mergeCell ref="A4:T4"/>
    <mergeCell ref="A2:T2"/>
    <mergeCell ref="D3:G3"/>
  </mergeCells>
  <conditionalFormatting sqref="A6:T505">
    <cfRule type="expression" priority="1" dxfId="0">
      <formula>$R6="Best Fund"</formula>
    </cfRule>
    <cfRule type="expression" priority="2" dxfId="1">
      <formula>$R6="Need to Improve"</formula>
    </cfRule>
    <cfRule type="expression" priority="3" dxfId="2">
      <formula>$R6="Not Performing"</formula>
    </cfRule>
  </conditionalFormatting>
  <dataValidations count="1">
    <dataValidation sqref="C6:C505" showDropDown="0" showInputMessage="0" showErrorMessage="0" allowBlank="1" type="list">
      <formula1>=Lists!$A$2:$A$36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4" customWidth="1" min="3" max="3"/>
    <col width="30" customWidth="1" min="4" max="4"/>
    <col width="16" customWidth="1" min="5" max="5"/>
    <col width="16" customWidth="1" min="6" max="6"/>
    <col width="15" customWidth="1" min="7" max="7"/>
    <col width="11" customWidth="1" min="8" max="8"/>
    <col width="12" customWidth="1" min="9" max="9"/>
    <col width="13" customWidth="1" min="10" max="10"/>
    <col width="12" customWidth="1" min="11" max="11"/>
    <col width="26" customWidth="1" min="12" max="12"/>
    <col width="46" customWidth="1" min="13" max="13"/>
  </cols>
  <sheetData>
    <row r="1" ht="26" customHeight="1">
      <c r="A1" s="1" t="inlineStr">
        <is>
          <t>BEST FUNDS</t>
        </is>
      </c>
    </row>
    <row r="2" ht="16" customHeight="1">
      <c r="A2" s="2" t="inlineStr">
        <is>
          <t>Every scheme clearing the Best threshold on 3-year return.</t>
        </is>
      </c>
    </row>
    <row r="3">
      <c r="A3" s="4" t="inlineStr">
        <is>
          <t>Schemes</t>
        </is>
      </c>
      <c r="B3" s="22">
        <f>COUNTIF('Fund Research'!$R$6:$R$505,"Best Fund")</f>
        <v/>
      </c>
      <c r="C3" s="21" t="inlineStr">
        <is>
          <t>Current value</t>
        </is>
      </c>
      <c r="D3" s="31">
        <f>SUMIF('Fund Research'!$R$6:$R$505,"Best Fund",'Fund Research'!$H$6:$H$505)</f>
        <v/>
      </c>
      <c r="E3" s="21" t="inlineStr">
        <is>
          <t>Invested</t>
        </is>
      </c>
      <c r="F3" s="31">
        <f>SUMIF('Fund Research'!$R$6:$R$505,"Best Fund",'Fund Research'!$G$6:$G$505)</f>
        <v/>
      </c>
      <c r="G3" s="21" t="inlineStr">
        <is>
          <t>Avg 3Y</t>
        </is>
      </c>
      <c r="H3" s="16">
        <f>IFERROR(AVERAGEIF('Fund Research'!$R$6:$R$505,"Best Fund",'Fund Research'!$L$6:$L$505),"")</f>
        <v/>
      </c>
    </row>
    <row r="4">
      <c r="A4" s="25" t="inlineStr">
        <is>
          <t>Ranked best first by 3-year return. Read-only - edit on Fund Research.</t>
        </is>
      </c>
    </row>
    <row r="5" ht="32" customHeight="1">
      <c r="A5" s="26" t="inlineStr">
        <is>
          <t>#</t>
        </is>
      </c>
      <c r="B5" s="26" t="inlineStr">
        <is>
          <t>Client Name</t>
        </is>
      </c>
      <c r="C5" s="26" t="inlineStr">
        <is>
          <t>Scheme Name</t>
        </is>
      </c>
      <c r="D5" s="26" t="inlineStr">
        <is>
          <t>Category</t>
        </is>
      </c>
      <c r="E5" s="26" t="inlineStr">
        <is>
          <t>Total Invested</t>
        </is>
      </c>
      <c r="F5" s="26" t="inlineStr">
        <is>
          <t>Current Value
(Live)</t>
        </is>
      </c>
      <c r="G5" s="26" t="inlineStr">
        <is>
          <t>Gain / Loss</t>
        </is>
      </c>
      <c r="H5" s="26" t="inlineStr">
        <is>
          <t>Abs. Rtn.</t>
        </is>
      </c>
      <c r="I5" s="26" t="inlineStr">
        <is>
          <t>3Y Return
(CAGR)</t>
        </is>
      </c>
      <c r="J5" s="26" t="inlineStr">
        <is>
          <t>Category Avg
3Y</t>
        </is>
      </c>
      <c r="K5" s="26" t="inlineStr">
        <is>
          <t>vs Category
(3Y)</t>
        </is>
      </c>
      <c r="L5" s="26" t="inlineStr">
        <is>
          <t>Suggested Action</t>
        </is>
      </c>
      <c r="M5" s="26" t="inlineStr">
        <is>
          <t>Remark</t>
        </is>
      </c>
    </row>
    <row r="6" ht="15" customHeight="1">
      <c r="A6" s="34">
        <f>IFERROR(IF(INDEX('Fund Research'!$B$6:$B$505,MATCH(1,'Fund Research'!$U$6:$U$505,0))="","",1),"")</f>
        <v/>
      </c>
      <c r="B6" s="35">
        <f>IFERROR(INDEX('Fund Research'!$A$6:$A$505,MATCH(1,'Fund Research'!$U$6:$U$505,0)),"")</f>
        <v/>
      </c>
      <c r="C6" s="35">
        <f>IFERROR(INDEX('Fund Research'!$B$6:$B$505,MATCH(1,'Fund Research'!$U$6:$U$505,0)),"")</f>
        <v/>
      </c>
      <c r="D6" s="35">
        <f>IFERROR(INDEX('Fund Research'!$C$6:$C$505,MATCH(1,'Fund Research'!$U$6:$U$505,0)),"")</f>
        <v/>
      </c>
      <c r="E6" s="36">
        <f>IFERROR(INDEX('Fund Research'!$G$6:$G$505,MATCH(1,'Fund Research'!$U$6:$U$505,0)),"")</f>
        <v/>
      </c>
      <c r="F6" s="36">
        <f>IFERROR(INDEX('Fund Research'!$H$6:$H$505,MATCH(1,'Fund Research'!$U$6:$U$505,0)),"")</f>
        <v/>
      </c>
      <c r="G6" s="36">
        <f>IFERROR(INDEX('Fund Research'!$I$6:$I$505,MATCH(1,'Fund Research'!$U$6:$U$505,0)),"")</f>
        <v/>
      </c>
      <c r="H6" s="37">
        <f>IFERROR(INDEX('Fund Research'!$J$6:$J$505,MATCH(1,'Fund Research'!$U$6:$U$505,0)),"")</f>
        <v/>
      </c>
      <c r="I6" s="38">
        <f>IFERROR(INDEX('Fund Research'!$L$6:$L$505,MATCH(1,'Fund Research'!$U$6:$U$505,0)),"")</f>
        <v/>
      </c>
      <c r="J6" s="37">
        <f>IFERROR(INDEX('Fund Research'!$N$6:$N$505,MATCH(1,'Fund Research'!$U$6:$U$505,0)),"")</f>
        <v/>
      </c>
      <c r="K6" s="37">
        <f>IFERROR(INDEX('Fund Research'!$P$6:$P$505,MATCH(1,'Fund Research'!$U$6:$U$505,0)),"")</f>
        <v/>
      </c>
      <c r="L6" s="35">
        <f>IFERROR(INDEX('Fund Research'!$S$6:$S$505,MATCH(1,'Fund Research'!$U$6:$U$505,0)),"")</f>
        <v/>
      </c>
      <c r="M6" s="35">
        <f>IFERROR(INDEX('Fund Research'!$T$6:$T$505,MATCH(1,'Fund Research'!$U$6:$U$505,0)),"")</f>
        <v/>
      </c>
    </row>
    <row r="7" ht="15" customHeight="1">
      <c r="A7" s="34">
        <f>IFERROR(IF(INDEX('Fund Research'!$B$6:$B$505,MATCH(2,'Fund Research'!$U$6:$U$505,0))="","",2),"")</f>
        <v/>
      </c>
      <c r="B7" s="35">
        <f>IFERROR(INDEX('Fund Research'!$A$6:$A$505,MATCH(2,'Fund Research'!$U$6:$U$505,0)),"")</f>
        <v/>
      </c>
      <c r="C7" s="35">
        <f>IFERROR(INDEX('Fund Research'!$B$6:$B$505,MATCH(2,'Fund Research'!$U$6:$U$505,0)),"")</f>
        <v/>
      </c>
      <c r="D7" s="35">
        <f>IFERROR(INDEX('Fund Research'!$C$6:$C$505,MATCH(2,'Fund Research'!$U$6:$U$505,0)),"")</f>
        <v/>
      </c>
      <c r="E7" s="36">
        <f>IFERROR(INDEX('Fund Research'!$G$6:$G$505,MATCH(2,'Fund Research'!$U$6:$U$505,0)),"")</f>
        <v/>
      </c>
      <c r="F7" s="36">
        <f>IFERROR(INDEX('Fund Research'!$H$6:$H$505,MATCH(2,'Fund Research'!$U$6:$U$505,0)),"")</f>
        <v/>
      </c>
      <c r="G7" s="36">
        <f>IFERROR(INDEX('Fund Research'!$I$6:$I$505,MATCH(2,'Fund Research'!$U$6:$U$505,0)),"")</f>
        <v/>
      </c>
      <c r="H7" s="37">
        <f>IFERROR(INDEX('Fund Research'!$J$6:$J$505,MATCH(2,'Fund Research'!$U$6:$U$505,0)),"")</f>
        <v/>
      </c>
      <c r="I7" s="38">
        <f>IFERROR(INDEX('Fund Research'!$L$6:$L$505,MATCH(2,'Fund Research'!$U$6:$U$505,0)),"")</f>
        <v/>
      </c>
      <c r="J7" s="37">
        <f>IFERROR(INDEX('Fund Research'!$N$6:$N$505,MATCH(2,'Fund Research'!$U$6:$U$505,0)),"")</f>
        <v/>
      </c>
      <c r="K7" s="37">
        <f>IFERROR(INDEX('Fund Research'!$P$6:$P$505,MATCH(2,'Fund Research'!$U$6:$U$505,0)),"")</f>
        <v/>
      </c>
      <c r="L7" s="35">
        <f>IFERROR(INDEX('Fund Research'!$S$6:$S$505,MATCH(2,'Fund Research'!$U$6:$U$505,0)),"")</f>
        <v/>
      </c>
      <c r="M7" s="35">
        <f>IFERROR(INDEX('Fund Research'!$T$6:$T$505,MATCH(2,'Fund Research'!$U$6:$U$505,0)),"")</f>
        <v/>
      </c>
    </row>
    <row r="8" ht="15" customHeight="1">
      <c r="A8" s="34">
        <f>IFERROR(IF(INDEX('Fund Research'!$B$6:$B$505,MATCH(3,'Fund Research'!$U$6:$U$505,0))="","",3),"")</f>
        <v/>
      </c>
      <c r="B8" s="35">
        <f>IFERROR(INDEX('Fund Research'!$A$6:$A$505,MATCH(3,'Fund Research'!$U$6:$U$505,0)),"")</f>
        <v/>
      </c>
      <c r="C8" s="35">
        <f>IFERROR(INDEX('Fund Research'!$B$6:$B$505,MATCH(3,'Fund Research'!$U$6:$U$505,0)),"")</f>
        <v/>
      </c>
      <c r="D8" s="35">
        <f>IFERROR(INDEX('Fund Research'!$C$6:$C$505,MATCH(3,'Fund Research'!$U$6:$U$505,0)),"")</f>
        <v/>
      </c>
      <c r="E8" s="36">
        <f>IFERROR(INDEX('Fund Research'!$G$6:$G$505,MATCH(3,'Fund Research'!$U$6:$U$505,0)),"")</f>
        <v/>
      </c>
      <c r="F8" s="36">
        <f>IFERROR(INDEX('Fund Research'!$H$6:$H$505,MATCH(3,'Fund Research'!$U$6:$U$505,0)),"")</f>
        <v/>
      </c>
      <c r="G8" s="36">
        <f>IFERROR(INDEX('Fund Research'!$I$6:$I$505,MATCH(3,'Fund Research'!$U$6:$U$505,0)),"")</f>
        <v/>
      </c>
      <c r="H8" s="37">
        <f>IFERROR(INDEX('Fund Research'!$J$6:$J$505,MATCH(3,'Fund Research'!$U$6:$U$505,0)),"")</f>
        <v/>
      </c>
      <c r="I8" s="38">
        <f>IFERROR(INDEX('Fund Research'!$L$6:$L$505,MATCH(3,'Fund Research'!$U$6:$U$505,0)),"")</f>
        <v/>
      </c>
      <c r="J8" s="37">
        <f>IFERROR(INDEX('Fund Research'!$N$6:$N$505,MATCH(3,'Fund Research'!$U$6:$U$505,0)),"")</f>
        <v/>
      </c>
      <c r="K8" s="37">
        <f>IFERROR(INDEX('Fund Research'!$P$6:$P$505,MATCH(3,'Fund Research'!$U$6:$U$505,0)),"")</f>
        <v/>
      </c>
      <c r="L8" s="35">
        <f>IFERROR(INDEX('Fund Research'!$S$6:$S$505,MATCH(3,'Fund Research'!$U$6:$U$505,0)),"")</f>
        <v/>
      </c>
      <c r="M8" s="35">
        <f>IFERROR(INDEX('Fund Research'!$T$6:$T$505,MATCH(3,'Fund Research'!$U$6:$U$505,0)),"")</f>
        <v/>
      </c>
    </row>
    <row r="9" ht="15" customHeight="1">
      <c r="A9" s="34">
        <f>IFERROR(IF(INDEX('Fund Research'!$B$6:$B$505,MATCH(4,'Fund Research'!$U$6:$U$505,0))="","",4),"")</f>
        <v/>
      </c>
      <c r="B9" s="35">
        <f>IFERROR(INDEX('Fund Research'!$A$6:$A$505,MATCH(4,'Fund Research'!$U$6:$U$505,0)),"")</f>
        <v/>
      </c>
      <c r="C9" s="35">
        <f>IFERROR(INDEX('Fund Research'!$B$6:$B$505,MATCH(4,'Fund Research'!$U$6:$U$505,0)),"")</f>
        <v/>
      </c>
      <c r="D9" s="35">
        <f>IFERROR(INDEX('Fund Research'!$C$6:$C$505,MATCH(4,'Fund Research'!$U$6:$U$505,0)),"")</f>
        <v/>
      </c>
      <c r="E9" s="36">
        <f>IFERROR(INDEX('Fund Research'!$G$6:$G$505,MATCH(4,'Fund Research'!$U$6:$U$505,0)),"")</f>
        <v/>
      </c>
      <c r="F9" s="36">
        <f>IFERROR(INDEX('Fund Research'!$H$6:$H$505,MATCH(4,'Fund Research'!$U$6:$U$505,0)),"")</f>
        <v/>
      </c>
      <c r="G9" s="36">
        <f>IFERROR(INDEX('Fund Research'!$I$6:$I$505,MATCH(4,'Fund Research'!$U$6:$U$505,0)),"")</f>
        <v/>
      </c>
      <c r="H9" s="37">
        <f>IFERROR(INDEX('Fund Research'!$J$6:$J$505,MATCH(4,'Fund Research'!$U$6:$U$505,0)),"")</f>
        <v/>
      </c>
      <c r="I9" s="38">
        <f>IFERROR(INDEX('Fund Research'!$L$6:$L$505,MATCH(4,'Fund Research'!$U$6:$U$505,0)),"")</f>
        <v/>
      </c>
      <c r="J9" s="37">
        <f>IFERROR(INDEX('Fund Research'!$N$6:$N$505,MATCH(4,'Fund Research'!$U$6:$U$505,0)),"")</f>
        <v/>
      </c>
      <c r="K9" s="37">
        <f>IFERROR(INDEX('Fund Research'!$P$6:$P$505,MATCH(4,'Fund Research'!$U$6:$U$505,0)),"")</f>
        <v/>
      </c>
      <c r="L9" s="35">
        <f>IFERROR(INDEX('Fund Research'!$S$6:$S$505,MATCH(4,'Fund Research'!$U$6:$U$505,0)),"")</f>
        <v/>
      </c>
      <c r="M9" s="35">
        <f>IFERROR(INDEX('Fund Research'!$T$6:$T$505,MATCH(4,'Fund Research'!$U$6:$U$505,0)),"")</f>
        <v/>
      </c>
    </row>
    <row r="10" ht="15" customHeight="1">
      <c r="A10" s="34">
        <f>IFERROR(IF(INDEX('Fund Research'!$B$6:$B$505,MATCH(5,'Fund Research'!$U$6:$U$505,0))="","",5),"")</f>
        <v/>
      </c>
      <c r="B10" s="35">
        <f>IFERROR(INDEX('Fund Research'!$A$6:$A$505,MATCH(5,'Fund Research'!$U$6:$U$505,0)),"")</f>
        <v/>
      </c>
      <c r="C10" s="35">
        <f>IFERROR(INDEX('Fund Research'!$B$6:$B$505,MATCH(5,'Fund Research'!$U$6:$U$505,0)),"")</f>
        <v/>
      </c>
      <c r="D10" s="35">
        <f>IFERROR(INDEX('Fund Research'!$C$6:$C$505,MATCH(5,'Fund Research'!$U$6:$U$505,0)),"")</f>
        <v/>
      </c>
      <c r="E10" s="36">
        <f>IFERROR(INDEX('Fund Research'!$G$6:$G$505,MATCH(5,'Fund Research'!$U$6:$U$505,0)),"")</f>
        <v/>
      </c>
      <c r="F10" s="36">
        <f>IFERROR(INDEX('Fund Research'!$H$6:$H$505,MATCH(5,'Fund Research'!$U$6:$U$505,0)),"")</f>
        <v/>
      </c>
      <c r="G10" s="36">
        <f>IFERROR(INDEX('Fund Research'!$I$6:$I$505,MATCH(5,'Fund Research'!$U$6:$U$505,0)),"")</f>
        <v/>
      </c>
      <c r="H10" s="37">
        <f>IFERROR(INDEX('Fund Research'!$J$6:$J$505,MATCH(5,'Fund Research'!$U$6:$U$505,0)),"")</f>
        <v/>
      </c>
      <c r="I10" s="38">
        <f>IFERROR(INDEX('Fund Research'!$L$6:$L$505,MATCH(5,'Fund Research'!$U$6:$U$505,0)),"")</f>
        <v/>
      </c>
      <c r="J10" s="37">
        <f>IFERROR(INDEX('Fund Research'!$N$6:$N$505,MATCH(5,'Fund Research'!$U$6:$U$505,0)),"")</f>
        <v/>
      </c>
      <c r="K10" s="37">
        <f>IFERROR(INDEX('Fund Research'!$P$6:$P$505,MATCH(5,'Fund Research'!$U$6:$U$505,0)),"")</f>
        <v/>
      </c>
      <c r="L10" s="35">
        <f>IFERROR(INDEX('Fund Research'!$S$6:$S$505,MATCH(5,'Fund Research'!$U$6:$U$505,0)),"")</f>
        <v/>
      </c>
      <c r="M10" s="35">
        <f>IFERROR(INDEX('Fund Research'!$T$6:$T$505,MATCH(5,'Fund Research'!$U$6:$U$505,0)),"")</f>
        <v/>
      </c>
    </row>
    <row r="11" ht="15" customHeight="1">
      <c r="A11" s="34">
        <f>IFERROR(IF(INDEX('Fund Research'!$B$6:$B$505,MATCH(6,'Fund Research'!$U$6:$U$505,0))="","",6),"")</f>
        <v/>
      </c>
      <c r="B11" s="35">
        <f>IFERROR(INDEX('Fund Research'!$A$6:$A$505,MATCH(6,'Fund Research'!$U$6:$U$505,0)),"")</f>
        <v/>
      </c>
      <c r="C11" s="35">
        <f>IFERROR(INDEX('Fund Research'!$B$6:$B$505,MATCH(6,'Fund Research'!$U$6:$U$505,0)),"")</f>
        <v/>
      </c>
      <c r="D11" s="35">
        <f>IFERROR(INDEX('Fund Research'!$C$6:$C$505,MATCH(6,'Fund Research'!$U$6:$U$505,0)),"")</f>
        <v/>
      </c>
      <c r="E11" s="36">
        <f>IFERROR(INDEX('Fund Research'!$G$6:$G$505,MATCH(6,'Fund Research'!$U$6:$U$505,0)),"")</f>
        <v/>
      </c>
      <c r="F11" s="36">
        <f>IFERROR(INDEX('Fund Research'!$H$6:$H$505,MATCH(6,'Fund Research'!$U$6:$U$505,0)),"")</f>
        <v/>
      </c>
      <c r="G11" s="36">
        <f>IFERROR(INDEX('Fund Research'!$I$6:$I$505,MATCH(6,'Fund Research'!$U$6:$U$505,0)),"")</f>
        <v/>
      </c>
      <c r="H11" s="37">
        <f>IFERROR(INDEX('Fund Research'!$J$6:$J$505,MATCH(6,'Fund Research'!$U$6:$U$505,0)),"")</f>
        <v/>
      </c>
      <c r="I11" s="38">
        <f>IFERROR(INDEX('Fund Research'!$L$6:$L$505,MATCH(6,'Fund Research'!$U$6:$U$505,0)),"")</f>
        <v/>
      </c>
      <c r="J11" s="37">
        <f>IFERROR(INDEX('Fund Research'!$N$6:$N$505,MATCH(6,'Fund Research'!$U$6:$U$505,0)),"")</f>
        <v/>
      </c>
      <c r="K11" s="37">
        <f>IFERROR(INDEX('Fund Research'!$P$6:$P$505,MATCH(6,'Fund Research'!$U$6:$U$505,0)),"")</f>
        <v/>
      </c>
      <c r="L11" s="35">
        <f>IFERROR(INDEX('Fund Research'!$S$6:$S$505,MATCH(6,'Fund Research'!$U$6:$U$505,0)),"")</f>
        <v/>
      </c>
      <c r="M11" s="35">
        <f>IFERROR(INDEX('Fund Research'!$T$6:$T$505,MATCH(6,'Fund Research'!$U$6:$U$505,0)),"")</f>
        <v/>
      </c>
    </row>
    <row r="12" ht="15" customHeight="1">
      <c r="A12" s="34">
        <f>IFERROR(IF(INDEX('Fund Research'!$B$6:$B$505,MATCH(7,'Fund Research'!$U$6:$U$505,0))="","",7),"")</f>
        <v/>
      </c>
      <c r="B12" s="35">
        <f>IFERROR(INDEX('Fund Research'!$A$6:$A$505,MATCH(7,'Fund Research'!$U$6:$U$505,0)),"")</f>
        <v/>
      </c>
      <c r="C12" s="35">
        <f>IFERROR(INDEX('Fund Research'!$B$6:$B$505,MATCH(7,'Fund Research'!$U$6:$U$505,0)),"")</f>
        <v/>
      </c>
      <c r="D12" s="35">
        <f>IFERROR(INDEX('Fund Research'!$C$6:$C$505,MATCH(7,'Fund Research'!$U$6:$U$505,0)),"")</f>
        <v/>
      </c>
      <c r="E12" s="36">
        <f>IFERROR(INDEX('Fund Research'!$G$6:$G$505,MATCH(7,'Fund Research'!$U$6:$U$505,0)),"")</f>
        <v/>
      </c>
      <c r="F12" s="36">
        <f>IFERROR(INDEX('Fund Research'!$H$6:$H$505,MATCH(7,'Fund Research'!$U$6:$U$505,0)),"")</f>
        <v/>
      </c>
      <c r="G12" s="36">
        <f>IFERROR(INDEX('Fund Research'!$I$6:$I$505,MATCH(7,'Fund Research'!$U$6:$U$505,0)),"")</f>
        <v/>
      </c>
      <c r="H12" s="37">
        <f>IFERROR(INDEX('Fund Research'!$J$6:$J$505,MATCH(7,'Fund Research'!$U$6:$U$505,0)),"")</f>
        <v/>
      </c>
      <c r="I12" s="38">
        <f>IFERROR(INDEX('Fund Research'!$L$6:$L$505,MATCH(7,'Fund Research'!$U$6:$U$505,0)),"")</f>
        <v/>
      </c>
      <c r="J12" s="37">
        <f>IFERROR(INDEX('Fund Research'!$N$6:$N$505,MATCH(7,'Fund Research'!$U$6:$U$505,0)),"")</f>
        <v/>
      </c>
      <c r="K12" s="37">
        <f>IFERROR(INDEX('Fund Research'!$P$6:$P$505,MATCH(7,'Fund Research'!$U$6:$U$505,0)),"")</f>
        <v/>
      </c>
      <c r="L12" s="35">
        <f>IFERROR(INDEX('Fund Research'!$S$6:$S$505,MATCH(7,'Fund Research'!$U$6:$U$505,0)),"")</f>
        <v/>
      </c>
      <c r="M12" s="35">
        <f>IFERROR(INDEX('Fund Research'!$T$6:$T$505,MATCH(7,'Fund Research'!$U$6:$U$505,0)),"")</f>
        <v/>
      </c>
    </row>
    <row r="13" ht="15" customHeight="1">
      <c r="A13" s="34">
        <f>IFERROR(IF(INDEX('Fund Research'!$B$6:$B$505,MATCH(8,'Fund Research'!$U$6:$U$505,0))="","",8),"")</f>
        <v/>
      </c>
      <c r="B13" s="35">
        <f>IFERROR(INDEX('Fund Research'!$A$6:$A$505,MATCH(8,'Fund Research'!$U$6:$U$505,0)),"")</f>
        <v/>
      </c>
      <c r="C13" s="35">
        <f>IFERROR(INDEX('Fund Research'!$B$6:$B$505,MATCH(8,'Fund Research'!$U$6:$U$505,0)),"")</f>
        <v/>
      </c>
      <c r="D13" s="35">
        <f>IFERROR(INDEX('Fund Research'!$C$6:$C$505,MATCH(8,'Fund Research'!$U$6:$U$505,0)),"")</f>
        <v/>
      </c>
      <c r="E13" s="36">
        <f>IFERROR(INDEX('Fund Research'!$G$6:$G$505,MATCH(8,'Fund Research'!$U$6:$U$505,0)),"")</f>
        <v/>
      </c>
      <c r="F13" s="36">
        <f>IFERROR(INDEX('Fund Research'!$H$6:$H$505,MATCH(8,'Fund Research'!$U$6:$U$505,0)),"")</f>
        <v/>
      </c>
      <c r="G13" s="36">
        <f>IFERROR(INDEX('Fund Research'!$I$6:$I$505,MATCH(8,'Fund Research'!$U$6:$U$505,0)),"")</f>
        <v/>
      </c>
      <c r="H13" s="37">
        <f>IFERROR(INDEX('Fund Research'!$J$6:$J$505,MATCH(8,'Fund Research'!$U$6:$U$505,0)),"")</f>
        <v/>
      </c>
      <c r="I13" s="38">
        <f>IFERROR(INDEX('Fund Research'!$L$6:$L$505,MATCH(8,'Fund Research'!$U$6:$U$505,0)),"")</f>
        <v/>
      </c>
      <c r="J13" s="37">
        <f>IFERROR(INDEX('Fund Research'!$N$6:$N$505,MATCH(8,'Fund Research'!$U$6:$U$505,0)),"")</f>
        <v/>
      </c>
      <c r="K13" s="37">
        <f>IFERROR(INDEX('Fund Research'!$P$6:$P$505,MATCH(8,'Fund Research'!$U$6:$U$505,0)),"")</f>
        <v/>
      </c>
      <c r="L13" s="35">
        <f>IFERROR(INDEX('Fund Research'!$S$6:$S$505,MATCH(8,'Fund Research'!$U$6:$U$505,0)),"")</f>
        <v/>
      </c>
      <c r="M13" s="35">
        <f>IFERROR(INDEX('Fund Research'!$T$6:$T$505,MATCH(8,'Fund Research'!$U$6:$U$505,0)),"")</f>
        <v/>
      </c>
    </row>
    <row r="14" ht="15" customHeight="1">
      <c r="A14" s="34">
        <f>IFERROR(IF(INDEX('Fund Research'!$B$6:$B$505,MATCH(9,'Fund Research'!$U$6:$U$505,0))="","",9),"")</f>
        <v/>
      </c>
      <c r="B14" s="35">
        <f>IFERROR(INDEX('Fund Research'!$A$6:$A$505,MATCH(9,'Fund Research'!$U$6:$U$505,0)),"")</f>
        <v/>
      </c>
      <c r="C14" s="35">
        <f>IFERROR(INDEX('Fund Research'!$B$6:$B$505,MATCH(9,'Fund Research'!$U$6:$U$505,0)),"")</f>
        <v/>
      </c>
      <c r="D14" s="35">
        <f>IFERROR(INDEX('Fund Research'!$C$6:$C$505,MATCH(9,'Fund Research'!$U$6:$U$505,0)),"")</f>
        <v/>
      </c>
      <c r="E14" s="36">
        <f>IFERROR(INDEX('Fund Research'!$G$6:$G$505,MATCH(9,'Fund Research'!$U$6:$U$505,0)),"")</f>
        <v/>
      </c>
      <c r="F14" s="36">
        <f>IFERROR(INDEX('Fund Research'!$H$6:$H$505,MATCH(9,'Fund Research'!$U$6:$U$505,0)),"")</f>
        <v/>
      </c>
      <c r="G14" s="36">
        <f>IFERROR(INDEX('Fund Research'!$I$6:$I$505,MATCH(9,'Fund Research'!$U$6:$U$505,0)),"")</f>
        <v/>
      </c>
      <c r="H14" s="37">
        <f>IFERROR(INDEX('Fund Research'!$J$6:$J$505,MATCH(9,'Fund Research'!$U$6:$U$505,0)),"")</f>
        <v/>
      </c>
      <c r="I14" s="38">
        <f>IFERROR(INDEX('Fund Research'!$L$6:$L$505,MATCH(9,'Fund Research'!$U$6:$U$505,0)),"")</f>
        <v/>
      </c>
      <c r="J14" s="37">
        <f>IFERROR(INDEX('Fund Research'!$N$6:$N$505,MATCH(9,'Fund Research'!$U$6:$U$505,0)),"")</f>
        <v/>
      </c>
      <c r="K14" s="37">
        <f>IFERROR(INDEX('Fund Research'!$P$6:$P$505,MATCH(9,'Fund Research'!$U$6:$U$505,0)),"")</f>
        <v/>
      </c>
      <c r="L14" s="35">
        <f>IFERROR(INDEX('Fund Research'!$S$6:$S$505,MATCH(9,'Fund Research'!$U$6:$U$505,0)),"")</f>
        <v/>
      </c>
      <c r="M14" s="35">
        <f>IFERROR(INDEX('Fund Research'!$T$6:$T$505,MATCH(9,'Fund Research'!$U$6:$U$505,0)),"")</f>
        <v/>
      </c>
    </row>
    <row r="15" ht="15" customHeight="1">
      <c r="A15" s="34">
        <f>IFERROR(IF(INDEX('Fund Research'!$B$6:$B$505,MATCH(10,'Fund Research'!$U$6:$U$505,0))="","",10),"")</f>
        <v/>
      </c>
      <c r="B15" s="35">
        <f>IFERROR(INDEX('Fund Research'!$A$6:$A$505,MATCH(10,'Fund Research'!$U$6:$U$505,0)),"")</f>
        <v/>
      </c>
      <c r="C15" s="35">
        <f>IFERROR(INDEX('Fund Research'!$B$6:$B$505,MATCH(10,'Fund Research'!$U$6:$U$505,0)),"")</f>
        <v/>
      </c>
      <c r="D15" s="35">
        <f>IFERROR(INDEX('Fund Research'!$C$6:$C$505,MATCH(10,'Fund Research'!$U$6:$U$505,0)),"")</f>
        <v/>
      </c>
      <c r="E15" s="36">
        <f>IFERROR(INDEX('Fund Research'!$G$6:$G$505,MATCH(10,'Fund Research'!$U$6:$U$505,0)),"")</f>
        <v/>
      </c>
      <c r="F15" s="36">
        <f>IFERROR(INDEX('Fund Research'!$H$6:$H$505,MATCH(10,'Fund Research'!$U$6:$U$505,0)),"")</f>
        <v/>
      </c>
      <c r="G15" s="36">
        <f>IFERROR(INDEX('Fund Research'!$I$6:$I$505,MATCH(10,'Fund Research'!$U$6:$U$505,0)),"")</f>
        <v/>
      </c>
      <c r="H15" s="37">
        <f>IFERROR(INDEX('Fund Research'!$J$6:$J$505,MATCH(10,'Fund Research'!$U$6:$U$505,0)),"")</f>
        <v/>
      </c>
      <c r="I15" s="38">
        <f>IFERROR(INDEX('Fund Research'!$L$6:$L$505,MATCH(10,'Fund Research'!$U$6:$U$505,0)),"")</f>
        <v/>
      </c>
      <c r="J15" s="37">
        <f>IFERROR(INDEX('Fund Research'!$N$6:$N$505,MATCH(10,'Fund Research'!$U$6:$U$505,0)),"")</f>
        <v/>
      </c>
      <c r="K15" s="37">
        <f>IFERROR(INDEX('Fund Research'!$P$6:$P$505,MATCH(10,'Fund Research'!$U$6:$U$505,0)),"")</f>
        <v/>
      </c>
      <c r="L15" s="35">
        <f>IFERROR(INDEX('Fund Research'!$S$6:$S$505,MATCH(10,'Fund Research'!$U$6:$U$505,0)),"")</f>
        <v/>
      </c>
      <c r="M15" s="35">
        <f>IFERROR(INDEX('Fund Research'!$T$6:$T$505,MATCH(10,'Fund Research'!$U$6:$U$505,0)),"")</f>
        <v/>
      </c>
    </row>
    <row r="16" ht="15" customHeight="1">
      <c r="A16" s="34">
        <f>IFERROR(IF(INDEX('Fund Research'!$B$6:$B$505,MATCH(11,'Fund Research'!$U$6:$U$505,0))="","",11),"")</f>
        <v/>
      </c>
      <c r="B16" s="35">
        <f>IFERROR(INDEX('Fund Research'!$A$6:$A$505,MATCH(11,'Fund Research'!$U$6:$U$505,0)),"")</f>
        <v/>
      </c>
      <c r="C16" s="35">
        <f>IFERROR(INDEX('Fund Research'!$B$6:$B$505,MATCH(11,'Fund Research'!$U$6:$U$505,0)),"")</f>
        <v/>
      </c>
      <c r="D16" s="35">
        <f>IFERROR(INDEX('Fund Research'!$C$6:$C$505,MATCH(11,'Fund Research'!$U$6:$U$505,0)),"")</f>
        <v/>
      </c>
      <c r="E16" s="36">
        <f>IFERROR(INDEX('Fund Research'!$G$6:$G$505,MATCH(11,'Fund Research'!$U$6:$U$505,0)),"")</f>
        <v/>
      </c>
      <c r="F16" s="36">
        <f>IFERROR(INDEX('Fund Research'!$H$6:$H$505,MATCH(11,'Fund Research'!$U$6:$U$505,0)),"")</f>
        <v/>
      </c>
      <c r="G16" s="36">
        <f>IFERROR(INDEX('Fund Research'!$I$6:$I$505,MATCH(11,'Fund Research'!$U$6:$U$505,0)),"")</f>
        <v/>
      </c>
      <c r="H16" s="37">
        <f>IFERROR(INDEX('Fund Research'!$J$6:$J$505,MATCH(11,'Fund Research'!$U$6:$U$505,0)),"")</f>
        <v/>
      </c>
      <c r="I16" s="38">
        <f>IFERROR(INDEX('Fund Research'!$L$6:$L$505,MATCH(11,'Fund Research'!$U$6:$U$505,0)),"")</f>
        <v/>
      </c>
      <c r="J16" s="37">
        <f>IFERROR(INDEX('Fund Research'!$N$6:$N$505,MATCH(11,'Fund Research'!$U$6:$U$505,0)),"")</f>
        <v/>
      </c>
      <c r="K16" s="37">
        <f>IFERROR(INDEX('Fund Research'!$P$6:$P$505,MATCH(11,'Fund Research'!$U$6:$U$505,0)),"")</f>
        <v/>
      </c>
      <c r="L16" s="35">
        <f>IFERROR(INDEX('Fund Research'!$S$6:$S$505,MATCH(11,'Fund Research'!$U$6:$U$505,0)),"")</f>
        <v/>
      </c>
      <c r="M16" s="35">
        <f>IFERROR(INDEX('Fund Research'!$T$6:$T$505,MATCH(11,'Fund Research'!$U$6:$U$505,0)),"")</f>
        <v/>
      </c>
    </row>
    <row r="17" ht="15" customHeight="1">
      <c r="A17" s="34">
        <f>IFERROR(IF(INDEX('Fund Research'!$B$6:$B$505,MATCH(12,'Fund Research'!$U$6:$U$505,0))="","",12),"")</f>
        <v/>
      </c>
      <c r="B17" s="35">
        <f>IFERROR(INDEX('Fund Research'!$A$6:$A$505,MATCH(12,'Fund Research'!$U$6:$U$505,0)),"")</f>
        <v/>
      </c>
      <c r="C17" s="35">
        <f>IFERROR(INDEX('Fund Research'!$B$6:$B$505,MATCH(12,'Fund Research'!$U$6:$U$505,0)),"")</f>
        <v/>
      </c>
      <c r="D17" s="35">
        <f>IFERROR(INDEX('Fund Research'!$C$6:$C$505,MATCH(12,'Fund Research'!$U$6:$U$505,0)),"")</f>
        <v/>
      </c>
      <c r="E17" s="36">
        <f>IFERROR(INDEX('Fund Research'!$G$6:$G$505,MATCH(12,'Fund Research'!$U$6:$U$505,0)),"")</f>
        <v/>
      </c>
      <c r="F17" s="36">
        <f>IFERROR(INDEX('Fund Research'!$H$6:$H$505,MATCH(12,'Fund Research'!$U$6:$U$505,0)),"")</f>
        <v/>
      </c>
      <c r="G17" s="36">
        <f>IFERROR(INDEX('Fund Research'!$I$6:$I$505,MATCH(12,'Fund Research'!$U$6:$U$505,0)),"")</f>
        <v/>
      </c>
      <c r="H17" s="37">
        <f>IFERROR(INDEX('Fund Research'!$J$6:$J$505,MATCH(12,'Fund Research'!$U$6:$U$505,0)),"")</f>
        <v/>
      </c>
      <c r="I17" s="38">
        <f>IFERROR(INDEX('Fund Research'!$L$6:$L$505,MATCH(12,'Fund Research'!$U$6:$U$505,0)),"")</f>
        <v/>
      </c>
      <c r="J17" s="37">
        <f>IFERROR(INDEX('Fund Research'!$N$6:$N$505,MATCH(12,'Fund Research'!$U$6:$U$505,0)),"")</f>
        <v/>
      </c>
      <c r="K17" s="37">
        <f>IFERROR(INDEX('Fund Research'!$P$6:$P$505,MATCH(12,'Fund Research'!$U$6:$U$505,0)),"")</f>
        <v/>
      </c>
      <c r="L17" s="35">
        <f>IFERROR(INDEX('Fund Research'!$S$6:$S$505,MATCH(12,'Fund Research'!$U$6:$U$505,0)),"")</f>
        <v/>
      </c>
      <c r="M17" s="35">
        <f>IFERROR(INDEX('Fund Research'!$T$6:$T$505,MATCH(12,'Fund Research'!$U$6:$U$505,0)),"")</f>
        <v/>
      </c>
    </row>
    <row r="18" ht="15" customHeight="1">
      <c r="A18" s="34">
        <f>IFERROR(IF(INDEX('Fund Research'!$B$6:$B$505,MATCH(13,'Fund Research'!$U$6:$U$505,0))="","",13),"")</f>
        <v/>
      </c>
      <c r="B18" s="35">
        <f>IFERROR(INDEX('Fund Research'!$A$6:$A$505,MATCH(13,'Fund Research'!$U$6:$U$505,0)),"")</f>
        <v/>
      </c>
      <c r="C18" s="35">
        <f>IFERROR(INDEX('Fund Research'!$B$6:$B$505,MATCH(13,'Fund Research'!$U$6:$U$505,0)),"")</f>
        <v/>
      </c>
      <c r="D18" s="35">
        <f>IFERROR(INDEX('Fund Research'!$C$6:$C$505,MATCH(13,'Fund Research'!$U$6:$U$505,0)),"")</f>
        <v/>
      </c>
      <c r="E18" s="36">
        <f>IFERROR(INDEX('Fund Research'!$G$6:$G$505,MATCH(13,'Fund Research'!$U$6:$U$505,0)),"")</f>
        <v/>
      </c>
      <c r="F18" s="36">
        <f>IFERROR(INDEX('Fund Research'!$H$6:$H$505,MATCH(13,'Fund Research'!$U$6:$U$505,0)),"")</f>
        <v/>
      </c>
      <c r="G18" s="36">
        <f>IFERROR(INDEX('Fund Research'!$I$6:$I$505,MATCH(13,'Fund Research'!$U$6:$U$505,0)),"")</f>
        <v/>
      </c>
      <c r="H18" s="37">
        <f>IFERROR(INDEX('Fund Research'!$J$6:$J$505,MATCH(13,'Fund Research'!$U$6:$U$505,0)),"")</f>
        <v/>
      </c>
      <c r="I18" s="38">
        <f>IFERROR(INDEX('Fund Research'!$L$6:$L$505,MATCH(13,'Fund Research'!$U$6:$U$505,0)),"")</f>
        <v/>
      </c>
      <c r="J18" s="37">
        <f>IFERROR(INDEX('Fund Research'!$N$6:$N$505,MATCH(13,'Fund Research'!$U$6:$U$505,0)),"")</f>
        <v/>
      </c>
      <c r="K18" s="37">
        <f>IFERROR(INDEX('Fund Research'!$P$6:$P$505,MATCH(13,'Fund Research'!$U$6:$U$505,0)),"")</f>
        <v/>
      </c>
      <c r="L18" s="35">
        <f>IFERROR(INDEX('Fund Research'!$S$6:$S$505,MATCH(13,'Fund Research'!$U$6:$U$505,0)),"")</f>
        <v/>
      </c>
      <c r="M18" s="35">
        <f>IFERROR(INDEX('Fund Research'!$T$6:$T$505,MATCH(13,'Fund Research'!$U$6:$U$505,0)),"")</f>
        <v/>
      </c>
    </row>
    <row r="19" ht="15" customHeight="1">
      <c r="A19" s="34">
        <f>IFERROR(IF(INDEX('Fund Research'!$B$6:$B$505,MATCH(14,'Fund Research'!$U$6:$U$505,0))="","",14),"")</f>
        <v/>
      </c>
      <c r="B19" s="35">
        <f>IFERROR(INDEX('Fund Research'!$A$6:$A$505,MATCH(14,'Fund Research'!$U$6:$U$505,0)),"")</f>
        <v/>
      </c>
      <c r="C19" s="35">
        <f>IFERROR(INDEX('Fund Research'!$B$6:$B$505,MATCH(14,'Fund Research'!$U$6:$U$505,0)),"")</f>
        <v/>
      </c>
      <c r="D19" s="35">
        <f>IFERROR(INDEX('Fund Research'!$C$6:$C$505,MATCH(14,'Fund Research'!$U$6:$U$505,0)),"")</f>
        <v/>
      </c>
      <c r="E19" s="36">
        <f>IFERROR(INDEX('Fund Research'!$G$6:$G$505,MATCH(14,'Fund Research'!$U$6:$U$505,0)),"")</f>
        <v/>
      </c>
      <c r="F19" s="36">
        <f>IFERROR(INDEX('Fund Research'!$H$6:$H$505,MATCH(14,'Fund Research'!$U$6:$U$505,0)),"")</f>
        <v/>
      </c>
      <c r="G19" s="36">
        <f>IFERROR(INDEX('Fund Research'!$I$6:$I$505,MATCH(14,'Fund Research'!$U$6:$U$505,0)),"")</f>
        <v/>
      </c>
      <c r="H19" s="37">
        <f>IFERROR(INDEX('Fund Research'!$J$6:$J$505,MATCH(14,'Fund Research'!$U$6:$U$505,0)),"")</f>
        <v/>
      </c>
      <c r="I19" s="38">
        <f>IFERROR(INDEX('Fund Research'!$L$6:$L$505,MATCH(14,'Fund Research'!$U$6:$U$505,0)),"")</f>
        <v/>
      </c>
      <c r="J19" s="37">
        <f>IFERROR(INDEX('Fund Research'!$N$6:$N$505,MATCH(14,'Fund Research'!$U$6:$U$505,0)),"")</f>
        <v/>
      </c>
      <c r="K19" s="37">
        <f>IFERROR(INDEX('Fund Research'!$P$6:$P$505,MATCH(14,'Fund Research'!$U$6:$U$505,0)),"")</f>
        <v/>
      </c>
      <c r="L19" s="35">
        <f>IFERROR(INDEX('Fund Research'!$S$6:$S$505,MATCH(14,'Fund Research'!$U$6:$U$505,0)),"")</f>
        <v/>
      </c>
      <c r="M19" s="35">
        <f>IFERROR(INDEX('Fund Research'!$T$6:$T$505,MATCH(14,'Fund Research'!$U$6:$U$505,0)),"")</f>
        <v/>
      </c>
    </row>
    <row r="20" ht="15" customHeight="1">
      <c r="A20" s="34">
        <f>IFERROR(IF(INDEX('Fund Research'!$B$6:$B$505,MATCH(15,'Fund Research'!$U$6:$U$505,0))="","",15),"")</f>
        <v/>
      </c>
      <c r="B20" s="35">
        <f>IFERROR(INDEX('Fund Research'!$A$6:$A$505,MATCH(15,'Fund Research'!$U$6:$U$505,0)),"")</f>
        <v/>
      </c>
      <c r="C20" s="35">
        <f>IFERROR(INDEX('Fund Research'!$B$6:$B$505,MATCH(15,'Fund Research'!$U$6:$U$505,0)),"")</f>
        <v/>
      </c>
      <c r="D20" s="35">
        <f>IFERROR(INDEX('Fund Research'!$C$6:$C$505,MATCH(15,'Fund Research'!$U$6:$U$505,0)),"")</f>
        <v/>
      </c>
      <c r="E20" s="36">
        <f>IFERROR(INDEX('Fund Research'!$G$6:$G$505,MATCH(15,'Fund Research'!$U$6:$U$505,0)),"")</f>
        <v/>
      </c>
      <c r="F20" s="36">
        <f>IFERROR(INDEX('Fund Research'!$H$6:$H$505,MATCH(15,'Fund Research'!$U$6:$U$505,0)),"")</f>
        <v/>
      </c>
      <c r="G20" s="36">
        <f>IFERROR(INDEX('Fund Research'!$I$6:$I$505,MATCH(15,'Fund Research'!$U$6:$U$505,0)),"")</f>
        <v/>
      </c>
      <c r="H20" s="37">
        <f>IFERROR(INDEX('Fund Research'!$J$6:$J$505,MATCH(15,'Fund Research'!$U$6:$U$505,0)),"")</f>
        <v/>
      </c>
      <c r="I20" s="38">
        <f>IFERROR(INDEX('Fund Research'!$L$6:$L$505,MATCH(15,'Fund Research'!$U$6:$U$505,0)),"")</f>
        <v/>
      </c>
      <c r="J20" s="37">
        <f>IFERROR(INDEX('Fund Research'!$N$6:$N$505,MATCH(15,'Fund Research'!$U$6:$U$505,0)),"")</f>
        <v/>
      </c>
      <c r="K20" s="37">
        <f>IFERROR(INDEX('Fund Research'!$P$6:$P$505,MATCH(15,'Fund Research'!$U$6:$U$505,0)),"")</f>
        <v/>
      </c>
      <c r="L20" s="35">
        <f>IFERROR(INDEX('Fund Research'!$S$6:$S$505,MATCH(15,'Fund Research'!$U$6:$U$505,0)),"")</f>
        <v/>
      </c>
      <c r="M20" s="35">
        <f>IFERROR(INDEX('Fund Research'!$T$6:$T$505,MATCH(15,'Fund Research'!$U$6:$U$505,0)),"")</f>
        <v/>
      </c>
    </row>
    <row r="21" ht="15" customHeight="1">
      <c r="A21" s="34">
        <f>IFERROR(IF(INDEX('Fund Research'!$B$6:$B$505,MATCH(16,'Fund Research'!$U$6:$U$505,0))="","",16),"")</f>
        <v/>
      </c>
      <c r="B21" s="35">
        <f>IFERROR(INDEX('Fund Research'!$A$6:$A$505,MATCH(16,'Fund Research'!$U$6:$U$505,0)),"")</f>
        <v/>
      </c>
      <c r="C21" s="35">
        <f>IFERROR(INDEX('Fund Research'!$B$6:$B$505,MATCH(16,'Fund Research'!$U$6:$U$505,0)),"")</f>
        <v/>
      </c>
      <c r="D21" s="35">
        <f>IFERROR(INDEX('Fund Research'!$C$6:$C$505,MATCH(16,'Fund Research'!$U$6:$U$505,0)),"")</f>
        <v/>
      </c>
      <c r="E21" s="36">
        <f>IFERROR(INDEX('Fund Research'!$G$6:$G$505,MATCH(16,'Fund Research'!$U$6:$U$505,0)),"")</f>
        <v/>
      </c>
      <c r="F21" s="36">
        <f>IFERROR(INDEX('Fund Research'!$H$6:$H$505,MATCH(16,'Fund Research'!$U$6:$U$505,0)),"")</f>
        <v/>
      </c>
      <c r="G21" s="36">
        <f>IFERROR(INDEX('Fund Research'!$I$6:$I$505,MATCH(16,'Fund Research'!$U$6:$U$505,0)),"")</f>
        <v/>
      </c>
      <c r="H21" s="37">
        <f>IFERROR(INDEX('Fund Research'!$J$6:$J$505,MATCH(16,'Fund Research'!$U$6:$U$505,0)),"")</f>
        <v/>
      </c>
      <c r="I21" s="38">
        <f>IFERROR(INDEX('Fund Research'!$L$6:$L$505,MATCH(16,'Fund Research'!$U$6:$U$505,0)),"")</f>
        <v/>
      </c>
      <c r="J21" s="37">
        <f>IFERROR(INDEX('Fund Research'!$N$6:$N$505,MATCH(16,'Fund Research'!$U$6:$U$505,0)),"")</f>
        <v/>
      </c>
      <c r="K21" s="37">
        <f>IFERROR(INDEX('Fund Research'!$P$6:$P$505,MATCH(16,'Fund Research'!$U$6:$U$505,0)),"")</f>
        <v/>
      </c>
      <c r="L21" s="35">
        <f>IFERROR(INDEX('Fund Research'!$S$6:$S$505,MATCH(16,'Fund Research'!$U$6:$U$505,0)),"")</f>
        <v/>
      </c>
      <c r="M21" s="35">
        <f>IFERROR(INDEX('Fund Research'!$T$6:$T$505,MATCH(16,'Fund Research'!$U$6:$U$505,0)),"")</f>
        <v/>
      </c>
    </row>
    <row r="22" ht="15" customHeight="1">
      <c r="A22" s="34">
        <f>IFERROR(IF(INDEX('Fund Research'!$B$6:$B$505,MATCH(17,'Fund Research'!$U$6:$U$505,0))="","",17),"")</f>
        <v/>
      </c>
      <c r="B22" s="35">
        <f>IFERROR(INDEX('Fund Research'!$A$6:$A$505,MATCH(17,'Fund Research'!$U$6:$U$505,0)),"")</f>
        <v/>
      </c>
      <c r="C22" s="35">
        <f>IFERROR(INDEX('Fund Research'!$B$6:$B$505,MATCH(17,'Fund Research'!$U$6:$U$505,0)),"")</f>
        <v/>
      </c>
      <c r="D22" s="35">
        <f>IFERROR(INDEX('Fund Research'!$C$6:$C$505,MATCH(17,'Fund Research'!$U$6:$U$505,0)),"")</f>
        <v/>
      </c>
      <c r="E22" s="36">
        <f>IFERROR(INDEX('Fund Research'!$G$6:$G$505,MATCH(17,'Fund Research'!$U$6:$U$505,0)),"")</f>
        <v/>
      </c>
      <c r="F22" s="36">
        <f>IFERROR(INDEX('Fund Research'!$H$6:$H$505,MATCH(17,'Fund Research'!$U$6:$U$505,0)),"")</f>
        <v/>
      </c>
      <c r="G22" s="36">
        <f>IFERROR(INDEX('Fund Research'!$I$6:$I$505,MATCH(17,'Fund Research'!$U$6:$U$505,0)),"")</f>
        <v/>
      </c>
      <c r="H22" s="37">
        <f>IFERROR(INDEX('Fund Research'!$J$6:$J$505,MATCH(17,'Fund Research'!$U$6:$U$505,0)),"")</f>
        <v/>
      </c>
      <c r="I22" s="38">
        <f>IFERROR(INDEX('Fund Research'!$L$6:$L$505,MATCH(17,'Fund Research'!$U$6:$U$505,0)),"")</f>
        <v/>
      </c>
      <c r="J22" s="37">
        <f>IFERROR(INDEX('Fund Research'!$N$6:$N$505,MATCH(17,'Fund Research'!$U$6:$U$505,0)),"")</f>
        <v/>
      </c>
      <c r="K22" s="37">
        <f>IFERROR(INDEX('Fund Research'!$P$6:$P$505,MATCH(17,'Fund Research'!$U$6:$U$505,0)),"")</f>
        <v/>
      </c>
      <c r="L22" s="35">
        <f>IFERROR(INDEX('Fund Research'!$S$6:$S$505,MATCH(17,'Fund Research'!$U$6:$U$505,0)),"")</f>
        <v/>
      </c>
      <c r="M22" s="35">
        <f>IFERROR(INDEX('Fund Research'!$T$6:$T$505,MATCH(17,'Fund Research'!$U$6:$U$505,0)),"")</f>
        <v/>
      </c>
    </row>
    <row r="23" ht="15" customHeight="1">
      <c r="A23" s="34">
        <f>IFERROR(IF(INDEX('Fund Research'!$B$6:$B$505,MATCH(18,'Fund Research'!$U$6:$U$505,0))="","",18),"")</f>
        <v/>
      </c>
      <c r="B23" s="35">
        <f>IFERROR(INDEX('Fund Research'!$A$6:$A$505,MATCH(18,'Fund Research'!$U$6:$U$505,0)),"")</f>
        <v/>
      </c>
      <c r="C23" s="35">
        <f>IFERROR(INDEX('Fund Research'!$B$6:$B$505,MATCH(18,'Fund Research'!$U$6:$U$505,0)),"")</f>
        <v/>
      </c>
      <c r="D23" s="35">
        <f>IFERROR(INDEX('Fund Research'!$C$6:$C$505,MATCH(18,'Fund Research'!$U$6:$U$505,0)),"")</f>
        <v/>
      </c>
      <c r="E23" s="36">
        <f>IFERROR(INDEX('Fund Research'!$G$6:$G$505,MATCH(18,'Fund Research'!$U$6:$U$505,0)),"")</f>
        <v/>
      </c>
      <c r="F23" s="36">
        <f>IFERROR(INDEX('Fund Research'!$H$6:$H$505,MATCH(18,'Fund Research'!$U$6:$U$505,0)),"")</f>
        <v/>
      </c>
      <c r="G23" s="36">
        <f>IFERROR(INDEX('Fund Research'!$I$6:$I$505,MATCH(18,'Fund Research'!$U$6:$U$505,0)),"")</f>
        <v/>
      </c>
      <c r="H23" s="37">
        <f>IFERROR(INDEX('Fund Research'!$J$6:$J$505,MATCH(18,'Fund Research'!$U$6:$U$505,0)),"")</f>
        <v/>
      </c>
      <c r="I23" s="38">
        <f>IFERROR(INDEX('Fund Research'!$L$6:$L$505,MATCH(18,'Fund Research'!$U$6:$U$505,0)),"")</f>
        <v/>
      </c>
      <c r="J23" s="37">
        <f>IFERROR(INDEX('Fund Research'!$N$6:$N$505,MATCH(18,'Fund Research'!$U$6:$U$505,0)),"")</f>
        <v/>
      </c>
      <c r="K23" s="37">
        <f>IFERROR(INDEX('Fund Research'!$P$6:$P$505,MATCH(18,'Fund Research'!$U$6:$U$505,0)),"")</f>
        <v/>
      </c>
      <c r="L23" s="35">
        <f>IFERROR(INDEX('Fund Research'!$S$6:$S$505,MATCH(18,'Fund Research'!$U$6:$U$505,0)),"")</f>
        <v/>
      </c>
      <c r="M23" s="35">
        <f>IFERROR(INDEX('Fund Research'!$T$6:$T$505,MATCH(18,'Fund Research'!$U$6:$U$505,0)),"")</f>
        <v/>
      </c>
    </row>
    <row r="24" ht="15" customHeight="1">
      <c r="A24" s="34">
        <f>IFERROR(IF(INDEX('Fund Research'!$B$6:$B$505,MATCH(19,'Fund Research'!$U$6:$U$505,0))="","",19),"")</f>
        <v/>
      </c>
      <c r="B24" s="35">
        <f>IFERROR(INDEX('Fund Research'!$A$6:$A$505,MATCH(19,'Fund Research'!$U$6:$U$505,0)),"")</f>
        <v/>
      </c>
      <c r="C24" s="35">
        <f>IFERROR(INDEX('Fund Research'!$B$6:$B$505,MATCH(19,'Fund Research'!$U$6:$U$505,0)),"")</f>
        <v/>
      </c>
      <c r="D24" s="35">
        <f>IFERROR(INDEX('Fund Research'!$C$6:$C$505,MATCH(19,'Fund Research'!$U$6:$U$505,0)),"")</f>
        <v/>
      </c>
      <c r="E24" s="36">
        <f>IFERROR(INDEX('Fund Research'!$G$6:$G$505,MATCH(19,'Fund Research'!$U$6:$U$505,0)),"")</f>
        <v/>
      </c>
      <c r="F24" s="36">
        <f>IFERROR(INDEX('Fund Research'!$H$6:$H$505,MATCH(19,'Fund Research'!$U$6:$U$505,0)),"")</f>
        <v/>
      </c>
      <c r="G24" s="36">
        <f>IFERROR(INDEX('Fund Research'!$I$6:$I$505,MATCH(19,'Fund Research'!$U$6:$U$505,0)),"")</f>
        <v/>
      </c>
      <c r="H24" s="37">
        <f>IFERROR(INDEX('Fund Research'!$J$6:$J$505,MATCH(19,'Fund Research'!$U$6:$U$505,0)),"")</f>
        <v/>
      </c>
      <c r="I24" s="38">
        <f>IFERROR(INDEX('Fund Research'!$L$6:$L$505,MATCH(19,'Fund Research'!$U$6:$U$505,0)),"")</f>
        <v/>
      </c>
      <c r="J24" s="37">
        <f>IFERROR(INDEX('Fund Research'!$N$6:$N$505,MATCH(19,'Fund Research'!$U$6:$U$505,0)),"")</f>
        <v/>
      </c>
      <c r="K24" s="37">
        <f>IFERROR(INDEX('Fund Research'!$P$6:$P$505,MATCH(19,'Fund Research'!$U$6:$U$505,0)),"")</f>
        <v/>
      </c>
      <c r="L24" s="35">
        <f>IFERROR(INDEX('Fund Research'!$S$6:$S$505,MATCH(19,'Fund Research'!$U$6:$U$505,0)),"")</f>
        <v/>
      </c>
      <c r="M24" s="35">
        <f>IFERROR(INDEX('Fund Research'!$T$6:$T$505,MATCH(19,'Fund Research'!$U$6:$U$505,0)),"")</f>
        <v/>
      </c>
    </row>
    <row r="25" ht="15" customHeight="1">
      <c r="A25" s="34">
        <f>IFERROR(IF(INDEX('Fund Research'!$B$6:$B$505,MATCH(20,'Fund Research'!$U$6:$U$505,0))="","",20),"")</f>
        <v/>
      </c>
      <c r="B25" s="35">
        <f>IFERROR(INDEX('Fund Research'!$A$6:$A$505,MATCH(20,'Fund Research'!$U$6:$U$505,0)),"")</f>
        <v/>
      </c>
      <c r="C25" s="35">
        <f>IFERROR(INDEX('Fund Research'!$B$6:$B$505,MATCH(20,'Fund Research'!$U$6:$U$505,0)),"")</f>
        <v/>
      </c>
      <c r="D25" s="35">
        <f>IFERROR(INDEX('Fund Research'!$C$6:$C$505,MATCH(20,'Fund Research'!$U$6:$U$505,0)),"")</f>
        <v/>
      </c>
      <c r="E25" s="36">
        <f>IFERROR(INDEX('Fund Research'!$G$6:$G$505,MATCH(20,'Fund Research'!$U$6:$U$505,0)),"")</f>
        <v/>
      </c>
      <c r="F25" s="36">
        <f>IFERROR(INDEX('Fund Research'!$H$6:$H$505,MATCH(20,'Fund Research'!$U$6:$U$505,0)),"")</f>
        <v/>
      </c>
      <c r="G25" s="36">
        <f>IFERROR(INDEX('Fund Research'!$I$6:$I$505,MATCH(20,'Fund Research'!$U$6:$U$505,0)),"")</f>
        <v/>
      </c>
      <c r="H25" s="37">
        <f>IFERROR(INDEX('Fund Research'!$J$6:$J$505,MATCH(20,'Fund Research'!$U$6:$U$505,0)),"")</f>
        <v/>
      </c>
      <c r="I25" s="38">
        <f>IFERROR(INDEX('Fund Research'!$L$6:$L$505,MATCH(20,'Fund Research'!$U$6:$U$505,0)),"")</f>
        <v/>
      </c>
      <c r="J25" s="37">
        <f>IFERROR(INDEX('Fund Research'!$N$6:$N$505,MATCH(20,'Fund Research'!$U$6:$U$505,0)),"")</f>
        <v/>
      </c>
      <c r="K25" s="37">
        <f>IFERROR(INDEX('Fund Research'!$P$6:$P$505,MATCH(20,'Fund Research'!$U$6:$U$505,0)),"")</f>
        <v/>
      </c>
      <c r="L25" s="35">
        <f>IFERROR(INDEX('Fund Research'!$S$6:$S$505,MATCH(20,'Fund Research'!$U$6:$U$505,0)),"")</f>
        <v/>
      </c>
      <c r="M25" s="35">
        <f>IFERROR(INDEX('Fund Research'!$T$6:$T$505,MATCH(20,'Fund Research'!$U$6:$U$505,0)),"")</f>
        <v/>
      </c>
    </row>
    <row r="26" ht="15" customHeight="1">
      <c r="A26" s="34">
        <f>IFERROR(IF(INDEX('Fund Research'!$B$6:$B$505,MATCH(21,'Fund Research'!$U$6:$U$505,0))="","",21),"")</f>
        <v/>
      </c>
      <c r="B26" s="35">
        <f>IFERROR(INDEX('Fund Research'!$A$6:$A$505,MATCH(21,'Fund Research'!$U$6:$U$505,0)),"")</f>
        <v/>
      </c>
      <c r="C26" s="35">
        <f>IFERROR(INDEX('Fund Research'!$B$6:$B$505,MATCH(21,'Fund Research'!$U$6:$U$505,0)),"")</f>
        <v/>
      </c>
      <c r="D26" s="35">
        <f>IFERROR(INDEX('Fund Research'!$C$6:$C$505,MATCH(21,'Fund Research'!$U$6:$U$505,0)),"")</f>
        <v/>
      </c>
      <c r="E26" s="36">
        <f>IFERROR(INDEX('Fund Research'!$G$6:$G$505,MATCH(21,'Fund Research'!$U$6:$U$505,0)),"")</f>
        <v/>
      </c>
      <c r="F26" s="36">
        <f>IFERROR(INDEX('Fund Research'!$H$6:$H$505,MATCH(21,'Fund Research'!$U$6:$U$505,0)),"")</f>
        <v/>
      </c>
      <c r="G26" s="36">
        <f>IFERROR(INDEX('Fund Research'!$I$6:$I$505,MATCH(21,'Fund Research'!$U$6:$U$505,0)),"")</f>
        <v/>
      </c>
      <c r="H26" s="37">
        <f>IFERROR(INDEX('Fund Research'!$J$6:$J$505,MATCH(21,'Fund Research'!$U$6:$U$505,0)),"")</f>
        <v/>
      </c>
      <c r="I26" s="38">
        <f>IFERROR(INDEX('Fund Research'!$L$6:$L$505,MATCH(21,'Fund Research'!$U$6:$U$505,0)),"")</f>
        <v/>
      </c>
      <c r="J26" s="37">
        <f>IFERROR(INDEX('Fund Research'!$N$6:$N$505,MATCH(21,'Fund Research'!$U$6:$U$505,0)),"")</f>
        <v/>
      </c>
      <c r="K26" s="37">
        <f>IFERROR(INDEX('Fund Research'!$P$6:$P$505,MATCH(21,'Fund Research'!$U$6:$U$505,0)),"")</f>
        <v/>
      </c>
      <c r="L26" s="35">
        <f>IFERROR(INDEX('Fund Research'!$S$6:$S$505,MATCH(21,'Fund Research'!$U$6:$U$505,0)),"")</f>
        <v/>
      </c>
      <c r="M26" s="35">
        <f>IFERROR(INDEX('Fund Research'!$T$6:$T$505,MATCH(21,'Fund Research'!$U$6:$U$505,0)),"")</f>
        <v/>
      </c>
    </row>
    <row r="27" ht="15" customHeight="1">
      <c r="A27" s="34">
        <f>IFERROR(IF(INDEX('Fund Research'!$B$6:$B$505,MATCH(22,'Fund Research'!$U$6:$U$505,0))="","",22),"")</f>
        <v/>
      </c>
      <c r="B27" s="35">
        <f>IFERROR(INDEX('Fund Research'!$A$6:$A$505,MATCH(22,'Fund Research'!$U$6:$U$505,0)),"")</f>
        <v/>
      </c>
      <c r="C27" s="35">
        <f>IFERROR(INDEX('Fund Research'!$B$6:$B$505,MATCH(22,'Fund Research'!$U$6:$U$505,0)),"")</f>
        <v/>
      </c>
      <c r="D27" s="35">
        <f>IFERROR(INDEX('Fund Research'!$C$6:$C$505,MATCH(22,'Fund Research'!$U$6:$U$505,0)),"")</f>
        <v/>
      </c>
      <c r="E27" s="36">
        <f>IFERROR(INDEX('Fund Research'!$G$6:$G$505,MATCH(22,'Fund Research'!$U$6:$U$505,0)),"")</f>
        <v/>
      </c>
      <c r="F27" s="36">
        <f>IFERROR(INDEX('Fund Research'!$H$6:$H$505,MATCH(22,'Fund Research'!$U$6:$U$505,0)),"")</f>
        <v/>
      </c>
      <c r="G27" s="36">
        <f>IFERROR(INDEX('Fund Research'!$I$6:$I$505,MATCH(22,'Fund Research'!$U$6:$U$505,0)),"")</f>
        <v/>
      </c>
      <c r="H27" s="37">
        <f>IFERROR(INDEX('Fund Research'!$J$6:$J$505,MATCH(22,'Fund Research'!$U$6:$U$505,0)),"")</f>
        <v/>
      </c>
      <c r="I27" s="38">
        <f>IFERROR(INDEX('Fund Research'!$L$6:$L$505,MATCH(22,'Fund Research'!$U$6:$U$505,0)),"")</f>
        <v/>
      </c>
      <c r="J27" s="37">
        <f>IFERROR(INDEX('Fund Research'!$N$6:$N$505,MATCH(22,'Fund Research'!$U$6:$U$505,0)),"")</f>
        <v/>
      </c>
      <c r="K27" s="37">
        <f>IFERROR(INDEX('Fund Research'!$P$6:$P$505,MATCH(22,'Fund Research'!$U$6:$U$505,0)),"")</f>
        <v/>
      </c>
      <c r="L27" s="35">
        <f>IFERROR(INDEX('Fund Research'!$S$6:$S$505,MATCH(22,'Fund Research'!$U$6:$U$505,0)),"")</f>
        <v/>
      </c>
      <c r="M27" s="35">
        <f>IFERROR(INDEX('Fund Research'!$T$6:$T$505,MATCH(22,'Fund Research'!$U$6:$U$505,0)),"")</f>
        <v/>
      </c>
    </row>
    <row r="28" ht="15" customHeight="1">
      <c r="A28" s="34">
        <f>IFERROR(IF(INDEX('Fund Research'!$B$6:$B$505,MATCH(23,'Fund Research'!$U$6:$U$505,0))="","",23),"")</f>
        <v/>
      </c>
      <c r="B28" s="35">
        <f>IFERROR(INDEX('Fund Research'!$A$6:$A$505,MATCH(23,'Fund Research'!$U$6:$U$505,0)),"")</f>
        <v/>
      </c>
      <c r="C28" s="35">
        <f>IFERROR(INDEX('Fund Research'!$B$6:$B$505,MATCH(23,'Fund Research'!$U$6:$U$505,0)),"")</f>
        <v/>
      </c>
      <c r="D28" s="35">
        <f>IFERROR(INDEX('Fund Research'!$C$6:$C$505,MATCH(23,'Fund Research'!$U$6:$U$505,0)),"")</f>
        <v/>
      </c>
      <c r="E28" s="36">
        <f>IFERROR(INDEX('Fund Research'!$G$6:$G$505,MATCH(23,'Fund Research'!$U$6:$U$505,0)),"")</f>
        <v/>
      </c>
      <c r="F28" s="36">
        <f>IFERROR(INDEX('Fund Research'!$H$6:$H$505,MATCH(23,'Fund Research'!$U$6:$U$505,0)),"")</f>
        <v/>
      </c>
      <c r="G28" s="36">
        <f>IFERROR(INDEX('Fund Research'!$I$6:$I$505,MATCH(23,'Fund Research'!$U$6:$U$505,0)),"")</f>
        <v/>
      </c>
      <c r="H28" s="37">
        <f>IFERROR(INDEX('Fund Research'!$J$6:$J$505,MATCH(23,'Fund Research'!$U$6:$U$505,0)),"")</f>
        <v/>
      </c>
      <c r="I28" s="38">
        <f>IFERROR(INDEX('Fund Research'!$L$6:$L$505,MATCH(23,'Fund Research'!$U$6:$U$505,0)),"")</f>
        <v/>
      </c>
      <c r="J28" s="37">
        <f>IFERROR(INDEX('Fund Research'!$N$6:$N$505,MATCH(23,'Fund Research'!$U$6:$U$505,0)),"")</f>
        <v/>
      </c>
      <c r="K28" s="37">
        <f>IFERROR(INDEX('Fund Research'!$P$6:$P$505,MATCH(23,'Fund Research'!$U$6:$U$505,0)),"")</f>
        <v/>
      </c>
      <c r="L28" s="35">
        <f>IFERROR(INDEX('Fund Research'!$S$6:$S$505,MATCH(23,'Fund Research'!$U$6:$U$505,0)),"")</f>
        <v/>
      </c>
      <c r="M28" s="35">
        <f>IFERROR(INDEX('Fund Research'!$T$6:$T$505,MATCH(23,'Fund Research'!$U$6:$U$505,0)),"")</f>
        <v/>
      </c>
    </row>
    <row r="29" ht="15" customHeight="1">
      <c r="A29" s="34">
        <f>IFERROR(IF(INDEX('Fund Research'!$B$6:$B$505,MATCH(24,'Fund Research'!$U$6:$U$505,0))="","",24),"")</f>
        <v/>
      </c>
      <c r="B29" s="35">
        <f>IFERROR(INDEX('Fund Research'!$A$6:$A$505,MATCH(24,'Fund Research'!$U$6:$U$505,0)),"")</f>
        <v/>
      </c>
      <c r="C29" s="35">
        <f>IFERROR(INDEX('Fund Research'!$B$6:$B$505,MATCH(24,'Fund Research'!$U$6:$U$505,0)),"")</f>
        <v/>
      </c>
      <c r="D29" s="35">
        <f>IFERROR(INDEX('Fund Research'!$C$6:$C$505,MATCH(24,'Fund Research'!$U$6:$U$505,0)),"")</f>
        <v/>
      </c>
      <c r="E29" s="36">
        <f>IFERROR(INDEX('Fund Research'!$G$6:$G$505,MATCH(24,'Fund Research'!$U$6:$U$505,0)),"")</f>
        <v/>
      </c>
      <c r="F29" s="36">
        <f>IFERROR(INDEX('Fund Research'!$H$6:$H$505,MATCH(24,'Fund Research'!$U$6:$U$505,0)),"")</f>
        <v/>
      </c>
      <c r="G29" s="36">
        <f>IFERROR(INDEX('Fund Research'!$I$6:$I$505,MATCH(24,'Fund Research'!$U$6:$U$505,0)),"")</f>
        <v/>
      </c>
      <c r="H29" s="37">
        <f>IFERROR(INDEX('Fund Research'!$J$6:$J$505,MATCH(24,'Fund Research'!$U$6:$U$505,0)),"")</f>
        <v/>
      </c>
      <c r="I29" s="38">
        <f>IFERROR(INDEX('Fund Research'!$L$6:$L$505,MATCH(24,'Fund Research'!$U$6:$U$505,0)),"")</f>
        <v/>
      </c>
      <c r="J29" s="37">
        <f>IFERROR(INDEX('Fund Research'!$N$6:$N$505,MATCH(24,'Fund Research'!$U$6:$U$505,0)),"")</f>
        <v/>
      </c>
      <c r="K29" s="37">
        <f>IFERROR(INDEX('Fund Research'!$P$6:$P$505,MATCH(24,'Fund Research'!$U$6:$U$505,0)),"")</f>
        <v/>
      </c>
      <c r="L29" s="35">
        <f>IFERROR(INDEX('Fund Research'!$S$6:$S$505,MATCH(24,'Fund Research'!$U$6:$U$505,0)),"")</f>
        <v/>
      </c>
      <c r="M29" s="35">
        <f>IFERROR(INDEX('Fund Research'!$T$6:$T$505,MATCH(24,'Fund Research'!$U$6:$U$505,0)),"")</f>
        <v/>
      </c>
    </row>
    <row r="30" ht="15" customHeight="1">
      <c r="A30" s="34">
        <f>IFERROR(IF(INDEX('Fund Research'!$B$6:$B$505,MATCH(25,'Fund Research'!$U$6:$U$505,0))="","",25),"")</f>
        <v/>
      </c>
      <c r="B30" s="35">
        <f>IFERROR(INDEX('Fund Research'!$A$6:$A$505,MATCH(25,'Fund Research'!$U$6:$U$505,0)),"")</f>
        <v/>
      </c>
      <c r="C30" s="35">
        <f>IFERROR(INDEX('Fund Research'!$B$6:$B$505,MATCH(25,'Fund Research'!$U$6:$U$505,0)),"")</f>
        <v/>
      </c>
      <c r="D30" s="35">
        <f>IFERROR(INDEX('Fund Research'!$C$6:$C$505,MATCH(25,'Fund Research'!$U$6:$U$505,0)),"")</f>
        <v/>
      </c>
      <c r="E30" s="36">
        <f>IFERROR(INDEX('Fund Research'!$G$6:$G$505,MATCH(25,'Fund Research'!$U$6:$U$505,0)),"")</f>
        <v/>
      </c>
      <c r="F30" s="36">
        <f>IFERROR(INDEX('Fund Research'!$H$6:$H$505,MATCH(25,'Fund Research'!$U$6:$U$505,0)),"")</f>
        <v/>
      </c>
      <c r="G30" s="36">
        <f>IFERROR(INDEX('Fund Research'!$I$6:$I$505,MATCH(25,'Fund Research'!$U$6:$U$505,0)),"")</f>
        <v/>
      </c>
      <c r="H30" s="37">
        <f>IFERROR(INDEX('Fund Research'!$J$6:$J$505,MATCH(25,'Fund Research'!$U$6:$U$505,0)),"")</f>
        <v/>
      </c>
      <c r="I30" s="38">
        <f>IFERROR(INDEX('Fund Research'!$L$6:$L$505,MATCH(25,'Fund Research'!$U$6:$U$505,0)),"")</f>
        <v/>
      </c>
      <c r="J30" s="37">
        <f>IFERROR(INDEX('Fund Research'!$N$6:$N$505,MATCH(25,'Fund Research'!$U$6:$U$505,0)),"")</f>
        <v/>
      </c>
      <c r="K30" s="37">
        <f>IFERROR(INDEX('Fund Research'!$P$6:$P$505,MATCH(25,'Fund Research'!$U$6:$U$505,0)),"")</f>
        <v/>
      </c>
      <c r="L30" s="35">
        <f>IFERROR(INDEX('Fund Research'!$S$6:$S$505,MATCH(25,'Fund Research'!$U$6:$U$505,0)),"")</f>
        <v/>
      </c>
      <c r="M30" s="35">
        <f>IFERROR(INDEX('Fund Research'!$T$6:$T$505,MATCH(25,'Fund Research'!$U$6:$U$505,0)),"")</f>
        <v/>
      </c>
    </row>
    <row r="31" ht="15" customHeight="1">
      <c r="A31" s="34">
        <f>IFERROR(IF(INDEX('Fund Research'!$B$6:$B$505,MATCH(26,'Fund Research'!$U$6:$U$505,0))="","",26),"")</f>
        <v/>
      </c>
      <c r="B31" s="35">
        <f>IFERROR(INDEX('Fund Research'!$A$6:$A$505,MATCH(26,'Fund Research'!$U$6:$U$505,0)),"")</f>
        <v/>
      </c>
      <c r="C31" s="35">
        <f>IFERROR(INDEX('Fund Research'!$B$6:$B$505,MATCH(26,'Fund Research'!$U$6:$U$505,0)),"")</f>
        <v/>
      </c>
      <c r="D31" s="35">
        <f>IFERROR(INDEX('Fund Research'!$C$6:$C$505,MATCH(26,'Fund Research'!$U$6:$U$505,0)),"")</f>
        <v/>
      </c>
      <c r="E31" s="36">
        <f>IFERROR(INDEX('Fund Research'!$G$6:$G$505,MATCH(26,'Fund Research'!$U$6:$U$505,0)),"")</f>
        <v/>
      </c>
      <c r="F31" s="36">
        <f>IFERROR(INDEX('Fund Research'!$H$6:$H$505,MATCH(26,'Fund Research'!$U$6:$U$505,0)),"")</f>
        <v/>
      </c>
      <c r="G31" s="36">
        <f>IFERROR(INDEX('Fund Research'!$I$6:$I$505,MATCH(26,'Fund Research'!$U$6:$U$505,0)),"")</f>
        <v/>
      </c>
      <c r="H31" s="37">
        <f>IFERROR(INDEX('Fund Research'!$J$6:$J$505,MATCH(26,'Fund Research'!$U$6:$U$505,0)),"")</f>
        <v/>
      </c>
      <c r="I31" s="38">
        <f>IFERROR(INDEX('Fund Research'!$L$6:$L$505,MATCH(26,'Fund Research'!$U$6:$U$505,0)),"")</f>
        <v/>
      </c>
      <c r="J31" s="37">
        <f>IFERROR(INDEX('Fund Research'!$N$6:$N$505,MATCH(26,'Fund Research'!$U$6:$U$505,0)),"")</f>
        <v/>
      </c>
      <c r="K31" s="37">
        <f>IFERROR(INDEX('Fund Research'!$P$6:$P$505,MATCH(26,'Fund Research'!$U$6:$U$505,0)),"")</f>
        <v/>
      </c>
      <c r="L31" s="35">
        <f>IFERROR(INDEX('Fund Research'!$S$6:$S$505,MATCH(26,'Fund Research'!$U$6:$U$505,0)),"")</f>
        <v/>
      </c>
      <c r="M31" s="35">
        <f>IFERROR(INDEX('Fund Research'!$T$6:$T$505,MATCH(26,'Fund Research'!$U$6:$U$505,0)),"")</f>
        <v/>
      </c>
    </row>
    <row r="32" ht="15" customHeight="1">
      <c r="A32" s="34">
        <f>IFERROR(IF(INDEX('Fund Research'!$B$6:$B$505,MATCH(27,'Fund Research'!$U$6:$U$505,0))="","",27),"")</f>
        <v/>
      </c>
      <c r="B32" s="35">
        <f>IFERROR(INDEX('Fund Research'!$A$6:$A$505,MATCH(27,'Fund Research'!$U$6:$U$505,0)),"")</f>
        <v/>
      </c>
      <c r="C32" s="35">
        <f>IFERROR(INDEX('Fund Research'!$B$6:$B$505,MATCH(27,'Fund Research'!$U$6:$U$505,0)),"")</f>
        <v/>
      </c>
      <c r="D32" s="35">
        <f>IFERROR(INDEX('Fund Research'!$C$6:$C$505,MATCH(27,'Fund Research'!$U$6:$U$505,0)),"")</f>
        <v/>
      </c>
      <c r="E32" s="36">
        <f>IFERROR(INDEX('Fund Research'!$G$6:$G$505,MATCH(27,'Fund Research'!$U$6:$U$505,0)),"")</f>
        <v/>
      </c>
      <c r="F32" s="36">
        <f>IFERROR(INDEX('Fund Research'!$H$6:$H$505,MATCH(27,'Fund Research'!$U$6:$U$505,0)),"")</f>
        <v/>
      </c>
      <c r="G32" s="36">
        <f>IFERROR(INDEX('Fund Research'!$I$6:$I$505,MATCH(27,'Fund Research'!$U$6:$U$505,0)),"")</f>
        <v/>
      </c>
      <c r="H32" s="37">
        <f>IFERROR(INDEX('Fund Research'!$J$6:$J$505,MATCH(27,'Fund Research'!$U$6:$U$505,0)),"")</f>
        <v/>
      </c>
      <c r="I32" s="38">
        <f>IFERROR(INDEX('Fund Research'!$L$6:$L$505,MATCH(27,'Fund Research'!$U$6:$U$505,0)),"")</f>
        <v/>
      </c>
      <c r="J32" s="37">
        <f>IFERROR(INDEX('Fund Research'!$N$6:$N$505,MATCH(27,'Fund Research'!$U$6:$U$505,0)),"")</f>
        <v/>
      </c>
      <c r="K32" s="37">
        <f>IFERROR(INDEX('Fund Research'!$P$6:$P$505,MATCH(27,'Fund Research'!$U$6:$U$505,0)),"")</f>
        <v/>
      </c>
      <c r="L32" s="35">
        <f>IFERROR(INDEX('Fund Research'!$S$6:$S$505,MATCH(27,'Fund Research'!$U$6:$U$505,0)),"")</f>
        <v/>
      </c>
      <c r="M32" s="35">
        <f>IFERROR(INDEX('Fund Research'!$T$6:$T$505,MATCH(27,'Fund Research'!$U$6:$U$505,0)),"")</f>
        <v/>
      </c>
    </row>
    <row r="33" ht="15" customHeight="1">
      <c r="A33" s="34">
        <f>IFERROR(IF(INDEX('Fund Research'!$B$6:$B$505,MATCH(28,'Fund Research'!$U$6:$U$505,0))="","",28),"")</f>
        <v/>
      </c>
      <c r="B33" s="35">
        <f>IFERROR(INDEX('Fund Research'!$A$6:$A$505,MATCH(28,'Fund Research'!$U$6:$U$505,0)),"")</f>
        <v/>
      </c>
      <c r="C33" s="35">
        <f>IFERROR(INDEX('Fund Research'!$B$6:$B$505,MATCH(28,'Fund Research'!$U$6:$U$505,0)),"")</f>
        <v/>
      </c>
      <c r="D33" s="35">
        <f>IFERROR(INDEX('Fund Research'!$C$6:$C$505,MATCH(28,'Fund Research'!$U$6:$U$505,0)),"")</f>
        <v/>
      </c>
      <c r="E33" s="36">
        <f>IFERROR(INDEX('Fund Research'!$G$6:$G$505,MATCH(28,'Fund Research'!$U$6:$U$505,0)),"")</f>
        <v/>
      </c>
      <c r="F33" s="36">
        <f>IFERROR(INDEX('Fund Research'!$H$6:$H$505,MATCH(28,'Fund Research'!$U$6:$U$505,0)),"")</f>
        <v/>
      </c>
      <c r="G33" s="36">
        <f>IFERROR(INDEX('Fund Research'!$I$6:$I$505,MATCH(28,'Fund Research'!$U$6:$U$505,0)),"")</f>
        <v/>
      </c>
      <c r="H33" s="37">
        <f>IFERROR(INDEX('Fund Research'!$J$6:$J$505,MATCH(28,'Fund Research'!$U$6:$U$505,0)),"")</f>
        <v/>
      </c>
      <c r="I33" s="38">
        <f>IFERROR(INDEX('Fund Research'!$L$6:$L$505,MATCH(28,'Fund Research'!$U$6:$U$505,0)),"")</f>
        <v/>
      </c>
      <c r="J33" s="37">
        <f>IFERROR(INDEX('Fund Research'!$N$6:$N$505,MATCH(28,'Fund Research'!$U$6:$U$505,0)),"")</f>
        <v/>
      </c>
      <c r="K33" s="37">
        <f>IFERROR(INDEX('Fund Research'!$P$6:$P$505,MATCH(28,'Fund Research'!$U$6:$U$505,0)),"")</f>
        <v/>
      </c>
      <c r="L33" s="35">
        <f>IFERROR(INDEX('Fund Research'!$S$6:$S$505,MATCH(28,'Fund Research'!$U$6:$U$505,0)),"")</f>
        <v/>
      </c>
      <c r="M33" s="35">
        <f>IFERROR(INDEX('Fund Research'!$T$6:$T$505,MATCH(28,'Fund Research'!$U$6:$U$505,0)),"")</f>
        <v/>
      </c>
    </row>
    <row r="34" ht="15" customHeight="1">
      <c r="A34" s="34">
        <f>IFERROR(IF(INDEX('Fund Research'!$B$6:$B$505,MATCH(29,'Fund Research'!$U$6:$U$505,0))="","",29),"")</f>
        <v/>
      </c>
      <c r="B34" s="35">
        <f>IFERROR(INDEX('Fund Research'!$A$6:$A$505,MATCH(29,'Fund Research'!$U$6:$U$505,0)),"")</f>
        <v/>
      </c>
      <c r="C34" s="35">
        <f>IFERROR(INDEX('Fund Research'!$B$6:$B$505,MATCH(29,'Fund Research'!$U$6:$U$505,0)),"")</f>
        <v/>
      </c>
      <c r="D34" s="35">
        <f>IFERROR(INDEX('Fund Research'!$C$6:$C$505,MATCH(29,'Fund Research'!$U$6:$U$505,0)),"")</f>
        <v/>
      </c>
      <c r="E34" s="36">
        <f>IFERROR(INDEX('Fund Research'!$G$6:$G$505,MATCH(29,'Fund Research'!$U$6:$U$505,0)),"")</f>
        <v/>
      </c>
      <c r="F34" s="36">
        <f>IFERROR(INDEX('Fund Research'!$H$6:$H$505,MATCH(29,'Fund Research'!$U$6:$U$505,0)),"")</f>
        <v/>
      </c>
      <c r="G34" s="36">
        <f>IFERROR(INDEX('Fund Research'!$I$6:$I$505,MATCH(29,'Fund Research'!$U$6:$U$505,0)),"")</f>
        <v/>
      </c>
      <c r="H34" s="37">
        <f>IFERROR(INDEX('Fund Research'!$J$6:$J$505,MATCH(29,'Fund Research'!$U$6:$U$505,0)),"")</f>
        <v/>
      </c>
      <c r="I34" s="38">
        <f>IFERROR(INDEX('Fund Research'!$L$6:$L$505,MATCH(29,'Fund Research'!$U$6:$U$505,0)),"")</f>
        <v/>
      </c>
      <c r="J34" s="37">
        <f>IFERROR(INDEX('Fund Research'!$N$6:$N$505,MATCH(29,'Fund Research'!$U$6:$U$505,0)),"")</f>
        <v/>
      </c>
      <c r="K34" s="37">
        <f>IFERROR(INDEX('Fund Research'!$P$6:$P$505,MATCH(29,'Fund Research'!$U$6:$U$505,0)),"")</f>
        <v/>
      </c>
      <c r="L34" s="35">
        <f>IFERROR(INDEX('Fund Research'!$S$6:$S$505,MATCH(29,'Fund Research'!$U$6:$U$505,0)),"")</f>
        <v/>
      </c>
      <c r="M34" s="35">
        <f>IFERROR(INDEX('Fund Research'!$T$6:$T$505,MATCH(29,'Fund Research'!$U$6:$U$505,0)),"")</f>
        <v/>
      </c>
    </row>
    <row r="35" ht="15" customHeight="1">
      <c r="A35" s="34">
        <f>IFERROR(IF(INDEX('Fund Research'!$B$6:$B$505,MATCH(30,'Fund Research'!$U$6:$U$505,0))="","",30),"")</f>
        <v/>
      </c>
      <c r="B35" s="35">
        <f>IFERROR(INDEX('Fund Research'!$A$6:$A$505,MATCH(30,'Fund Research'!$U$6:$U$505,0)),"")</f>
        <v/>
      </c>
      <c r="C35" s="35">
        <f>IFERROR(INDEX('Fund Research'!$B$6:$B$505,MATCH(30,'Fund Research'!$U$6:$U$505,0)),"")</f>
        <v/>
      </c>
      <c r="D35" s="35">
        <f>IFERROR(INDEX('Fund Research'!$C$6:$C$505,MATCH(30,'Fund Research'!$U$6:$U$505,0)),"")</f>
        <v/>
      </c>
      <c r="E35" s="36">
        <f>IFERROR(INDEX('Fund Research'!$G$6:$G$505,MATCH(30,'Fund Research'!$U$6:$U$505,0)),"")</f>
        <v/>
      </c>
      <c r="F35" s="36">
        <f>IFERROR(INDEX('Fund Research'!$H$6:$H$505,MATCH(30,'Fund Research'!$U$6:$U$505,0)),"")</f>
        <v/>
      </c>
      <c r="G35" s="36">
        <f>IFERROR(INDEX('Fund Research'!$I$6:$I$505,MATCH(30,'Fund Research'!$U$6:$U$505,0)),"")</f>
        <v/>
      </c>
      <c r="H35" s="37">
        <f>IFERROR(INDEX('Fund Research'!$J$6:$J$505,MATCH(30,'Fund Research'!$U$6:$U$505,0)),"")</f>
        <v/>
      </c>
      <c r="I35" s="38">
        <f>IFERROR(INDEX('Fund Research'!$L$6:$L$505,MATCH(30,'Fund Research'!$U$6:$U$505,0)),"")</f>
        <v/>
      </c>
      <c r="J35" s="37">
        <f>IFERROR(INDEX('Fund Research'!$N$6:$N$505,MATCH(30,'Fund Research'!$U$6:$U$505,0)),"")</f>
        <v/>
      </c>
      <c r="K35" s="37">
        <f>IFERROR(INDEX('Fund Research'!$P$6:$P$505,MATCH(30,'Fund Research'!$U$6:$U$505,0)),"")</f>
        <v/>
      </c>
      <c r="L35" s="35">
        <f>IFERROR(INDEX('Fund Research'!$S$6:$S$505,MATCH(30,'Fund Research'!$U$6:$U$505,0)),"")</f>
        <v/>
      </c>
      <c r="M35" s="35">
        <f>IFERROR(INDEX('Fund Research'!$T$6:$T$505,MATCH(30,'Fund Research'!$U$6:$U$505,0)),"")</f>
        <v/>
      </c>
    </row>
    <row r="36" ht="15" customHeight="1">
      <c r="A36" s="34">
        <f>IFERROR(IF(INDEX('Fund Research'!$B$6:$B$505,MATCH(31,'Fund Research'!$U$6:$U$505,0))="","",31),"")</f>
        <v/>
      </c>
      <c r="B36" s="35">
        <f>IFERROR(INDEX('Fund Research'!$A$6:$A$505,MATCH(31,'Fund Research'!$U$6:$U$505,0)),"")</f>
        <v/>
      </c>
      <c r="C36" s="35">
        <f>IFERROR(INDEX('Fund Research'!$B$6:$B$505,MATCH(31,'Fund Research'!$U$6:$U$505,0)),"")</f>
        <v/>
      </c>
      <c r="D36" s="35">
        <f>IFERROR(INDEX('Fund Research'!$C$6:$C$505,MATCH(31,'Fund Research'!$U$6:$U$505,0)),"")</f>
        <v/>
      </c>
      <c r="E36" s="36">
        <f>IFERROR(INDEX('Fund Research'!$G$6:$G$505,MATCH(31,'Fund Research'!$U$6:$U$505,0)),"")</f>
        <v/>
      </c>
      <c r="F36" s="36">
        <f>IFERROR(INDEX('Fund Research'!$H$6:$H$505,MATCH(31,'Fund Research'!$U$6:$U$505,0)),"")</f>
        <v/>
      </c>
      <c r="G36" s="36">
        <f>IFERROR(INDEX('Fund Research'!$I$6:$I$505,MATCH(31,'Fund Research'!$U$6:$U$505,0)),"")</f>
        <v/>
      </c>
      <c r="H36" s="37">
        <f>IFERROR(INDEX('Fund Research'!$J$6:$J$505,MATCH(31,'Fund Research'!$U$6:$U$505,0)),"")</f>
        <v/>
      </c>
      <c r="I36" s="38">
        <f>IFERROR(INDEX('Fund Research'!$L$6:$L$505,MATCH(31,'Fund Research'!$U$6:$U$505,0)),"")</f>
        <v/>
      </c>
      <c r="J36" s="37">
        <f>IFERROR(INDEX('Fund Research'!$N$6:$N$505,MATCH(31,'Fund Research'!$U$6:$U$505,0)),"")</f>
        <v/>
      </c>
      <c r="K36" s="37">
        <f>IFERROR(INDEX('Fund Research'!$P$6:$P$505,MATCH(31,'Fund Research'!$U$6:$U$505,0)),"")</f>
        <v/>
      </c>
      <c r="L36" s="35">
        <f>IFERROR(INDEX('Fund Research'!$S$6:$S$505,MATCH(31,'Fund Research'!$U$6:$U$505,0)),"")</f>
        <v/>
      </c>
      <c r="M36" s="35">
        <f>IFERROR(INDEX('Fund Research'!$T$6:$T$505,MATCH(31,'Fund Research'!$U$6:$U$505,0)),"")</f>
        <v/>
      </c>
    </row>
    <row r="37" ht="15" customHeight="1">
      <c r="A37" s="34">
        <f>IFERROR(IF(INDEX('Fund Research'!$B$6:$B$505,MATCH(32,'Fund Research'!$U$6:$U$505,0))="","",32),"")</f>
        <v/>
      </c>
      <c r="B37" s="35">
        <f>IFERROR(INDEX('Fund Research'!$A$6:$A$505,MATCH(32,'Fund Research'!$U$6:$U$505,0)),"")</f>
        <v/>
      </c>
      <c r="C37" s="35">
        <f>IFERROR(INDEX('Fund Research'!$B$6:$B$505,MATCH(32,'Fund Research'!$U$6:$U$505,0)),"")</f>
        <v/>
      </c>
      <c r="D37" s="35">
        <f>IFERROR(INDEX('Fund Research'!$C$6:$C$505,MATCH(32,'Fund Research'!$U$6:$U$505,0)),"")</f>
        <v/>
      </c>
      <c r="E37" s="36">
        <f>IFERROR(INDEX('Fund Research'!$G$6:$G$505,MATCH(32,'Fund Research'!$U$6:$U$505,0)),"")</f>
        <v/>
      </c>
      <c r="F37" s="36">
        <f>IFERROR(INDEX('Fund Research'!$H$6:$H$505,MATCH(32,'Fund Research'!$U$6:$U$505,0)),"")</f>
        <v/>
      </c>
      <c r="G37" s="36">
        <f>IFERROR(INDEX('Fund Research'!$I$6:$I$505,MATCH(32,'Fund Research'!$U$6:$U$505,0)),"")</f>
        <v/>
      </c>
      <c r="H37" s="37">
        <f>IFERROR(INDEX('Fund Research'!$J$6:$J$505,MATCH(32,'Fund Research'!$U$6:$U$505,0)),"")</f>
        <v/>
      </c>
      <c r="I37" s="38">
        <f>IFERROR(INDEX('Fund Research'!$L$6:$L$505,MATCH(32,'Fund Research'!$U$6:$U$505,0)),"")</f>
        <v/>
      </c>
      <c r="J37" s="37">
        <f>IFERROR(INDEX('Fund Research'!$N$6:$N$505,MATCH(32,'Fund Research'!$U$6:$U$505,0)),"")</f>
        <v/>
      </c>
      <c r="K37" s="37">
        <f>IFERROR(INDEX('Fund Research'!$P$6:$P$505,MATCH(32,'Fund Research'!$U$6:$U$505,0)),"")</f>
        <v/>
      </c>
      <c r="L37" s="35">
        <f>IFERROR(INDEX('Fund Research'!$S$6:$S$505,MATCH(32,'Fund Research'!$U$6:$U$505,0)),"")</f>
        <v/>
      </c>
      <c r="M37" s="35">
        <f>IFERROR(INDEX('Fund Research'!$T$6:$T$505,MATCH(32,'Fund Research'!$U$6:$U$505,0)),"")</f>
        <v/>
      </c>
    </row>
    <row r="38" ht="15" customHeight="1">
      <c r="A38" s="34">
        <f>IFERROR(IF(INDEX('Fund Research'!$B$6:$B$505,MATCH(33,'Fund Research'!$U$6:$U$505,0))="","",33),"")</f>
        <v/>
      </c>
      <c r="B38" s="35">
        <f>IFERROR(INDEX('Fund Research'!$A$6:$A$505,MATCH(33,'Fund Research'!$U$6:$U$505,0)),"")</f>
        <v/>
      </c>
      <c r="C38" s="35">
        <f>IFERROR(INDEX('Fund Research'!$B$6:$B$505,MATCH(33,'Fund Research'!$U$6:$U$505,0)),"")</f>
        <v/>
      </c>
      <c r="D38" s="35">
        <f>IFERROR(INDEX('Fund Research'!$C$6:$C$505,MATCH(33,'Fund Research'!$U$6:$U$505,0)),"")</f>
        <v/>
      </c>
      <c r="E38" s="36">
        <f>IFERROR(INDEX('Fund Research'!$G$6:$G$505,MATCH(33,'Fund Research'!$U$6:$U$505,0)),"")</f>
        <v/>
      </c>
      <c r="F38" s="36">
        <f>IFERROR(INDEX('Fund Research'!$H$6:$H$505,MATCH(33,'Fund Research'!$U$6:$U$505,0)),"")</f>
        <v/>
      </c>
      <c r="G38" s="36">
        <f>IFERROR(INDEX('Fund Research'!$I$6:$I$505,MATCH(33,'Fund Research'!$U$6:$U$505,0)),"")</f>
        <v/>
      </c>
      <c r="H38" s="37">
        <f>IFERROR(INDEX('Fund Research'!$J$6:$J$505,MATCH(33,'Fund Research'!$U$6:$U$505,0)),"")</f>
        <v/>
      </c>
      <c r="I38" s="38">
        <f>IFERROR(INDEX('Fund Research'!$L$6:$L$505,MATCH(33,'Fund Research'!$U$6:$U$505,0)),"")</f>
        <v/>
      </c>
      <c r="J38" s="37">
        <f>IFERROR(INDEX('Fund Research'!$N$6:$N$505,MATCH(33,'Fund Research'!$U$6:$U$505,0)),"")</f>
        <v/>
      </c>
      <c r="K38" s="37">
        <f>IFERROR(INDEX('Fund Research'!$P$6:$P$505,MATCH(33,'Fund Research'!$U$6:$U$505,0)),"")</f>
        <v/>
      </c>
      <c r="L38" s="35">
        <f>IFERROR(INDEX('Fund Research'!$S$6:$S$505,MATCH(33,'Fund Research'!$U$6:$U$505,0)),"")</f>
        <v/>
      </c>
      <c r="M38" s="35">
        <f>IFERROR(INDEX('Fund Research'!$T$6:$T$505,MATCH(33,'Fund Research'!$U$6:$U$505,0)),"")</f>
        <v/>
      </c>
    </row>
    <row r="39" ht="15" customHeight="1">
      <c r="A39" s="34">
        <f>IFERROR(IF(INDEX('Fund Research'!$B$6:$B$505,MATCH(34,'Fund Research'!$U$6:$U$505,0))="","",34),"")</f>
        <v/>
      </c>
      <c r="B39" s="35">
        <f>IFERROR(INDEX('Fund Research'!$A$6:$A$505,MATCH(34,'Fund Research'!$U$6:$U$505,0)),"")</f>
        <v/>
      </c>
      <c r="C39" s="35">
        <f>IFERROR(INDEX('Fund Research'!$B$6:$B$505,MATCH(34,'Fund Research'!$U$6:$U$505,0)),"")</f>
        <v/>
      </c>
      <c r="D39" s="35">
        <f>IFERROR(INDEX('Fund Research'!$C$6:$C$505,MATCH(34,'Fund Research'!$U$6:$U$505,0)),"")</f>
        <v/>
      </c>
      <c r="E39" s="36">
        <f>IFERROR(INDEX('Fund Research'!$G$6:$G$505,MATCH(34,'Fund Research'!$U$6:$U$505,0)),"")</f>
        <v/>
      </c>
      <c r="F39" s="36">
        <f>IFERROR(INDEX('Fund Research'!$H$6:$H$505,MATCH(34,'Fund Research'!$U$6:$U$505,0)),"")</f>
        <v/>
      </c>
      <c r="G39" s="36">
        <f>IFERROR(INDEX('Fund Research'!$I$6:$I$505,MATCH(34,'Fund Research'!$U$6:$U$505,0)),"")</f>
        <v/>
      </c>
      <c r="H39" s="37">
        <f>IFERROR(INDEX('Fund Research'!$J$6:$J$505,MATCH(34,'Fund Research'!$U$6:$U$505,0)),"")</f>
        <v/>
      </c>
      <c r="I39" s="38">
        <f>IFERROR(INDEX('Fund Research'!$L$6:$L$505,MATCH(34,'Fund Research'!$U$6:$U$505,0)),"")</f>
        <v/>
      </c>
      <c r="J39" s="37">
        <f>IFERROR(INDEX('Fund Research'!$N$6:$N$505,MATCH(34,'Fund Research'!$U$6:$U$505,0)),"")</f>
        <v/>
      </c>
      <c r="K39" s="37">
        <f>IFERROR(INDEX('Fund Research'!$P$6:$P$505,MATCH(34,'Fund Research'!$U$6:$U$505,0)),"")</f>
        <v/>
      </c>
      <c r="L39" s="35">
        <f>IFERROR(INDEX('Fund Research'!$S$6:$S$505,MATCH(34,'Fund Research'!$U$6:$U$505,0)),"")</f>
        <v/>
      </c>
      <c r="M39" s="35">
        <f>IFERROR(INDEX('Fund Research'!$T$6:$T$505,MATCH(34,'Fund Research'!$U$6:$U$505,0)),"")</f>
        <v/>
      </c>
    </row>
    <row r="40" ht="15" customHeight="1">
      <c r="A40" s="34">
        <f>IFERROR(IF(INDEX('Fund Research'!$B$6:$B$505,MATCH(35,'Fund Research'!$U$6:$U$505,0))="","",35),"")</f>
        <v/>
      </c>
      <c r="B40" s="35">
        <f>IFERROR(INDEX('Fund Research'!$A$6:$A$505,MATCH(35,'Fund Research'!$U$6:$U$505,0)),"")</f>
        <v/>
      </c>
      <c r="C40" s="35">
        <f>IFERROR(INDEX('Fund Research'!$B$6:$B$505,MATCH(35,'Fund Research'!$U$6:$U$505,0)),"")</f>
        <v/>
      </c>
      <c r="D40" s="35">
        <f>IFERROR(INDEX('Fund Research'!$C$6:$C$505,MATCH(35,'Fund Research'!$U$6:$U$505,0)),"")</f>
        <v/>
      </c>
      <c r="E40" s="36">
        <f>IFERROR(INDEX('Fund Research'!$G$6:$G$505,MATCH(35,'Fund Research'!$U$6:$U$505,0)),"")</f>
        <v/>
      </c>
      <c r="F40" s="36">
        <f>IFERROR(INDEX('Fund Research'!$H$6:$H$505,MATCH(35,'Fund Research'!$U$6:$U$505,0)),"")</f>
        <v/>
      </c>
      <c r="G40" s="36">
        <f>IFERROR(INDEX('Fund Research'!$I$6:$I$505,MATCH(35,'Fund Research'!$U$6:$U$505,0)),"")</f>
        <v/>
      </c>
      <c r="H40" s="37">
        <f>IFERROR(INDEX('Fund Research'!$J$6:$J$505,MATCH(35,'Fund Research'!$U$6:$U$505,0)),"")</f>
        <v/>
      </c>
      <c r="I40" s="38">
        <f>IFERROR(INDEX('Fund Research'!$L$6:$L$505,MATCH(35,'Fund Research'!$U$6:$U$505,0)),"")</f>
        <v/>
      </c>
      <c r="J40" s="37">
        <f>IFERROR(INDEX('Fund Research'!$N$6:$N$505,MATCH(35,'Fund Research'!$U$6:$U$505,0)),"")</f>
        <v/>
      </c>
      <c r="K40" s="37">
        <f>IFERROR(INDEX('Fund Research'!$P$6:$P$505,MATCH(35,'Fund Research'!$U$6:$U$505,0)),"")</f>
        <v/>
      </c>
      <c r="L40" s="35">
        <f>IFERROR(INDEX('Fund Research'!$S$6:$S$505,MATCH(35,'Fund Research'!$U$6:$U$505,0)),"")</f>
        <v/>
      </c>
      <c r="M40" s="35">
        <f>IFERROR(INDEX('Fund Research'!$T$6:$T$505,MATCH(35,'Fund Research'!$U$6:$U$505,0)),"")</f>
        <v/>
      </c>
    </row>
    <row r="41" ht="15" customHeight="1">
      <c r="A41" s="34">
        <f>IFERROR(IF(INDEX('Fund Research'!$B$6:$B$505,MATCH(36,'Fund Research'!$U$6:$U$505,0))="","",36),"")</f>
        <v/>
      </c>
      <c r="B41" s="35">
        <f>IFERROR(INDEX('Fund Research'!$A$6:$A$505,MATCH(36,'Fund Research'!$U$6:$U$505,0)),"")</f>
        <v/>
      </c>
      <c r="C41" s="35">
        <f>IFERROR(INDEX('Fund Research'!$B$6:$B$505,MATCH(36,'Fund Research'!$U$6:$U$505,0)),"")</f>
        <v/>
      </c>
      <c r="D41" s="35">
        <f>IFERROR(INDEX('Fund Research'!$C$6:$C$505,MATCH(36,'Fund Research'!$U$6:$U$505,0)),"")</f>
        <v/>
      </c>
      <c r="E41" s="36">
        <f>IFERROR(INDEX('Fund Research'!$G$6:$G$505,MATCH(36,'Fund Research'!$U$6:$U$505,0)),"")</f>
        <v/>
      </c>
      <c r="F41" s="36">
        <f>IFERROR(INDEX('Fund Research'!$H$6:$H$505,MATCH(36,'Fund Research'!$U$6:$U$505,0)),"")</f>
        <v/>
      </c>
      <c r="G41" s="36">
        <f>IFERROR(INDEX('Fund Research'!$I$6:$I$505,MATCH(36,'Fund Research'!$U$6:$U$505,0)),"")</f>
        <v/>
      </c>
      <c r="H41" s="37">
        <f>IFERROR(INDEX('Fund Research'!$J$6:$J$505,MATCH(36,'Fund Research'!$U$6:$U$505,0)),"")</f>
        <v/>
      </c>
      <c r="I41" s="38">
        <f>IFERROR(INDEX('Fund Research'!$L$6:$L$505,MATCH(36,'Fund Research'!$U$6:$U$505,0)),"")</f>
        <v/>
      </c>
      <c r="J41" s="37">
        <f>IFERROR(INDEX('Fund Research'!$N$6:$N$505,MATCH(36,'Fund Research'!$U$6:$U$505,0)),"")</f>
        <v/>
      </c>
      <c r="K41" s="37">
        <f>IFERROR(INDEX('Fund Research'!$P$6:$P$505,MATCH(36,'Fund Research'!$U$6:$U$505,0)),"")</f>
        <v/>
      </c>
      <c r="L41" s="35">
        <f>IFERROR(INDEX('Fund Research'!$S$6:$S$505,MATCH(36,'Fund Research'!$U$6:$U$505,0)),"")</f>
        <v/>
      </c>
      <c r="M41" s="35">
        <f>IFERROR(INDEX('Fund Research'!$T$6:$T$505,MATCH(36,'Fund Research'!$U$6:$U$505,0)),"")</f>
        <v/>
      </c>
    </row>
    <row r="42" ht="15" customHeight="1">
      <c r="A42" s="34">
        <f>IFERROR(IF(INDEX('Fund Research'!$B$6:$B$505,MATCH(37,'Fund Research'!$U$6:$U$505,0))="","",37),"")</f>
        <v/>
      </c>
      <c r="B42" s="35">
        <f>IFERROR(INDEX('Fund Research'!$A$6:$A$505,MATCH(37,'Fund Research'!$U$6:$U$505,0)),"")</f>
        <v/>
      </c>
      <c r="C42" s="35">
        <f>IFERROR(INDEX('Fund Research'!$B$6:$B$505,MATCH(37,'Fund Research'!$U$6:$U$505,0)),"")</f>
        <v/>
      </c>
      <c r="D42" s="35">
        <f>IFERROR(INDEX('Fund Research'!$C$6:$C$505,MATCH(37,'Fund Research'!$U$6:$U$505,0)),"")</f>
        <v/>
      </c>
      <c r="E42" s="36">
        <f>IFERROR(INDEX('Fund Research'!$G$6:$G$505,MATCH(37,'Fund Research'!$U$6:$U$505,0)),"")</f>
        <v/>
      </c>
      <c r="F42" s="36">
        <f>IFERROR(INDEX('Fund Research'!$H$6:$H$505,MATCH(37,'Fund Research'!$U$6:$U$505,0)),"")</f>
        <v/>
      </c>
      <c r="G42" s="36">
        <f>IFERROR(INDEX('Fund Research'!$I$6:$I$505,MATCH(37,'Fund Research'!$U$6:$U$505,0)),"")</f>
        <v/>
      </c>
      <c r="H42" s="37">
        <f>IFERROR(INDEX('Fund Research'!$J$6:$J$505,MATCH(37,'Fund Research'!$U$6:$U$505,0)),"")</f>
        <v/>
      </c>
      <c r="I42" s="38">
        <f>IFERROR(INDEX('Fund Research'!$L$6:$L$505,MATCH(37,'Fund Research'!$U$6:$U$505,0)),"")</f>
        <v/>
      </c>
      <c r="J42" s="37">
        <f>IFERROR(INDEX('Fund Research'!$N$6:$N$505,MATCH(37,'Fund Research'!$U$6:$U$505,0)),"")</f>
        <v/>
      </c>
      <c r="K42" s="37">
        <f>IFERROR(INDEX('Fund Research'!$P$6:$P$505,MATCH(37,'Fund Research'!$U$6:$U$505,0)),"")</f>
        <v/>
      </c>
      <c r="L42" s="35">
        <f>IFERROR(INDEX('Fund Research'!$S$6:$S$505,MATCH(37,'Fund Research'!$U$6:$U$505,0)),"")</f>
        <v/>
      </c>
      <c r="M42" s="35">
        <f>IFERROR(INDEX('Fund Research'!$T$6:$T$505,MATCH(37,'Fund Research'!$U$6:$U$505,0)),"")</f>
        <v/>
      </c>
    </row>
    <row r="43" ht="15" customHeight="1">
      <c r="A43" s="34">
        <f>IFERROR(IF(INDEX('Fund Research'!$B$6:$B$505,MATCH(38,'Fund Research'!$U$6:$U$505,0))="","",38),"")</f>
        <v/>
      </c>
      <c r="B43" s="35">
        <f>IFERROR(INDEX('Fund Research'!$A$6:$A$505,MATCH(38,'Fund Research'!$U$6:$U$505,0)),"")</f>
        <v/>
      </c>
      <c r="C43" s="35">
        <f>IFERROR(INDEX('Fund Research'!$B$6:$B$505,MATCH(38,'Fund Research'!$U$6:$U$505,0)),"")</f>
        <v/>
      </c>
      <c r="D43" s="35">
        <f>IFERROR(INDEX('Fund Research'!$C$6:$C$505,MATCH(38,'Fund Research'!$U$6:$U$505,0)),"")</f>
        <v/>
      </c>
      <c r="E43" s="36">
        <f>IFERROR(INDEX('Fund Research'!$G$6:$G$505,MATCH(38,'Fund Research'!$U$6:$U$505,0)),"")</f>
        <v/>
      </c>
      <c r="F43" s="36">
        <f>IFERROR(INDEX('Fund Research'!$H$6:$H$505,MATCH(38,'Fund Research'!$U$6:$U$505,0)),"")</f>
        <v/>
      </c>
      <c r="G43" s="36">
        <f>IFERROR(INDEX('Fund Research'!$I$6:$I$505,MATCH(38,'Fund Research'!$U$6:$U$505,0)),"")</f>
        <v/>
      </c>
      <c r="H43" s="37">
        <f>IFERROR(INDEX('Fund Research'!$J$6:$J$505,MATCH(38,'Fund Research'!$U$6:$U$505,0)),"")</f>
        <v/>
      </c>
      <c r="I43" s="38">
        <f>IFERROR(INDEX('Fund Research'!$L$6:$L$505,MATCH(38,'Fund Research'!$U$6:$U$505,0)),"")</f>
        <v/>
      </c>
      <c r="J43" s="37">
        <f>IFERROR(INDEX('Fund Research'!$N$6:$N$505,MATCH(38,'Fund Research'!$U$6:$U$505,0)),"")</f>
        <v/>
      </c>
      <c r="K43" s="37">
        <f>IFERROR(INDEX('Fund Research'!$P$6:$P$505,MATCH(38,'Fund Research'!$U$6:$U$505,0)),"")</f>
        <v/>
      </c>
      <c r="L43" s="35">
        <f>IFERROR(INDEX('Fund Research'!$S$6:$S$505,MATCH(38,'Fund Research'!$U$6:$U$505,0)),"")</f>
        <v/>
      </c>
      <c r="M43" s="35">
        <f>IFERROR(INDEX('Fund Research'!$T$6:$T$505,MATCH(38,'Fund Research'!$U$6:$U$505,0)),"")</f>
        <v/>
      </c>
    </row>
    <row r="44" ht="15" customHeight="1">
      <c r="A44" s="34">
        <f>IFERROR(IF(INDEX('Fund Research'!$B$6:$B$505,MATCH(39,'Fund Research'!$U$6:$U$505,0))="","",39),"")</f>
        <v/>
      </c>
      <c r="B44" s="35">
        <f>IFERROR(INDEX('Fund Research'!$A$6:$A$505,MATCH(39,'Fund Research'!$U$6:$U$505,0)),"")</f>
        <v/>
      </c>
      <c r="C44" s="35">
        <f>IFERROR(INDEX('Fund Research'!$B$6:$B$505,MATCH(39,'Fund Research'!$U$6:$U$505,0)),"")</f>
        <v/>
      </c>
      <c r="D44" s="35">
        <f>IFERROR(INDEX('Fund Research'!$C$6:$C$505,MATCH(39,'Fund Research'!$U$6:$U$505,0)),"")</f>
        <v/>
      </c>
      <c r="E44" s="36">
        <f>IFERROR(INDEX('Fund Research'!$G$6:$G$505,MATCH(39,'Fund Research'!$U$6:$U$505,0)),"")</f>
        <v/>
      </c>
      <c r="F44" s="36">
        <f>IFERROR(INDEX('Fund Research'!$H$6:$H$505,MATCH(39,'Fund Research'!$U$6:$U$505,0)),"")</f>
        <v/>
      </c>
      <c r="G44" s="36">
        <f>IFERROR(INDEX('Fund Research'!$I$6:$I$505,MATCH(39,'Fund Research'!$U$6:$U$505,0)),"")</f>
        <v/>
      </c>
      <c r="H44" s="37">
        <f>IFERROR(INDEX('Fund Research'!$J$6:$J$505,MATCH(39,'Fund Research'!$U$6:$U$505,0)),"")</f>
        <v/>
      </c>
      <c r="I44" s="38">
        <f>IFERROR(INDEX('Fund Research'!$L$6:$L$505,MATCH(39,'Fund Research'!$U$6:$U$505,0)),"")</f>
        <v/>
      </c>
      <c r="J44" s="37">
        <f>IFERROR(INDEX('Fund Research'!$N$6:$N$505,MATCH(39,'Fund Research'!$U$6:$U$505,0)),"")</f>
        <v/>
      </c>
      <c r="K44" s="37">
        <f>IFERROR(INDEX('Fund Research'!$P$6:$P$505,MATCH(39,'Fund Research'!$U$6:$U$505,0)),"")</f>
        <v/>
      </c>
      <c r="L44" s="35">
        <f>IFERROR(INDEX('Fund Research'!$S$6:$S$505,MATCH(39,'Fund Research'!$U$6:$U$505,0)),"")</f>
        <v/>
      </c>
      <c r="M44" s="35">
        <f>IFERROR(INDEX('Fund Research'!$T$6:$T$505,MATCH(39,'Fund Research'!$U$6:$U$505,0)),"")</f>
        <v/>
      </c>
    </row>
    <row r="45" ht="15" customHeight="1">
      <c r="A45" s="34">
        <f>IFERROR(IF(INDEX('Fund Research'!$B$6:$B$505,MATCH(40,'Fund Research'!$U$6:$U$505,0))="","",40),"")</f>
        <v/>
      </c>
      <c r="B45" s="35">
        <f>IFERROR(INDEX('Fund Research'!$A$6:$A$505,MATCH(40,'Fund Research'!$U$6:$U$505,0)),"")</f>
        <v/>
      </c>
      <c r="C45" s="35">
        <f>IFERROR(INDEX('Fund Research'!$B$6:$B$505,MATCH(40,'Fund Research'!$U$6:$U$505,0)),"")</f>
        <v/>
      </c>
      <c r="D45" s="35">
        <f>IFERROR(INDEX('Fund Research'!$C$6:$C$505,MATCH(40,'Fund Research'!$U$6:$U$505,0)),"")</f>
        <v/>
      </c>
      <c r="E45" s="36">
        <f>IFERROR(INDEX('Fund Research'!$G$6:$G$505,MATCH(40,'Fund Research'!$U$6:$U$505,0)),"")</f>
        <v/>
      </c>
      <c r="F45" s="36">
        <f>IFERROR(INDEX('Fund Research'!$H$6:$H$505,MATCH(40,'Fund Research'!$U$6:$U$505,0)),"")</f>
        <v/>
      </c>
      <c r="G45" s="36">
        <f>IFERROR(INDEX('Fund Research'!$I$6:$I$505,MATCH(40,'Fund Research'!$U$6:$U$505,0)),"")</f>
        <v/>
      </c>
      <c r="H45" s="37">
        <f>IFERROR(INDEX('Fund Research'!$J$6:$J$505,MATCH(40,'Fund Research'!$U$6:$U$505,0)),"")</f>
        <v/>
      </c>
      <c r="I45" s="38">
        <f>IFERROR(INDEX('Fund Research'!$L$6:$L$505,MATCH(40,'Fund Research'!$U$6:$U$505,0)),"")</f>
        <v/>
      </c>
      <c r="J45" s="37">
        <f>IFERROR(INDEX('Fund Research'!$N$6:$N$505,MATCH(40,'Fund Research'!$U$6:$U$505,0)),"")</f>
        <v/>
      </c>
      <c r="K45" s="37">
        <f>IFERROR(INDEX('Fund Research'!$P$6:$P$505,MATCH(40,'Fund Research'!$U$6:$U$505,0)),"")</f>
        <v/>
      </c>
      <c r="L45" s="35">
        <f>IFERROR(INDEX('Fund Research'!$S$6:$S$505,MATCH(40,'Fund Research'!$U$6:$U$505,0)),"")</f>
        <v/>
      </c>
      <c r="M45" s="35">
        <f>IFERROR(INDEX('Fund Research'!$T$6:$T$505,MATCH(40,'Fund Research'!$U$6:$U$505,0)),"")</f>
        <v/>
      </c>
    </row>
    <row r="46" ht="15" customHeight="1">
      <c r="A46" s="34">
        <f>IFERROR(IF(INDEX('Fund Research'!$B$6:$B$505,MATCH(41,'Fund Research'!$U$6:$U$505,0))="","",41),"")</f>
        <v/>
      </c>
      <c r="B46" s="35">
        <f>IFERROR(INDEX('Fund Research'!$A$6:$A$505,MATCH(41,'Fund Research'!$U$6:$U$505,0)),"")</f>
        <v/>
      </c>
      <c r="C46" s="35">
        <f>IFERROR(INDEX('Fund Research'!$B$6:$B$505,MATCH(41,'Fund Research'!$U$6:$U$505,0)),"")</f>
        <v/>
      </c>
      <c r="D46" s="35">
        <f>IFERROR(INDEX('Fund Research'!$C$6:$C$505,MATCH(41,'Fund Research'!$U$6:$U$505,0)),"")</f>
        <v/>
      </c>
      <c r="E46" s="36">
        <f>IFERROR(INDEX('Fund Research'!$G$6:$G$505,MATCH(41,'Fund Research'!$U$6:$U$505,0)),"")</f>
        <v/>
      </c>
      <c r="F46" s="36">
        <f>IFERROR(INDEX('Fund Research'!$H$6:$H$505,MATCH(41,'Fund Research'!$U$6:$U$505,0)),"")</f>
        <v/>
      </c>
      <c r="G46" s="36">
        <f>IFERROR(INDEX('Fund Research'!$I$6:$I$505,MATCH(41,'Fund Research'!$U$6:$U$505,0)),"")</f>
        <v/>
      </c>
      <c r="H46" s="37">
        <f>IFERROR(INDEX('Fund Research'!$J$6:$J$505,MATCH(41,'Fund Research'!$U$6:$U$505,0)),"")</f>
        <v/>
      </c>
      <c r="I46" s="38">
        <f>IFERROR(INDEX('Fund Research'!$L$6:$L$505,MATCH(41,'Fund Research'!$U$6:$U$505,0)),"")</f>
        <v/>
      </c>
      <c r="J46" s="37">
        <f>IFERROR(INDEX('Fund Research'!$N$6:$N$505,MATCH(41,'Fund Research'!$U$6:$U$505,0)),"")</f>
        <v/>
      </c>
      <c r="K46" s="37">
        <f>IFERROR(INDEX('Fund Research'!$P$6:$P$505,MATCH(41,'Fund Research'!$U$6:$U$505,0)),"")</f>
        <v/>
      </c>
      <c r="L46" s="35">
        <f>IFERROR(INDEX('Fund Research'!$S$6:$S$505,MATCH(41,'Fund Research'!$U$6:$U$505,0)),"")</f>
        <v/>
      </c>
      <c r="M46" s="35">
        <f>IFERROR(INDEX('Fund Research'!$T$6:$T$505,MATCH(41,'Fund Research'!$U$6:$U$505,0)),"")</f>
        <v/>
      </c>
    </row>
    <row r="47" ht="15" customHeight="1">
      <c r="A47" s="34">
        <f>IFERROR(IF(INDEX('Fund Research'!$B$6:$B$505,MATCH(42,'Fund Research'!$U$6:$U$505,0))="","",42),"")</f>
        <v/>
      </c>
      <c r="B47" s="35">
        <f>IFERROR(INDEX('Fund Research'!$A$6:$A$505,MATCH(42,'Fund Research'!$U$6:$U$505,0)),"")</f>
        <v/>
      </c>
      <c r="C47" s="35">
        <f>IFERROR(INDEX('Fund Research'!$B$6:$B$505,MATCH(42,'Fund Research'!$U$6:$U$505,0)),"")</f>
        <v/>
      </c>
      <c r="D47" s="35">
        <f>IFERROR(INDEX('Fund Research'!$C$6:$C$505,MATCH(42,'Fund Research'!$U$6:$U$505,0)),"")</f>
        <v/>
      </c>
      <c r="E47" s="36">
        <f>IFERROR(INDEX('Fund Research'!$G$6:$G$505,MATCH(42,'Fund Research'!$U$6:$U$505,0)),"")</f>
        <v/>
      </c>
      <c r="F47" s="36">
        <f>IFERROR(INDEX('Fund Research'!$H$6:$H$505,MATCH(42,'Fund Research'!$U$6:$U$505,0)),"")</f>
        <v/>
      </c>
      <c r="G47" s="36">
        <f>IFERROR(INDEX('Fund Research'!$I$6:$I$505,MATCH(42,'Fund Research'!$U$6:$U$505,0)),"")</f>
        <v/>
      </c>
      <c r="H47" s="37">
        <f>IFERROR(INDEX('Fund Research'!$J$6:$J$505,MATCH(42,'Fund Research'!$U$6:$U$505,0)),"")</f>
        <v/>
      </c>
      <c r="I47" s="38">
        <f>IFERROR(INDEX('Fund Research'!$L$6:$L$505,MATCH(42,'Fund Research'!$U$6:$U$505,0)),"")</f>
        <v/>
      </c>
      <c r="J47" s="37">
        <f>IFERROR(INDEX('Fund Research'!$N$6:$N$505,MATCH(42,'Fund Research'!$U$6:$U$505,0)),"")</f>
        <v/>
      </c>
      <c r="K47" s="37">
        <f>IFERROR(INDEX('Fund Research'!$P$6:$P$505,MATCH(42,'Fund Research'!$U$6:$U$505,0)),"")</f>
        <v/>
      </c>
      <c r="L47" s="35">
        <f>IFERROR(INDEX('Fund Research'!$S$6:$S$505,MATCH(42,'Fund Research'!$U$6:$U$505,0)),"")</f>
        <v/>
      </c>
      <c r="M47" s="35">
        <f>IFERROR(INDEX('Fund Research'!$T$6:$T$505,MATCH(42,'Fund Research'!$U$6:$U$505,0)),"")</f>
        <v/>
      </c>
    </row>
    <row r="48" ht="15" customHeight="1">
      <c r="A48" s="34">
        <f>IFERROR(IF(INDEX('Fund Research'!$B$6:$B$505,MATCH(43,'Fund Research'!$U$6:$U$505,0))="","",43),"")</f>
        <v/>
      </c>
      <c r="B48" s="35">
        <f>IFERROR(INDEX('Fund Research'!$A$6:$A$505,MATCH(43,'Fund Research'!$U$6:$U$505,0)),"")</f>
        <v/>
      </c>
      <c r="C48" s="35">
        <f>IFERROR(INDEX('Fund Research'!$B$6:$B$505,MATCH(43,'Fund Research'!$U$6:$U$505,0)),"")</f>
        <v/>
      </c>
      <c r="D48" s="35">
        <f>IFERROR(INDEX('Fund Research'!$C$6:$C$505,MATCH(43,'Fund Research'!$U$6:$U$505,0)),"")</f>
        <v/>
      </c>
      <c r="E48" s="36">
        <f>IFERROR(INDEX('Fund Research'!$G$6:$G$505,MATCH(43,'Fund Research'!$U$6:$U$505,0)),"")</f>
        <v/>
      </c>
      <c r="F48" s="36">
        <f>IFERROR(INDEX('Fund Research'!$H$6:$H$505,MATCH(43,'Fund Research'!$U$6:$U$505,0)),"")</f>
        <v/>
      </c>
      <c r="G48" s="36">
        <f>IFERROR(INDEX('Fund Research'!$I$6:$I$505,MATCH(43,'Fund Research'!$U$6:$U$505,0)),"")</f>
        <v/>
      </c>
      <c r="H48" s="37">
        <f>IFERROR(INDEX('Fund Research'!$J$6:$J$505,MATCH(43,'Fund Research'!$U$6:$U$505,0)),"")</f>
        <v/>
      </c>
      <c r="I48" s="38">
        <f>IFERROR(INDEX('Fund Research'!$L$6:$L$505,MATCH(43,'Fund Research'!$U$6:$U$505,0)),"")</f>
        <v/>
      </c>
      <c r="J48" s="37">
        <f>IFERROR(INDEX('Fund Research'!$N$6:$N$505,MATCH(43,'Fund Research'!$U$6:$U$505,0)),"")</f>
        <v/>
      </c>
      <c r="K48" s="37">
        <f>IFERROR(INDEX('Fund Research'!$P$6:$P$505,MATCH(43,'Fund Research'!$U$6:$U$505,0)),"")</f>
        <v/>
      </c>
      <c r="L48" s="35">
        <f>IFERROR(INDEX('Fund Research'!$S$6:$S$505,MATCH(43,'Fund Research'!$U$6:$U$505,0)),"")</f>
        <v/>
      </c>
      <c r="M48" s="35">
        <f>IFERROR(INDEX('Fund Research'!$T$6:$T$505,MATCH(43,'Fund Research'!$U$6:$U$505,0)),"")</f>
        <v/>
      </c>
    </row>
    <row r="49" ht="15" customHeight="1">
      <c r="A49" s="34">
        <f>IFERROR(IF(INDEX('Fund Research'!$B$6:$B$505,MATCH(44,'Fund Research'!$U$6:$U$505,0))="","",44),"")</f>
        <v/>
      </c>
      <c r="B49" s="35">
        <f>IFERROR(INDEX('Fund Research'!$A$6:$A$505,MATCH(44,'Fund Research'!$U$6:$U$505,0)),"")</f>
        <v/>
      </c>
      <c r="C49" s="35">
        <f>IFERROR(INDEX('Fund Research'!$B$6:$B$505,MATCH(44,'Fund Research'!$U$6:$U$505,0)),"")</f>
        <v/>
      </c>
      <c r="D49" s="35">
        <f>IFERROR(INDEX('Fund Research'!$C$6:$C$505,MATCH(44,'Fund Research'!$U$6:$U$505,0)),"")</f>
        <v/>
      </c>
      <c r="E49" s="36">
        <f>IFERROR(INDEX('Fund Research'!$G$6:$G$505,MATCH(44,'Fund Research'!$U$6:$U$505,0)),"")</f>
        <v/>
      </c>
      <c r="F49" s="36">
        <f>IFERROR(INDEX('Fund Research'!$H$6:$H$505,MATCH(44,'Fund Research'!$U$6:$U$505,0)),"")</f>
        <v/>
      </c>
      <c r="G49" s="36">
        <f>IFERROR(INDEX('Fund Research'!$I$6:$I$505,MATCH(44,'Fund Research'!$U$6:$U$505,0)),"")</f>
        <v/>
      </c>
      <c r="H49" s="37">
        <f>IFERROR(INDEX('Fund Research'!$J$6:$J$505,MATCH(44,'Fund Research'!$U$6:$U$505,0)),"")</f>
        <v/>
      </c>
      <c r="I49" s="38">
        <f>IFERROR(INDEX('Fund Research'!$L$6:$L$505,MATCH(44,'Fund Research'!$U$6:$U$505,0)),"")</f>
        <v/>
      </c>
      <c r="J49" s="37">
        <f>IFERROR(INDEX('Fund Research'!$N$6:$N$505,MATCH(44,'Fund Research'!$U$6:$U$505,0)),"")</f>
        <v/>
      </c>
      <c r="K49" s="37">
        <f>IFERROR(INDEX('Fund Research'!$P$6:$P$505,MATCH(44,'Fund Research'!$U$6:$U$505,0)),"")</f>
        <v/>
      </c>
      <c r="L49" s="35">
        <f>IFERROR(INDEX('Fund Research'!$S$6:$S$505,MATCH(44,'Fund Research'!$U$6:$U$505,0)),"")</f>
        <v/>
      </c>
      <c r="M49" s="35">
        <f>IFERROR(INDEX('Fund Research'!$T$6:$T$505,MATCH(44,'Fund Research'!$U$6:$U$505,0)),"")</f>
        <v/>
      </c>
    </row>
    <row r="50" ht="15" customHeight="1">
      <c r="A50" s="34">
        <f>IFERROR(IF(INDEX('Fund Research'!$B$6:$B$505,MATCH(45,'Fund Research'!$U$6:$U$505,0))="","",45),"")</f>
        <v/>
      </c>
      <c r="B50" s="35">
        <f>IFERROR(INDEX('Fund Research'!$A$6:$A$505,MATCH(45,'Fund Research'!$U$6:$U$505,0)),"")</f>
        <v/>
      </c>
      <c r="C50" s="35">
        <f>IFERROR(INDEX('Fund Research'!$B$6:$B$505,MATCH(45,'Fund Research'!$U$6:$U$505,0)),"")</f>
        <v/>
      </c>
      <c r="D50" s="35">
        <f>IFERROR(INDEX('Fund Research'!$C$6:$C$505,MATCH(45,'Fund Research'!$U$6:$U$505,0)),"")</f>
        <v/>
      </c>
      <c r="E50" s="36">
        <f>IFERROR(INDEX('Fund Research'!$G$6:$G$505,MATCH(45,'Fund Research'!$U$6:$U$505,0)),"")</f>
        <v/>
      </c>
      <c r="F50" s="36">
        <f>IFERROR(INDEX('Fund Research'!$H$6:$H$505,MATCH(45,'Fund Research'!$U$6:$U$505,0)),"")</f>
        <v/>
      </c>
      <c r="G50" s="36">
        <f>IFERROR(INDEX('Fund Research'!$I$6:$I$505,MATCH(45,'Fund Research'!$U$6:$U$505,0)),"")</f>
        <v/>
      </c>
      <c r="H50" s="37">
        <f>IFERROR(INDEX('Fund Research'!$J$6:$J$505,MATCH(45,'Fund Research'!$U$6:$U$505,0)),"")</f>
        <v/>
      </c>
      <c r="I50" s="38">
        <f>IFERROR(INDEX('Fund Research'!$L$6:$L$505,MATCH(45,'Fund Research'!$U$6:$U$505,0)),"")</f>
        <v/>
      </c>
      <c r="J50" s="37">
        <f>IFERROR(INDEX('Fund Research'!$N$6:$N$505,MATCH(45,'Fund Research'!$U$6:$U$505,0)),"")</f>
        <v/>
      </c>
      <c r="K50" s="37">
        <f>IFERROR(INDEX('Fund Research'!$P$6:$P$505,MATCH(45,'Fund Research'!$U$6:$U$505,0)),"")</f>
        <v/>
      </c>
      <c r="L50" s="35">
        <f>IFERROR(INDEX('Fund Research'!$S$6:$S$505,MATCH(45,'Fund Research'!$U$6:$U$505,0)),"")</f>
        <v/>
      </c>
      <c r="M50" s="35">
        <f>IFERROR(INDEX('Fund Research'!$T$6:$T$505,MATCH(45,'Fund Research'!$U$6:$U$505,0)),"")</f>
        <v/>
      </c>
    </row>
    <row r="51" ht="15" customHeight="1">
      <c r="A51" s="34">
        <f>IFERROR(IF(INDEX('Fund Research'!$B$6:$B$505,MATCH(46,'Fund Research'!$U$6:$U$505,0))="","",46),"")</f>
        <v/>
      </c>
      <c r="B51" s="35">
        <f>IFERROR(INDEX('Fund Research'!$A$6:$A$505,MATCH(46,'Fund Research'!$U$6:$U$505,0)),"")</f>
        <v/>
      </c>
      <c r="C51" s="35">
        <f>IFERROR(INDEX('Fund Research'!$B$6:$B$505,MATCH(46,'Fund Research'!$U$6:$U$505,0)),"")</f>
        <v/>
      </c>
      <c r="D51" s="35">
        <f>IFERROR(INDEX('Fund Research'!$C$6:$C$505,MATCH(46,'Fund Research'!$U$6:$U$505,0)),"")</f>
        <v/>
      </c>
      <c r="E51" s="36">
        <f>IFERROR(INDEX('Fund Research'!$G$6:$G$505,MATCH(46,'Fund Research'!$U$6:$U$505,0)),"")</f>
        <v/>
      </c>
      <c r="F51" s="36">
        <f>IFERROR(INDEX('Fund Research'!$H$6:$H$505,MATCH(46,'Fund Research'!$U$6:$U$505,0)),"")</f>
        <v/>
      </c>
      <c r="G51" s="36">
        <f>IFERROR(INDEX('Fund Research'!$I$6:$I$505,MATCH(46,'Fund Research'!$U$6:$U$505,0)),"")</f>
        <v/>
      </c>
      <c r="H51" s="37">
        <f>IFERROR(INDEX('Fund Research'!$J$6:$J$505,MATCH(46,'Fund Research'!$U$6:$U$505,0)),"")</f>
        <v/>
      </c>
      <c r="I51" s="38">
        <f>IFERROR(INDEX('Fund Research'!$L$6:$L$505,MATCH(46,'Fund Research'!$U$6:$U$505,0)),"")</f>
        <v/>
      </c>
      <c r="J51" s="37">
        <f>IFERROR(INDEX('Fund Research'!$N$6:$N$505,MATCH(46,'Fund Research'!$U$6:$U$505,0)),"")</f>
        <v/>
      </c>
      <c r="K51" s="37">
        <f>IFERROR(INDEX('Fund Research'!$P$6:$P$505,MATCH(46,'Fund Research'!$U$6:$U$505,0)),"")</f>
        <v/>
      </c>
      <c r="L51" s="35">
        <f>IFERROR(INDEX('Fund Research'!$S$6:$S$505,MATCH(46,'Fund Research'!$U$6:$U$505,0)),"")</f>
        <v/>
      </c>
      <c r="M51" s="35">
        <f>IFERROR(INDEX('Fund Research'!$T$6:$T$505,MATCH(46,'Fund Research'!$U$6:$U$505,0)),"")</f>
        <v/>
      </c>
    </row>
    <row r="52" ht="15" customHeight="1">
      <c r="A52" s="34">
        <f>IFERROR(IF(INDEX('Fund Research'!$B$6:$B$505,MATCH(47,'Fund Research'!$U$6:$U$505,0))="","",47),"")</f>
        <v/>
      </c>
      <c r="B52" s="35">
        <f>IFERROR(INDEX('Fund Research'!$A$6:$A$505,MATCH(47,'Fund Research'!$U$6:$U$505,0)),"")</f>
        <v/>
      </c>
      <c r="C52" s="35">
        <f>IFERROR(INDEX('Fund Research'!$B$6:$B$505,MATCH(47,'Fund Research'!$U$6:$U$505,0)),"")</f>
        <v/>
      </c>
      <c r="D52" s="35">
        <f>IFERROR(INDEX('Fund Research'!$C$6:$C$505,MATCH(47,'Fund Research'!$U$6:$U$505,0)),"")</f>
        <v/>
      </c>
      <c r="E52" s="36">
        <f>IFERROR(INDEX('Fund Research'!$G$6:$G$505,MATCH(47,'Fund Research'!$U$6:$U$505,0)),"")</f>
        <v/>
      </c>
      <c r="F52" s="36">
        <f>IFERROR(INDEX('Fund Research'!$H$6:$H$505,MATCH(47,'Fund Research'!$U$6:$U$505,0)),"")</f>
        <v/>
      </c>
      <c r="G52" s="36">
        <f>IFERROR(INDEX('Fund Research'!$I$6:$I$505,MATCH(47,'Fund Research'!$U$6:$U$505,0)),"")</f>
        <v/>
      </c>
      <c r="H52" s="37">
        <f>IFERROR(INDEX('Fund Research'!$J$6:$J$505,MATCH(47,'Fund Research'!$U$6:$U$505,0)),"")</f>
        <v/>
      </c>
      <c r="I52" s="38">
        <f>IFERROR(INDEX('Fund Research'!$L$6:$L$505,MATCH(47,'Fund Research'!$U$6:$U$505,0)),"")</f>
        <v/>
      </c>
      <c r="J52" s="37">
        <f>IFERROR(INDEX('Fund Research'!$N$6:$N$505,MATCH(47,'Fund Research'!$U$6:$U$505,0)),"")</f>
        <v/>
      </c>
      <c r="K52" s="37">
        <f>IFERROR(INDEX('Fund Research'!$P$6:$P$505,MATCH(47,'Fund Research'!$U$6:$U$505,0)),"")</f>
        <v/>
      </c>
      <c r="L52" s="35">
        <f>IFERROR(INDEX('Fund Research'!$S$6:$S$505,MATCH(47,'Fund Research'!$U$6:$U$505,0)),"")</f>
        <v/>
      </c>
      <c r="M52" s="35">
        <f>IFERROR(INDEX('Fund Research'!$T$6:$T$505,MATCH(47,'Fund Research'!$U$6:$U$505,0)),"")</f>
        <v/>
      </c>
    </row>
    <row r="53" ht="15" customHeight="1">
      <c r="A53" s="34">
        <f>IFERROR(IF(INDEX('Fund Research'!$B$6:$B$505,MATCH(48,'Fund Research'!$U$6:$U$505,0))="","",48),"")</f>
        <v/>
      </c>
      <c r="B53" s="35">
        <f>IFERROR(INDEX('Fund Research'!$A$6:$A$505,MATCH(48,'Fund Research'!$U$6:$U$505,0)),"")</f>
        <v/>
      </c>
      <c r="C53" s="35">
        <f>IFERROR(INDEX('Fund Research'!$B$6:$B$505,MATCH(48,'Fund Research'!$U$6:$U$505,0)),"")</f>
        <v/>
      </c>
      <c r="D53" s="35">
        <f>IFERROR(INDEX('Fund Research'!$C$6:$C$505,MATCH(48,'Fund Research'!$U$6:$U$505,0)),"")</f>
        <v/>
      </c>
      <c r="E53" s="36">
        <f>IFERROR(INDEX('Fund Research'!$G$6:$G$505,MATCH(48,'Fund Research'!$U$6:$U$505,0)),"")</f>
        <v/>
      </c>
      <c r="F53" s="36">
        <f>IFERROR(INDEX('Fund Research'!$H$6:$H$505,MATCH(48,'Fund Research'!$U$6:$U$505,0)),"")</f>
        <v/>
      </c>
      <c r="G53" s="36">
        <f>IFERROR(INDEX('Fund Research'!$I$6:$I$505,MATCH(48,'Fund Research'!$U$6:$U$505,0)),"")</f>
        <v/>
      </c>
      <c r="H53" s="37">
        <f>IFERROR(INDEX('Fund Research'!$J$6:$J$505,MATCH(48,'Fund Research'!$U$6:$U$505,0)),"")</f>
        <v/>
      </c>
      <c r="I53" s="38">
        <f>IFERROR(INDEX('Fund Research'!$L$6:$L$505,MATCH(48,'Fund Research'!$U$6:$U$505,0)),"")</f>
        <v/>
      </c>
      <c r="J53" s="37">
        <f>IFERROR(INDEX('Fund Research'!$N$6:$N$505,MATCH(48,'Fund Research'!$U$6:$U$505,0)),"")</f>
        <v/>
      </c>
      <c r="K53" s="37">
        <f>IFERROR(INDEX('Fund Research'!$P$6:$P$505,MATCH(48,'Fund Research'!$U$6:$U$505,0)),"")</f>
        <v/>
      </c>
      <c r="L53" s="35">
        <f>IFERROR(INDEX('Fund Research'!$S$6:$S$505,MATCH(48,'Fund Research'!$U$6:$U$505,0)),"")</f>
        <v/>
      </c>
      <c r="M53" s="35">
        <f>IFERROR(INDEX('Fund Research'!$T$6:$T$505,MATCH(48,'Fund Research'!$U$6:$U$505,0)),"")</f>
        <v/>
      </c>
    </row>
    <row r="54" ht="15" customHeight="1">
      <c r="A54" s="34">
        <f>IFERROR(IF(INDEX('Fund Research'!$B$6:$B$505,MATCH(49,'Fund Research'!$U$6:$U$505,0))="","",49),"")</f>
        <v/>
      </c>
      <c r="B54" s="35">
        <f>IFERROR(INDEX('Fund Research'!$A$6:$A$505,MATCH(49,'Fund Research'!$U$6:$U$505,0)),"")</f>
        <v/>
      </c>
      <c r="C54" s="35">
        <f>IFERROR(INDEX('Fund Research'!$B$6:$B$505,MATCH(49,'Fund Research'!$U$6:$U$505,0)),"")</f>
        <v/>
      </c>
      <c r="D54" s="35">
        <f>IFERROR(INDEX('Fund Research'!$C$6:$C$505,MATCH(49,'Fund Research'!$U$6:$U$505,0)),"")</f>
        <v/>
      </c>
      <c r="E54" s="36">
        <f>IFERROR(INDEX('Fund Research'!$G$6:$G$505,MATCH(49,'Fund Research'!$U$6:$U$505,0)),"")</f>
        <v/>
      </c>
      <c r="F54" s="36">
        <f>IFERROR(INDEX('Fund Research'!$H$6:$H$505,MATCH(49,'Fund Research'!$U$6:$U$505,0)),"")</f>
        <v/>
      </c>
      <c r="G54" s="36">
        <f>IFERROR(INDEX('Fund Research'!$I$6:$I$505,MATCH(49,'Fund Research'!$U$6:$U$505,0)),"")</f>
        <v/>
      </c>
      <c r="H54" s="37">
        <f>IFERROR(INDEX('Fund Research'!$J$6:$J$505,MATCH(49,'Fund Research'!$U$6:$U$505,0)),"")</f>
        <v/>
      </c>
      <c r="I54" s="38">
        <f>IFERROR(INDEX('Fund Research'!$L$6:$L$505,MATCH(49,'Fund Research'!$U$6:$U$505,0)),"")</f>
        <v/>
      </c>
      <c r="J54" s="37">
        <f>IFERROR(INDEX('Fund Research'!$N$6:$N$505,MATCH(49,'Fund Research'!$U$6:$U$505,0)),"")</f>
        <v/>
      </c>
      <c r="K54" s="37">
        <f>IFERROR(INDEX('Fund Research'!$P$6:$P$505,MATCH(49,'Fund Research'!$U$6:$U$505,0)),"")</f>
        <v/>
      </c>
      <c r="L54" s="35">
        <f>IFERROR(INDEX('Fund Research'!$S$6:$S$505,MATCH(49,'Fund Research'!$U$6:$U$505,0)),"")</f>
        <v/>
      </c>
      <c r="M54" s="35">
        <f>IFERROR(INDEX('Fund Research'!$T$6:$T$505,MATCH(49,'Fund Research'!$U$6:$U$505,0)),"")</f>
        <v/>
      </c>
    </row>
    <row r="55" ht="15" customHeight="1">
      <c r="A55" s="34">
        <f>IFERROR(IF(INDEX('Fund Research'!$B$6:$B$505,MATCH(50,'Fund Research'!$U$6:$U$505,0))="","",50),"")</f>
        <v/>
      </c>
      <c r="B55" s="35">
        <f>IFERROR(INDEX('Fund Research'!$A$6:$A$505,MATCH(50,'Fund Research'!$U$6:$U$505,0)),"")</f>
        <v/>
      </c>
      <c r="C55" s="35">
        <f>IFERROR(INDEX('Fund Research'!$B$6:$B$505,MATCH(50,'Fund Research'!$U$6:$U$505,0)),"")</f>
        <v/>
      </c>
      <c r="D55" s="35">
        <f>IFERROR(INDEX('Fund Research'!$C$6:$C$505,MATCH(50,'Fund Research'!$U$6:$U$505,0)),"")</f>
        <v/>
      </c>
      <c r="E55" s="36">
        <f>IFERROR(INDEX('Fund Research'!$G$6:$G$505,MATCH(50,'Fund Research'!$U$6:$U$505,0)),"")</f>
        <v/>
      </c>
      <c r="F55" s="36">
        <f>IFERROR(INDEX('Fund Research'!$H$6:$H$505,MATCH(50,'Fund Research'!$U$6:$U$505,0)),"")</f>
        <v/>
      </c>
      <c r="G55" s="36">
        <f>IFERROR(INDEX('Fund Research'!$I$6:$I$505,MATCH(50,'Fund Research'!$U$6:$U$505,0)),"")</f>
        <v/>
      </c>
      <c r="H55" s="37">
        <f>IFERROR(INDEX('Fund Research'!$J$6:$J$505,MATCH(50,'Fund Research'!$U$6:$U$505,0)),"")</f>
        <v/>
      </c>
      <c r="I55" s="38">
        <f>IFERROR(INDEX('Fund Research'!$L$6:$L$505,MATCH(50,'Fund Research'!$U$6:$U$505,0)),"")</f>
        <v/>
      </c>
      <c r="J55" s="37">
        <f>IFERROR(INDEX('Fund Research'!$N$6:$N$505,MATCH(50,'Fund Research'!$U$6:$U$505,0)),"")</f>
        <v/>
      </c>
      <c r="K55" s="37">
        <f>IFERROR(INDEX('Fund Research'!$P$6:$P$505,MATCH(50,'Fund Research'!$U$6:$U$505,0)),"")</f>
        <v/>
      </c>
      <c r="L55" s="35">
        <f>IFERROR(INDEX('Fund Research'!$S$6:$S$505,MATCH(50,'Fund Research'!$U$6:$U$505,0)),"")</f>
        <v/>
      </c>
      <c r="M55" s="35">
        <f>IFERROR(INDEX('Fund Research'!$T$6:$T$505,MATCH(50,'Fund Research'!$U$6:$U$505,0)),"")</f>
        <v/>
      </c>
    </row>
    <row r="56" ht="15" customHeight="1">
      <c r="A56" s="34">
        <f>IFERROR(IF(INDEX('Fund Research'!$B$6:$B$505,MATCH(51,'Fund Research'!$U$6:$U$505,0))="","",51),"")</f>
        <v/>
      </c>
      <c r="B56" s="35">
        <f>IFERROR(INDEX('Fund Research'!$A$6:$A$505,MATCH(51,'Fund Research'!$U$6:$U$505,0)),"")</f>
        <v/>
      </c>
      <c r="C56" s="35">
        <f>IFERROR(INDEX('Fund Research'!$B$6:$B$505,MATCH(51,'Fund Research'!$U$6:$U$505,0)),"")</f>
        <v/>
      </c>
      <c r="D56" s="35">
        <f>IFERROR(INDEX('Fund Research'!$C$6:$C$505,MATCH(51,'Fund Research'!$U$6:$U$505,0)),"")</f>
        <v/>
      </c>
      <c r="E56" s="36">
        <f>IFERROR(INDEX('Fund Research'!$G$6:$G$505,MATCH(51,'Fund Research'!$U$6:$U$505,0)),"")</f>
        <v/>
      </c>
      <c r="F56" s="36">
        <f>IFERROR(INDEX('Fund Research'!$H$6:$H$505,MATCH(51,'Fund Research'!$U$6:$U$505,0)),"")</f>
        <v/>
      </c>
      <c r="G56" s="36">
        <f>IFERROR(INDEX('Fund Research'!$I$6:$I$505,MATCH(51,'Fund Research'!$U$6:$U$505,0)),"")</f>
        <v/>
      </c>
      <c r="H56" s="37">
        <f>IFERROR(INDEX('Fund Research'!$J$6:$J$505,MATCH(51,'Fund Research'!$U$6:$U$505,0)),"")</f>
        <v/>
      </c>
      <c r="I56" s="38">
        <f>IFERROR(INDEX('Fund Research'!$L$6:$L$505,MATCH(51,'Fund Research'!$U$6:$U$505,0)),"")</f>
        <v/>
      </c>
      <c r="J56" s="37">
        <f>IFERROR(INDEX('Fund Research'!$N$6:$N$505,MATCH(51,'Fund Research'!$U$6:$U$505,0)),"")</f>
        <v/>
      </c>
      <c r="K56" s="37">
        <f>IFERROR(INDEX('Fund Research'!$P$6:$P$505,MATCH(51,'Fund Research'!$U$6:$U$505,0)),"")</f>
        <v/>
      </c>
      <c r="L56" s="35">
        <f>IFERROR(INDEX('Fund Research'!$S$6:$S$505,MATCH(51,'Fund Research'!$U$6:$U$505,0)),"")</f>
        <v/>
      </c>
      <c r="M56" s="35">
        <f>IFERROR(INDEX('Fund Research'!$T$6:$T$505,MATCH(51,'Fund Research'!$U$6:$U$505,0)),"")</f>
        <v/>
      </c>
    </row>
    <row r="57" ht="15" customHeight="1">
      <c r="A57" s="34">
        <f>IFERROR(IF(INDEX('Fund Research'!$B$6:$B$505,MATCH(52,'Fund Research'!$U$6:$U$505,0))="","",52),"")</f>
        <v/>
      </c>
      <c r="B57" s="35">
        <f>IFERROR(INDEX('Fund Research'!$A$6:$A$505,MATCH(52,'Fund Research'!$U$6:$U$505,0)),"")</f>
        <v/>
      </c>
      <c r="C57" s="35">
        <f>IFERROR(INDEX('Fund Research'!$B$6:$B$505,MATCH(52,'Fund Research'!$U$6:$U$505,0)),"")</f>
        <v/>
      </c>
      <c r="D57" s="35">
        <f>IFERROR(INDEX('Fund Research'!$C$6:$C$505,MATCH(52,'Fund Research'!$U$6:$U$505,0)),"")</f>
        <v/>
      </c>
      <c r="E57" s="36">
        <f>IFERROR(INDEX('Fund Research'!$G$6:$G$505,MATCH(52,'Fund Research'!$U$6:$U$505,0)),"")</f>
        <v/>
      </c>
      <c r="F57" s="36">
        <f>IFERROR(INDEX('Fund Research'!$H$6:$H$505,MATCH(52,'Fund Research'!$U$6:$U$505,0)),"")</f>
        <v/>
      </c>
      <c r="G57" s="36">
        <f>IFERROR(INDEX('Fund Research'!$I$6:$I$505,MATCH(52,'Fund Research'!$U$6:$U$505,0)),"")</f>
        <v/>
      </c>
      <c r="H57" s="37">
        <f>IFERROR(INDEX('Fund Research'!$J$6:$J$505,MATCH(52,'Fund Research'!$U$6:$U$505,0)),"")</f>
        <v/>
      </c>
      <c r="I57" s="38">
        <f>IFERROR(INDEX('Fund Research'!$L$6:$L$505,MATCH(52,'Fund Research'!$U$6:$U$505,0)),"")</f>
        <v/>
      </c>
      <c r="J57" s="37">
        <f>IFERROR(INDEX('Fund Research'!$N$6:$N$505,MATCH(52,'Fund Research'!$U$6:$U$505,0)),"")</f>
        <v/>
      </c>
      <c r="K57" s="37">
        <f>IFERROR(INDEX('Fund Research'!$P$6:$P$505,MATCH(52,'Fund Research'!$U$6:$U$505,0)),"")</f>
        <v/>
      </c>
      <c r="L57" s="35">
        <f>IFERROR(INDEX('Fund Research'!$S$6:$S$505,MATCH(52,'Fund Research'!$U$6:$U$505,0)),"")</f>
        <v/>
      </c>
      <c r="M57" s="35">
        <f>IFERROR(INDEX('Fund Research'!$T$6:$T$505,MATCH(52,'Fund Research'!$U$6:$U$505,0)),"")</f>
        <v/>
      </c>
    </row>
    <row r="58" ht="15" customHeight="1">
      <c r="A58" s="34">
        <f>IFERROR(IF(INDEX('Fund Research'!$B$6:$B$505,MATCH(53,'Fund Research'!$U$6:$U$505,0))="","",53),"")</f>
        <v/>
      </c>
      <c r="B58" s="35">
        <f>IFERROR(INDEX('Fund Research'!$A$6:$A$505,MATCH(53,'Fund Research'!$U$6:$U$505,0)),"")</f>
        <v/>
      </c>
      <c r="C58" s="35">
        <f>IFERROR(INDEX('Fund Research'!$B$6:$B$505,MATCH(53,'Fund Research'!$U$6:$U$505,0)),"")</f>
        <v/>
      </c>
      <c r="D58" s="35">
        <f>IFERROR(INDEX('Fund Research'!$C$6:$C$505,MATCH(53,'Fund Research'!$U$6:$U$505,0)),"")</f>
        <v/>
      </c>
      <c r="E58" s="36">
        <f>IFERROR(INDEX('Fund Research'!$G$6:$G$505,MATCH(53,'Fund Research'!$U$6:$U$505,0)),"")</f>
        <v/>
      </c>
      <c r="F58" s="36">
        <f>IFERROR(INDEX('Fund Research'!$H$6:$H$505,MATCH(53,'Fund Research'!$U$6:$U$505,0)),"")</f>
        <v/>
      </c>
      <c r="G58" s="36">
        <f>IFERROR(INDEX('Fund Research'!$I$6:$I$505,MATCH(53,'Fund Research'!$U$6:$U$505,0)),"")</f>
        <v/>
      </c>
      <c r="H58" s="37">
        <f>IFERROR(INDEX('Fund Research'!$J$6:$J$505,MATCH(53,'Fund Research'!$U$6:$U$505,0)),"")</f>
        <v/>
      </c>
      <c r="I58" s="38">
        <f>IFERROR(INDEX('Fund Research'!$L$6:$L$505,MATCH(53,'Fund Research'!$U$6:$U$505,0)),"")</f>
        <v/>
      </c>
      <c r="J58" s="37">
        <f>IFERROR(INDEX('Fund Research'!$N$6:$N$505,MATCH(53,'Fund Research'!$U$6:$U$505,0)),"")</f>
        <v/>
      </c>
      <c r="K58" s="37">
        <f>IFERROR(INDEX('Fund Research'!$P$6:$P$505,MATCH(53,'Fund Research'!$U$6:$U$505,0)),"")</f>
        <v/>
      </c>
      <c r="L58" s="35">
        <f>IFERROR(INDEX('Fund Research'!$S$6:$S$505,MATCH(53,'Fund Research'!$U$6:$U$505,0)),"")</f>
        <v/>
      </c>
      <c r="M58" s="35">
        <f>IFERROR(INDEX('Fund Research'!$T$6:$T$505,MATCH(53,'Fund Research'!$U$6:$U$505,0)),"")</f>
        <v/>
      </c>
    </row>
    <row r="59" ht="15" customHeight="1">
      <c r="A59" s="34">
        <f>IFERROR(IF(INDEX('Fund Research'!$B$6:$B$505,MATCH(54,'Fund Research'!$U$6:$U$505,0))="","",54),"")</f>
        <v/>
      </c>
      <c r="B59" s="35">
        <f>IFERROR(INDEX('Fund Research'!$A$6:$A$505,MATCH(54,'Fund Research'!$U$6:$U$505,0)),"")</f>
        <v/>
      </c>
      <c r="C59" s="35">
        <f>IFERROR(INDEX('Fund Research'!$B$6:$B$505,MATCH(54,'Fund Research'!$U$6:$U$505,0)),"")</f>
        <v/>
      </c>
      <c r="D59" s="35">
        <f>IFERROR(INDEX('Fund Research'!$C$6:$C$505,MATCH(54,'Fund Research'!$U$6:$U$505,0)),"")</f>
        <v/>
      </c>
      <c r="E59" s="36">
        <f>IFERROR(INDEX('Fund Research'!$G$6:$G$505,MATCH(54,'Fund Research'!$U$6:$U$505,0)),"")</f>
        <v/>
      </c>
      <c r="F59" s="36">
        <f>IFERROR(INDEX('Fund Research'!$H$6:$H$505,MATCH(54,'Fund Research'!$U$6:$U$505,0)),"")</f>
        <v/>
      </c>
      <c r="G59" s="36">
        <f>IFERROR(INDEX('Fund Research'!$I$6:$I$505,MATCH(54,'Fund Research'!$U$6:$U$505,0)),"")</f>
        <v/>
      </c>
      <c r="H59" s="37">
        <f>IFERROR(INDEX('Fund Research'!$J$6:$J$505,MATCH(54,'Fund Research'!$U$6:$U$505,0)),"")</f>
        <v/>
      </c>
      <c r="I59" s="38">
        <f>IFERROR(INDEX('Fund Research'!$L$6:$L$505,MATCH(54,'Fund Research'!$U$6:$U$505,0)),"")</f>
        <v/>
      </c>
      <c r="J59" s="37">
        <f>IFERROR(INDEX('Fund Research'!$N$6:$N$505,MATCH(54,'Fund Research'!$U$6:$U$505,0)),"")</f>
        <v/>
      </c>
      <c r="K59" s="37">
        <f>IFERROR(INDEX('Fund Research'!$P$6:$P$505,MATCH(54,'Fund Research'!$U$6:$U$505,0)),"")</f>
        <v/>
      </c>
      <c r="L59" s="35">
        <f>IFERROR(INDEX('Fund Research'!$S$6:$S$505,MATCH(54,'Fund Research'!$U$6:$U$505,0)),"")</f>
        <v/>
      </c>
      <c r="M59" s="35">
        <f>IFERROR(INDEX('Fund Research'!$T$6:$T$505,MATCH(54,'Fund Research'!$U$6:$U$505,0)),"")</f>
        <v/>
      </c>
    </row>
    <row r="60" ht="15" customHeight="1">
      <c r="A60" s="34">
        <f>IFERROR(IF(INDEX('Fund Research'!$B$6:$B$505,MATCH(55,'Fund Research'!$U$6:$U$505,0))="","",55),"")</f>
        <v/>
      </c>
      <c r="B60" s="35">
        <f>IFERROR(INDEX('Fund Research'!$A$6:$A$505,MATCH(55,'Fund Research'!$U$6:$U$505,0)),"")</f>
        <v/>
      </c>
      <c r="C60" s="35">
        <f>IFERROR(INDEX('Fund Research'!$B$6:$B$505,MATCH(55,'Fund Research'!$U$6:$U$505,0)),"")</f>
        <v/>
      </c>
      <c r="D60" s="35">
        <f>IFERROR(INDEX('Fund Research'!$C$6:$C$505,MATCH(55,'Fund Research'!$U$6:$U$505,0)),"")</f>
        <v/>
      </c>
      <c r="E60" s="36">
        <f>IFERROR(INDEX('Fund Research'!$G$6:$G$505,MATCH(55,'Fund Research'!$U$6:$U$505,0)),"")</f>
        <v/>
      </c>
      <c r="F60" s="36">
        <f>IFERROR(INDEX('Fund Research'!$H$6:$H$505,MATCH(55,'Fund Research'!$U$6:$U$505,0)),"")</f>
        <v/>
      </c>
      <c r="G60" s="36">
        <f>IFERROR(INDEX('Fund Research'!$I$6:$I$505,MATCH(55,'Fund Research'!$U$6:$U$505,0)),"")</f>
        <v/>
      </c>
      <c r="H60" s="37">
        <f>IFERROR(INDEX('Fund Research'!$J$6:$J$505,MATCH(55,'Fund Research'!$U$6:$U$505,0)),"")</f>
        <v/>
      </c>
      <c r="I60" s="38">
        <f>IFERROR(INDEX('Fund Research'!$L$6:$L$505,MATCH(55,'Fund Research'!$U$6:$U$505,0)),"")</f>
        <v/>
      </c>
      <c r="J60" s="37">
        <f>IFERROR(INDEX('Fund Research'!$N$6:$N$505,MATCH(55,'Fund Research'!$U$6:$U$505,0)),"")</f>
        <v/>
      </c>
      <c r="K60" s="37">
        <f>IFERROR(INDEX('Fund Research'!$P$6:$P$505,MATCH(55,'Fund Research'!$U$6:$U$505,0)),"")</f>
        <v/>
      </c>
      <c r="L60" s="35">
        <f>IFERROR(INDEX('Fund Research'!$S$6:$S$505,MATCH(55,'Fund Research'!$U$6:$U$505,0)),"")</f>
        <v/>
      </c>
      <c r="M60" s="35">
        <f>IFERROR(INDEX('Fund Research'!$T$6:$T$505,MATCH(55,'Fund Research'!$U$6:$U$505,0)),"")</f>
        <v/>
      </c>
    </row>
    <row r="61" ht="15" customHeight="1">
      <c r="A61" s="34">
        <f>IFERROR(IF(INDEX('Fund Research'!$B$6:$B$505,MATCH(56,'Fund Research'!$U$6:$U$505,0))="","",56),"")</f>
        <v/>
      </c>
      <c r="B61" s="35">
        <f>IFERROR(INDEX('Fund Research'!$A$6:$A$505,MATCH(56,'Fund Research'!$U$6:$U$505,0)),"")</f>
        <v/>
      </c>
      <c r="C61" s="35">
        <f>IFERROR(INDEX('Fund Research'!$B$6:$B$505,MATCH(56,'Fund Research'!$U$6:$U$505,0)),"")</f>
        <v/>
      </c>
      <c r="D61" s="35">
        <f>IFERROR(INDEX('Fund Research'!$C$6:$C$505,MATCH(56,'Fund Research'!$U$6:$U$505,0)),"")</f>
        <v/>
      </c>
      <c r="E61" s="36">
        <f>IFERROR(INDEX('Fund Research'!$G$6:$G$505,MATCH(56,'Fund Research'!$U$6:$U$505,0)),"")</f>
        <v/>
      </c>
      <c r="F61" s="36">
        <f>IFERROR(INDEX('Fund Research'!$H$6:$H$505,MATCH(56,'Fund Research'!$U$6:$U$505,0)),"")</f>
        <v/>
      </c>
      <c r="G61" s="36">
        <f>IFERROR(INDEX('Fund Research'!$I$6:$I$505,MATCH(56,'Fund Research'!$U$6:$U$505,0)),"")</f>
        <v/>
      </c>
      <c r="H61" s="37">
        <f>IFERROR(INDEX('Fund Research'!$J$6:$J$505,MATCH(56,'Fund Research'!$U$6:$U$505,0)),"")</f>
        <v/>
      </c>
      <c r="I61" s="38">
        <f>IFERROR(INDEX('Fund Research'!$L$6:$L$505,MATCH(56,'Fund Research'!$U$6:$U$505,0)),"")</f>
        <v/>
      </c>
      <c r="J61" s="37">
        <f>IFERROR(INDEX('Fund Research'!$N$6:$N$505,MATCH(56,'Fund Research'!$U$6:$U$505,0)),"")</f>
        <v/>
      </c>
      <c r="K61" s="37">
        <f>IFERROR(INDEX('Fund Research'!$P$6:$P$505,MATCH(56,'Fund Research'!$U$6:$U$505,0)),"")</f>
        <v/>
      </c>
      <c r="L61" s="35">
        <f>IFERROR(INDEX('Fund Research'!$S$6:$S$505,MATCH(56,'Fund Research'!$U$6:$U$505,0)),"")</f>
        <v/>
      </c>
      <c r="M61" s="35">
        <f>IFERROR(INDEX('Fund Research'!$T$6:$T$505,MATCH(56,'Fund Research'!$U$6:$U$505,0)),"")</f>
        <v/>
      </c>
    </row>
    <row r="62" ht="15" customHeight="1">
      <c r="A62" s="34">
        <f>IFERROR(IF(INDEX('Fund Research'!$B$6:$B$505,MATCH(57,'Fund Research'!$U$6:$U$505,0))="","",57),"")</f>
        <v/>
      </c>
      <c r="B62" s="35">
        <f>IFERROR(INDEX('Fund Research'!$A$6:$A$505,MATCH(57,'Fund Research'!$U$6:$U$505,0)),"")</f>
        <v/>
      </c>
      <c r="C62" s="35">
        <f>IFERROR(INDEX('Fund Research'!$B$6:$B$505,MATCH(57,'Fund Research'!$U$6:$U$505,0)),"")</f>
        <v/>
      </c>
      <c r="D62" s="35">
        <f>IFERROR(INDEX('Fund Research'!$C$6:$C$505,MATCH(57,'Fund Research'!$U$6:$U$505,0)),"")</f>
        <v/>
      </c>
      <c r="E62" s="36">
        <f>IFERROR(INDEX('Fund Research'!$G$6:$G$505,MATCH(57,'Fund Research'!$U$6:$U$505,0)),"")</f>
        <v/>
      </c>
      <c r="F62" s="36">
        <f>IFERROR(INDEX('Fund Research'!$H$6:$H$505,MATCH(57,'Fund Research'!$U$6:$U$505,0)),"")</f>
        <v/>
      </c>
      <c r="G62" s="36">
        <f>IFERROR(INDEX('Fund Research'!$I$6:$I$505,MATCH(57,'Fund Research'!$U$6:$U$505,0)),"")</f>
        <v/>
      </c>
      <c r="H62" s="37">
        <f>IFERROR(INDEX('Fund Research'!$J$6:$J$505,MATCH(57,'Fund Research'!$U$6:$U$505,0)),"")</f>
        <v/>
      </c>
      <c r="I62" s="38">
        <f>IFERROR(INDEX('Fund Research'!$L$6:$L$505,MATCH(57,'Fund Research'!$U$6:$U$505,0)),"")</f>
        <v/>
      </c>
      <c r="J62" s="37">
        <f>IFERROR(INDEX('Fund Research'!$N$6:$N$505,MATCH(57,'Fund Research'!$U$6:$U$505,0)),"")</f>
        <v/>
      </c>
      <c r="K62" s="37">
        <f>IFERROR(INDEX('Fund Research'!$P$6:$P$505,MATCH(57,'Fund Research'!$U$6:$U$505,0)),"")</f>
        <v/>
      </c>
      <c r="L62" s="35">
        <f>IFERROR(INDEX('Fund Research'!$S$6:$S$505,MATCH(57,'Fund Research'!$U$6:$U$505,0)),"")</f>
        <v/>
      </c>
      <c r="M62" s="35">
        <f>IFERROR(INDEX('Fund Research'!$T$6:$T$505,MATCH(57,'Fund Research'!$U$6:$U$505,0)),"")</f>
        <v/>
      </c>
    </row>
    <row r="63" ht="15" customHeight="1">
      <c r="A63" s="34">
        <f>IFERROR(IF(INDEX('Fund Research'!$B$6:$B$505,MATCH(58,'Fund Research'!$U$6:$U$505,0))="","",58),"")</f>
        <v/>
      </c>
      <c r="B63" s="35">
        <f>IFERROR(INDEX('Fund Research'!$A$6:$A$505,MATCH(58,'Fund Research'!$U$6:$U$505,0)),"")</f>
        <v/>
      </c>
      <c r="C63" s="35">
        <f>IFERROR(INDEX('Fund Research'!$B$6:$B$505,MATCH(58,'Fund Research'!$U$6:$U$505,0)),"")</f>
        <v/>
      </c>
      <c r="D63" s="35">
        <f>IFERROR(INDEX('Fund Research'!$C$6:$C$505,MATCH(58,'Fund Research'!$U$6:$U$505,0)),"")</f>
        <v/>
      </c>
      <c r="E63" s="36">
        <f>IFERROR(INDEX('Fund Research'!$G$6:$G$505,MATCH(58,'Fund Research'!$U$6:$U$505,0)),"")</f>
        <v/>
      </c>
      <c r="F63" s="36">
        <f>IFERROR(INDEX('Fund Research'!$H$6:$H$505,MATCH(58,'Fund Research'!$U$6:$U$505,0)),"")</f>
        <v/>
      </c>
      <c r="G63" s="36">
        <f>IFERROR(INDEX('Fund Research'!$I$6:$I$505,MATCH(58,'Fund Research'!$U$6:$U$505,0)),"")</f>
        <v/>
      </c>
      <c r="H63" s="37">
        <f>IFERROR(INDEX('Fund Research'!$J$6:$J$505,MATCH(58,'Fund Research'!$U$6:$U$505,0)),"")</f>
        <v/>
      </c>
      <c r="I63" s="38">
        <f>IFERROR(INDEX('Fund Research'!$L$6:$L$505,MATCH(58,'Fund Research'!$U$6:$U$505,0)),"")</f>
        <v/>
      </c>
      <c r="J63" s="37">
        <f>IFERROR(INDEX('Fund Research'!$N$6:$N$505,MATCH(58,'Fund Research'!$U$6:$U$505,0)),"")</f>
        <v/>
      </c>
      <c r="K63" s="37">
        <f>IFERROR(INDEX('Fund Research'!$P$6:$P$505,MATCH(58,'Fund Research'!$U$6:$U$505,0)),"")</f>
        <v/>
      </c>
      <c r="L63" s="35">
        <f>IFERROR(INDEX('Fund Research'!$S$6:$S$505,MATCH(58,'Fund Research'!$U$6:$U$505,0)),"")</f>
        <v/>
      </c>
      <c r="M63" s="35">
        <f>IFERROR(INDEX('Fund Research'!$T$6:$T$505,MATCH(58,'Fund Research'!$U$6:$U$505,0)),"")</f>
        <v/>
      </c>
    </row>
    <row r="64" ht="15" customHeight="1">
      <c r="A64" s="34">
        <f>IFERROR(IF(INDEX('Fund Research'!$B$6:$B$505,MATCH(59,'Fund Research'!$U$6:$U$505,0))="","",59),"")</f>
        <v/>
      </c>
      <c r="B64" s="35">
        <f>IFERROR(INDEX('Fund Research'!$A$6:$A$505,MATCH(59,'Fund Research'!$U$6:$U$505,0)),"")</f>
        <v/>
      </c>
      <c r="C64" s="35">
        <f>IFERROR(INDEX('Fund Research'!$B$6:$B$505,MATCH(59,'Fund Research'!$U$6:$U$505,0)),"")</f>
        <v/>
      </c>
      <c r="D64" s="35">
        <f>IFERROR(INDEX('Fund Research'!$C$6:$C$505,MATCH(59,'Fund Research'!$U$6:$U$505,0)),"")</f>
        <v/>
      </c>
      <c r="E64" s="36">
        <f>IFERROR(INDEX('Fund Research'!$G$6:$G$505,MATCH(59,'Fund Research'!$U$6:$U$505,0)),"")</f>
        <v/>
      </c>
      <c r="F64" s="36">
        <f>IFERROR(INDEX('Fund Research'!$H$6:$H$505,MATCH(59,'Fund Research'!$U$6:$U$505,0)),"")</f>
        <v/>
      </c>
      <c r="G64" s="36">
        <f>IFERROR(INDEX('Fund Research'!$I$6:$I$505,MATCH(59,'Fund Research'!$U$6:$U$505,0)),"")</f>
        <v/>
      </c>
      <c r="H64" s="37">
        <f>IFERROR(INDEX('Fund Research'!$J$6:$J$505,MATCH(59,'Fund Research'!$U$6:$U$505,0)),"")</f>
        <v/>
      </c>
      <c r="I64" s="38">
        <f>IFERROR(INDEX('Fund Research'!$L$6:$L$505,MATCH(59,'Fund Research'!$U$6:$U$505,0)),"")</f>
        <v/>
      </c>
      <c r="J64" s="37">
        <f>IFERROR(INDEX('Fund Research'!$N$6:$N$505,MATCH(59,'Fund Research'!$U$6:$U$505,0)),"")</f>
        <v/>
      </c>
      <c r="K64" s="37">
        <f>IFERROR(INDEX('Fund Research'!$P$6:$P$505,MATCH(59,'Fund Research'!$U$6:$U$505,0)),"")</f>
        <v/>
      </c>
      <c r="L64" s="35">
        <f>IFERROR(INDEX('Fund Research'!$S$6:$S$505,MATCH(59,'Fund Research'!$U$6:$U$505,0)),"")</f>
        <v/>
      </c>
      <c r="M64" s="35">
        <f>IFERROR(INDEX('Fund Research'!$T$6:$T$505,MATCH(59,'Fund Research'!$U$6:$U$505,0)),"")</f>
        <v/>
      </c>
    </row>
    <row r="65" ht="15" customHeight="1">
      <c r="A65" s="34">
        <f>IFERROR(IF(INDEX('Fund Research'!$B$6:$B$505,MATCH(60,'Fund Research'!$U$6:$U$505,0))="","",60),"")</f>
        <v/>
      </c>
      <c r="B65" s="35">
        <f>IFERROR(INDEX('Fund Research'!$A$6:$A$505,MATCH(60,'Fund Research'!$U$6:$U$505,0)),"")</f>
        <v/>
      </c>
      <c r="C65" s="35">
        <f>IFERROR(INDEX('Fund Research'!$B$6:$B$505,MATCH(60,'Fund Research'!$U$6:$U$505,0)),"")</f>
        <v/>
      </c>
      <c r="D65" s="35">
        <f>IFERROR(INDEX('Fund Research'!$C$6:$C$505,MATCH(60,'Fund Research'!$U$6:$U$505,0)),"")</f>
        <v/>
      </c>
      <c r="E65" s="36">
        <f>IFERROR(INDEX('Fund Research'!$G$6:$G$505,MATCH(60,'Fund Research'!$U$6:$U$505,0)),"")</f>
        <v/>
      </c>
      <c r="F65" s="36">
        <f>IFERROR(INDEX('Fund Research'!$H$6:$H$505,MATCH(60,'Fund Research'!$U$6:$U$505,0)),"")</f>
        <v/>
      </c>
      <c r="G65" s="36">
        <f>IFERROR(INDEX('Fund Research'!$I$6:$I$505,MATCH(60,'Fund Research'!$U$6:$U$505,0)),"")</f>
        <v/>
      </c>
      <c r="H65" s="37">
        <f>IFERROR(INDEX('Fund Research'!$J$6:$J$505,MATCH(60,'Fund Research'!$U$6:$U$505,0)),"")</f>
        <v/>
      </c>
      <c r="I65" s="38">
        <f>IFERROR(INDEX('Fund Research'!$L$6:$L$505,MATCH(60,'Fund Research'!$U$6:$U$505,0)),"")</f>
        <v/>
      </c>
      <c r="J65" s="37">
        <f>IFERROR(INDEX('Fund Research'!$N$6:$N$505,MATCH(60,'Fund Research'!$U$6:$U$505,0)),"")</f>
        <v/>
      </c>
      <c r="K65" s="37">
        <f>IFERROR(INDEX('Fund Research'!$P$6:$P$505,MATCH(60,'Fund Research'!$U$6:$U$505,0)),"")</f>
        <v/>
      </c>
      <c r="L65" s="35">
        <f>IFERROR(INDEX('Fund Research'!$S$6:$S$505,MATCH(60,'Fund Research'!$U$6:$U$505,0)),"")</f>
        <v/>
      </c>
      <c r="M65" s="35">
        <f>IFERROR(INDEX('Fund Research'!$T$6:$T$505,MATCH(60,'Fund Research'!$U$6:$U$505,0)),"")</f>
        <v/>
      </c>
    </row>
    <row r="66" ht="15" customHeight="1">
      <c r="A66" s="34">
        <f>IFERROR(IF(INDEX('Fund Research'!$B$6:$B$505,MATCH(61,'Fund Research'!$U$6:$U$505,0))="","",61),"")</f>
        <v/>
      </c>
      <c r="B66" s="35">
        <f>IFERROR(INDEX('Fund Research'!$A$6:$A$505,MATCH(61,'Fund Research'!$U$6:$U$505,0)),"")</f>
        <v/>
      </c>
      <c r="C66" s="35">
        <f>IFERROR(INDEX('Fund Research'!$B$6:$B$505,MATCH(61,'Fund Research'!$U$6:$U$505,0)),"")</f>
        <v/>
      </c>
      <c r="D66" s="35">
        <f>IFERROR(INDEX('Fund Research'!$C$6:$C$505,MATCH(61,'Fund Research'!$U$6:$U$505,0)),"")</f>
        <v/>
      </c>
      <c r="E66" s="36">
        <f>IFERROR(INDEX('Fund Research'!$G$6:$G$505,MATCH(61,'Fund Research'!$U$6:$U$505,0)),"")</f>
        <v/>
      </c>
      <c r="F66" s="36">
        <f>IFERROR(INDEX('Fund Research'!$H$6:$H$505,MATCH(61,'Fund Research'!$U$6:$U$505,0)),"")</f>
        <v/>
      </c>
      <c r="G66" s="36">
        <f>IFERROR(INDEX('Fund Research'!$I$6:$I$505,MATCH(61,'Fund Research'!$U$6:$U$505,0)),"")</f>
        <v/>
      </c>
      <c r="H66" s="37">
        <f>IFERROR(INDEX('Fund Research'!$J$6:$J$505,MATCH(61,'Fund Research'!$U$6:$U$505,0)),"")</f>
        <v/>
      </c>
      <c r="I66" s="38">
        <f>IFERROR(INDEX('Fund Research'!$L$6:$L$505,MATCH(61,'Fund Research'!$U$6:$U$505,0)),"")</f>
        <v/>
      </c>
      <c r="J66" s="37">
        <f>IFERROR(INDEX('Fund Research'!$N$6:$N$505,MATCH(61,'Fund Research'!$U$6:$U$505,0)),"")</f>
        <v/>
      </c>
      <c r="K66" s="37">
        <f>IFERROR(INDEX('Fund Research'!$P$6:$P$505,MATCH(61,'Fund Research'!$U$6:$U$505,0)),"")</f>
        <v/>
      </c>
      <c r="L66" s="35">
        <f>IFERROR(INDEX('Fund Research'!$S$6:$S$505,MATCH(61,'Fund Research'!$U$6:$U$505,0)),"")</f>
        <v/>
      </c>
      <c r="M66" s="35">
        <f>IFERROR(INDEX('Fund Research'!$T$6:$T$505,MATCH(61,'Fund Research'!$U$6:$U$505,0)),"")</f>
        <v/>
      </c>
    </row>
    <row r="67" ht="15" customHeight="1">
      <c r="A67" s="34">
        <f>IFERROR(IF(INDEX('Fund Research'!$B$6:$B$505,MATCH(62,'Fund Research'!$U$6:$U$505,0))="","",62),"")</f>
        <v/>
      </c>
      <c r="B67" s="35">
        <f>IFERROR(INDEX('Fund Research'!$A$6:$A$505,MATCH(62,'Fund Research'!$U$6:$U$505,0)),"")</f>
        <v/>
      </c>
      <c r="C67" s="35">
        <f>IFERROR(INDEX('Fund Research'!$B$6:$B$505,MATCH(62,'Fund Research'!$U$6:$U$505,0)),"")</f>
        <v/>
      </c>
      <c r="D67" s="35">
        <f>IFERROR(INDEX('Fund Research'!$C$6:$C$505,MATCH(62,'Fund Research'!$U$6:$U$505,0)),"")</f>
        <v/>
      </c>
      <c r="E67" s="36">
        <f>IFERROR(INDEX('Fund Research'!$G$6:$G$505,MATCH(62,'Fund Research'!$U$6:$U$505,0)),"")</f>
        <v/>
      </c>
      <c r="F67" s="36">
        <f>IFERROR(INDEX('Fund Research'!$H$6:$H$505,MATCH(62,'Fund Research'!$U$6:$U$505,0)),"")</f>
        <v/>
      </c>
      <c r="G67" s="36">
        <f>IFERROR(INDEX('Fund Research'!$I$6:$I$505,MATCH(62,'Fund Research'!$U$6:$U$505,0)),"")</f>
        <v/>
      </c>
      <c r="H67" s="37">
        <f>IFERROR(INDEX('Fund Research'!$J$6:$J$505,MATCH(62,'Fund Research'!$U$6:$U$505,0)),"")</f>
        <v/>
      </c>
      <c r="I67" s="38">
        <f>IFERROR(INDEX('Fund Research'!$L$6:$L$505,MATCH(62,'Fund Research'!$U$6:$U$505,0)),"")</f>
        <v/>
      </c>
      <c r="J67" s="37">
        <f>IFERROR(INDEX('Fund Research'!$N$6:$N$505,MATCH(62,'Fund Research'!$U$6:$U$505,0)),"")</f>
        <v/>
      </c>
      <c r="K67" s="37">
        <f>IFERROR(INDEX('Fund Research'!$P$6:$P$505,MATCH(62,'Fund Research'!$U$6:$U$505,0)),"")</f>
        <v/>
      </c>
      <c r="L67" s="35">
        <f>IFERROR(INDEX('Fund Research'!$S$6:$S$505,MATCH(62,'Fund Research'!$U$6:$U$505,0)),"")</f>
        <v/>
      </c>
      <c r="M67" s="35">
        <f>IFERROR(INDEX('Fund Research'!$T$6:$T$505,MATCH(62,'Fund Research'!$U$6:$U$505,0)),"")</f>
        <v/>
      </c>
    </row>
    <row r="68" ht="15" customHeight="1">
      <c r="A68" s="34">
        <f>IFERROR(IF(INDEX('Fund Research'!$B$6:$B$505,MATCH(63,'Fund Research'!$U$6:$U$505,0))="","",63),"")</f>
        <v/>
      </c>
      <c r="B68" s="35">
        <f>IFERROR(INDEX('Fund Research'!$A$6:$A$505,MATCH(63,'Fund Research'!$U$6:$U$505,0)),"")</f>
        <v/>
      </c>
      <c r="C68" s="35">
        <f>IFERROR(INDEX('Fund Research'!$B$6:$B$505,MATCH(63,'Fund Research'!$U$6:$U$505,0)),"")</f>
        <v/>
      </c>
      <c r="D68" s="35">
        <f>IFERROR(INDEX('Fund Research'!$C$6:$C$505,MATCH(63,'Fund Research'!$U$6:$U$505,0)),"")</f>
        <v/>
      </c>
      <c r="E68" s="36">
        <f>IFERROR(INDEX('Fund Research'!$G$6:$G$505,MATCH(63,'Fund Research'!$U$6:$U$505,0)),"")</f>
        <v/>
      </c>
      <c r="F68" s="36">
        <f>IFERROR(INDEX('Fund Research'!$H$6:$H$505,MATCH(63,'Fund Research'!$U$6:$U$505,0)),"")</f>
        <v/>
      </c>
      <c r="G68" s="36">
        <f>IFERROR(INDEX('Fund Research'!$I$6:$I$505,MATCH(63,'Fund Research'!$U$6:$U$505,0)),"")</f>
        <v/>
      </c>
      <c r="H68" s="37">
        <f>IFERROR(INDEX('Fund Research'!$J$6:$J$505,MATCH(63,'Fund Research'!$U$6:$U$505,0)),"")</f>
        <v/>
      </c>
      <c r="I68" s="38">
        <f>IFERROR(INDEX('Fund Research'!$L$6:$L$505,MATCH(63,'Fund Research'!$U$6:$U$505,0)),"")</f>
        <v/>
      </c>
      <c r="J68" s="37">
        <f>IFERROR(INDEX('Fund Research'!$N$6:$N$505,MATCH(63,'Fund Research'!$U$6:$U$505,0)),"")</f>
        <v/>
      </c>
      <c r="K68" s="37">
        <f>IFERROR(INDEX('Fund Research'!$P$6:$P$505,MATCH(63,'Fund Research'!$U$6:$U$505,0)),"")</f>
        <v/>
      </c>
      <c r="L68" s="35">
        <f>IFERROR(INDEX('Fund Research'!$S$6:$S$505,MATCH(63,'Fund Research'!$U$6:$U$505,0)),"")</f>
        <v/>
      </c>
      <c r="M68" s="35">
        <f>IFERROR(INDEX('Fund Research'!$T$6:$T$505,MATCH(63,'Fund Research'!$U$6:$U$505,0)),"")</f>
        <v/>
      </c>
    </row>
    <row r="69" ht="15" customHeight="1">
      <c r="A69" s="34">
        <f>IFERROR(IF(INDEX('Fund Research'!$B$6:$B$505,MATCH(64,'Fund Research'!$U$6:$U$505,0))="","",64),"")</f>
        <v/>
      </c>
      <c r="B69" s="35">
        <f>IFERROR(INDEX('Fund Research'!$A$6:$A$505,MATCH(64,'Fund Research'!$U$6:$U$505,0)),"")</f>
        <v/>
      </c>
      <c r="C69" s="35">
        <f>IFERROR(INDEX('Fund Research'!$B$6:$B$505,MATCH(64,'Fund Research'!$U$6:$U$505,0)),"")</f>
        <v/>
      </c>
      <c r="D69" s="35">
        <f>IFERROR(INDEX('Fund Research'!$C$6:$C$505,MATCH(64,'Fund Research'!$U$6:$U$505,0)),"")</f>
        <v/>
      </c>
      <c r="E69" s="36">
        <f>IFERROR(INDEX('Fund Research'!$G$6:$G$505,MATCH(64,'Fund Research'!$U$6:$U$505,0)),"")</f>
        <v/>
      </c>
      <c r="F69" s="36">
        <f>IFERROR(INDEX('Fund Research'!$H$6:$H$505,MATCH(64,'Fund Research'!$U$6:$U$505,0)),"")</f>
        <v/>
      </c>
      <c r="G69" s="36">
        <f>IFERROR(INDEX('Fund Research'!$I$6:$I$505,MATCH(64,'Fund Research'!$U$6:$U$505,0)),"")</f>
        <v/>
      </c>
      <c r="H69" s="37">
        <f>IFERROR(INDEX('Fund Research'!$J$6:$J$505,MATCH(64,'Fund Research'!$U$6:$U$505,0)),"")</f>
        <v/>
      </c>
      <c r="I69" s="38">
        <f>IFERROR(INDEX('Fund Research'!$L$6:$L$505,MATCH(64,'Fund Research'!$U$6:$U$505,0)),"")</f>
        <v/>
      </c>
      <c r="J69" s="37">
        <f>IFERROR(INDEX('Fund Research'!$N$6:$N$505,MATCH(64,'Fund Research'!$U$6:$U$505,0)),"")</f>
        <v/>
      </c>
      <c r="K69" s="37">
        <f>IFERROR(INDEX('Fund Research'!$P$6:$P$505,MATCH(64,'Fund Research'!$U$6:$U$505,0)),"")</f>
        <v/>
      </c>
      <c r="L69" s="35">
        <f>IFERROR(INDEX('Fund Research'!$S$6:$S$505,MATCH(64,'Fund Research'!$U$6:$U$505,0)),"")</f>
        <v/>
      </c>
      <c r="M69" s="35">
        <f>IFERROR(INDEX('Fund Research'!$T$6:$T$505,MATCH(64,'Fund Research'!$U$6:$U$505,0)),"")</f>
        <v/>
      </c>
    </row>
    <row r="70" ht="15" customHeight="1">
      <c r="A70" s="34">
        <f>IFERROR(IF(INDEX('Fund Research'!$B$6:$B$505,MATCH(65,'Fund Research'!$U$6:$U$505,0))="","",65),"")</f>
        <v/>
      </c>
      <c r="B70" s="35">
        <f>IFERROR(INDEX('Fund Research'!$A$6:$A$505,MATCH(65,'Fund Research'!$U$6:$U$505,0)),"")</f>
        <v/>
      </c>
      <c r="C70" s="35">
        <f>IFERROR(INDEX('Fund Research'!$B$6:$B$505,MATCH(65,'Fund Research'!$U$6:$U$505,0)),"")</f>
        <v/>
      </c>
      <c r="D70" s="35">
        <f>IFERROR(INDEX('Fund Research'!$C$6:$C$505,MATCH(65,'Fund Research'!$U$6:$U$505,0)),"")</f>
        <v/>
      </c>
      <c r="E70" s="36">
        <f>IFERROR(INDEX('Fund Research'!$G$6:$G$505,MATCH(65,'Fund Research'!$U$6:$U$505,0)),"")</f>
        <v/>
      </c>
      <c r="F70" s="36">
        <f>IFERROR(INDEX('Fund Research'!$H$6:$H$505,MATCH(65,'Fund Research'!$U$6:$U$505,0)),"")</f>
        <v/>
      </c>
      <c r="G70" s="36">
        <f>IFERROR(INDEX('Fund Research'!$I$6:$I$505,MATCH(65,'Fund Research'!$U$6:$U$505,0)),"")</f>
        <v/>
      </c>
      <c r="H70" s="37">
        <f>IFERROR(INDEX('Fund Research'!$J$6:$J$505,MATCH(65,'Fund Research'!$U$6:$U$505,0)),"")</f>
        <v/>
      </c>
      <c r="I70" s="38">
        <f>IFERROR(INDEX('Fund Research'!$L$6:$L$505,MATCH(65,'Fund Research'!$U$6:$U$505,0)),"")</f>
        <v/>
      </c>
      <c r="J70" s="37">
        <f>IFERROR(INDEX('Fund Research'!$N$6:$N$505,MATCH(65,'Fund Research'!$U$6:$U$505,0)),"")</f>
        <v/>
      </c>
      <c r="K70" s="37">
        <f>IFERROR(INDEX('Fund Research'!$P$6:$P$505,MATCH(65,'Fund Research'!$U$6:$U$505,0)),"")</f>
        <v/>
      </c>
      <c r="L70" s="35">
        <f>IFERROR(INDEX('Fund Research'!$S$6:$S$505,MATCH(65,'Fund Research'!$U$6:$U$505,0)),"")</f>
        <v/>
      </c>
      <c r="M70" s="35">
        <f>IFERROR(INDEX('Fund Research'!$T$6:$T$505,MATCH(65,'Fund Research'!$U$6:$U$505,0)),"")</f>
        <v/>
      </c>
    </row>
    <row r="71" ht="15" customHeight="1">
      <c r="A71" s="34">
        <f>IFERROR(IF(INDEX('Fund Research'!$B$6:$B$505,MATCH(66,'Fund Research'!$U$6:$U$505,0))="","",66),"")</f>
        <v/>
      </c>
      <c r="B71" s="35">
        <f>IFERROR(INDEX('Fund Research'!$A$6:$A$505,MATCH(66,'Fund Research'!$U$6:$U$505,0)),"")</f>
        <v/>
      </c>
      <c r="C71" s="35">
        <f>IFERROR(INDEX('Fund Research'!$B$6:$B$505,MATCH(66,'Fund Research'!$U$6:$U$505,0)),"")</f>
        <v/>
      </c>
      <c r="D71" s="35">
        <f>IFERROR(INDEX('Fund Research'!$C$6:$C$505,MATCH(66,'Fund Research'!$U$6:$U$505,0)),"")</f>
        <v/>
      </c>
      <c r="E71" s="36">
        <f>IFERROR(INDEX('Fund Research'!$G$6:$G$505,MATCH(66,'Fund Research'!$U$6:$U$505,0)),"")</f>
        <v/>
      </c>
      <c r="F71" s="36">
        <f>IFERROR(INDEX('Fund Research'!$H$6:$H$505,MATCH(66,'Fund Research'!$U$6:$U$505,0)),"")</f>
        <v/>
      </c>
      <c r="G71" s="36">
        <f>IFERROR(INDEX('Fund Research'!$I$6:$I$505,MATCH(66,'Fund Research'!$U$6:$U$505,0)),"")</f>
        <v/>
      </c>
      <c r="H71" s="37">
        <f>IFERROR(INDEX('Fund Research'!$J$6:$J$505,MATCH(66,'Fund Research'!$U$6:$U$505,0)),"")</f>
        <v/>
      </c>
      <c r="I71" s="38">
        <f>IFERROR(INDEX('Fund Research'!$L$6:$L$505,MATCH(66,'Fund Research'!$U$6:$U$505,0)),"")</f>
        <v/>
      </c>
      <c r="J71" s="37">
        <f>IFERROR(INDEX('Fund Research'!$N$6:$N$505,MATCH(66,'Fund Research'!$U$6:$U$505,0)),"")</f>
        <v/>
      </c>
      <c r="K71" s="37">
        <f>IFERROR(INDEX('Fund Research'!$P$6:$P$505,MATCH(66,'Fund Research'!$U$6:$U$505,0)),"")</f>
        <v/>
      </c>
      <c r="L71" s="35">
        <f>IFERROR(INDEX('Fund Research'!$S$6:$S$505,MATCH(66,'Fund Research'!$U$6:$U$505,0)),"")</f>
        <v/>
      </c>
      <c r="M71" s="35">
        <f>IFERROR(INDEX('Fund Research'!$T$6:$T$505,MATCH(66,'Fund Research'!$U$6:$U$505,0)),"")</f>
        <v/>
      </c>
    </row>
    <row r="72" ht="15" customHeight="1">
      <c r="A72" s="34">
        <f>IFERROR(IF(INDEX('Fund Research'!$B$6:$B$505,MATCH(67,'Fund Research'!$U$6:$U$505,0))="","",67),"")</f>
        <v/>
      </c>
      <c r="B72" s="35">
        <f>IFERROR(INDEX('Fund Research'!$A$6:$A$505,MATCH(67,'Fund Research'!$U$6:$U$505,0)),"")</f>
        <v/>
      </c>
      <c r="C72" s="35">
        <f>IFERROR(INDEX('Fund Research'!$B$6:$B$505,MATCH(67,'Fund Research'!$U$6:$U$505,0)),"")</f>
        <v/>
      </c>
      <c r="D72" s="35">
        <f>IFERROR(INDEX('Fund Research'!$C$6:$C$505,MATCH(67,'Fund Research'!$U$6:$U$505,0)),"")</f>
        <v/>
      </c>
      <c r="E72" s="36">
        <f>IFERROR(INDEX('Fund Research'!$G$6:$G$505,MATCH(67,'Fund Research'!$U$6:$U$505,0)),"")</f>
        <v/>
      </c>
      <c r="F72" s="36">
        <f>IFERROR(INDEX('Fund Research'!$H$6:$H$505,MATCH(67,'Fund Research'!$U$6:$U$505,0)),"")</f>
        <v/>
      </c>
      <c r="G72" s="36">
        <f>IFERROR(INDEX('Fund Research'!$I$6:$I$505,MATCH(67,'Fund Research'!$U$6:$U$505,0)),"")</f>
        <v/>
      </c>
      <c r="H72" s="37">
        <f>IFERROR(INDEX('Fund Research'!$J$6:$J$505,MATCH(67,'Fund Research'!$U$6:$U$505,0)),"")</f>
        <v/>
      </c>
      <c r="I72" s="38">
        <f>IFERROR(INDEX('Fund Research'!$L$6:$L$505,MATCH(67,'Fund Research'!$U$6:$U$505,0)),"")</f>
        <v/>
      </c>
      <c r="J72" s="37">
        <f>IFERROR(INDEX('Fund Research'!$N$6:$N$505,MATCH(67,'Fund Research'!$U$6:$U$505,0)),"")</f>
        <v/>
      </c>
      <c r="K72" s="37">
        <f>IFERROR(INDEX('Fund Research'!$P$6:$P$505,MATCH(67,'Fund Research'!$U$6:$U$505,0)),"")</f>
        <v/>
      </c>
      <c r="L72" s="35">
        <f>IFERROR(INDEX('Fund Research'!$S$6:$S$505,MATCH(67,'Fund Research'!$U$6:$U$505,0)),"")</f>
        <v/>
      </c>
      <c r="M72" s="35">
        <f>IFERROR(INDEX('Fund Research'!$T$6:$T$505,MATCH(67,'Fund Research'!$U$6:$U$505,0)),"")</f>
        <v/>
      </c>
    </row>
    <row r="73" ht="15" customHeight="1">
      <c r="A73" s="34">
        <f>IFERROR(IF(INDEX('Fund Research'!$B$6:$B$505,MATCH(68,'Fund Research'!$U$6:$U$505,0))="","",68),"")</f>
        <v/>
      </c>
      <c r="B73" s="35">
        <f>IFERROR(INDEX('Fund Research'!$A$6:$A$505,MATCH(68,'Fund Research'!$U$6:$U$505,0)),"")</f>
        <v/>
      </c>
      <c r="C73" s="35">
        <f>IFERROR(INDEX('Fund Research'!$B$6:$B$505,MATCH(68,'Fund Research'!$U$6:$U$505,0)),"")</f>
        <v/>
      </c>
      <c r="D73" s="35">
        <f>IFERROR(INDEX('Fund Research'!$C$6:$C$505,MATCH(68,'Fund Research'!$U$6:$U$505,0)),"")</f>
        <v/>
      </c>
      <c r="E73" s="36">
        <f>IFERROR(INDEX('Fund Research'!$G$6:$G$505,MATCH(68,'Fund Research'!$U$6:$U$505,0)),"")</f>
        <v/>
      </c>
      <c r="F73" s="36">
        <f>IFERROR(INDEX('Fund Research'!$H$6:$H$505,MATCH(68,'Fund Research'!$U$6:$U$505,0)),"")</f>
        <v/>
      </c>
      <c r="G73" s="36">
        <f>IFERROR(INDEX('Fund Research'!$I$6:$I$505,MATCH(68,'Fund Research'!$U$6:$U$505,0)),"")</f>
        <v/>
      </c>
      <c r="H73" s="37">
        <f>IFERROR(INDEX('Fund Research'!$J$6:$J$505,MATCH(68,'Fund Research'!$U$6:$U$505,0)),"")</f>
        <v/>
      </c>
      <c r="I73" s="38">
        <f>IFERROR(INDEX('Fund Research'!$L$6:$L$505,MATCH(68,'Fund Research'!$U$6:$U$505,0)),"")</f>
        <v/>
      </c>
      <c r="J73" s="37">
        <f>IFERROR(INDEX('Fund Research'!$N$6:$N$505,MATCH(68,'Fund Research'!$U$6:$U$505,0)),"")</f>
        <v/>
      </c>
      <c r="K73" s="37">
        <f>IFERROR(INDEX('Fund Research'!$P$6:$P$505,MATCH(68,'Fund Research'!$U$6:$U$505,0)),"")</f>
        <v/>
      </c>
      <c r="L73" s="35">
        <f>IFERROR(INDEX('Fund Research'!$S$6:$S$505,MATCH(68,'Fund Research'!$U$6:$U$505,0)),"")</f>
        <v/>
      </c>
      <c r="M73" s="35">
        <f>IFERROR(INDEX('Fund Research'!$T$6:$T$505,MATCH(68,'Fund Research'!$U$6:$U$505,0)),"")</f>
        <v/>
      </c>
    </row>
    <row r="74" ht="15" customHeight="1">
      <c r="A74" s="34">
        <f>IFERROR(IF(INDEX('Fund Research'!$B$6:$B$505,MATCH(69,'Fund Research'!$U$6:$U$505,0))="","",69),"")</f>
        <v/>
      </c>
      <c r="B74" s="35">
        <f>IFERROR(INDEX('Fund Research'!$A$6:$A$505,MATCH(69,'Fund Research'!$U$6:$U$505,0)),"")</f>
        <v/>
      </c>
      <c r="C74" s="35">
        <f>IFERROR(INDEX('Fund Research'!$B$6:$B$505,MATCH(69,'Fund Research'!$U$6:$U$505,0)),"")</f>
        <v/>
      </c>
      <c r="D74" s="35">
        <f>IFERROR(INDEX('Fund Research'!$C$6:$C$505,MATCH(69,'Fund Research'!$U$6:$U$505,0)),"")</f>
        <v/>
      </c>
      <c r="E74" s="36">
        <f>IFERROR(INDEX('Fund Research'!$G$6:$G$505,MATCH(69,'Fund Research'!$U$6:$U$505,0)),"")</f>
        <v/>
      </c>
      <c r="F74" s="36">
        <f>IFERROR(INDEX('Fund Research'!$H$6:$H$505,MATCH(69,'Fund Research'!$U$6:$U$505,0)),"")</f>
        <v/>
      </c>
      <c r="G74" s="36">
        <f>IFERROR(INDEX('Fund Research'!$I$6:$I$505,MATCH(69,'Fund Research'!$U$6:$U$505,0)),"")</f>
        <v/>
      </c>
      <c r="H74" s="37">
        <f>IFERROR(INDEX('Fund Research'!$J$6:$J$505,MATCH(69,'Fund Research'!$U$6:$U$505,0)),"")</f>
        <v/>
      </c>
      <c r="I74" s="38">
        <f>IFERROR(INDEX('Fund Research'!$L$6:$L$505,MATCH(69,'Fund Research'!$U$6:$U$505,0)),"")</f>
        <v/>
      </c>
      <c r="J74" s="37">
        <f>IFERROR(INDEX('Fund Research'!$N$6:$N$505,MATCH(69,'Fund Research'!$U$6:$U$505,0)),"")</f>
        <v/>
      </c>
      <c r="K74" s="37">
        <f>IFERROR(INDEX('Fund Research'!$P$6:$P$505,MATCH(69,'Fund Research'!$U$6:$U$505,0)),"")</f>
        <v/>
      </c>
      <c r="L74" s="35">
        <f>IFERROR(INDEX('Fund Research'!$S$6:$S$505,MATCH(69,'Fund Research'!$U$6:$U$505,0)),"")</f>
        <v/>
      </c>
      <c r="M74" s="35">
        <f>IFERROR(INDEX('Fund Research'!$T$6:$T$505,MATCH(69,'Fund Research'!$U$6:$U$505,0)),"")</f>
        <v/>
      </c>
    </row>
    <row r="75" ht="15" customHeight="1">
      <c r="A75" s="34">
        <f>IFERROR(IF(INDEX('Fund Research'!$B$6:$B$505,MATCH(70,'Fund Research'!$U$6:$U$505,0))="","",70),"")</f>
        <v/>
      </c>
      <c r="B75" s="35">
        <f>IFERROR(INDEX('Fund Research'!$A$6:$A$505,MATCH(70,'Fund Research'!$U$6:$U$505,0)),"")</f>
        <v/>
      </c>
      <c r="C75" s="35">
        <f>IFERROR(INDEX('Fund Research'!$B$6:$B$505,MATCH(70,'Fund Research'!$U$6:$U$505,0)),"")</f>
        <v/>
      </c>
      <c r="D75" s="35">
        <f>IFERROR(INDEX('Fund Research'!$C$6:$C$505,MATCH(70,'Fund Research'!$U$6:$U$505,0)),"")</f>
        <v/>
      </c>
      <c r="E75" s="36">
        <f>IFERROR(INDEX('Fund Research'!$G$6:$G$505,MATCH(70,'Fund Research'!$U$6:$U$505,0)),"")</f>
        <v/>
      </c>
      <c r="F75" s="36">
        <f>IFERROR(INDEX('Fund Research'!$H$6:$H$505,MATCH(70,'Fund Research'!$U$6:$U$505,0)),"")</f>
        <v/>
      </c>
      <c r="G75" s="36">
        <f>IFERROR(INDEX('Fund Research'!$I$6:$I$505,MATCH(70,'Fund Research'!$U$6:$U$505,0)),"")</f>
        <v/>
      </c>
      <c r="H75" s="37">
        <f>IFERROR(INDEX('Fund Research'!$J$6:$J$505,MATCH(70,'Fund Research'!$U$6:$U$505,0)),"")</f>
        <v/>
      </c>
      <c r="I75" s="38">
        <f>IFERROR(INDEX('Fund Research'!$L$6:$L$505,MATCH(70,'Fund Research'!$U$6:$U$505,0)),"")</f>
        <v/>
      </c>
      <c r="J75" s="37">
        <f>IFERROR(INDEX('Fund Research'!$N$6:$N$505,MATCH(70,'Fund Research'!$U$6:$U$505,0)),"")</f>
        <v/>
      </c>
      <c r="K75" s="37">
        <f>IFERROR(INDEX('Fund Research'!$P$6:$P$505,MATCH(70,'Fund Research'!$U$6:$U$505,0)),"")</f>
        <v/>
      </c>
      <c r="L75" s="35">
        <f>IFERROR(INDEX('Fund Research'!$S$6:$S$505,MATCH(70,'Fund Research'!$U$6:$U$505,0)),"")</f>
        <v/>
      </c>
      <c r="M75" s="35">
        <f>IFERROR(INDEX('Fund Research'!$T$6:$T$505,MATCH(70,'Fund Research'!$U$6:$U$505,0)),"")</f>
        <v/>
      </c>
    </row>
    <row r="76" ht="15" customHeight="1">
      <c r="A76" s="34">
        <f>IFERROR(IF(INDEX('Fund Research'!$B$6:$B$505,MATCH(71,'Fund Research'!$U$6:$U$505,0))="","",71),"")</f>
        <v/>
      </c>
      <c r="B76" s="35">
        <f>IFERROR(INDEX('Fund Research'!$A$6:$A$505,MATCH(71,'Fund Research'!$U$6:$U$505,0)),"")</f>
        <v/>
      </c>
      <c r="C76" s="35">
        <f>IFERROR(INDEX('Fund Research'!$B$6:$B$505,MATCH(71,'Fund Research'!$U$6:$U$505,0)),"")</f>
        <v/>
      </c>
      <c r="D76" s="35">
        <f>IFERROR(INDEX('Fund Research'!$C$6:$C$505,MATCH(71,'Fund Research'!$U$6:$U$505,0)),"")</f>
        <v/>
      </c>
      <c r="E76" s="36">
        <f>IFERROR(INDEX('Fund Research'!$G$6:$G$505,MATCH(71,'Fund Research'!$U$6:$U$505,0)),"")</f>
        <v/>
      </c>
      <c r="F76" s="36">
        <f>IFERROR(INDEX('Fund Research'!$H$6:$H$505,MATCH(71,'Fund Research'!$U$6:$U$505,0)),"")</f>
        <v/>
      </c>
      <c r="G76" s="36">
        <f>IFERROR(INDEX('Fund Research'!$I$6:$I$505,MATCH(71,'Fund Research'!$U$6:$U$505,0)),"")</f>
        <v/>
      </c>
      <c r="H76" s="37">
        <f>IFERROR(INDEX('Fund Research'!$J$6:$J$505,MATCH(71,'Fund Research'!$U$6:$U$505,0)),"")</f>
        <v/>
      </c>
      <c r="I76" s="38">
        <f>IFERROR(INDEX('Fund Research'!$L$6:$L$505,MATCH(71,'Fund Research'!$U$6:$U$505,0)),"")</f>
        <v/>
      </c>
      <c r="J76" s="37">
        <f>IFERROR(INDEX('Fund Research'!$N$6:$N$505,MATCH(71,'Fund Research'!$U$6:$U$505,0)),"")</f>
        <v/>
      </c>
      <c r="K76" s="37">
        <f>IFERROR(INDEX('Fund Research'!$P$6:$P$505,MATCH(71,'Fund Research'!$U$6:$U$505,0)),"")</f>
        <v/>
      </c>
      <c r="L76" s="35">
        <f>IFERROR(INDEX('Fund Research'!$S$6:$S$505,MATCH(71,'Fund Research'!$U$6:$U$505,0)),"")</f>
        <v/>
      </c>
      <c r="M76" s="35">
        <f>IFERROR(INDEX('Fund Research'!$T$6:$T$505,MATCH(71,'Fund Research'!$U$6:$U$505,0)),"")</f>
        <v/>
      </c>
    </row>
    <row r="77" ht="15" customHeight="1">
      <c r="A77" s="34">
        <f>IFERROR(IF(INDEX('Fund Research'!$B$6:$B$505,MATCH(72,'Fund Research'!$U$6:$U$505,0))="","",72),"")</f>
        <v/>
      </c>
      <c r="B77" s="35">
        <f>IFERROR(INDEX('Fund Research'!$A$6:$A$505,MATCH(72,'Fund Research'!$U$6:$U$505,0)),"")</f>
        <v/>
      </c>
      <c r="C77" s="35">
        <f>IFERROR(INDEX('Fund Research'!$B$6:$B$505,MATCH(72,'Fund Research'!$U$6:$U$505,0)),"")</f>
        <v/>
      </c>
      <c r="D77" s="35">
        <f>IFERROR(INDEX('Fund Research'!$C$6:$C$505,MATCH(72,'Fund Research'!$U$6:$U$505,0)),"")</f>
        <v/>
      </c>
      <c r="E77" s="36">
        <f>IFERROR(INDEX('Fund Research'!$G$6:$G$505,MATCH(72,'Fund Research'!$U$6:$U$505,0)),"")</f>
        <v/>
      </c>
      <c r="F77" s="36">
        <f>IFERROR(INDEX('Fund Research'!$H$6:$H$505,MATCH(72,'Fund Research'!$U$6:$U$505,0)),"")</f>
        <v/>
      </c>
      <c r="G77" s="36">
        <f>IFERROR(INDEX('Fund Research'!$I$6:$I$505,MATCH(72,'Fund Research'!$U$6:$U$505,0)),"")</f>
        <v/>
      </c>
      <c r="H77" s="37">
        <f>IFERROR(INDEX('Fund Research'!$J$6:$J$505,MATCH(72,'Fund Research'!$U$6:$U$505,0)),"")</f>
        <v/>
      </c>
      <c r="I77" s="38">
        <f>IFERROR(INDEX('Fund Research'!$L$6:$L$505,MATCH(72,'Fund Research'!$U$6:$U$505,0)),"")</f>
        <v/>
      </c>
      <c r="J77" s="37">
        <f>IFERROR(INDEX('Fund Research'!$N$6:$N$505,MATCH(72,'Fund Research'!$U$6:$U$505,0)),"")</f>
        <v/>
      </c>
      <c r="K77" s="37">
        <f>IFERROR(INDEX('Fund Research'!$P$6:$P$505,MATCH(72,'Fund Research'!$U$6:$U$505,0)),"")</f>
        <v/>
      </c>
      <c r="L77" s="35">
        <f>IFERROR(INDEX('Fund Research'!$S$6:$S$505,MATCH(72,'Fund Research'!$U$6:$U$505,0)),"")</f>
        <v/>
      </c>
      <c r="M77" s="35">
        <f>IFERROR(INDEX('Fund Research'!$T$6:$T$505,MATCH(72,'Fund Research'!$U$6:$U$505,0)),"")</f>
        <v/>
      </c>
    </row>
    <row r="78" ht="15" customHeight="1">
      <c r="A78" s="34">
        <f>IFERROR(IF(INDEX('Fund Research'!$B$6:$B$505,MATCH(73,'Fund Research'!$U$6:$U$505,0))="","",73),"")</f>
        <v/>
      </c>
      <c r="B78" s="35">
        <f>IFERROR(INDEX('Fund Research'!$A$6:$A$505,MATCH(73,'Fund Research'!$U$6:$U$505,0)),"")</f>
        <v/>
      </c>
      <c r="C78" s="35">
        <f>IFERROR(INDEX('Fund Research'!$B$6:$B$505,MATCH(73,'Fund Research'!$U$6:$U$505,0)),"")</f>
        <v/>
      </c>
      <c r="D78" s="35">
        <f>IFERROR(INDEX('Fund Research'!$C$6:$C$505,MATCH(73,'Fund Research'!$U$6:$U$505,0)),"")</f>
        <v/>
      </c>
      <c r="E78" s="36">
        <f>IFERROR(INDEX('Fund Research'!$G$6:$G$505,MATCH(73,'Fund Research'!$U$6:$U$505,0)),"")</f>
        <v/>
      </c>
      <c r="F78" s="36">
        <f>IFERROR(INDEX('Fund Research'!$H$6:$H$505,MATCH(73,'Fund Research'!$U$6:$U$505,0)),"")</f>
        <v/>
      </c>
      <c r="G78" s="36">
        <f>IFERROR(INDEX('Fund Research'!$I$6:$I$505,MATCH(73,'Fund Research'!$U$6:$U$505,0)),"")</f>
        <v/>
      </c>
      <c r="H78" s="37">
        <f>IFERROR(INDEX('Fund Research'!$J$6:$J$505,MATCH(73,'Fund Research'!$U$6:$U$505,0)),"")</f>
        <v/>
      </c>
      <c r="I78" s="38">
        <f>IFERROR(INDEX('Fund Research'!$L$6:$L$505,MATCH(73,'Fund Research'!$U$6:$U$505,0)),"")</f>
        <v/>
      </c>
      <c r="J78" s="37">
        <f>IFERROR(INDEX('Fund Research'!$N$6:$N$505,MATCH(73,'Fund Research'!$U$6:$U$505,0)),"")</f>
        <v/>
      </c>
      <c r="K78" s="37">
        <f>IFERROR(INDEX('Fund Research'!$P$6:$P$505,MATCH(73,'Fund Research'!$U$6:$U$505,0)),"")</f>
        <v/>
      </c>
      <c r="L78" s="35">
        <f>IFERROR(INDEX('Fund Research'!$S$6:$S$505,MATCH(73,'Fund Research'!$U$6:$U$505,0)),"")</f>
        <v/>
      </c>
      <c r="M78" s="35">
        <f>IFERROR(INDEX('Fund Research'!$T$6:$T$505,MATCH(73,'Fund Research'!$U$6:$U$505,0)),"")</f>
        <v/>
      </c>
    </row>
    <row r="79" ht="15" customHeight="1">
      <c r="A79" s="34">
        <f>IFERROR(IF(INDEX('Fund Research'!$B$6:$B$505,MATCH(74,'Fund Research'!$U$6:$U$505,0))="","",74),"")</f>
        <v/>
      </c>
      <c r="B79" s="35">
        <f>IFERROR(INDEX('Fund Research'!$A$6:$A$505,MATCH(74,'Fund Research'!$U$6:$U$505,0)),"")</f>
        <v/>
      </c>
      <c r="C79" s="35">
        <f>IFERROR(INDEX('Fund Research'!$B$6:$B$505,MATCH(74,'Fund Research'!$U$6:$U$505,0)),"")</f>
        <v/>
      </c>
      <c r="D79" s="35">
        <f>IFERROR(INDEX('Fund Research'!$C$6:$C$505,MATCH(74,'Fund Research'!$U$6:$U$505,0)),"")</f>
        <v/>
      </c>
      <c r="E79" s="36">
        <f>IFERROR(INDEX('Fund Research'!$G$6:$G$505,MATCH(74,'Fund Research'!$U$6:$U$505,0)),"")</f>
        <v/>
      </c>
      <c r="F79" s="36">
        <f>IFERROR(INDEX('Fund Research'!$H$6:$H$505,MATCH(74,'Fund Research'!$U$6:$U$505,0)),"")</f>
        <v/>
      </c>
      <c r="G79" s="36">
        <f>IFERROR(INDEX('Fund Research'!$I$6:$I$505,MATCH(74,'Fund Research'!$U$6:$U$505,0)),"")</f>
        <v/>
      </c>
      <c r="H79" s="37">
        <f>IFERROR(INDEX('Fund Research'!$J$6:$J$505,MATCH(74,'Fund Research'!$U$6:$U$505,0)),"")</f>
        <v/>
      </c>
      <c r="I79" s="38">
        <f>IFERROR(INDEX('Fund Research'!$L$6:$L$505,MATCH(74,'Fund Research'!$U$6:$U$505,0)),"")</f>
        <v/>
      </c>
      <c r="J79" s="37">
        <f>IFERROR(INDEX('Fund Research'!$N$6:$N$505,MATCH(74,'Fund Research'!$U$6:$U$505,0)),"")</f>
        <v/>
      </c>
      <c r="K79" s="37">
        <f>IFERROR(INDEX('Fund Research'!$P$6:$P$505,MATCH(74,'Fund Research'!$U$6:$U$505,0)),"")</f>
        <v/>
      </c>
      <c r="L79" s="35">
        <f>IFERROR(INDEX('Fund Research'!$S$6:$S$505,MATCH(74,'Fund Research'!$U$6:$U$505,0)),"")</f>
        <v/>
      </c>
      <c r="M79" s="35">
        <f>IFERROR(INDEX('Fund Research'!$T$6:$T$505,MATCH(74,'Fund Research'!$U$6:$U$505,0)),"")</f>
        <v/>
      </c>
    </row>
    <row r="80" ht="15" customHeight="1">
      <c r="A80" s="34">
        <f>IFERROR(IF(INDEX('Fund Research'!$B$6:$B$505,MATCH(75,'Fund Research'!$U$6:$U$505,0))="","",75),"")</f>
        <v/>
      </c>
      <c r="B80" s="35">
        <f>IFERROR(INDEX('Fund Research'!$A$6:$A$505,MATCH(75,'Fund Research'!$U$6:$U$505,0)),"")</f>
        <v/>
      </c>
      <c r="C80" s="35">
        <f>IFERROR(INDEX('Fund Research'!$B$6:$B$505,MATCH(75,'Fund Research'!$U$6:$U$505,0)),"")</f>
        <v/>
      </c>
      <c r="D80" s="35">
        <f>IFERROR(INDEX('Fund Research'!$C$6:$C$505,MATCH(75,'Fund Research'!$U$6:$U$505,0)),"")</f>
        <v/>
      </c>
      <c r="E80" s="36">
        <f>IFERROR(INDEX('Fund Research'!$G$6:$G$505,MATCH(75,'Fund Research'!$U$6:$U$505,0)),"")</f>
        <v/>
      </c>
      <c r="F80" s="36">
        <f>IFERROR(INDEX('Fund Research'!$H$6:$H$505,MATCH(75,'Fund Research'!$U$6:$U$505,0)),"")</f>
        <v/>
      </c>
      <c r="G80" s="36">
        <f>IFERROR(INDEX('Fund Research'!$I$6:$I$505,MATCH(75,'Fund Research'!$U$6:$U$505,0)),"")</f>
        <v/>
      </c>
      <c r="H80" s="37">
        <f>IFERROR(INDEX('Fund Research'!$J$6:$J$505,MATCH(75,'Fund Research'!$U$6:$U$505,0)),"")</f>
        <v/>
      </c>
      <c r="I80" s="38">
        <f>IFERROR(INDEX('Fund Research'!$L$6:$L$505,MATCH(75,'Fund Research'!$U$6:$U$505,0)),"")</f>
        <v/>
      </c>
      <c r="J80" s="37">
        <f>IFERROR(INDEX('Fund Research'!$N$6:$N$505,MATCH(75,'Fund Research'!$U$6:$U$505,0)),"")</f>
        <v/>
      </c>
      <c r="K80" s="37">
        <f>IFERROR(INDEX('Fund Research'!$P$6:$P$505,MATCH(75,'Fund Research'!$U$6:$U$505,0)),"")</f>
        <v/>
      </c>
      <c r="L80" s="35">
        <f>IFERROR(INDEX('Fund Research'!$S$6:$S$505,MATCH(75,'Fund Research'!$U$6:$U$505,0)),"")</f>
        <v/>
      </c>
      <c r="M80" s="35">
        <f>IFERROR(INDEX('Fund Research'!$T$6:$T$505,MATCH(75,'Fund Research'!$U$6:$U$505,0)),"")</f>
        <v/>
      </c>
    </row>
    <row r="81" ht="15" customHeight="1">
      <c r="A81" s="34">
        <f>IFERROR(IF(INDEX('Fund Research'!$B$6:$B$505,MATCH(76,'Fund Research'!$U$6:$U$505,0))="","",76),"")</f>
        <v/>
      </c>
      <c r="B81" s="35">
        <f>IFERROR(INDEX('Fund Research'!$A$6:$A$505,MATCH(76,'Fund Research'!$U$6:$U$505,0)),"")</f>
        <v/>
      </c>
      <c r="C81" s="35">
        <f>IFERROR(INDEX('Fund Research'!$B$6:$B$505,MATCH(76,'Fund Research'!$U$6:$U$505,0)),"")</f>
        <v/>
      </c>
      <c r="D81" s="35">
        <f>IFERROR(INDEX('Fund Research'!$C$6:$C$505,MATCH(76,'Fund Research'!$U$6:$U$505,0)),"")</f>
        <v/>
      </c>
      <c r="E81" s="36">
        <f>IFERROR(INDEX('Fund Research'!$G$6:$G$505,MATCH(76,'Fund Research'!$U$6:$U$505,0)),"")</f>
        <v/>
      </c>
      <c r="F81" s="36">
        <f>IFERROR(INDEX('Fund Research'!$H$6:$H$505,MATCH(76,'Fund Research'!$U$6:$U$505,0)),"")</f>
        <v/>
      </c>
      <c r="G81" s="36">
        <f>IFERROR(INDEX('Fund Research'!$I$6:$I$505,MATCH(76,'Fund Research'!$U$6:$U$505,0)),"")</f>
        <v/>
      </c>
      <c r="H81" s="37">
        <f>IFERROR(INDEX('Fund Research'!$J$6:$J$505,MATCH(76,'Fund Research'!$U$6:$U$505,0)),"")</f>
        <v/>
      </c>
      <c r="I81" s="38">
        <f>IFERROR(INDEX('Fund Research'!$L$6:$L$505,MATCH(76,'Fund Research'!$U$6:$U$505,0)),"")</f>
        <v/>
      </c>
      <c r="J81" s="37">
        <f>IFERROR(INDEX('Fund Research'!$N$6:$N$505,MATCH(76,'Fund Research'!$U$6:$U$505,0)),"")</f>
        <v/>
      </c>
      <c r="K81" s="37">
        <f>IFERROR(INDEX('Fund Research'!$P$6:$P$505,MATCH(76,'Fund Research'!$U$6:$U$505,0)),"")</f>
        <v/>
      </c>
      <c r="L81" s="35">
        <f>IFERROR(INDEX('Fund Research'!$S$6:$S$505,MATCH(76,'Fund Research'!$U$6:$U$505,0)),"")</f>
        <v/>
      </c>
      <c r="M81" s="35">
        <f>IFERROR(INDEX('Fund Research'!$T$6:$T$505,MATCH(76,'Fund Research'!$U$6:$U$505,0)),"")</f>
        <v/>
      </c>
    </row>
    <row r="82" ht="15" customHeight="1">
      <c r="A82" s="34">
        <f>IFERROR(IF(INDEX('Fund Research'!$B$6:$B$505,MATCH(77,'Fund Research'!$U$6:$U$505,0))="","",77),"")</f>
        <v/>
      </c>
      <c r="B82" s="35">
        <f>IFERROR(INDEX('Fund Research'!$A$6:$A$505,MATCH(77,'Fund Research'!$U$6:$U$505,0)),"")</f>
        <v/>
      </c>
      <c r="C82" s="35">
        <f>IFERROR(INDEX('Fund Research'!$B$6:$B$505,MATCH(77,'Fund Research'!$U$6:$U$505,0)),"")</f>
        <v/>
      </c>
      <c r="D82" s="35">
        <f>IFERROR(INDEX('Fund Research'!$C$6:$C$505,MATCH(77,'Fund Research'!$U$6:$U$505,0)),"")</f>
        <v/>
      </c>
      <c r="E82" s="36">
        <f>IFERROR(INDEX('Fund Research'!$G$6:$G$505,MATCH(77,'Fund Research'!$U$6:$U$505,0)),"")</f>
        <v/>
      </c>
      <c r="F82" s="36">
        <f>IFERROR(INDEX('Fund Research'!$H$6:$H$505,MATCH(77,'Fund Research'!$U$6:$U$505,0)),"")</f>
        <v/>
      </c>
      <c r="G82" s="36">
        <f>IFERROR(INDEX('Fund Research'!$I$6:$I$505,MATCH(77,'Fund Research'!$U$6:$U$505,0)),"")</f>
        <v/>
      </c>
      <c r="H82" s="37">
        <f>IFERROR(INDEX('Fund Research'!$J$6:$J$505,MATCH(77,'Fund Research'!$U$6:$U$505,0)),"")</f>
        <v/>
      </c>
      <c r="I82" s="38">
        <f>IFERROR(INDEX('Fund Research'!$L$6:$L$505,MATCH(77,'Fund Research'!$U$6:$U$505,0)),"")</f>
        <v/>
      </c>
      <c r="J82" s="37">
        <f>IFERROR(INDEX('Fund Research'!$N$6:$N$505,MATCH(77,'Fund Research'!$U$6:$U$505,0)),"")</f>
        <v/>
      </c>
      <c r="K82" s="37">
        <f>IFERROR(INDEX('Fund Research'!$P$6:$P$505,MATCH(77,'Fund Research'!$U$6:$U$505,0)),"")</f>
        <v/>
      </c>
      <c r="L82" s="35">
        <f>IFERROR(INDEX('Fund Research'!$S$6:$S$505,MATCH(77,'Fund Research'!$U$6:$U$505,0)),"")</f>
        <v/>
      </c>
      <c r="M82" s="35">
        <f>IFERROR(INDEX('Fund Research'!$T$6:$T$505,MATCH(77,'Fund Research'!$U$6:$U$505,0)),"")</f>
        <v/>
      </c>
    </row>
    <row r="83" ht="15" customHeight="1">
      <c r="A83" s="34">
        <f>IFERROR(IF(INDEX('Fund Research'!$B$6:$B$505,MATCH(78,'Fund Research'!$U$6:$U$505,0))="","",78),"")</f>
        <v/>
      </c>
      <c r="B83" s="35">
        <f>IFERROR(INDEX('Fund Research'!$A$6:$A$505,MATCH(78,'Fund Research'!$U$6:$U$505,0)),"")</f>
        <v/>
      </c>
      <c r="C83" s="35">
        <f>IFERROR(INDEX('Fund Research'!$B$6:$B$505,MATCH(78,'Fund Research'!$U$6:$U$505,0)),"")</f>
        <v/>
      </c>
      <c r="D83" s="35">
        <f>IFERROR(INDEX('Fund Research'!$C$6:$C$505,MATCH(78,'Fund Research'!$U$6:$U$505,0)),"")</f>
        <v/>
      </c>
      <c r="E83" s="36">
        <f>IFERROR(INDEX('Fund Research'!$G$6:$G$505,MATCH(78,'Fund Research'!$U$6:$U$505,0)),"")</f>
        <v/>
      </c>
      <c r="F83" s="36">
        <f>IFERROR(INDEX('Fund Research'!$H$6:$H$505,MATCH(78,'Fund Research'!$U$6:$U$505,0)),"")</f>
        <v/>
      </c>
      <c r="G83" s="36">
        <f>IFERROR(INDEX('Fund Research'!$I$6:$I$505,MATCH(78,'Fund Research'!$U$6:$U$505,0)),"")</f>
        <v/>
      </c>
      <c r="H83" s="37">
        <f>IFERROR(INDEX('Fund Research'!$J$6:$J$505,MATCH(78,'Fund Research'!$U$6:$U$505,0)),"")</f>
        <v/>
      </c>
      <c r="I83" s="38">
        <f>IFERROR(INDEX('Fund Research'!$L$6:$L$505,MATCH(78,'Fund Research'!$U$6:$U$505,0)),"")</f>
        <v/>
      </c>
      <c r="J83" s="37">
        <f>IFERROR(INDEX('Fund Research'!$N$6:$N$505,MATCH(78,'Fund Research'!$U$6:$U$505,0)),"")</f>
        <v/>
      </c>
      <c r="K83" s="37">
        <f>IFERROR(INDEX('Fund Research'!$P$6:$P$505,MATCH(78,'Fund Research'!$U$6:$U$505,0)),"")</f>
        <v/>
      </c>
      <c r="L83" s="35">
        <f>IFERROR(INDEX('Fund Research'!$S$6:$S$505,MATCH(78,'Fund Research'!$U$6:$U$505,0)),"")</f>
        <v/>
      </c>
      <c r="M83" s="35">
        <f>IFERROR(INDEX('Fund Research'!$T$6:$T$505,MATCH(78,'Fund Research'!$U$6:$U$505,0)),"")</f>
        <v/>
      </c>
    </row>
    <row r="84" ht="15" customHeight="1">
      <c r="A84" s="34">
        <f>IFERROR(IF(INDEX('Fund Research'!$B$6:$B$505,MATCH(79,'Fund Research'!$U$6:$U$505,0))="","",79),"")</f>
        <v/>
      </c>
      <c r="B84" s="35">
        <f>IFERROR(INDEX('Fund Research'!$A$6:$A$505,MATCH(79,'Fund Research'!$U$6:$U$505,0)),"")</f>
        <v/>
      </c>
      <c r="C84" s="35">
        <f>IFERROR(INDEX('Fund Research'!$B$6:$B$505,MATCH(79,'Fund Research'!$U$6:$U$505,0)),"")</f>
        <v/>
      </c>
      <c r="D84" s="35">
        <f>IFERROR(INDEX('Fund Research'!$C$6:$C$505,MATCH(79,'Fund Research'!$U$6:$U$505,0)),"")</f>
        <v/>
      </c>
      <c r="E84" s="36">
        <f>IFERROR(INDEX('Fund Research'!$G$6:$G$505,MATCH(79,'Fund Research'!$U$6:$U$505,0)),"")</f>
        <v/>
      </c>
      <c r="F84" s="36">
        <f>IFERROR(INDEX('Fund Research'!$H$6:$H$505,MATCH(79,'Fund Research'!$U$6:$U$505,0)),"")</f>
        <v/>
      </c>
      <c r="G84" s="36">
        <f>IFERROR(INDEX('Fund Research'!$I$6:$I$505,MATCH(79,'Fund Research'!$U$6:$U$505,0)),"")</f>
        <v/>
      </c>
      <c r="H84" s="37">
        <f>IFERROR(INDEX('Fund Research'!$J$6:$J$505,MATCH(79,'Fund Research'!$U$6:$U$505,0)),"")</f>
        <v/>
      </c>
      <c r="I84" s="38">
        <f>IFERROR(INDEX('Fund Research'!$L$6:$L$505,MATCH(79,'Fund Research'!$U$6:$U$505,0)),"")</f>
        <v/>
      </c>
      <c r="J84" s="37">
        <f>IFERROR(INDEX('Fund Research'!$N$6:$N$505,MATCH(79,'Fund Research'!$U$6:$U$505,0)),"")</f>
        <v/>
      </c>
      <c r="K84" s="37">
        <f>IFERROR(INDEX('Fund Research'!$P$6:$P$505,MATCH(79,'Fund Research'!$U$6:$U$505,0)),"")</f>
        <v/>
      </c>
      <c r="L84" s="35">
        <f>IFERROR(INDEX('Fund Research'!$S$6:$S$505,MATCH(79,'Fund Research'!$U$6:$U$505,0)),"")</f>
        <v/>
      </c>
      <c r="M84" s="35">
        <f>IFERROR(INDEX('Fund Research'!$T$6:$T$505,MATCH(79,'Fund Research'!$U$6:$U$505,0)),"")</f>
        <v/>
      </c>
    </row>
    <row r="85" ht="15" customHeight="1">
      <c r="A85" s="34">
        <f>IFERROR(IF(INDEX('Fund Research'!$B$6:$B$505,MATCH(80,'Fund Research'!$U$6:$U$505,0))="","",80),"")</f>
        <v/>
      </c>
      <c r="B85" s="35">
        <f>IFERROR(INDEX('Fund Research'!$A$6:$A$505,MATCH(80,'Fund Research'!$U$6:$U$505,0)),"")</f>
        <v/>
      </c>
      <c r="C85" s="35">
        <f>IFERROR(INDEX('Fund Research'!$B$6:$B$505,MATCH(80,'Fund Research'!$U$6:$U$505,0)),"")</f>
        <v/>
      </c>
      <c r="D85" s="35">
        <f>IFERROR(INDEX('Fund Research'!$C$6:$C$505,MATCH(80,'Fund Research'!$U$6:$U$505,0)),"")</f>
        <v/>
      </c>
      <c r="E85" s="36">
        <f>IFERROR(INDEX('Fund Research'!$G$6:$G$505,MATCH(80,'Fund Research'!$U$6:$U$505,0)),"")</f>
        <v/>
      </c>
      <c r="F85" s="36">
        <f>IFERROR(INDEX('Fund Research'!$H$6:$H$505,MATCH(80,'Fund Research'!$U$6:$U$505,0)),"")</f>
        <v/>
      </c>
      <c r="G85" s="36">
        <f>IFERROR(INDEX('Fund Research'!$I$6:$I$505,MATCH(80,'Fund Research'!$U$6:$U$505,0)),"")</f>
        <v/>
      </c>
      <c r="H85" s="37">
        <f>IFERROR(INDEX('Fund Research'!$J$6:$J$505,MATCH(80,'Fund Research'!$U$6:$U$505,0)),"")</f>
        <v/>
      </c>
      <c r="I85" s="38">
        <f>IFERROR(INDEX('Fund Research'!$L$6:$L$505,MATCH(80,'Fund Research'!$U$6:$U$505,0)),"")</f>
        <v/>
      </c>
      <c r="J85" s="37">
        <f>IFERROR(INDEX('Fund Research'!$N$6:$N$505,MATCH(80,'Fund Research'!$U$6:$U$505,0)),"")</f>
        <v/>
      </c>
      <c r="K85" s="37">
        <f>IFERROR(INDEX('Fund Research'!$P$6:$P$505,MATCH(80,'Fund Research'!$U$6:$U$505,0)),"")</f>
        <v/>
      </c>
      <c r="L85" s="35">
        <f>IFERROR(INDEX('Fund Research'!$S$6:$S$505,MATCH(80,'Fund Research'!$U$6:$U$505,0)),"")</f>
        <v/>
      </c>
      <c r="M85" s="35">
        <f>IFERROR(INDEX('Fund Research'!$T$6:$T$505,MATCH(80,'Fund Research'!$U$6:$U$505,0)),"")</f>
        <v/>
      </c>
    </row>
    <row r="86" ht="15" customHeight="1">
      <c r="A86" s="34">
        <f>IFERROR(IF(INDEX('Fund Research'!$B$6:$B$505,MATCH(81,'Fund Research'!$U$6:$U$505,0))="","",81),"")</f>
        <v/>
      </c>
      <c r="B86" s="35">
        <f>IFERROR(INDEX('Fund Research'!$A$6:$A$505,MATCH(81,'Fund Research'!$U$6:$U$505,0)),"")</f>
        <v/>
      </c>
      <c r="C86" s="35">
        <f>IFERROR(INDEX('Fund Research'!$B$6:$B$505,MATCH(81,'Fund Research'!$U$6:$U$505,0)),"")</f>
        <v/>
      </c>
      <c r="D86" s="35">
        <f>IFERROR(INDEX('Fund Research'!$C$6:$C$505,MATCH(81,'Fund Research'!$U$6:$U$505,0)),"")</f>
        <v/>
      </c>
      <c r="E86" s="36">
        <f>IFERROR(INDEX('Fund Research'!$G$6:$G$505,MATCH(81,'Fund Research'!$U$6:$U$505,0)),"")</f>
        <v/>
      </c>
      <c r="F86" s="36">
        <f>IFERROR(INDEX('Fund Research'!$H$6:$H$505,MATCH(81,'Fund Research'!$U$6:$U$505,0)),"")</f>
        <v/>
      </c>
      <c r="G86" s="36">
        <f>IFERROR(INDEX('Fund Research'!$I$6:$I$505,MATCH(81,'Fund Research'!$U$6:$U$505,0)),"")</f>
        <v/>
      </c>
      <c r="H86" s="37">
        <f>IFERROR(INDEX('Fund Research'!$J$6:$J$505,MATCH(81,'Fund Research'!$U$6:$U$505,0)),"")</f>
        <v/>
      </c>
      <c r="I86" s="38">
        <f>IFERROR(INDEX('Fund Research'!$L$6:$L$505,MATCH(81,'Fund Research'!$U$6:$U$505,0)),"")</f>
        <v/>
      </c>
      <c r="J86" s="37">
        <f>IFERROR(INDEX('Fund Research'!$N$6:$N$505,MATCH(81,'Fund Research'!$U$6:$U$505,0)),"")</f>
        <v/>
      </c>
      <c r="K86" s="37">
        <f>IFERROR(INDEX('Fund Research'!$P$6:$P$505,MATCH(81,'Fund Research'!$U$6:$U$505,0)),"")</f>
        <v/>
      </c>
      <c r="L86" s="35">
        <f>IFERROR(INDEX('Fund Research'!$S$6:$S$505,MATCH(81,'Fund Research'!$U$6:$U$505,0)),"")</f>
        <v/>
      </c>
      <c r="M86" s="35">
        <f>IFERROR(INDEX('Fund Research'!$T$6:$T$505,MATCH(81,'Fund Research'!$U$6:$U$505,0)),"")</f>
        <v/>
      </c>
    </row>
    <row r="87" ht="15" customHeight="1">
      <c r="A87" s="34">
        <f>IFERROR(IF(INDEX('Fund Research'!$B$6:$B$505,MATCH(82,'Fund Research'!$U$6:$U$505,0))="","",82),"")</f>
        <v/>
      </c>
      <c r="B87" s="35">
        <f>IFERROR(INDEX('Fund Research'!$A$6:$A$505,MATCH(82,'Fund Research'!$U$6:$U$505,0)),"")</f>
        <v/>
      </c>
      <c r="C87" s="35">
        <f>IFERROR(INDEX('Fund Research'!$B$6:$B$505,MATCH(82,'Fund Research'!$U$6:$U$505,0)),"")</f>
        <v/>
      </c>
      <c r="D87" s="35">
        <f>IFERROR(INDEX('Fund Research'!$C$6:$C$505,MATCH(82,'Fund Research'!$U$6:$U$505,0)),"")</f>
        <v/>
      </c>
      <c r="E87" s="36">
        <f>IFERROR(INDEX('Fund Research'!$G$6:$G$505,MATCH(82,'Fund Research'!$U$6:$U$505,0)),"")</f>
        <v/>
      </c>
      <c r="F87" s="36">
        <f>IFERROR(INDEX('Fund Research'!$H$6:$H$505,MATCH(82,'Fund Research'!$U$6:$U$505,0)),"")</f>
        <v/>
      </c>
      <c r="G87" s="36">
        <f>IFERROR(INDEX('Fund Research'!$I$6:$I$505,MATCH(82,'Fund Research'!$U$6:$U$505,0)),"")</f>
        <v/>
      </c>
      <c r="H87" s="37">
        <f>IFERROR(INDEX('Fund Research'!$J$6:$J$505,MATCH(82,'Fund Research'!$U$6:$U$505,0)),"")</f>
        <v/>
      </c>
      <c r="I87" s="38">
        <f>IFERROR(INDEX('Fund Research'!$L$6:$L$505,MATCH(82,'Fund Research'!$U$6:$U$505,0)),"")</f>
        <v/>
      </c>
      <c r="J87" s="37">
        <f>IFERROR(INDEX('Fund Research'!$N$6:$N$505,MATCH(82,'Fund Research'!$U$6:$U$505,0)),"")</f>
        <v/>
      </c>
      <c r="K87" s="37">
        <f>IFERROR(INDEX('Fund Research'!$P$6:$P$505,MATCH(82,'Fund Research'!$U$6:$U$505,0)),"")</f>
        <v/>
      </c>
      <c r="L87" s="35">
        <f>IFERROR(INDEX('Fund Research'!$S$6:$S$505,MATCH(82,'Fund Research'!$U$6:$U$505,0)),"")</f>
        <v/>
      </c>
      <c r="M87" s="35">
        <f>IFERROR(INDEX('Fund Research'!$T$6:$T$505,MATCH(82,'Fund Research'!$U$6:$U$505,0)),"")</f>
        <v/>
      </c>
    </row>
    <row r="88" ht="15" customHeight="1">
      <c r="A88" s="34">
        <f>IFERROR(IF(INDEX('Fund Research'!$B$6:$B$505,MATCH(83,'Fund Research'!$U$6:$U$505,0))="","",83),"")</f>
        <v/>
      </c>
      <c r="B88" s="35">
        <f>IFERROR(INDEX('Fund Research'!$A$6:$A$505,MATCH(83,'Fund Research'!$U$6:$U$505,0)),"")</f>
        <v/>
      </c>
      <c r="C88" s="35">
        <f>IFERROR(INDEX('Fund Research'!$B$6:$B$505,MATCH(83,'Fund Research'!$U$6:$U$505,0)),"")</f>
        <v/>
      </c>
      <c r="D88" s="35">
        <f>IFERROR(INDEX('Fund Research'!$C$6:$C$505,MATCH(83,'Fund Research'!$U$6:$U$505,0)),"")</f>
        <v/>
      </c>
      <c r="E88" s="36">
        <f>IFERROR(INDEX('Fund Research'!$G$6:$G$505,MATCH(83,'Fund Research'!$U$6:$U$505,0)),"")</f>
        <v/>
      </c>
      <c r="F88" s="36">
        <f>IFERROR(INDEX('Fund Research'!$H$6:$H$505,MATCH(83,'Fund Research'!$U$6:$U$505,0)),"")</f>
        <v/>
      </c>
      <c r="G88" s="36">
        <f>IFERROR(INDEX('Fund Research'!$I$6:$I$505,MATCH(83,'Fund Research'!$U$6:$U$505,0)),"")</f>
        <v/>
      </c>
      <c r="H88" s="37">
        <f>IFERROR(INDEX('Fund Research'!$J$6:$J$505,MATCH(83,'Fund Research'!$U$6:$U$505,0)),"")</f>
        <v/>
      </c>
      <c r="I88" s="38">
        <f>IFERROR(INDEX('Fund Research'!$L$6:$L$505,MATCH(83,'Fund Research'!$U$6:$U$505,0)),"")</f>
        <v/>
      </c>
      <c r="J88" s="37">
        <f>IFERROR(INDEX('Fund Research'!$N$6:$N$505,MATCH(83,'Fund Research'!$U$6:$U$505,0)),"")</f>
        <v/>
      </c>
      <c r="K88" s="37">
        <f>IFERROR(INDEX('Fund Research'!$P$6:$P$505,MATCH(83,'Fund Research'!$U$6:$U$505,0)),"")</f>
        <v/>
      </c>
      <c r="L88" s="35">
        <f>IFERROR(INDEX('Fund Research'!$S$6:$S$505,MATCH(83,'Fund Research'!$U$6:$U$505,0)),"")</f>
        <v/>
      </c>
      <c r="M88" s="35">
        <f>IFERROR(INDEX('Fund Research'!$T$6:$T$505,MATCH(83,'Fund Research'!$U$6:$U$505,0)),"")</f>
        <v/>
      </c>
    </row>
    <row r="89" ht="15" customHeight="1">
      <c r="A89" s="34">
        <f>IFERROR(IF(INDEX('Fund Research'!$B$6:$B$505,MATCH(84,'Fund Research'!$U$6:$U$505,0))="","",84),"")</f>
        <v/>
      </c>
      <c r="B89" s="35">
        <f>IFERROR(INDEX('Fund Research'!$A$6:$A$505,MATCH(84,'Fund Research'!$U$6:$U$505,0)),"")</f>
        <v/>
      </c>
      <c r="C89" s="35">
        <f>IFERROR(INDEX('Fund Research'!$B$6:$B$505,MATCH(84,'Fund Research'!$U$6:$U$505,0)),"")</f>
        <v/>
      </c>
      <c r="D89" s="35">
        <f>IFERROR(INDEX('Fund Research'!$C$6:$C$505,MATCH(84,'Fund Research'!$U$6:$U$505,0)),"")</f>
        <v/>
      </c>
      <c r="E89" s="36">
        <f>IFERROR(INDEX('Fund Research'!$G$6:$G$505,MATCH(84,'Fund Research'!$U$6:$U$505,0)),"")</f>
        <v/>
      </c>
      <c r="F89" s="36">
        <f>IFERROR(INDEX('Fund Research'!$H$6:$H$505,MATCH(84,'Fund Research'!$U$6:$U$505,0)),"")</f>
        <v/>
      </c>
      <c r="G89" s="36">
        <f>IFERROR(INDEX('Fund Research'!$I$6:$I$505,MATCH(84,'Fund Research'!$U$6:$U$505,0)),"")</f>
        <v/>
      </c>
      <c r="H89" s="37">
        <f>IFERROR(INDEX('Fund Research'!$J$6:$J$505,MATCH(84,'Fund Research'!$U$6:$U$505,0)),"")</f>
        <v/>
      </c>
      <c r="I89" s="38">
        <f>IFERROR(INDEX('Fund Research'!$L$6:$L$505,MATCH(84,'Fund Research'!$U$6:$U$505,0)),"")</f>
        <v/>
      </c>
      <c r="J89" s="37">
        <f>IFERROR(INDEX('Fund Research'!$N$6:$N$505,MATCH(84,'Fund Research'!$U$6:$U$505,0)),"")</f>
        <v/>
      </c>
      <c r="K89" s="37">
        <f>IFERROR(INDEX('Fund Research'!$P$6:$P$505,MATCH(84,'Fund Research'!$U$6:$U$505,0)),"")</f>
        <v/>
      </c>
      <c r="L89" s="35">
        <f>IFERROR(INDEX('Fund Research'!$S$6:$S$505,MATCH(84,'Fund Research'!$U$6:$U$505,0)),"")</f>
        <v/>
      </c>
      <c r="M89" s="35">
        <f>IFERROR(INDEX('Fund Research'!$T$6:$T$505,MATCH(84,'Fund Research'!$U$6:$U$505,0)),"")</f>
        <v/>
      </c>
    </row>
    <row r="90" ht="15" customHeight="1">
      <c r="A90" s="34">
        <f>IFERROR(IF(INDEX('Fund Research'!$B$6:$B$505,MATCH(85,'Fund Research'!$U$6:$U$505,0))="","",85),"")</f>
        <v/>
      </c>
      <c r="B90" s="35">
        <f>IFERROR(INDEX('Fund Research'!$A$6:$A$505,MATCH(85,'Fund Research'!$U$6:$U$505,0)),"")</f>
        <v/>
      </c>
      <c r="C90" s="35">
        <f>IFERROR(INDEX('Fund Research'!$B$6:$B$505,MATCH(85,'Fund Research'!$U$6:$U$505,0)),"")</f>
        <v/>
      </c>
      <c r="D90" s="35">
        <f>IFERROR(INDEX('Fund Research'!$C$6:$C$505,MATCH(85,'Fund Research'!$U$6:$U$505,0)),"")</f>
        <v/>
      </c>
      <c r="E90" s="36">
        <f>IFERROR(INDEX('Fund Research'!$G$6:$G$505,MATCH(85,'Fund Research'!$U$6:$U$505,0)),"")</f>
        <v/>
      </c>
      <c r="F90" s="36">
        <f>IFERROR(INDEX('Fund Research'!$H$6:$H$505,MATCH(85,'Fund Research'!$U$6:$U$505,0)),"")</f>
        <v/>
      </c>
      <c r="G90" s="36">
        <f>IFERROR(INDEX('Fund Research'!$I$6:$I$505,MATCH(85,'Fund Research'!$U$6:$U$505,0)),"")</f>
        <v/>
      </c>
      <c r="H90" s="37">
        <f>IFERROR(INDEX('Fund Research'!$J$6:$J$505,MATCH(85,'Fund Research'!$U$6:$U$505,0)),"")</f>
        <v/>
      </c>
      <c r="I90" s="38">
        <f>IFERROR(INDEX('Fund Research'!$L$6:$L$505,MATCH(85,'Fund Research'!$U$6:$U$505,0)),"")</f>
        <v/>
      </c>
      <c r="J90" s="37">
        <f>IFERROR(INDEX('Fund Research'!$N$6:$N$505,MATCH(85,'Fund Research'!$U$6:$U$505,0)),"")</f>
        <v/>
      </c>
      <c r="K90" s="37">
        <f>IFERROR(INDEX('Fund Research'!$P$6:$P$505,MATCH(85,'Fund Research'!$U$6:$U$505,0)),"")</f>
        <v/>
      </c>
      <c r="L90" s="35">
        <f>IFERROR(INDEX('Fund Research'!$S$6:$S$505,MATCH(85,'Fund Research'!$U$6:$U$505,0)),"")</f>
        <v/>
      </c>
      <c r="M90" s="35">
        <f>IFERROR(INDEX('Fund Research'!$T$6:$T$505,MATCH(85,'Fund Research'!$U$6:$U$505,0)),"")</f>
        <v/>
      </c>
    </row>
    <row r="91" ht="15" customHeight="1">
      <c r="A91" s="34">
        <f>IFERROR(IF(INDEX('Fund Research'!$B$6:$B$505,MATCH(86,'Fund Research'!$U$6:$U$505,0))="","",86),"")</f>
        <v/>
      </c>
      <c r="B91" s="35">
        <f>IFERROR(INDEX('Fund Research'!$A$6:$A$505,MATCH(86,'Fund Research'!$U$6:$U$505,0)),"")</f>
        <v/>
      </c>
      <c r="C91" s="35">
        <f>IFERROR(INDEX('Fund Research'!$B$6:$B$505,MATCH(86,'Fund Research'!$U$6:$U$505,0)),"")</f>
        <v/>
      </c>
      <c r="D91" s="35">
        <f>IFERROR(INDEX('Fund Research'!$C$6:$C$505,MATCH(86,'Fund Research'!$U$6:$U$505,0)),"")</f>
        <v/>
      </c>
      <c r="E91" s="36">
        <f>IFERROR(INDEX('Fund Research'!$G$6:$G$505,MATCH(86,'Fund Research'!$U$6:$U$505,0)),"")</f>
        <v/>
      </c>
      <c r="F91" s="36">
        <f>IFERROR(INDEX('Fund Research'!$H$6:$H$505,MATCH(86,'Fund Research'!$U$6:$U$505,0)),"")</f>
        <v/>
      </c>
      <c r="G91" s="36">
        <f>IFERROR(INDEX('Fund Research'!$I$6:$I$505,MATCH(86,'Fund Research'!$U$6:$U$505,0)),"")</f>
        <v/>
      </c>
      <c r="H91" s="37">
        <f>IFERROR(INDEX('Fund Research'!$J$6:$J$505,MATCH(86,'Fund Research'!$U$6:$U$505,0)),"")</f>
        <v/>
      </c>
      <c r="I91" s="38">
        <f>IFERROR(INDEX('Fund Research'!$L$6:$L$505,MATCH(86,'Fund Research'!$U$6:$U$505,0)),"")</f>
        <v/>
      </c>
      <c r="J91" s="37">
        <f>IFERROR(INDEX('Fund Research'!$N$6:$N$505,MATCH(86,'Fund Research'!$U$6:$U$505,0)),"")</f>
        <v/>
      </c>
      <c r="K91" s="37">
        <f>IFERROR(INDEX('Fund Research'!$P$6:$P$505,MATCH(86,'Fund Research'!$U$6:$U$505,0)),"")</f>
        <v/>
      </c>
      <c r="L91" s="35">
        <f>IFERROR(INDEX('Fund Research'!$S$6:$S$505,MATCH(86,'Fund Research'!$U$6:$U$505,0)),"")</f>
        <v/>
      </c>
      <c r="M91" s="35">
        <f>IFERROR(INDEX('Fund Research'!$T$6:$T$505,MATCH(86,'Fund Research'!$U$6:$U$505,0)),"")</f>
        <v/>
      </c>
    </row>
    <row r="92" ht="15" customHeight="1">
      <c r="A92" s="34">
        <f>IFERROR(IF(INDEX('Fund Research'!$B$6:$B$505,MATCH(87,'Fund Research'!$U$6:$U$505,0))="","",87),"")</f>
        <v/>
      </c>
      <c r="B92" s="35">
        <f>IFERROR(INDEX('Fund Research'!$A$6:$A$505,MATCH(87,'Fund Research'!$U$6:$U$505,0)),"")</f>
        <v/>
      </c>
      <c r="C92" s="35">
        <f>IFERROR(INDEX('Fund Research'!$B$6:$B$505,MATCH(87,'Fund Research'!$U$6:$U$505,0)),"")</f>
        <v/>
      </c>
      <c r="D92" s="35">
        <f>IFERROR(INDEX('Fund Research'!$C$6:$C$505,MATCH(87,'Fund Research'!$U$6:$U$505,0)),"")</f>
        <v/>
      </c>
      <c r="E92" s="36">
        <f>IFERROR(INDEX('Fund Research'!$G$6:$G$505,MATCH(87,'Fund Research'!$U$6:$U$505,0)),"")</f>
        <v/>
      </c>
      <c r="F92" s="36">
        <f>IFERROR(INDEX('Fund Research'!$H$6:$H$505,MATCH(87,'Fund Research'!$U$6:$U$505,0)),"")</f>
        <v/>
      </c>
      <c r="G92" s="36">
        <f>IFERROR(INDEX('Fund Research'!$I$6:$I$505,MATCH(87,'Fund Research'!$U$6:$U$505,0)),"")</f>
        <v/>
      </c>
      <c r="H92" s="37">
        <f>IFERROR(INDEX('Fund Research'!$J$6:$J$505,MATCH(87,'Fund Research'!$U$6:$U$505,0)),"")</f>
        <v/>
      </c>
      <c r="I92" s="38">
        <f>IFERROR(INDEX('Fund Research'!$L$6:$L$505,MATCH(87,'Fund Research'!$U$6:$U$505,0)),"")</f>
        <v/>
      </c>
      <c r="J92" s="37">
        <f>IFERROR(INDEX('Fund Research'!$N$6:$N$505,MATCH(87,'Fund Research'!$U$6:$U$505,0)),"")</f>
        <v/>
      </c>
      <c r="K92" s="37">
        <f>IFERROR(INDEX('Fund Research'!$P$6:$P$505,MATCH(87,'Fund Research'!$U$6:$U$505,0)),"")</f>
        <v/>
      </c>
      <c r="L92" s="35">
        <f>IFERROR(INDEX('Fund Research'!$S$6:$S$505,MATCH(87,'Fund Research'!$U$6:$U$505,0)),"")</f>
        <v/>
      </c>
      <c r="M92" s="35">
        <f>IFERROR(INDEX('Fund Research'!$T$6:$T$505,MATCH(87,'Fund Research'!$U$6:$U$505,0)),"")</f>
        <v/>
      </c>
    </row>
    <row r="93" ht="15" customHeight="1">
      <c r="A93" s="34">
        <f>IFERROR(IF(INDEX('Fund Research'!$B$6:$B$505,MATCH(88,'Fund Research'!$U$6:$U$505,0))="","",88),"")</f>
        <v/>
      </c>
      <c r="B93" s="35">
        <f>IFERROR(INDEX('Fund Research'!$A$6:$A$505,MATCH(88,'Fund Research'!$U$6:$U$505,0)),"")</f>
        <v/>
      </c>
      <c r="C93" s="35">
        <f>IFERROR(INDEX('Fund Research'!$B$6:$B$505,MATCH(88,'Fund Research'!$U$6:$U$505,0)),"")</f>
        <v/>
      </c>
      <c r="D93" s="35">
        <f>IFERROR(INDEX('Fund Research'!$C$6:$C$505,MATCH(88,'Fund Research'!$U$6:$U$505,0)),"")</f>
        <v/>
      </c>
      <c r="E93" s="36">
        <f>IFERROR(INDEX('Fund Research'!$G$6:$G$505,MATCH(88,'Fund Research'!$U$6:$U$505,0)),"")</f>
        <v/>
      </c>
      <c r="F93" s="36">
        <f>IFERROR(INDEX('Fund Research'!$H$6:$H$505,MATCH(88,'Fund Research'!$U$6:$U$505,0)),"")</f>
        <v/>
      </c>
      <c r="G93" s="36">
        <f>IFERROR(INDEX('Fund Research'!$I$6:$I$505,MATCH(88,'Fund Research'!$U$6:$U$505,0)),"")</f>
        <v/>
      </c>
      <c r="H93" s="37">
        <f>IFERROR(INDEX('Fund Research'!$J$6:$J$505,MATCH(88,'Fund Research'!$U$6:$U$505,0)),"")</f>
        <v/>
      </c>
      <c r="I93" s="38">
        <f>IFERROR(INDEX('Fund Research'!$L$6:$L$505,MATCH(88,'Fund Research'!$U$6:$U$505,0)),"")</f>
        <v/>
      </c>
      <c r="J93" s="37">
        <f>IFERROR(INDEX('Fund Research'!$N$6:$N$505,MATCH(88,'Fund Research'!$U$6:$U$505,0)),"")</f>
        <v/>
      </c>
      <c r="K93" s="37">
        <f>IFERROR(INDEX('Fund Research'!$P$6:$P$505,MATCH(88,'Fund Research'!$U$6:$U$505,0)),"")</f>
        <v/>
      </c>
      <c r="L93" s="35">
        <f>IFERROR(INDEX('Fund Research'!$S$6:$S$505,MATCH(88,'Fund Research'!$U$6:$U$505,0)),"")</f>
        <v/>
      </c>
      <c r="M93" s="35">
        <f>IFERROR(INDEX('Fund Research'!$T$6:$T$505,MATCH(88,'Fund Research'!$U$6:$U$505,0)),"")</f>
        <v/>
      </c>
    </row>
    <row r="94" ht="15" customHeight="1">
      <c r="A94" s="34">
        <f>IFERROR(IF(INDEX('Fund Research'!$B$6:$B$505,MATCH(89,'Fund Research'!$U$6:$U$505,0))="","",89),"")</f>
        <v/>
      </c>
      <c r="B94" s="35">
        <f>IFERROR(INDEX('Fund Research'!$A$6:$A$505,MATCH(89,'Fund Research'!$U$6:$U$505,0)),"")</f>
        <v/>
      </c>
      <c r="C94" s="35">
        <f>IFERROR(INDEX('Fund Research'!$B$6:$B$505,MATCH(89,'Fund Research'!$U$6:$U$505,0)),"")</f>
        <v/>
      </c>
      <c r="D94" s="35">
        <f>IFERROR(INDEX('Fund Research'!$C$6:$C$505,MATCH(89,'Fund Research'!$U$6:$U$505,0)),"")</f>
        <v/>
      </c>
      <c r="E94" s="36">
        <f>IFERROR(INDEX('Fund Research'!$G$6:$G$505,MATCH(89,'Fund Research'!$U$6:$U$505,0)),"")</f>
        <v/>
      </c>
      <c r="F94" s="36">
        <f>IFERROR(INDEX('Fund Research'!$H$6:$H$505,MATCH(89,'Fund Research'!$U$6:$U$505,0)),"")</f>
        <v/>
      </c>
      <c r="G94" s="36">
        <f>IFERROR(INDEX('Fund Research'!$I$6:$I$505,MATCH(89,'Fund Research'!$U$6:$U$505,0)),"")</f>
        <v/>
      </c>
      <c r="H94" s="37">
        <f>IFERROR(INDEX('Fund Research'!$J$6:$J$505,MATCH(89,'Fund Research'!$U$6:$U$505,0)),"")</f>
        <v/>
      </c>
      <c r="I94" s="38">
        <f>IFERROR(INDEX('Fund Research'!$L$6:$L$505,MATCH(89,'Fund Research'!$U$6:$U$505,0)),"")</f>
        <v/>
      </c>
      <c r="J94" s="37">
        <f>IFERROR(INDEX('Fund Research'!$N$6:$N$505,MATCH(89,'Fund Research'!$U$6:$U$505,0)),"")</f>
        <v/>
      </c>
      <c r="K94" s="37">
        <f>IFERROR(INDEX('Fund Research'!$P$6:$P$505,MATCH(89,'Fund Research'!$U$6:$U$505,0)),"")</f>
        <v/>
      </c>
      <c r="L94" s="35">
        <f>IFERROR(INDEX('Fund Research'!$S$6:$S$505,MATCH(89,'Fund Research'!$U$6:$U$505,0)),"")</f>
        <v/>
      </c>
      <c r="M94" s="35">
        <f>IFERROR(INDEX('Fund Research'!$T$6:$T$505,MATCH(89,'Fund Research'!$U$6:$U$505,0)),"")</f>
        <v/>
      </c>
    </row>
    <row r="95" ht="15" customHeight="1">
      <c r="A95" s="34">
        <f>IFERROR(IF(INDEX('Fund Research'!$B$6:$B$505,MATCH(90,'Fund Research'!$U$6:$U$505,0))="","",90),"")</f>
        <v/>
      </c>
      <c r="B95" s="35">
        <f>IFERROR(INDEX('Fund Research'!$A$6:$A$505,MATCH(90,'Fund Research'!$U$6:$U$505,0)),"")</f>
        <v/>
      </c>
      <c r="C95" s="35">
        <f>IFERROR(INDEX('Fund Research'!$B$6:$B$505,MATCH(90,'Fund Research'!$U$6:$U$505,0)),"")</f>
        <v/>
      </c>
      <c r="D95" s="35">
        <f>IFERROR(INDEX('Fund Research'!$C$6:$C$505,MATCH(90,'Fund Research'!$U$6:$U$505,0)),"")</f>
        <v/>
      </c>
      <c r="E95" s="36">
        <f>IFERROR(INDEX('Fund Research'!$G$6:$G$505,MATCH(90,'Fund Research'!$U$6:$U$505,0)),"")</f>
        <v/>
      </c>
      <c r="F95" s="36">
        <f>IFERROR(INDEX('Fund Research'!$H$6:$H$505,MATCH(90,'Fund Research'!$U$6:$U$505,0)),"")</f>
        <v/>
      </c>
      <c r="G95" s="36">
        <f>IFERROR(INDEX('Fund Research'!$I$6:$I$505,MATCH(90,'Fund Research'!$U$6:$U$505,0)),"")</f>
        <v/>
      </c>
      <c r="H95" s="37">
        <f>IFERROR(INDEX('Fund Research'!$J$6:$J$505,MATCH(90,'Fund Research'!$U$6:$U$505,0)),"")</f>
        <v/>
      </c>
      <c r="I95" s="38">
        <f>IFERROR(INDEX('Fund Research'!$L$6:$L$505,MATCH(90,'Fund Research'!$U$6:$U$505,0)),"")</f>
        <v/>
      </c>
      <c r="J95" s="37">
        <f>IFERROR(INDEX('Fund Research'!$N$6:$N$505,MATCH(90,'Fund Research'!$U$6:$U$505,0)),"")</f>
        <v/>
      </c>
      <c r="K95" s="37">
        <f>IFERROR(INDEX('Fund Research'!$P$6:$P$505,MATCH(90,'Fund Research'!$U$6:$U$505,0)),"")</f>
        <v/>
      </c>
      <c r="L95" s="35">
        <f>IFERROR(INDEX('Fund Research'!$S$6:$S$505,MATCH(90,'Fund Research'!$U$6:$U$505,0)),"")</f>
        <v/>
      </c>
      <c r="M95" s="35">
        <f>IFERROR(INDEX('Fund Research'!$T$6:$T$505,MATCH(90,'Fund Research'!$U$6:$U$505,0)),"")</f>
        <v/>
      </c>
    </row>
    <row r="96" ht="15" customHeight="1">
      <c r="A96" s="34">
        <f>IFERROR(IF(INDEX('Fund Research'!$B$6:$B$505,MATCH(91,'Fund Research'!$U$6:$U$505,0))="","",91),"")</f>
        <v/>
      </c>
      <c r="B96" s="35">
        <f>IFERROR(INDEX('Fund Research'!$A$6:$A$505,MATCH(91,'Fund Research'!$U$6:$U$505,0)),"")</f>
        <v/>
      </c>
      <c r="C96" s="35">
        <f>IFERROR(INDEX('Fund Research'!$B$6:$B$505,MATCH(91,'Fund Research'!$U$6:$U$505,0)),"")</f>
        <v/>
      </c>
      <c r="D96" s="35">
        <f>IFERROR(INDEX('Fund Research'!$C$6:$C$505,MATCH(91,'Fund Research'!$U$6:$U$505,0)),"")</f>
        <v/>
      </c>
      <c r="E96" s="36">
        <f>IFERROR(INDEX('Fund Research'!$G$6:$G$505,MATCH(91,'Fund Research'!$U$6:$U$505,0)),"")</f>
        <v/>
      </c>
      <c r="F96" s="36">
        <f>IFERROR(INDEX('Fund Research'!$H$6:$H$505,MATCH(91,'Fund Research'!$U$6:$U$505,0)),"")</f>
        <v/>
      </c>
      <c r="G96" s="36">
        <f>IFERROR(INDEX('Fund Research'!$I$6:$I$505,MATCH(91,'Fund Research'!$U$6:$U$505,0)),"")</f>
        <v/>
      </c>
      <c r="H96" s="37">
        <f>IFERROR(INDEX('Fund Research'!$J$6:$J$505,MATCH(91,'Fund Research'!$U$6:$U$505,0)),"")</f>
        <v/>
      </c>
      <c r="I96" s="38">
        <f>IFERROR(INDEX('Fund Research'!$L$6:$L$505,MATCH(91,'Fund Research'!$U$6:$U$505,0)),"")</f>
        <v/>
      </c>
      <c r="J96" s="37">
        <f>IFERROR(INDEX('Fund Research'!$N$6:$N$505,MATCH(91,'Fund Research'!$U$6:$U$505,0)),"")</f>
        <v/>
      </c>
      <c r="K96" s="37">
        <f>IFERROR(INDEX('Fund Research'!$P$6:$P$505,MATCH(91,'Fund Research'!$U$6:$U$505,0)),"")</f>
        <v/>
      </c>
      <c r="L96" s="35">
        <f>IFERROR(INDEX('Fund Research'!$S$6:$S$505,MATCH(91,'Fund Research'!$U$6:$U$505,0)),"")</f>
        <v/>
      </c>
      <c r="M96" s="35">
        <f>IFERROR(INDEX('Fund Research'!$T$6:$T$505,MATCH(91,'Fund Research'!$U$6:$U$505,0)),"")</f>
        <v/>
      </c>
    </row>
    <row r="97" ht="15" customHeight="1">
      <c r="A97" s="34">
        <f>IFERROR(IF(INDEX('Fund Research'!$B$6:$B$505,MATCH(92,'Fund Research'!$U$6:$U$505,0))="","",92),"")</f>
        <v/>
      </c>
      <c r="B97" s="35">
        <f>IFERROR(INDEX('Fund Research'!$A$6:$A$505,MATCH(92,'Fund Research'!$U$6:$U$505,0)),"")</f>
        <v/>
      </c>
      <c r="C97" s="35">
        <f>IFERROR(INDEX('Fund Research'!$B$6:$B$505,MATCH(92,'Fund Research'!$U$6:$U$505,0)),"")</f>
        <v/>
      </c>
      <c r="D97" s="35">
        <f>IFERROR(INDEX('Fund Research'!$C$6:$C$505,MATCH(92,'Fund Research'!$U$6:$U$505,0)),"")</f>
        <v/>
      </c>
      <c r="E97" s="36">
        <f>IFERROR(INDEX('Fund Research'!$G$6:$G$505,MATCH(92,'Fund Research'!$U$6:$U$505,0)),"")</f>
        <v/>
      </c>
      <c r="F97" s="36">
        <f>IFERROR(INDEX('Fund Research'!$H$6:$H$505,MATCH(92,'Fund Research'!$U$6:$U$505,0)),"")</f>
        <v/>
      </c>
      <c r="G97" s="36">
        <f>IFERROR(INDEX('Fund Research'!$I$6:$I$505,MATCH(92,'Fund Research'!$U$6:$U$505,0)),"")</f>
        <v/>
      </c>
      <c r="H97" s="37">
        <f>IFERROR(INDEX('Fund Research'!$J$6:$J$505,MATCH(92,'Fund Research'!$U$6:$U$505,0)),"")</f>
        <v/>
      </c>
      <c r="I97" s="38">
        <f>IFERROR(INDEX('Fund Research'!$L$6:$L$505,MATCH(92,'Fund Research'!$U$6:$U$505,0)),"")</f>
        <v/>
      </c>
      <c r="J97" s="37">
        <f>IFERROR(INDEX('Fund Research'!$N$6:$N$505,MATCH(92,'Fund Research'!$U$6:$U$505,0)),"")</f>
        <v/>
      </c>
      <c r="K97" s="37">
        <f>IFERROR(INDEX('Fund Research'!$P$6:$P$505,MATCH(92,'Fund Research'!$U$6:$U$505,0)),"")</f>
        <v/>
      </c>
      <c r="L97" s="35">
        <f>IFERROR(INDEX('Fund Research'!$S$6:$S$505,MATCH(92,'Fund Research'!$U$6:$U$505,0)),"")</f>
        <v/>
      </c>
      <c r="M97" s="35">
        <f>IFERROR(INDEX('Fund Research'!$T$6:$T$505,MATCH(92,'Fund Research'!$U$6:$U$505,0)),"")</f>
        <v/>
      </c>
    </row>
    <row r="98" ht="15" customHeight="1">
      <c r="A98" s="34">
        <f>IFERROR(IF(INDEX('Fund Research'!$B$6:$B$505,MATCH(93,'Fund Research'!$U$6:$U$505,0))="","",93),"")</f>
        <v/>
      </c>
      <c r="B98" s="35">
        <f>IFERROR(INDEX('Fund Research'!$A$6:$A$505,MATCH(93,'Fund Research'!$U$6:$U$505,0)),"")</f>
        <v/>
      </c>
      <c r="C98" s="35">
        <f>IFERROR(INDEX('Fund Research'!$B$6:$B$505,MATCH(93,'Fund Research'!$U$6:$U$505,0)),"")</f>
        <v/>
      </c>
      <c r="D98" s="35">
        <f>IFERROR(INDEX('Fund Research'!$C$6:$C$505,MATCH(93,'Fund Research'!$U$6:$U$505,0)),"")</f>
        <v/>
      </c>
      <c r="E98" s="36">
        <f>IFERROR(INDEX('Fund Research'!$G$6:$G$505,MATCH(93,'Fund Research'!$U$6:$U$505,0)),"")</f>
        <v/>
      </c>
      <c r="F98" s="36">
        <f>IFERROR(INDEX('Fund Research'!$H$6:$H$505,MATCH(93,'Fund Research'!$U$6:$U$505,0)),"")</f>
        <v/>
      </c>
      <c r="G98" s="36">
        <f>IFERROR(INDEX('Fund Research'!$I$6:$I$505,MATCH(93,'Fund Research'!$U$6:$U$505,0)),"")</f>
        <v/>
      </c>
      <c r="H98" s="37">
        <f>IFERROR(INDEX('Fund Research'!$J$6:$J$505,MATCH(93,'Fund Research'!$U$6:$U$505,0)),"")</f>
        <v/>
      </c>
      <c r="I98" s="38">
        <f>IFERROR(INDEX('Fund Research'!$L$6:$L$505,MATCH(93,'Fund Research'!$U$6:$U$505,0)),"")</f>
        <v/>
      </c>
      <c r="J98" s="37">
        <f>IFERROR(INDEX('Fund Research'!$N$6:$N$505,MATCH(93,'Fund Research'!$U$6:$U$505,0)),"")</f>
        <v/>
      </c>
      <c r="K98" s="37">
        <f>IFERROR(INDEX('Fund Research'!$P$6:$P$505,MATCH(93,'Fund Research'!$U$6:$U$505,0)),"")</f>
        <v/>
      </c>
      <c r="L98" s="35">
        <f>IFERROR(INDEX('Fund Research'!$S$6:$S$505,MATCH(93,'Fund Research'!$U$6:$U$505,0)),"")</f>
        <v/>
      </c>
      <c r="M98" s="35">
        <f>IFERROR(INDEX('Fund Research'!$T$6:$T$505,MATCH(93,'Fund Research'!$U$6:$U$505,0)),"")</f>
        <v/>
      </c>
    </row>
    <row r="99" ht="15" customHeight="1">
      <c r="A99" s="34">
        <f>IFERROR(IF(INDEX('Fund Research'!$B$6:$B$505,MATCH(94,'Fund Research'!$U$6:$U$505,0))="","",94),"")</f>
        <v/>
      </c>
      <c r="B99" s="35">
        <f>IFERROR(INDEX('Fund Research'!$A$6:$A$505,MATCH(94,'Fund Research'!$U$6:$U$505,0)),"")</f>
        <v/>
      </c>
      <c r="C99" s="35">
        <f>IFERROR(INDEX('Fund Research'!$B$6:$B$505,MATCH(94,'Fund Research'!$U$6:$U$505,0)),"")</f>
        <v/>
      </c>
      <c r="D99" s="35">
        <f>IFERROR(INDEX('Fund Research'!$C$6:$C$505,MATCH(94,'Fund Research'!$U$6:$U$505,0)),"")</f>
        <v/>
      </c>
      <c r="E99" s="36">
        <f>IFERROR(INDEX('Fund Research'!$G$6:$G$505,MATCH(94,'Fund Research'!$U$6:$U$505,0)),"")</f>
        <v/>
      </c>
      <c r="F99" s="36">
        <f>IFERROR(INDEX('Fund Research'!$H$6:$H$505,MATCH(94,'Fund Research'!$U$6:$U$505,0)),"")</f>
        <v/>
      </c>
      <c r="G99" s="36">
        <f>IFERROR(INDEX('Fund Research'!$I$6:$I$505,MATCH(94,'Fund Research'!$U$6:$U$505,0)),"")</f>
        <v/>
      </c>
      <c r="H99" s="37">
        <f>IFERROR(INDEX('Fund Research'!$J$6:$J$505,MATCH(94,'Fund Research'!$U$6:$U$505,0)),"")</f>
        <v/>
      </c>
      <c r="I99" s="38">
        <f>IFERROR(INDEX('Fund Research'!$L$6:$L$505,MATCH(94,'Fund Research'!$U$6:$U$505,0)),"")</f>
        <v/>
      </c>
      <c r="J99" s="37">
        <f>IFERROR(INDEX('Fund Research'!$N$6:$N$505,MATCH(94,'Fund Research'!$U$6:$U$505,0)),"")</f>
        <v/>
      </c>
      <c r="K99" s="37">
        <f>IFERROR(INDEX('Fund Research'!$P$6:$P$505,MATCH(94,'Fund Research'!$U$6:$U$505,0)),"")</f>
        <v/>
      </c>
      <c r="L99" s="35">
        <f>IFERROR(INDEX('Fund Research'!$S$6:$S$505,MATCH(94,'Fund Research'!$U$6:$U$505,0)),"")</f>
        <v/>
      </c>
      <c r="M99" s="35">
        <f>IFERROR(INDEX('Fund Research'!$T$6:$T$505,MATCH(94,'Fund Research'!$U$6:$U$505,0)),"")</f>
        <v/>
      </c>
    </row>
    <row r="100" ht="15" customHeight="1">
      <c r="A100" s="34">
        <f>IFERROR(IF(INDEX('Fund Research'!$B$6:$B$505,MATCH(95,'Fund Research'!$U$6:$U$505,0))="","",95),"")</f>
        <v/>
      </c>
      <c r="B100" s="35">
        <f>IFERROR(INDEX('Fund Research'!$A$6:$A$505,MATCH(95,'Fund Research'!$U$6:$U$505,0)),"")</f>
        <v/>
      </c>
      <c r="C100" s="35">
        <f>IFERROR(INDEX('Fund Research'!$B$6:$B$505,MATCH(95,'Fund Research'!$U$6:$U$505,0)),"")</f>
        <v/>
      </c>
      <c r="D100" s="35">
        <f>IFERROR(INDEX('Fund Research'!$C$6:$C$505,MATCH(95,'Fund Research'!$U$6:$U$505,0)),"")</f>
        <v/>
      </c>
      <c r="E100" s="36">
        <f>IFERROR(INDEX('Fund Research'!$G$6:$G$505,MATCH(95,'Fund Research'!$U$6:$U$505,0)),"")</f>
        <v/>
      </c>
      <c r="F100" s="36">
        <f>IFERROR(INDEX('Fund Research'!$H$6:$H$505,MATCH(95,'Fund Research'!$U$6:$U$505,0)),"")</f>
        <v/>
      </c>
      <c r="G100" s="36">
        <f>IFERROR(INDEX('Fund Research'!$I$6:$I$505,MATCH(95,'Fund Research'!$U$6:$U$505,0)),"")</f>
        <v/>
      </c>
      <c r="H100" s="37">
        <f>IFERROR(INDEX('Fund Research'!$J$6:$J$505,MATCH(95,'Fund Research'!$U$6:$U$505,0)),"")</f>
        <v/>
      </c>
      <c r="I100" s="38">
        <f>IFERROR(INDEX('Fund Research'!$L$6:$L$505,MATCH(95,'Fund Research'!$U$6:$U$505,0)),"")</f>
        <v/>
      </c>
      <c r="J100" s="37">
        <f>IFERROR(INDEX('Fund Research'!$N$6:$N$505,MATCH(95,'Fund Research'!$U$6:$U$505,0)),"")</f>
        <v/>
      </c>
      <c r="K100" s="37">
        <f>IFERROR(INDEX('Fund Research'!$P$6:$P$505,MATCH(95,'Fund Research'!$U$6:$U$505,0)),"")</f>
        <v/>
      </c>
      <c r="L100" s="35">
        <f>IFERROR(INDEX('Fund Research'!$S$6:$S$505,MATCH(95,'Fund Research'!$U$6:$U$505,0)),"")</f>
        <v/>
      </c>
      <c r="M100" s="35">
        <f>IFERROR(INDEX('Fund Research'!$T$6:$T$505,MATCH(95,'Fund Research'!$U$6:$U$505,0)),"")</f>
        <v/>
      </c>
    </row>
    <row r="101" ht="15" customHeight="1">
      <c r="A101" s="34">
        <f>IFERROR(IF(INDEX('Fund Research'!$B$6:$B$505,MATCH(96,'Fund Research'!$U$6:$U$505,0))="","",96),"")</f>
        <v/>
      </c>
      <c r="B101" s="35">
        <f>IFERROR(INDEX('Fund Research'!$A$6:$A$505,MATCH(96,'Fund Research'!$U$6:$U$505,0)),"")</f>
        <v/>
      </c>
      <c r="C101" s="35">
        <f>IFERROR(INDEX('Fund Research'!$B$6:$B$505,MATCH(96,'Fund Research'!$U$6:$U$505,0)),"")</f>
        <v/>
      </c>
      <c r="D101" s="35">
        <f>IFERROR(INDEX('Fund Research'!$C$6:$C$505,MATCH(96,'Fund Research'!$U$6:$U$505,0)),"")</f>
        <v/>
      </c>
      <c r="E101" s="36">
        <f>IFERROR(INDEX('Fund Research'!$G$6:$G$505,MATCH(96,'Fund Research'!$U$6:$U$505,0)),"")</f>
        <v/>
      </c>
      <c r="F101" s="36">
        <f>IFERROR(INDEX('Fund Research'!$H$6:$H$505,MATCH(96,'Fund Research'!$U$6:$U$505,0)),"")</f>
        <v/>
      </c>
      <c r="G101" s="36">
        <f>IFERROR(INDEX('Fund Research'!$I$6:$I$505,MATCH(96,'Fund Research'!$U$6:$U$505,0)),"")</f>
        <v/>
      </c>
      <c r="H101" s="37">
        <f>IFERROR(INDEX('Fund Research'!$J$6:$J$505,MATCH(96,'Fund Research'!$U$6:$U$505,0)),"")</f>
        <v/>
      </c>
      <c r="I101" s="38">
        <f>IFERROR(INDEX('Fund Research'!$L$6:$L$505,MATCH(96,'Fund Research'!$U$6:$U$505,0)),"")</f>
        <v/>
      </c>
      <c r="J101" s="37">
        <f>IFERROR(INDEX('Fund Research'!$N$6:$N$505,MATCH(96,'Fund Research'!$U$6:$U$505,0)),"")</f>
        <v/>
      </c>
      <c r="K101" s="37">
        <f>IFERROR(INDEX('Fund Research'!$P$6:$P$505,MATCH(96,'Fund Research'!$U$6:$U$505,0)),"")</f>
        <v/>
      </c>
      <c r="L101" s="35">
        <f>IFERROR(INDEX('Fund Research'!$S$6:$S$505,MATCH(96,'Fund Research'!$U$6:$U$505,0)),"")</f>
        <v/>
      </c>
      <c r="M101" s="35">
        <f>IFERROR(INDEX('Fund Research'!$T$6:$T$505,MATCH(96,'Fund Research'!$U$6:$U$505,0)),"")</f>
        <v/>
      </c>
    </row>
    <row r="102" ht="15" customHeight="1">
      <c r="A102" s="34">
        <f>IFERROR(IF(INDEX('Fund Research'!$B$6:$B$505,MATCH(97,'Fund Research'!$U$6:$U$505,0))="","",97),"")</f>
        <v/>
      </c>
      <c r="B102" s="35">
        <f>IFERROR(INDEX('Fund Research'!$A$6:$A$505,MATCH(97,'Fund Research'!$U$6:$U$505,0)),"")</f>
        <v/>
      </c>
      <c r="C102" s="35">
        <f>IFERROR(INDEX('Fund Research'!$B$6:$B$505,MATCH(97,'Fund Research'!$U$6:$U$505,0)),"")</f>
        <v/>
      </c>
      <c r="D102" s="35">
        <f>IFERROR(INDEX('Fund Research'!$C$6:$C$505,MATCH(97,'Fund Research'!$U$6:$U$505,0)),"")</f>
        <v/>
      </c>
      <c r="E102" s="36">
        <f>IFERROR(INDEX('Fund Research'!$G$6:$G$505,MATCH(97,'Fund Research'!$U$6:$U$505,0)),"")</f>
        <v/>
      </c>
      <c r="F102" s="36">
        <f>IFERROR(INDEX('Fund Research'!$H$6:$H$505,MATCH(97,'Fund Research'!$U$6:$U$505,0)),"")</f>
        <v/>
      </c>
      <c r="G102" s="36">
        <f>IFERROR(INDEX('Fund Research'!$I$6:$I$505,MATCH(97,'Fund Research'!$U$6:$U$505,0)),"")</f>
        <v/>
      </c>
      <c r="H102" s="37">
        <f>IFERROR(INDEX('Fund Research'!$J$6:$J$505,MATCH(97,'Fund Research'!$U$6:$U$505,0)),"")</f>
        <v/>
      </c>
      <c r="I102" s="38">
        <f>IFERROR(INDEX('Fund Research'!$L$6:$L$505,MATCH(97,'Fund Research'!$U$6:$U$505,0)),"")</f>
        <v/>
      </c>
      <c r="J102" s="37">
        <f>IFERROR(INDEX('Fund Research'!$N$6:$N$505,MATCH(97,'Fund Research'!$U$6:$U$505,0)),"")</f>
        <v/>
      </c>
      <c r="K102" s="37">
        <f>IFERROR(INDEX('Fund Research'!$P$6:$P$505,MATCH(97,'Fund Research'!$U$6:$U$505,0)),"")</f>
        <v/>
      </c>
      <c r="L102" s="35">
        <f>IFERROR(INDEX('Fund Research'!$S$6:$S$505,MATCH(97,'Fund Research'!$U$6:$U$505,0)),"")</f>
        <v/>
      </c>
      <c r="M102" s="35">
        <f>IFERROR(INDEX('Fund Research'!$T$6:$T$505,MATCH(97,'Fund Research'!$U$6:$U$505,0)),"")</f>
        <v/>
      </c>
    </row>
    <row r="103" ht="15" customHeight="1">
      <c r="A103" s="34">
        <f>IFERROR(IF(INDEX('Fund Research'!$B$6:$B$505,MATCH(98,'Fund Research'!$U$6:$U$505,0))="","",98),"")</f>
        <v/>
      </c>
      <c r="B103" s="35">
        <f>IFERROR(INDEX('Fund Research'!$A$6:$A$505,MATCH(98,'Fund Research'!$U$6:$U$505,0)),"")</f>
        <v/>
      </c>
      <c r="C103" s="35">
        <f>IFERROR(INDEX('Fund Research'!$B$6:$B$505,MATCH(98,'Fund Research'!$U$6:$U$505,0)),"")</f>
        <v/>
      </c>
      <c r="D103" s="35">
        <f>IFERROR(INDEX('Fund Research'!$C$6:$C$505,MATCH(98,'Fund Research'!$U$6:$U$505,0)),"")</f>
        <v/>
      </c>
      <c r="E103" s="36">
        <f>IFERROR(INDEX('Fund Research'!$G$6:$G$505,MATCH(98,'Fund Research'!$U$6:$U$505,0)),"")</f>
        <v/>
      </c>
      <c r="F103" s="36">
        <f>IFERROR(INDEX('Fund Research'!$H$6:$H$505,MATCH(98,'Fund Research'!$U$6:$U$505,0)),"")</f>
        <v/>
      </c>
      <c r="G103" s="36">
        <f>IFERROR(INDEX('Fund Research'!$I$6:$I$505,MATCH(98,'Fund Research'!$U$6:$U$505,0)),"")</f>
        <v/>
      </c>
      <c r="H103" s="37">
        <f>IFERROR(INDEX('Fund Research'!$J$6:$J$505,MATCH(98,'Fund Research'!$U$6:$U$505,0)),"")</f>
        <v/>
      </c>
      <c r="I103" s="38">
        <f>IFERROR(INDEX('Fund Research'!$L$6:$L$505,MATCH(98,'Fund Research'!$U$6:$U$505,0)),"")</f>
        <v/>
      </c>
      <c r="J103" s="37">
        <f>IFERROR(INDEX('Fund Research'!$N$6:$N$505,MATCH(98,'Fund Research'!$U$6:$U$505,0)),"")</f>
        <v/>
      </c>
      <c r="K103" s="37">
        <f>IFERROR(INDEX('Fund Research'!$P$6:$P$505,MATCH(98,'Fund Research'!$U$6:$U$505,0)),"")</f>
        <v/>
      </c>
      <c r="L103" s="35">
        <f>IFERROR(INDEX('Fund Research'!$S$6:$S$505,MATCH(98,'Fund Research'!$U$6:$U$505,0)),"")</f>
        <v/>
      </c>
      <c r="M103" s="35">
        <f>IFERROR(INDEX('Fund Research'!$T$6:$T$505,MATCH(98,'Fund Research'!$U$6:$U$505,0)),"")</f>
        <v/>
      </c>
    </row>
    <row r="104" ht="15" customHeight="1">
      <c r="A104" s="34">
        <f>IFERROR(IF(INDEX('Fund Research'!$B$6:$B$505,MATCH(99,'Fund Research'!$U$6:$U$505,0))="","",99),"")</f>
        <v/>
      </c>
      <c r="B104" s="35">
        <f>IFERROR(INDEX('Fund Research'!$A$6:$A$505,MATCH(99,'Fund Research'!$U$6:$U$505,0)),"")</f>
        <v/>
      </c>
      <c r="C104" s="35">
        <f>IFERROR(INDEX('Fund Research'!$B$6:$B$505,MATCH(99,'Fund Research'!$U$6:$U$505,0)),"")</f>
        <v/>
      </c>
      <c r="D104" s="35">
        <f>IFERROR(INDEX('Fund Research'!$C$6:$C$505,MATCH(99,'Fund Research'!$U$6:$U$505,0)),"")</f>
        <v/>
      </c>
      <c r="E104" s="36">
        <f>IFERROR(INDEX('Fund Research'!$G$6:$G$505,MATCH(99,'Fund Research'!$U$6:$U$505,0)),"")</f>
        <v/>
      </c>
      <c r="F104" s="36">
        <f>IFERROR(INDEX('Fund Research'!$H$6:$H$505,MATCH(99,'Fund Research'!$U$6:$U$505,0)),"")</f>
        <v/>
      </c>
      <c r="G104" s="36">
        <f>IFERROR(INDEX('Fund Research'!$I$6:$I$505,MATCH(99,'Fund Research'!$U$6:$U$505,0)),"")</f>
        <v/>
      </c>
      <c r="H104" s="37">
        <f>IFERROR(INDEX('Fund Research'!$J$6:$J$505,MATCH(99,'Fund Research'!$U$6:$U$505,0)),"")</f>
        <v/>
      </c>
      <c r="I104" s="38">
        <f>IFERROR(INDEX('Fund Research'!$L$6:$L$505,MATCH(99,'Fund Research'!$U$6:$U$505,0)),"")</f>
        <v/>
      </c>
      <c r="J104" s="37">
        <f>IFERROR(INDEX('Fund Research'!$N$6:$N$505,MATCH(99,'Fund Research'!$U$6:$U$505,0)),"")</f>
        <v/>
      </c>
      <c r="K104" s="37">
        <f>IFERROR(INDEX('Fund Research'!$P$6:$P$505,MATCH(99,'Fund Research'!$U$6:$U$505,0)),"")</f>
        <v/>
      </c>
      <c r="L104" s="35">
        <f>IFERROR(INDEX('Fund Research'!$S$6:$S$505,MATCH(99,'Fund Research'!$U$6:$U$505,0)),"")</f>
        <v/>
      </c>
      <c r="M104" s="35">
        <f>IFERROR(INDEX('Fund Research'!$T$6:$T$505,MATCH(99,'Fund Research'!$U$6:$U$505,0)),"")</f>
        <v/>
      </c>
    </row>
    <row r="105" ht="15" customHeight="1">
      <c r="A105" s="34">
        <f>IFERROR(IF(INDEX('Fund Research'!$B$6:$B$505,MATCH(100,'Fund Research'!$U$6:$U$505,0))="","",100),"")</f>
        <v/>
      </c>
      <c r="B105" s="35">
        <f>IFERROR(INDEX('Fund Research'!$A$6:$A$505,MATCH(100,'Fund Research'!$U$6:$U$505,0)),"")</f>
        <v/>
      </c>
      <c r="C105" s="35">
        <f>IFERROR(INDEX('Fund Research'!$B$6:$B$505,MATCH(100,'Fund Research'!$U$6:$U$505,0)),"")</f>
        <v/>
      </c>
      <c r="D105" s="35">
        <f>IFERROR(INDEX('Fund Research'!$C$6:$C$505,MATCH(100,'Fund Research'!$U$6:$U$505,0)),"")</f>
        <v/>
      </c>
      <c r="E105" s="36">
        <f>IFERROR(INDEX('Fund Research'!$G$6:$G$505,MATCH(100,'Fund Research'!$U$6:$U$505,0)),"")</f>
        <v/>
      </c>
      <c r="F105" s="36">
        <f>IFERROR(INDEX('Fund Research'!$H$6:$H$505,MATCH(100,'Fund Research'!$U$6:$U$505,0)),"")</f>
        <v/>
      </c>
      <c r="G105" s="36">
        <f>IFERROR(INDEX('Fund Research'!$I$6:$I$505,MATCH(100,'Fund Research'!$U$6:$U$505,0)),"")</f>
        <v/>
      </c>
      <c r="H105" s="37">
        <f>IFERROR(INDEX('Fund Research'!$J$6:$J$505,MATCH(100,'Fund Research'!$U$6:$U$505,0)),"")</f>
        <v/>
      </c>
      <c r="I105" s="38">
        <f>IFERROR(INDEX('Fund Research'!$L$6:$L$505,MATCH(100,'Fund Research'!$U$6:$U$505,0)),"")</f>
        <v/>
      </c>
      <c r="J105" s="37">
        <f>IFERROR(INDEX('Fund Research'!$N$6:$N$505,MATCH(100,'Fund Research'!$U$6:$U$505,0)),"")</f>
        <v/>
      </c>
      <c r="K105" s="37">
        <f>IFERROR(INDEX('Fund Research'!$P$6:$P$505,MATCH(100,'Fund Research'!$U$6:$U$505,0)),"")</f>
        <v/>
      </c>
      <c r="L105" s="35">
        <f>IFERROR(INDEX('Fund Research'!$S$6:$S$505,MATCH(100,'Fund Research'!$U$6:$U$505,0)),"")</f>
        <v/>
      </c>
      <c r="M105" s="35">
        <f>IFERROR(INDEX('Fund Research'!$T$6:$T$505,MATCH(100,'Fund Research'!$U$6:$U$505,0)),"")</f>
        <v/>
      </c>
    </row>
    <row r="106" ht="15" customHeight="1">
      <c r="A106" s="34">
        <f>IFERROR(IF(INDEX('Fund Research'!$B$6:$B$505,MATCH(101,'Fund Research'!$U$6:$U$505,0))="","",101),"")</f>
        <v/>
      </c>
      <c r="B106" s="35">
        <f>IFERROR(INDEX('Fund Research'!$A$6:$A$505,MATCH(101,'Fund Research'!$U$6:$U$505,0)),"")</f>
        <v/>
      </c>
      <c r="C106" s="35">
        <f>IFERROR(INDEX('Fund Research'!$B$6:$B$505,MATCH(101,'Fund Research'!$U$6:$U$505,0)),"")</f>
        <v/>
      </c>
      <c r="D106" s="35">
        <f>IFERROR(INDEX('Fund Research'!$C$6:$C$505,MATCH(101,'Fund Research'!$U$6:$U$505,0)),"")</f>
        <v/>
      </c>
      <c r="E106" s="36">
        <f>IFERROR(INDEX('Fund Research'!$G$6:$G$505,MATCH(101,'Fund Research'!$U$6:$U$505,0)),"")</f>
        <v/>
      </c>
      <c r="F106" s="36">
        <f>IFERROR(INDEX('Fund Research'!$H$6:$H$505,MATCH(101,'Fund Research'!$U$6:$U$505,0)),"")</f>
        <v/>
      </c>
      <c r="G106" s="36">
        <f>IFERROR(INDEX('Fund Research'!$I$6:$I$505,MATCH(101,'Fund Research'!$U$6:$U$505,0)),"")</f>
        <v/>
      </c>
      <c r="H106" s="37">
        <f>IFERROR(INDEX('Fund Research'!$J$6:$J$505,MATCH(101,'Fund Research'!$U$6:$U$505,0)),"")</f>
        <v/>
      </c>
      <c r="I106" s="38">
        <f>IFERROR(INDEX('Fund Research'!$L$6:$L$505,MATCH(101,'Fund Research'!$U$6:$U$505,0)),"")</f>
        <v/>
      </c>
      <c r="J106" s="37">
        <f>IFERROR(INDEX('Fund Research'!$N$6:$N$505,MATCH(101,'Fund Research'!$U$6:$U$505,0)),"")</f>
        <v/>
      </c>
      <c r="K106" s="37">
        <f>IFERROR(INDEX('Fund Research'!$P$6:$P$505,MATCH(101,'Fund Research'!$U$6:$U$505,0)),"")</f>
        <v/>
      </c>
      <c r="L106" s="35">
        <f>IFERROR(INDEX('Fund Research'!$S$6:$S$505,MATCH(101,'Fund Research'!$U$6:$U$505,0)),"")</f>
        <v/>
      </c>
      <c r="M106" s="35">
        <f>IFERROR(INDEX('Fund Research'!$T$6:$T$505,MATCH(101,'Fund Research'!$U$6:$U$505,0)),"")</f>
        <v/>
      </c>
    </row>
    <row r="107" ht="15" customHeight="1">
      <c r="A107" s="34">
        <f>IFERROR(IF(INDEX('Fund Research'!$B$6:$B$505,MATCH(102,'Fund Research'!$U$6:$U$505,0))="","",102),"")</f>
        <v/>
      </c>
      <c r="B107" s="35">
        <f>IFERROR(INDEX('Fund Research'!$A$6:$A$505,MATCH(102,'Fund Research'!$U$6:$U$505,0)),"")</f>
        <v/>
      </c>
      <c r="C107" s="35">
        <f>IFERROR(INDEX('Fund Research'!$B$6:$B$505,MATCH(102,'Fund Research'!$U$6:$U$505,0)),"")</f>
        <v/>
      </c>
      <c r="D107" s="35">
        <f>IFERROR(INDEX('Fund Research'!$C$6:$C$505,MATCH(102,'Fund Research'!$U$6:$U$505,0)),"")</f>
        <v/>
      </c>
      <c r="E107" s="36">
        <f>IFERROR(INDEX('Fund Research'!$G$6:$G$505,MATCH(102,'Fund Research'!$U$6:$U$505,0)),"")</f>
        <v/>
      </c>
      <c r="F107" s="36">
        <f>IFERROR(INDEX('Fund Research'!$H$6:$H$505,MATCH(102,'Fund Research'!$U$6:$U$505,0)),"")</f>
        <v/>
      </c>
      <c r="G107" s="36">
        <f>IFERROR(INDEX('Fund Research'!$I$6:$I$505,MATCH(102,'Fund Research'!$U$6:$U$505,0)),"")</f>
        <v/>
      </c>
      <c r="H107" s="37">
        <f>IFERROR(INDEX('Fund Research'!$J$6:$J$505,MATCH(102,'Fund Research'!$U$6:$U$505,0)),"")</f>
        <v/>
      </c>
      <c r="I107" s="38">
        <f>IFERROR(INDEX('Fund Research'!$L$6:$L$505,MATCH(102,'Fund Research'!$U$6:$U$505,0)),"")</f>
        <v/>
      </c>
      <c r="J107" s="37">
        <f>IFERROR(INDEX('Fund Research'!$N$6:$N$505,MATCH(102,'Fund Research'!$U$6:$U$505,0)),"")</f>
        <v/>
      </c>
      <c r="K107" s="37">
        <f>IFERROR(INDEX('Fund Research'!$P$6:$P$505,MATCH(102,'Fund Research'!$U$6:$U$505,0)),"")</f>
        <v/>
      </c>
      <c r="L107" s="35">
        <f>IFERROR(INDEX('Fund Research'!$S$6:$S$505,MATCH(102,'Fund Research'!$U$6:$U$505,0)),"")</f>
        <v/>
      </c>
      <c r="M107" s="35">
        <f>IFERROR(INDEX('Fund Research'!$T$6:$T$505,MATCH(102,'Fund Research'!$U$6:$U$505,0)),"")</f>
        <v/>
      </c>
    </row>
    <row r="108" ht="15" customHeight="1">
      <c r="A108" s="34">
        <f>IFERROR(IF(INDEX('Fund Research'!$B$6:$B$505,MATCH(103,'Fund Research'!$U$6:$U$505,0))="","",103),"")</f>
        <v/>
      </c>
      <c r="B108" s="35">
        <f>IFERROR(INDEX('Fund Research'!$A$6:$A$505,MATCH(103,'Fund Research'!$U$6:$U$505,0)),"")</f>
        <v/>
      </c>
      <c r="C108" s="35">
        <f>IFERROR(INDEX('Fund Research'!$B$6:$B$505,MATCH(103,'Fund Research'!$U$6:$U$505,0)),"")</f>
        <v/>
      </c>
      <c r="D108" s="35">
        <f>IFERROR(INDEX('Fund Research'!$C$6:$C$505,MATCH(103,'Fund Research'!$U$6:$U$505,0)),"")</f>
        <v/>
      </c>
      <c r="E108" s="36">
        <f>IFERROR(INDEX('Fund Research'!$G$6:$G$505,MATCH(103,'Fund Research'!$U$6:$U$505,0)),"")</f>
        <v/>
      </c>
      <c r="F108" s="36">
        <f>IFERROR(INDEX('Fund Research'!$H$6:$H$505,MATCH(103,'Fund Research'!$U$6:$U$505,0)),"")</f>
        <v/>
      </c>
      <c r="G108" s="36">
        <f>IFERROR(INDEX('Fund Research'!$I$6:$I$505,MATCH(103,'Fund Research'!$U$6:$U$505,0)),"")</f>
        <v/>
      </c>
      <c r="H108" s="37">
        <f>IFERROR(INDEX('Fund Research'!$J$6:$J$505,MATCH(103,'Fund Research'!$U$6:$U$505,0)),"")</f>
        <v/>
      </c>
      <c r="I108" s="38">
        <f>IFERROR(INDEX('Fund Research'!$L$6:$L$505,MATCH(103,'Fund Research'!$U$6:$U$505,0)),"")</f>
        <v/>
      </c>
      <c r="J108" s="37">
        <f>IFERROR(INDEX('Fund Research'!$N$6:$N$505,MATCH(103,'Fund Research'!$U$6:$U$505,0)),"")</f>
        <v/>
      </c>
      <c r="K108" s="37">
        <f>IFERROR(INDEX('Fund Research'!$P$6:$P$505,MATCH(103,'Fund Research'!$U$6:$U$505,0)),"")</f>
        <v/>
      </c>
      <c r="L108" s="35">
        <f>IFERROR(INDEX('Fund Research'!$S$6:$S$505,MATCH(103,'Fund Research'!$U$6:$U$505,0)),"")</f>
        <v/>
      </c>
      <c r="M108" s="35">
        <f>IFERROR(INDEX('Fund Research'!$T$6:$T$505,MATCH(103,'Fund Research'!$U$6:$U$505,0)),"")</f>
        <v/>
      </c>
    </row>
    <row r="109" ht="15" customHeight="1">
      <c r="A109" s="34">
        <f>IFERROR(IF(INDEX('Fund Research'!$B$6:$B$505,MATCH(104,'Fund Research'!$U$6:$U$505,0))="","",104),"")</f>
        <v/>
      </c>
      <c r="B109" s="35">
        <f>IFERROR(INDEX('Fund Research'!$A$6:$A$505,MATCH(104,'Fund Research'!$U$6:$U$505,0)),"")</f>
        <v/>
      </c>
      <c r="C109" s="35">
        <f>IFERROR(INDEX('Fund Research'!$B$6:$B$505,MATCH(104,'Fund Research'!$U$6:$U$505,0)),"")</f>
        <v/>
      </c>
      <c r="D109" s="35">
        <f>IFERROR(INDEX('Fund Research'!$C$6:$C$505,MATCH(104,'Fund Research'!$U$6:$U$505,0)),"")</f>
        <v/>
      </c>
      <c r="E109" s="36">
        <f>IFERROR(INDEX('Fund Research'!$G$6:$G$505,MATCH(104,'Fund Research'!$U$6:$U$505,0)),"")</f>
        <v/>
      </c>
      <c r="F109" s="36">
        <f>IFERROR(INDEX('Fund Research'!$H$6:$H$505,MATCH(104,'Fund Research'!$U$6:$U$505,0)),"")</f>
        <v/>
      </c>
      <c r="G109" s="36">
        <f>IFERROR(INDEX('Fund Research'!$I$6:$I$505,MATCH(104,'Fund Research'!$U$6:$U$505,0)),"")</f>
        <v/>
      </c>
      <c r="H109" s="37">
        <f>IFERROR(INDEX('Fund Research'!$J$6:$J$505,MATCH(104,'Fund Research'!$U$6:$U$505,0)),"")</f>
        <v/>
      </c>
      <c r="I109" s="38">
        <f>IFERROR(INDEX('Fund Research'!$L$6:$L$505,MATCH(104,'Fund Research'!$U$6:$U$505,0)),"")</f>
        <v/>
      </c>
      <c r="J109" s="37">
        <f>IFERROR(INDEX('Fund Research'!$N$6:$N$505,MATCH(104,'Fund Research'!$U$6:$U$505,0)),"")</f>
        <v/>
      </c>
      <c r="K109" s="37">
        <f>IFERROR(INDEX('Fund Research'!$P$6:$P$505,MATCH(104,'Fund Research'!$U$6:$U$505,0)),"")</f>
        <v/>
      </c>
      <c r="L109" s="35">
        <f>IFERROR(INDEX('Fund Research'!$S$6:$S$505,MATCH(104,'Fund Research'!$U$6:$U$505,0)),"")</f>
        <v/>
      </c>
      <c r="M109" s="35">
        <f>IFERROR(INDEX('Fund Research'!$T$6:$T$505,MATCH(104,'Fund Research'!$U$6:$U$505,0)),"")</f>
        <v/>
      </c>
    </row>
    <row r="110" ht="15" customHeight="1">
      <c r="A110" s="34">
        <f>IFERROR(IF(INDEX('Fund Research'!$B$6:$B$505,MATCH(105,'Fund Research'!$U$6:$U$505,0))="","",105),"")</f>
        <v/>
      </c>
      <c r="B110" s="35">
        <f>IFERROR(INDEX('Fund Research'!$A$6:$A$505,MATCH(105,'Fund Research'!$U$6:$U$505,0)),"")</f>
        <v/>
      </c>
      <c r="C110" s="35">
        <f>IFERROR(INDEX('Fund Research'!$B$6:$B$505,MATCH(105,'Fund Research'!$U$6:$U$505,0)),"")</f>
        <v/>
      </c>
      <c r="D110" s="35">
        <f>IFERROR(INDEX('Fund Research'!$C$6:$C$505,MATCH(105,'Fund Research'!$U$6:$U$505,0)),"")</f>
        <v/>
      </c>
      <c r="E110" s="36">
        <f>IFERROR(INDEX('Fund Research'!$G$6:$G$505,MATCH(105,'Fund Research'!$U$6:$U$505,0)),"")</f>
        <v/>
      </c>
      <c r="F110" s="36">
        <f>IFERROR(INDEX('Fund Research'!$H$6:$H$505,MATCH(105,'Fund Research'!$U$6:$U$505,0)),"")</f>
        <v/>
      </c>
      <c r="G110" s="36">
        <f>IFERROR(INDEX('Fund Research'!$I$6:$I$505,MATCH(105,'Fund Research'!$U$6:$U$505,0)),"")</f>
        <v/>
      </c>
      <c r="H110" s="37">
        <f>IFERROR(INDEX('Fund Research'!$J$6:$J$505,MATCH(105,'Fund Research'!$U$6:$U$505,0)),"")</f>
        <v/>
      </c>
      <c r="I110" s="38">
        <f>IFERROR(INDEX('Fund Research'!$L$6:$L$505,MATCH(105,'Fund Research'!$U$6:$U$505,0)),"")</f>
        <v/>
      </c>
      <c r="J110" s="37">
        <f>IFERROR(INDEX('Fund Research'!$N$6:$N$505,MATCH(105,'Fund Research'!$U$6:$U$505,0)),"")</f>
        <v/>
      </c>
      <c r="K110" s="37">
        <f>IFERROR(INDEX('Fund Research'!$P$6:$P$505,MATCH(105,'Fund Research'!$U$6:$U$505,0)),"")</f>
        <v/>
      </c>
      <c r="L110" s="35">
        <f>IFERROR(INDEX('Fund Research'!$S$6:$S$505,MATCH(105,'Fund Research'!$U$6:$U$505,0)),"")</f>
        <v/>
      </c>
      <c r="M110" s="35">
        <f>IFERROR(INDEX('Fund Research'!$T$6:$T$505,MATCH(105,'Fund Research'!$U$6:$U$505,0)),"")</f>
        <v/>
      </c>
    </row>
    <row r="111" ht="15" customHeight="1">
      <c r="A111" s="34">
        <f>IFERROR(IF(INDEX('Fund Research'!$B$6:$B$505,MATCH(106,'Fund Research'!$U$6:$U$505,0))="","",106),"")</f>
        <v/>
      </c>
      <c r="B111" s="35">
        <f>IFERROR(INDEX('Fund Research'!$A$6:$A$505,MATCH(106,'Fund Research'!$U$6:$U$505,0)),"")</f>
        <v/>
      </c>
      <c r="C111" s="35">
        <f>IFERROR(INDEX('Fund Research'!$B$6:$B$505,MATCH(106,'Fund Research'!$U$6:$U$505,0)),"")</f>
        <v/>
      </c>
      <c r="D111" s="35">
        <f>IFERROR(INDEX('Fund Research'!$C$6:$C$505,MATCH(106,'Fund Research'!$U$6:$U$505,0)),"")</f>
        <v/>
      </c>
      <c r="E111" s="36">
        <f>IFERROR(INDEX('Fund Research'!$G$6:$G$505,MATCH(106,'Fund Research'!$U$6:$U$505,0)),"")</f>
        <v/>
      </c>
      <c r="F111" s="36">
        <f>IFERROR(INDEX('Fund Research'!$H$6:$H$505,MATCH(106,'Fund Research'!$U$6:$U$505,0)),"")</f>
        <v/>
      </c>
      <c r="G111" s="36">
        <f>IFERROR(INDEX('Fund Research'!$I$6:$I$505,MATCH(106,'Fund Research'!$U$6:$U$505,0)),"")</f>
        <v/>
      </c>
      <c r="H111" s="37">
        <f>IFERROR(INDEX('Fund Research'!$J$6:$J$505,MATCH(106,'Fund Research'!$U$6:$U$505,0)),"")</f>
        <v/>
      </c>
      <c r="I111" s="38">
        <f>IFERROR(INDEX('Fund Research'!$L$6:$L$505,MATCH(106,'Fund Research'!$U$6:$U$505,0)),"")</f>
        <v/>
      </c>
      <c r="J111" s="37">
        <f>IFERROR(INDEX('Fund Research'!$N$6:$N$505,MATCH(106,'Fund Research'!$U$6:$U$505,0)),"")</f>
        <v/>
      </c>
      <c r="K111" s="37">
        <f>IFERROR(INDEX('Fund Research'!$P$6:$P$505,MATCH(106,'Fund Research'!$U$6:$U$505,0)),"")</f>
        <v/>
      </c>
      <c r="L111" s="35">
        <f>IFERROR(INDEX('Fund Research'!$S$6:$S$505,MATCH(106,'Fund Research'!$U$6:$U$505,0)),"")</f>
        <v/>
      </c>
      <c r="M111" s="35">
        <f>IFERROR(INDEX('Fund Research'!$T$6:$T$505,MATCH(106,'Fund Research'!$U$6:$U$505,0)),"")</f>
        <v/>
      </c>
    </row>
    <row r="112" ht="15" customHeight="1">
      <c r="A112" s="34">
        <f>IFERROR(IF(INDEX('Fund Research'!$B$6:$B$505,MATCH(107,'Fund Research'!$U$6:$U$505,0))="","",107),"")</f>
        <v/>
      </c>
      <c r="B112" s="35">
        <f>IFERROR(INDEX('Fund Research'!$A$6:$A$505,MATCH(107,'Fund Research'!$U$6:$U$505,0)),"")</f>
        <v/>
      </c>
      <c r="C112" s="35">
        <f>IFERROR(INDEX('Fund Research'!$B$6:$B$505,MATCH(107,'Fund Research'!$U$6:$U$505,0)),"")</f>
        <v/>
      </c>
      <c r="D112" s="35">
        <f>IFERROR(INDEX('Fund Research'!$C$6:$C$505,MATCH(107,'Fund Research'!$U$6:$U$505,0)),"")</f>
        <v/>
      </c>
      <c r="E112" s="36">
        <f>IFERROR(INDEX('Fund Research'!$G$6:$G$505,MATCH(107,'Fund Research'!$U$6:$U$505,0)),"")</f>
        <v/>
      </c>
      <c r="F112" s="36">
        <f>IFERROR(INDEX('Fund Research'!$H$6:$H$505,MATCH(107,'Fund Research'!$U$6:$U$505,0)),"")</f>
        <v/>
      </c>
      <c r="G112" s="36">
        <f>IFERROR(INDEX('Fund Research'!$I$6:$I$505,MATCH(107,'Fund Research'!$U$6:$U$505,0)),"")</f>
        <v/>
      </c>
      <c r="H112" s="37">
        <f>IFERROR(INDEX('Fund Research'!$J$6:$J$505,MATCH(107,'Fund Research'!$U$6:$U$505,0)),"")</f>
        <v/>
      </c>
      <c r="I112" s="38">
        <f>IFERROR(INDEX('Fund Research'!$L$6:$L$505,MATCH(107,'Fund Research'!$U$6:$U$505,0)),"")</f>
        <v/>
      </c>
      <c r="J112" s="37">
        <f>IFERROR(INDEX('Fund Research'!$N$6:$N$505,MATCH(107,'Fund Research'!$U$6:$U$505,0)),"")</f>
        <v/>
      </c>
      <c r="K112" s="37">
        <f>IFERROR(INDEX('Fund Research'!$P$6:$P$505,MATCH(107,'Fund Research'!$U$6:$U$505,0)),"")</f>
        <v/>
      </c>
      <c r="L112" s="35">
        <f>IFERROR(INDEX('Fund Research'!$S$6:$S$505,MATCH(107,'Fund Research'!$U$6:$U$505,0)),"")</f>
        <v/>
      </c>
      <c r="M112" s="35">
        <f>IFERROR(INDEX('Fund Research'!$T$6:$T$505,MATCH(107,'Fund Research'!$U$6:$U$505,0)),"")</f>
        <v/>
      </c>
    </row>
    <row r="113" ht="15" customHeight="1">
      <c r="A113" s="34">
        <f>IFERROR(IF(INDEX('Fund Research'!$B$6:$B$505,MATCH(108,'Fund Research'!$U$6:$U$505,0))="","",108),"")</f>
        <v/>
      </c>
      <c r="B113" s="35">
        <f>IFERROR(INDEX('Fund Research'!$A$6:$A$505,MATCH(108,'Fund Research'!$U$6:$U$505,0)),"")</f>
        <v/>
      </c>
      <c r="C113" s="35">
        <f>IFERROR(INDEX('Fund Research'!$B$6:$B$505,MATCH(108,'Fund Research'!$U$6:$U$505,0)),"")</f>
        <v/>
      </c>
      <c r="D113" s="35">
        <f>IFERROR(INDEX('Fund Research'!$C$6:$C$505,MATCH(108,'Fund Research'!$U$6:$U$505,0)),"")</f>
        <v/>
      </c>
      <c r="E113" s="36">
        <f>IFERROR(INDEX('Fund Research'!$G$6:$G$505,MATCH(108,'Fund Research'!$U$6:$U$505,0)),"")</f>
        <v/>
      </c>
      <c r="F113" s="36">
        <f>IFERROR(INDEX('Fund Research'!$H$6:$H$505,MATCH(108,'Fund Research'!$U$6:$U$505,0)),"")</f>
        <v/>
      </c>
      <c r="G113" s="36">
        <f>IFERROR(INDEX('Fund Research'!$I$6:$I$505,MATCH(108,'Fund Research'!$U$6:$U$505,0)),"")</f>
        <v/>
      </c>
      <c r="H113" s="37">
        <f>IFERROR(INDEX('Fund Research'!$J$6:$J$505,MATCH(108,'Fund Research'!$U$6:$U$505,0)),"")</f>
        <v/>
      </c>
      <c r="I113" s="38">
        <f>IFERROR(INDEX('Fund Research'!$L$6:$L$505,MATCH(108,'Fund Research'!$U$6:$U$505,0)),"")</f>
        <v/>
      </c>
      <c r="J113" s="37">
        <f>IFERROR(INDEX('Fund Research'!$N$6:$N$505,MATCH(108,'Fund Research'!$U$6:$U$505,0)),"")</f>
        <v/>
      </c>
      <c r="K113" s="37">
        <f>IFERROR(INDEX('Fund Research'!$P$6:$P$505,MATCH(108,'Fund Research'!$U$6:$U$505,0)),"")</f>
        <v/>
      </c>
      <c r="L113" s="35">
        <f>IFERROR(INDEX('Fund Research'!$S$6:$S$505,MATCH(108,'Fund Research'!$U$6:$U$505,0)),"")</f>
        <v/>
      </c>
      <c r="M113" s="35">
        <f>IFERROR(INDEX('Fund Research'!$T$6:$T$505,MATCH(108,'Fund Research'!$U$6:$U$505,0)),"")</f>
        <v/>
      </c>
    </row>
    <row r="114" ht="15" customHeight="1">
      <c r="A114" s="34">
        <f>IFERROR(IF(INDEX('Fund Research'!$B$6:$B$505,MATCH(109,'Fund Research'!$U$6:$U$505,0))="","",109),"")</f>
        <v/>
      </c>
      <c r="B114" s="35">
        <f>IFERROR(INDEX('Fund Research'!$A$6:$A$505,MATCH(109,'Fund Research'!$U$6:$U$505,0)),"")</f>
        <v/>
      </c>
      <c r="C114" s="35">
        <f>IFERROR(INDEX('Fund Research'!$B$6:$B$505,MATCH(109,'Fund Research'!$U$6:$U$505,0)),"")</f>
        <v/>
      </c>
      <c r="D114" s="35">
        <f>IFERROR(INDEX('Fund Research'!$C$6:$C$505,MATCH(109,'Fund Research'!$U$6:$U$505,0)),"")</f>
        <v/>
      </c>
      <c r="E114" s="36">
        <f>IFERROR(INDEX('Fund Research'!$G$6:$G$505,MATCH(109,'Fund Research'!$U$6:$U$505,0)),"")</f>
        <v/>
      </c>
      <c r="F114" s="36">
        <f>IFERROR(INDEX('Fund Research'!$H$6:$H$505,MATCH(109,'Fund Research'!$U$6:$U$505,0)),"")</f>
        <v/>
      </c>
      <c r="G114" s="36">
        <f>IFERROR(INDEX('Fund Research'!$I$6:$I$505,MATCH(109,'Fund Research'!$U$6:$U$505,0)),"")</f>
        <v/>
      </c>
      <c r="H114" s="37">
        <f>IFERROR(INDEX('Fund Research'!$J$6:$J$505,MATCH(109,'Fund Research'!$U$6:$U$505,0)),"")</f>
        <v/>
      </c>
      <c r="I114" s="38">
        <f>IFERROR(INDEX('Fund Research'!$L$6:$L$505,MATCH(109,'Fund Research'!$U$6:$U$505,0)),"")</f>
        <v/>
      </c>
      <c r="J114" s="37">
        <f>IFERROR(INDEX('Fund Research'!$N$6:$N$505,MATCH(109,'Fund Research'!$U$6:$U$505,0)),"")</f>
        <v/>
      </c>
      <c r="K114" s="37">
        <f>IFERROR(INDEX('Fund Research'!$P$6:$P$505,MATCH(109,'Fund Research'!$U$6:$U$505,0)),"")</f>
        <v/>
      </c>
      <c r="L114" s="35">
        <f>IFERROR(INDEX('Fund Research'!$S$6:$S$505,MATCH(109,'Fund Research'!$U$6:$U$505,0)),"")</f>
        <v/>
      </c>
      <c r="M114" s="35">
        <f>IFERROR(INDEX('Fund Research'!$T$6:$T$505,MATCH(109,'Fund Research'!$U$6:$U$505,0)),"")</f>
        <v/>
      </c>
    </row>
    <row r="115" ht="15" customHeight="1">
      <c r="A115" s="34">
        <f>IFERROR(IF(INDEX('Fund Research'!$B$6:$B$505,MATCH(110,'Fund Research'!$U$6:$U$505,0))="","",110),"")</f>
        <v/>
      </c>
      <c r="B115" s="35">
        <f>IFERROR(INDEX('Fund Research'!$A$6:$A$505,MATCH(110,'Fund Research'!$U$6:$U$505,0)),"")</f>
        <v/>
      </c>
      <c r="C115" s="35">
        <f>IFERROR(INDEX('Fund Research'!$B$6:$B$505,MATCH(110,'Fund Research'!$U$6:$U$505,0)),"")</f>
        <v/>
      </c>
      <c r="D115" s="35">
        <f>IFERROR(INDEX('Fund Research'!$C$6:$C$505,MATCH(110,'Fund Research'!$U$6:$U$505,0)),"")</f>
        <v/>
      </c>
      <c r="E115" s="36">
        <f>IFERROR(INDEX('Fund Research'!$G$6:$G$505,MATCH(110,'Fund Research'!$U$6:$U$505,0)),"")</f>
        <v/>
      </c>
      <c r="F115" s="36">
        <f>IFERROR(INDEX('Fund Research'!$H$6:$H$505,MATCH(110,'Fund Research'!$U$6:$U$505,0)),"")</f>
        <v/>
      </c>
      <c r="G115" s="36">
        <f>IFERROR(INDEX('Fund Research'!$I$6:$I$505,MATCH(110,'Fund Research'!$U$6:$U$505,0)),"")</f>
        <v/>
      </c>
      <c r="H115" s="37">
        <f>IFERROR(INDEX('Fund Research'!$J$6:$J$505,MATCH(110,'Fund Research'!$U$6:$U$505,0)),"")</f>
        <v/>
      </c>
      <c r="I115" s="38">
        <f>IFERROR(INDEX('Fund Research'!$L$6:$L$505,MATCH(110,'Fund Research'!$U$6:$U$505,0)),"")</f>
        <v/>
      </c>
      <c r="J115" s="37">
        <f>IFERROR(INDEX('Fund Research'!$N$6:$N$505,MATCH(110,'Fund Research'!$U$6:$U$505,0)),"")</f>
        <v/>
      </c>
      <c r="K115" s="37">
        <f>IFERROR(INDEX('Fund Research'!$P$6:$P$505,MATCH(110,'Fund Research'!$U$6:$U$505,0)),"")</f>
        <v/>
      </c>
      <c r="L115" s="35">
        <f>IFERROR(INDEX('Fund Research'!$S$6:$S$505,MATCH(110,'Fund Research'!$U$6:$U$505,0)),"")</f>
        <v/>
      </c>
      <c r="M115" s="35">
        <f>IFERROR(INDEX('Fund Research'!$T$6:$T$505,MATCH(110,'Fund Research'!$U$6:$U$505,0)),"")</f>
        <v/>
      </c>
    </row>
    <row r="116" ht="15" customHeight="1">
      <c r="A116" s="34">
        <f>IFERROR(IF(INDEX('Fund Research'!$B$6:$B$505,MATCH(111,'Fund Research'!$U$6:$U$505,0))="","",111),"")</f>
        <v/>
      </c>
      <c r="B116" s="35">
        <f>IFERROR(INDEX('Fund Research'!$A$6:$A$505,MATCH(111,'Fund Research'!$U$6:$U$505,0)),"")</f>
        <v/>
      </c>
      <c r="C116" s="35">
        <f>IFERROR(INDEX('Fund Research'!$B$6:$B$505,MATCH(111,'Fund Research'!$U$6:$U$505,0)),"")</f>
        <v/>
      </c>
      <c r="D116" s="35">
        <f>IFERROR(INDEX('Fund Research'!$C$6:$C$505,MATCH(111,'Fund Research'!$U$6:$U$505,0)),"")</f>
        <v/>
      </c>
      <c r="E116" s="36">
        <f>IFERROR(INDEX('Fund Research'!$G$6:$G$505,MATCH(111,'Fund Research'!$U$6:$U$505,0)),"")</f>
        <v/>
      </c>
      <c r="F116" s="36">
        <f>IFERROR(INDEX('Fund Research'!$H$6:$H$505,MATCH(111,'Fund Research'!$U$6:$U$505,0)),"")</f>
        <v/>
      </c>
      <c r="G116" s="36">
        <f>IFERROR(INDEX('Fund Research'!$I$6:$I$505,MATCH(111,'Fund Research'!$U$6:$U$505,0)),"")</f>
        <v/>
      </c>
      <c r="H116" s="37">
        <f>IFERROR(INDEX('Fund Research'!$J$6:$J$505,MATCH(111,'Fund Research'!$U$6:$U$505,0)),"")</f>
        <v/>
      </c>
      <c r="I116" s="38">
        <f>IFERROR(INDEX('Fund Research'!$L$6:$L$505,MATCH(111,'Fund Research'!$U$6:$U$505,0)),"")</f>
        <v/>
      </c>
      <c r="J116" s="37">
        <f>IFERROR(INDEX('Fund Research'!$N$6:$N$505,MATCH(111,'Fund Research'!$U$6:$U$505,0)),"")</f>
        <v/>
      </c>
      <c r="K116" s="37">
        <f>IFERROR(INDEX('Fund Research'!$P$6:$P$505,MATCH(111,'Fund Research'!$U$6:$U$505,0)),"")</f>
        <v/>
      </c>
      <c r="L116" s="35">
        <f>IFERROR(INDEX('Fund Research'!$S$6:$S$505,MATCH(111,'Fund Research'!$U$6:$U$505,0)),"")</f>
        <v/>
      </c>
      <c r="M116" s="35">
        <f>IFERROR(INDEX('Fund Research'!$T$6:$T$505,MATCH(111,'Fund Research'!$U$6:$U$505,0)),"")</f>
        <v/>
      </c>
    </row>
    <row r="117" ht="15" customHeight="1">
      <c r="A117" s="34">
        <f>IFERROR(IF(INDEX('Fund Research'!$B$6:$B$505,MATCH(112,'Fund Research'!$U$6:$U$505,0))="","",112),"")</f>
        <v/>
      </c>
      <c r="B117" s="35">
        <f>IFERROR(INDEX('Fund Research'!$A$6:$A$505,MATCH(112,'Fund Research'!$U$6:$U$505,0)),"")</f>
        <v/>
      </c>
      <c r="C117" s="35">
        <f>IFERROR(INDEX('Fund Research'!$B$6:$B$505,MATCH(112,'Fund Research'!$U$6:$U$505,0)),"")</f>
        <v/>
      </c>
      <c r="D117" s="35">
        <f>IFERROR(INDEX('Fund Research'!$C$6:$C$505,MATCH(112,'Fund Research'!$U$6:$U$505,0)),"")</f>
        <v/>
      </c>
      <c r="E117" s="36">
        <f>IFERROR(INDEX('Fund Research'!$G$6:$G$505,MATCH(112,'Fund Research'!$U$6:$U$505,0)),"")</f>
        <v/>
      </c>
      <c r="F117" s="36">
        <f>IFERROR(INDEX('Fund Research'!$H$6:$H$505,MATCH(112,'Fund Research'!$U$6:$U$505,0)),"")</f>
        <v/>
      </c>
      <c r="G117" s="36">
        <f>IFERROR(INDEX('Fund Research'!$I$6:$I$505,MATCH(112,'Fund Research'!$U$6:$U$505,0)),"")</f>
        <v/>
      </c>
      <c r="H117" s="37">
        <f>IFERROR(INDEX('Fund Research'!$J$6:$J$505,MATCH(112,'Fund Research'!$U$6:$U$505,0)),"")</f>
        <v/>
      </c>
      <c r="I117" s="38">
        <f>IFERROR(INDEX('Fund Research'!$L$6:$L$505,MATCH(112,'Fund Research'!$U$6:$U$505,0)),"")</f>
        <v/>
      </c>
      <c r="J117" s="37">
        <f>IFERROR(INDEX('Fund Research'!$N$6:$N$505,MATCH(112,'Fund Research'!$U$6:$U$505,0)),"")</f>
        <v/>
      </c>
      <c r="K117" s="37">
        <f>IFERROR(INDEX('Fund Research'!$P$6:$P$505,MATCH(112,'Fund Research'!$U$6:$U$505,0)),"")</f>
        <v/>
      </c>
      <c r="L117" s="35">
        <f>IFERROR(INDEX('Fund Research'!$S$6:$S$505,MATCH(112,'Fund Research'!$U$6:$U$505,0)),"")</f>
        <v/>
      </c>
      <c r="M117" s="35">
        <f>IFERROR(INDEX('Fund Research'!$T$6:$T$505,MATCH(112,'Fund Research'!$U$6:$U$505,0)),"")</f>
        <v/>
      </c>
    </row>
    <row r="118" ht="15" customHeight="1">
      <c r="A118" s="34">
        <f>IFERROR(IF(INDEX('Fund Research'!$B$6:$B$505,MATCH(113,'Fund Research'!$U$6:$U$505,0))="","",113),"")</f>
        <v/>
      </c>
      <c r="B118" s="35">
        <f>IFERROR(INDEX('Fund Research'!$A$6:$A$505,MATCH(113,'Fund Research'!$U$6:$U$505,0)),"")</f>
        <v/>
      </c>
      <c r="C118" s="35">
        <f>IFERROR(INDEX('Fund Research'!$B$6:$B$505,MATCH(113,'Fund Research'!$U$6:$U$505,0)),"")</f>
        <v/>
      </c>
      <c r="D118" s="35">
        <f>IFERROR(INDEX('Fund Research'!$C$6:$C$505,MATCH(113,'Fund Research'!$U$6:$U$505,0)),"")</f>
        <v/>
      </c>
      <c r="E118" s="36">
        <f>IFERROR(INDEX('Fund Research'!$G$6:$G$505,MATCH(113,'Fund Research'!$U$6:$U$505,0)),"")</f>
        <v/>
      </c>
      <c r="F118" s="36">
        <f>IFERROR(INDEX('Fund Research'!$H$6:$H$505,MATCH(113,'Fund Research'!$U$6:$U$505,0)),"")</f>
        <v/>
      </c>
      <c r="G118" s="36">
        <f>IFERROR(INDEX('Fund Research'!$I$6:$I$505,MATCH(113,'Fund Research'!$U$6:$U$505,0)),"")</f>
        <v/>
      </c>
      <c r="H118" s="37">
        <f>IFERROR(INDEX('Fund Research'!$J$6:$J$505,MATCH(113,'Fund Research'!$U$6:$U$505,0)),"")</f>
        <v/>
      </c>
      <c r="I118" s="38">
        <f>IFERROR(INDEX('Fund Research'!$L$6:$L$505,MATCH(113,'Fund Research'!$U$6:$U$505,0)),"")</f>
        <v/>
      </c>
      <c r="J118" s="37">
        <f>IFERROR(INDEX('Fund Research'!$N$6:$N$505,MATCH(113,'Fund Research'!$U$6:$U$505,0)),"")</f>
        <v/>
      </c>
      <c r="K118" s="37">
        <f>IFERROR(INDEX('Fund Research'!$P$6:$P$505,MATCH(113,'Fund Research'!$U$6:$U$505,0)),"")</f>
        <v/>
      </c>
      <c r="L118" s="35">
        <f>IFERROR(INDEX('Fund Research'!$S$6:$S$505,MATCH(113,'Fund Research'!$U$6:$U$505,0)),"")</f>
        <v/>
      </c>
      <c r="M118" s="35">
        <f>IFERROR(INDEX('Fund Research'!$T$6:$T$505,MATCH(113,'Fund Research'!$U$6:$U$505,0)),"")</f>
        <v/>
      </c>
    </row>
    <row r="119" ht="15" customHeight="1">
      <c r="A119" s="34">
        <f>IFERROR(IF(INDEX('Fund Research'!$B$6:$B$505,MATCH(114,'Fund Research'!$U$6:$U$505,0))="","",114),"")</f>
        <v/>
      </c>
      <c r="B119" s="35">
        <f>IFERROR(INDEX('Fund Research'!$A$6:$A$505,MATCH(114,'Fund Research'!$U$6:$U$505,0)),"")</f>
        <v/>
      </c>
      <c r="C119" s="35">
        <f>IFERROR(INDEX('Fund Research'!$B$6:$B$505,MATCH(114,'Fund Research'!$U$6:$U$505,0)),"")</f>
        <v/>
      </c>
      <c r="D119" s="35">
        <f>IFERROR(INDEX('Fund Research'!$C$6:$C$505,MATCH(114,'Fund Research'!$U$6:$U$505,0)),"")</f>
        <v/>
      </c>
      <c r="E119" s="36">
        <f>IFERROR(INDEX('Fund Research'!$G$6:$G$505,MATCH(114,'Fund Research'!$U$6:$U$505,0)),"")</f>
        <v/>
      </c>
      <c r="F119" s="36">
        <f>IFERROR(INDEX('Fund Research'!$H$6:$H$505,MATCH(114,'Fund Research'!$U$6:$U$505,0)),"")</f>
        <v/>
      </c>
      <c r="G119" s="36">
        <f>IFERROR(INDEX('Fund Research'!$I$6:$I$505,MATCH(114,'Fund Research'!$U$6:$U$505,0)),"")</f>
        <v/>
      </c>
      <c r="H119" s="37">
        <f>IFERROR(INDEX('Fund Research'!$J$6:$J$505,MATCH(114,'Fund Research'!$U$6:$U$505,0)),"")</f>
        <v/>
      </c>
      <c r="I119" s="38">
        <f>IFERROR(INDEX('Fund Research'!$L$6:$L$505,MATCH(114,'Fund Research'!$U$6:$U$505,0)),"")</f>
        <v/>
      </c>
      <c r="J119" s="37">
        <f>IFERROR(INDEX('Fund Research'!$N$6:$N$505,MATCH(114,'Fund Research'!$U$6:$U$505,0)),"")</f>
        <v/>
      </c>
      <c r="K119" s="37">
        <f>IFERROR(INDEX('Fund Research'!$P$6:$P$505,MATCH(114,'Fund Research'!$U$6:$U$505,0)),"")</f>
        <v/>
      </c>
      <c r="L119" s="35">
        <f>IFERROR(INDEX('Fund Research'!$S$6:$S$505,MATCH(114,'Fund Research'!$U$6:$U$505,0)),"")</f>
        <v/>
      </c>
      <c r="M119" s="35">
        <f>IFERROR(INDEX('Fund Research'!$T$6:$T$505,MATCH(114,'Fund Research'!$U$6:$U$505,0)),"")</f>
        <v/>
      </c>
    </row>
    <row r="120" ht="15" customHeight="1">
      <c r="A120" s="34">
        <f>IFERROR(IF(INDEX('Fund Research'!$B$6:$B$505,MATCH(115,'Fund Research'!$U$6:$U$505,0))="","",115),"")</f>
        <v/>
      </c>
      <c r="B120" s="35">
        <f>IFERROR(INDEX('Fund Research'!$A$6:$A$505,MATCH(115,'Fund Research'!$U$6:$U$505,0)),"")</f>
        <v/>
      </c>
      <c r="C120" s="35">
        <f>IFERROR(INDEX('Fund Research'!$B$6:$B$505,MATCH(115,'Fund Research'!$U$6:$U$505,0)),"")</f>
        <v/>
      </c>
      <c r="D120" s="35">
        <f>IFERROR(INDEX('Fund Research'!$C$6:$C$505,MATCH(115,'Fund Research'!$U$6:$U$505,0)),"")</f>
        <v/>
      </c>
      <c r="E120" s="36">
        <f>IFERROR(INDEX('Fund Research'!$G$6:$G$505,MATCH(115,'Fund Research'!$U$6:$U$505,0)),"")</f>
        <v/>
      </c>
      <c r="F120" s="36">
        <f>IFERROR(INDEX('Fund Research'!$H$6:$H$505,MATCH(115,'Fund Research'!$U$6:$U$505,0)),"")</f>
        <v/>
      </c>
      <c r="G120" s="36">
        <f>IFERROR(INDEX('Fund Research'!$I$6:$I$505,MATCH(115,'Fund Research'!$U$6:$U$505,0)),"")</f>
        <v/>
      </c>
      <c r="H120" s="37">
        <f>IFERROR(INDEX('Fund Research'!$J$6:$J$505,MATCH(115,'Fund Research'!$U$6:$U$505,0)),"")</f>
        <v/>
      </c>
      <c r="I120" s="38">
        <f>IFERROR(INDEX('Fund Research'!$L$6:$L$505,MATCH(115,'Fund Research'!$U$6:$U$505,0)),"")</f>
        <v/>
      </c>
      <c r="J120" s="37">
        <f>IFERROR(INDEX('Fund Research'!$N$6:$N$505,MATCH(115,'Fund Research'!$U$6:$U$505,0)),"")</f>
        <v/>
      </c>
      <c r="K120" s="37">
        <f>IFERROR(INDEX('Fund Research'!$P$6:$P$505,MATCH(115,'Fund Research'!$U$6:$U$505,0)),"")</f>
        <v/>
      </c>
      <c r="L120" s="35">
        <f>IFERROR(INDEX('Fund Research'!$S$6:$S$505,MATCH(115,'Fund Research'!$U$6:$U$505,0)),"")</f>
        <v/>
      </c>
      <c r="M120" s="35">
        <f>IFERROR(INDEX('Fund Research'!$T$6:$T$505,MATCH(115,'Fund Research'!$U$6:$U$505,0)),"")</f>
        <v/>
      </c>
    </row>
    <row r="121" ht="15" customHeight="1">
      <c r="A121" s="34">
        <f>IFERROR(IF(INDEX('Fund Research'!$B$6:$B$505,MATCH(116,'Fund Research'!$U$6:$U$505,0))="","",116),"")</f>
        <v/>
      </c>
      <c r="B121" s="35">
        <f>IFERROR(INDEX('Fund Research'!$A$6:$A$505,MATCH(116,'Fund Research'!$U$6:$U$505,0)),"")</f>
        <v/>
      </c>
      <c r="C121" s="35">
        <f>IFERROR(INDEX('Fund Research'!$B$6:$B$505,MATCH(116,'Fund Research'!$U$6:$U$505,0)),"")</f>
        <v/>
      </c>
      <c r="D121" s="35">
        <f>IFERROR(INDEX('Fund Research'!$C$6:$C$505,MATCH(116,'Fund Research'!$U$6:$U$505,0)),"")</f>
        <v/>
      </c>
      <c r="E121" s="36">
        <f>IFERROR(INDEX('Fund Research'!$G$6:$G$505,MATCH(116,'Fund Research'!$U$6:$U$505,0)),"")</f>
        <v/>
      </c>
      <c r="F121" s="36">
        <f>IFERROR(INDEX('Fund Research'!$H$6:$H$505,MATCH(116,'Fund Research'!$U$6:$U$505,0)),"")</f>
        <v/>
      </c>
      <c r="G121" s="36">
        <f>IFERROR(INDEX('Fund Research'!$I$6:$I$505,MATCH(116,'Fund Research'!$U$6:$U$505,0)),"")</f>
        <v/>
      </c>
      <c r="H121" s="37">
        <f>IFERROR(INDEX('Fund Research'!$J$6:$J$505,MATCH(116,'Fund Research'!$U$6:$U$505,0)),"")</f>
        <v/>
      </c>
      <c r="I121" s="38">
        <f>IFERROR(INDEX('Fund Research'!$L$6:$L$505,MATCH(116,'Fund Research'!$U$6:$U$505,0)),"")</f>
        <v/>
      </c>
      <c r="J121" s="37">
        <f>IFERROR(INDEX('Fund Research'!$N$6:$N$505,MATCH(116,'Fund Research'!$U$6:$U$505,0)),"")</f>
        <v/>
      </c>
      <c r="K121" s="37">
        <f>IFERROR(INDEX('Fund Research'!$P$6:$P$505,MATCH(116,'Fund Research'!$U$6:$U$505,0)),"")</f>
        <v/>
      </c>
      <c r="L121" s="35">
        <f>IFERROR(INDEX('Fund Research'!$S$6:$S$505,MATCH(116,'Fund Research'!$U$6:$U$505,0)),"")</f>
        <v/>
      </c>
      <c r="M121" s="35">
        <f>IFERROR(INDEX('Fund Research'!$T$6:$T$505,MATCH(116,'Fund Research'!$U$6:$U$505,0)),"")</f>
        <v/>
      </c>
    </row>
    <row r="122" ht="15" customHeight="1">
      <c r="A122" s="34">
        <f>IFERROR(IF(INDEX('Fund Research'!$B$6:$B$505,MATCH(117,'Fund Research'!$U$6:$U$505,0))="","",117),"")</f>
        <v/>
      </c>
      <c r="B122" s="35">
        <f>IFERROR(INDEX('Fund Research'!$A$6:$A$505,MATCH(117,'Fund Research'!$U$6:$U$505,0)),"")</f>
        <v/>
      </c>
      <c r="C122" s="35">
        <f>IFERROR(INDEX('Fund Research'!$B$6:$B$505,MATCH(117,'Fund Research'!$U$6:$U$505,0)),"")</f>
        <v/>
      </c>
      <c r="D122" s="35">
        <f>IFERROR(INDEX('Fund Research'!$C$6:$C$505,MATCH(117,'Fund Research'!$U$6:$U$505,0)),"")</f>
        <v/>
      </c>
      <c r="E122" s="36">
        <f>IFERROR(INDEX('Fund Research'!$G$6:$G$505,MATCH(117,'Fund Research'!$U$6:$U$505,0)),"")</f>
        <v/>
      </c>
      <c r="F122" s="36">
        <f>IFERROR(INDEX('Fund Research'!$H$6:$H$505,MATCH(117,'Fund Research'!$U$6:$U$505,0)),"")</f>
        <v/>
      </c>
      <c r="G122" s="36">
        <f>IFERROR(INDEX('Fund Research'!$I$6:$I$505,MATCH(117,'Fund Research'!$U$6:$U$505,0)),"")</f>
        <v/>
      </c>
      <c r="H122" s="37">
        <f>IFERROR(INDEX('Fund Research'!$J$6:$J$505,MATCH(117,'Fund Research'!$U$6:$U$505,0)),"")</f>
        <v/>
      </c>
      <c r="I122" s="38">
        <f>IFERROR(INDEX('Fund Research'!$L$6:$L$505,MATCH(117,'Fund Research'!$U$6:$U$505,0)),"")</f>
        <v/>
      </c>
      <c r="J122" s="37">
        <f>IFERROR(INDEX('Fund Research'!$N$6:$N$505,MATCH(117,'Fund Research'!$U$6:$U$505,0)),"")</f>
        <v/>
      </c>
      <c r="K122" s="37">
        <f>IFERROR(INDEX('Fund Research'!$P$6:$P$505,MATCH(117,'Fund Research'!$U$6:$U$505,0)),"")</f>
        <v/>
      </c>
      <c r="L122" s="35">
        <f>IFERROR(INDEX('Fund Research'!$S$6:$S$505,MATCH(117,'Fund Research'!$U$6:$U$505,0)),"")</f>
        <v/>
      </c>
      <c r="M122" s="35">
        <f>IFERROR(INDEX('Fund Research'!$T$6:$T$505,MATCH(117,'Fund Research'!$U$6:$U$505,0)),"")</f>
        <v/>
      </c>
    </row>
    <row r="123" ht="15" customHeight="1">
      <c r="A123" s="34">
        <f>IFERROR(IF(INDEX('Fund Research'!$B$6:$B$505,MATCH(118,'Fund Research'!$U$6:$U$505,0))="","",118),"")</f>
        <v/>
      </c>
      <c r="B123" s="35">
        <f>IFERROR(INDEX('Fund Research'!$A$6:$A$505,MATCH(118,'Fund Research'!$U$6:$U$505,0)),"")</f>
        <v/>
      </c>
      <c r="C123" s="35">
        <f>IFERROR(INDEX('Fund Research'!$B$6:$B$505,MATCH(118,'Fund Research'!$U$6:$U$505,0)),"")</f>
        <v/>
      </c>
      <c r="D123" s="35">
        <f>IFERROR(INDEX('Fund Research'!$C$6:$C$505,MATCH(118,'Fund Research'!$U$6:$U$505,0)),"")</f>
        <v/>
      </c>
      <c r="E123" s="36">
        <f>IFERROR(INDEX('Fund Research'!$G$6:$G$505,MATCH(118,'Fund Research'!$U$6:$U$505,0)),"")</f>
        <v/>
      </c>
      <c r="F123" s="36">
        <f>IFERROR(INDEX('Fund Research'!$H$6:$H$505,MATCH(118,'Fund Research'!$U$6:$U$505,0)),"")</f>
        <v/>
      </c>
      <c r="G123" s="36">
        <f>IFERROR(INDEX('Fund Research'!$I$6:$I$505,MATCH(118,'Fund Research'!$U$6:$U$505,0)),"")</f>
        <v/>
      </c>
      <c r="H123" s="37">
        <f>IFERROR(INDEX('Fund Research'!$J$6:$J$505,MATCH(118,'Fund Research'!$U$6:$U$505,0)),"")</f>
        <v/>
      </c>
      <c r="I123" s="38">
        <f>IFERROR(INDEX('Fund Research'!$L$6:$L$505,MATCH(118,'Fund Research'!$U$6:$U$505,0)),"")</f>
        <v/>
      </c>
      <c r="J123" s="37">
        <f>IFERROR(INDEX('Fund Research'!$N$6:$N$505,MATCH(118,'Fund Research'!$U$6:$U$505,0)),"")</f>
        <v/>
      </c>
      <c r="K123" s="37">
        <f>IFERROR(INDEX('Fund Research'!$P$6:$P$505,MATCH(118,'Fund Research'!$U$6:$U$505,0)),"")</f>
        <v/>
      </c>
      <c r="L123" s="35">
        <f>IFERROR(INDEX('Fund Research'!$S$6:$S$505,MATCH(118,'Fund Research'!$U$6:$U$505,0)),"")</f>
        <v/>
      </c>
      <c r="M123" s="35">
        <f>IFERROR(INDEX('Fund Research'!$T$6:$T$505,MATCH(118,'Fund Research'!$U$6:$U$505,0)),"")</f>
        <v/>
      </c>
    </row>
    <row r="124" ht="15" customHeight="1">
      <c r="A124" s="34">
        <f>IFERROR(IF(INDEX('Fund Research'!$B$6:$B$505,MATCH(119,'Fund Research'!$U$6:$U$505,0))="","",119),"")</f>
        <v/>
      </c>
      <c r="B124" s="35">
        <f>IFERROR(INDEX('Fund Research'!$A$6:$A$505,MATCH(119,'Fund Research'!$U$6:$U$505,0)),"")</f>
        <v/>
      </c>
      <c r="C124" s="35">
        <f>IFERROR(INDEX('Fund Research'!$B$6:$B$505,MATCH(119,'Fund Research'!$U$6:$U$505,0)),"")</f>
        <v/>
      </c>
      <c r="D124" s="35">
        <f>IFERROR(INDEX('Fund Research'!$C$6:$C$505,MATCH(119,'Fund Research'!$U$6:$U$505,0)),"")</f>
        <v/>
      </c>
      <c r="E124" s="36">
        <f>IFERROR(INDEX('Fund Research'!$G$6:$G$505,MATCH(119,'Fund Research'!$U$6:$U$505,0)),"")</f>
        <v/>
      </c>
      <c r="F124" s="36">
        <f>IFERROR(INDEX('Fund Research'!$H$6:$H$505,MATCH(119,'Fund Research'!$U$6:$U$505,0)),"")</f>
        <v/>
      </c>
      <c r="G124" s="36">
        <f>IFERROR(INDEX('Fund Research'!$I$6:$I$505,MATCH(119,'Fund Research'!$U$6:$U$505,0)),"")</f>
        <v/>
      </c>
      <c r="H124" s="37">
        <f>IFERROR(INDEX('Fund Research'!$J$6:$J$505,MATCH(119,'Fund Research'!$U$6:$U$505,0)),"")</f>
        <v/>
      </c>
      <c r="I124" s="38">
        <f>IFERROR(INDEX('Fund Research'!$L$6:$L$505,MATCH(119,'Fund Research'!$U$6:$U$505,0)),"")</f>
        <v/>
      </c>
      <c r="J124" s="37">
        <f>IFERROR(INDEX('Fund Research'!$N$6:$N$505,MATCH(119,'Fund Research'!$U$6:$U$505,0)),"")</f>
        <v/>
      </c>
      <c r="K124" s="37">
        <f>IFERROR(INDEX('Fund Research'!$P$6:$P$505,MATCH(119,'Fund Research'!$U$6:$U$505,0)),"")</f>
        <v/>
      </c>
      <c r="L124" s="35">
        <f>IFERROR(INDEX('Fund Research'!$S$6:$S$505,MATCH(119,'Fund Research'!$U$6:$U$505,0)),"")</f>
        <v/>
      </c>
      <c r="M124" s="35">
        <f>IFERROR(INDEX('Fund Research'!$T$6:$T$505,MATCH(119,'Fund Research'!$U$6:$U$505,0)),"")</f>
        <v/>
      </c>
    </row>
    <row r="125" ht="15" customHeight="1">
      <c r="A125" s="34">
        <f>IFERROR(IF(INDEX('Fund Research'!$B$6:$B$505,MATCH(120,'Fund Research'!$U$6:$U$505,0))="","",120),"")</f>
        <v/>
      </c>
      <c r="B125" s="35">
        <f>IFERROR(INDEX('Fund Research'!$A$6:$A$505,MATCH(120,'Fund Research'!$U$6:$U$505,0)),"")</f>
        <v/>
      </c>
      <c r="C125" s="35">
        <f>IFERROR(INDEX('Fund Research'!$B$6:$B$505,MATCH(120,'Fund Research'!$U$6:$U$505,0)),"")</f>
        <v/>
      </c>
      <c r="D125" s="35">
        <f>IFERROR(INDEX('Fund Research'!$C$6:$C$505,MATCH(120,'Fund Research'!$U$6:$U$505,0)),"")</f>
        <v/>
      </c>
      <c r="E125" s="36">
        <f>IFERROR(INDEX('Fund Research'!$G$6:$G$505,MATCH(120,'Fund Research'!$U$6:$U$505,0)),"")</f>
        <v/>
      </c>
      <c r="F125" s="36">
        <f>IFERROR(INDEX('Fund Research'!$H$6:$H$505,MATCH(120,'Fund Research'!$U$6:$U$505,0)),"")</f>
        <v/>
      </c>
      <c r="G125" s="36">
        <f>IFERROR(INDEX('Fund Research'!$I$6:$I$505,MATCH(120,'Fund Research'!$U$6:$U$505,0)),"")</f>
        <v/>
      </c>
      <c r="H125" s="37">
        <f>IFERROR(INDEX('Fund Research'!$J$6:$J$505,MATCH(120,'Fund Research'!$U$6:$U$505,0)),"")</f>
        <v/>
      </c>
      <c r="I125" s="38">
        <f>IFERROR(INDEX('Fund Research'!$L$6:$L$505,MATCH(120,'Fund Research'!$U$6:$U$505,0)),"")</f>
        <v/>
      </c>
      <c r="J125" s="37">
        <f>IFERROR(INDEX('Fund Research'!$N$6:$N$505,MATCH(120,'Fund Research'!$U$6:$U$505,0)),"")</f>
        <v/>
      </c>
      <c r="K125" s="37">
        <f>IFERROR(INDEX('Fund Research'!$P$6:$P$505,MATCH(120,'Fund Research'!$U$6:$U$505,0)),"")</f>
        <v/>
      </c>
      <c r="L125" s="35">
        <f>IFERROR(INDEX('Fund Research'!$S$6:$S$505,MATCH(120,'Fund Research'!$U$6:$U$505,0)),"")</f>
        <v/>
      </c>
      <c r="M125" s="35">
        <f>IFERROR(INDEX('Fund Research'!$T$6:$T$505,MATCH(120,'Fund Research'!$U$6:$U$505,0)),"")</f>
        <v/>
      </c>
    </row>
    <row r="126" ht="15" customHeight="1">
      <c r="A126" s="34">
        <f>IFERROR(IF(INDEX('Fund Research'!$B$6:$B$505,MATCH(121,'Fund Research'!$U$6:$U$505,0))="","",121),"")</f>
        <v/>
      </c>
      <c r="B126" s="35">
        <f>IFERROR(INDEX('Fund Research'!$A$6:$A$505,MATCH(121,'Fund Research'!$U$6:$U$505,0)),"")</f>
        <v/>
      </c>
      <c r="C126" s="35">
        <f>IFERROR(INDEX('Fund Research'!$B$6:$B$505,MATCH(121,'Fund Research'!$U$6:$U$505,0)),"")</f>
        <v/>
      </c>
      <c r="D126" s="35">
        <f>IFERROR(INDEX('Fund Research'!$C$6:$C$505,MATCH(121,'Fund Research'!$U$6:$U$505,0)),"")</f>
        <v/>
      </c>
      <c r="E126" s="36">
        <f>IFERROR(INDEX('Fund Research'!$G$6:$G$505,MATCH(121,'Fund Research'!$U$6:$U$505,0)),"")</f>
        <v/>
      </c>
      <c r="F126" s="36">
        <f>IFERROR(INDEX('Fund Research'!$H$6:$H$505,MATCH(121,'Fund Research'!$U$6:$U$505,0)),"")</f>
        <v/>
      </c>
      <c r="G126" s="36">
        <f>IFERROR(INDEX('Fund Research'!$I$6:$I$505,MATCH(121,'Fund Research'!$U$6:$U$505,0)),"")</f>
        <v/>
      </c>
      <c r="H126" s="37">
        <f>IFERROR(INDEX('Fund Research'!$J$6:$J$505,MATCH(121,'Fund Research'!$U$6:$U$505,0)),"")</f>
        <v/>
      </c>
      <c r="I126" s="38">
        <f>IFERROR(INDEX('Fund Research'!$L$6:$L$505,MATCH(121,'Fund Research'!$U$6:$U$505,0)),"")</f>
        <v/>
      </c>
      <c r="J126" s="37">
        <f>IFERROR(INDEX('Fund Research'!$N$6:$N$505,MATCH(121,'Fund Research'!$U$6:$U$505,0)),"")</f>
        <v/>
      </c>
      <c r="K126" s="37">
        <f>IFERROR(INDEX('Fund Research'!$P$6:$P$505,MATCH(121,'Fund Research'!$U$6:$U$505,0)),"")</f>
        <v/>
      </c>
      <c r="L126" s="35">
        <f>IFERROR(INDEX('Fund Research'!$S$6:$S$505,MATCH(121,'Fund Research'!$U$6:$U$505,0)),"")</f>
        <v/>
      </c>
      <c r="M126" s="35">
        <f>IFERROR(INDEX('Fund Research'!$T$6:$T$505,MATCH(121,'Fund Research'!$U$6:$U$505,0)),"")</f>
        <v/>
      </c>
    </row>
    <row r="127" ht="15" customHeight="1">
      <c r="A127" s="34">
        <f>IFERROR(IF(INDEX('Fund Research'!$B$6:$B$505,MATCH(122,'Fund Research'!$U$6:$U$505,0))="","",122),"")</f>
        <v/>
      </c>
      <c r="B127" s="35">
        <f>IFERROR(INDEX('Fund Research'!$A$6:$A$505,MATCH(122,'Fund Research'!$U$6:$U$505,0)),"")</f>
        <v/>
      </c>
      <c r="C127" s="35">
        <f>IFERROR(INDEX('Fund Research'!$B$6:$B$505,MATCH(122,'Fund Research'!$U$6:$U$505,0)),"")</f>
        <v/>
      </c>
      <c r="D127" s="35">
        <f>IFERROR(INDEX('Fund Research'!$C$6:$C$505,MATCH(122,'Fund Research'!$U$6:$U$505,0)),"")</f>
        <v/>
      </c>
      <c r="E127" s="36">
        <f>IFERROR(INDEX('Fund Research'!$G$6:$G$505,MATCH(122,'Fund Research'!$U$6:$U$505,0)),"")</f>
        <v/>
      </c>
      <c r="F127" s="36">
        <f>IFERROR(INDEX('Fund Research'!$H$6:$H$505,MATCH(122,'Fund Research'!$U$6:$U$505,0)),"")</f>
        <v/>
      </c>
      <c r="G127" s="36">
        <f>IFERROR(INDEX('Fund Research'!$I$6:$I$505,MATCH(122,'Fund Research'!$U$6:$U$505,0)),"")</f>
        <v/>
      </c>
      <c r="H127" s="37">
        <f>IFERROR(INDEX('Fund Research'!$J$6:$J$505,MATCH(122,'Fund Research'!$U$6:$U$505,0)),"")</f>
        <v/>
      </c>
      <c r="I127" s="38">
        <f>IFERROR(INDEX('Fund Research'!$L$6:$L$505,MATCH(122,'Fund Research'!$U$6:$U$505,0)),"")</f>
        <v/>
      </c>
      <c r="J127" s="37">
        <f>IFERROR(INDEX('Fund Research'!$N$6:$N$505,MATCH(122,'Fund Research'!$U$6:$U$505,0)),"")</f>
        <v/>
      </c>
      <c r="K127" s="37">
        <f>IFERROR(INDEX('Fund Research'!$P$6:$P$505,MATCH(122,'Fund Research'!$U$6:$U$505,0)),"")</f>
        <v/>
      </c>
      <c r="L127" s="35">
        <f>IFERROR(INDEX('Fund Research'!$S$6:$S$505,MATCH(122,'Fund Research'!$U$6:$U$505,0)),"")</f>
        <v/>
      </c>
      <c r="M127" s="35">
        <f>IFERROR(INDEX('Fund Research'!$T$6:$T$505,MATCH(122,'Fund Research'!$U$6:$U$505,0)),"")</f>
        <v/>
      </c>
    </row>
    <row r="128" ht="15" customHeight="1">
      <c r="A128" s="34">
        <f>IFERROR(IF(INDEX('Fund Research'!$B$6:$B$505,MATCH(123,'Fund Research'!$U$6:$U$505,0))="","",123),"")</f>
        <v/>
      </c>
      <c r="B128" s="35">
        <f>IFERROR(INDEX('Fund Research'!$A$6:$A$505,MATCH(123,'Fund Research'!$U$6:$U$505,0)),"")</f>
        <v/>
      </c>
      <c r="C128" s="35">
        <f>IFERROR(INDEX('Fund Research'!$B$6:$B$505,MATCH(123,'Fund Research'!$U$6:$U$505,0)),"")</f>
        <v/>
      </c>
      <c r="D128" s="35">
        <f>IFERROR(INDEX('Fund Research'!$C$6:$C$505,MATCH(123,'Fund Research'!$U$6:$U$505,0)),"")</f>
        <v/>
      </c>
      <c r="E128" s="36">
        <f>IFERROR(INDEX('Fund Research'!$G$6:$G$505,MATCH(123,'Fund Research'!$U$6:$U$505,0)),"")</f>
        <v/>
      </c>
      <c r="F128" s="36">
        <f>IFERROR(INDEX('Fund Research'!$H$6:$H$505,MATCH(123,'Fund Research'!$U$6:$U$505,0)),"")</f>
        <v/>
      </c>
      <c r="G128" s="36">
        <f>IFERROR(INDEX('Fund Research'!$I$6:$I$505,MATCH(123,'Fund Research'!$U$6:$U$505,0)),"")</f>
        <v/>
      </c>
      <c r="H128" s="37">
        <f>IFERROR(INDEX('Fund Research'!$J$6:$J$505,MATCH(123,'Fund Research'!$U$6:$U$505,0)),"")</f>
        <v/>
      </c>
      <c r="I128" s="38">
        <f>IFERROR(INDEX('Fund Research'!$L$6:$L$505,MATCH(123,'Fund Research'!$U$6:$U$505,0)),"")</f>
        <v/>
      </c>
      <c r="J128" s="37">
        <f>IFERROR(INDEX('Fund Research'!$N$6:$N$505,MATCH(123,'Fund Research'!$U$6:$U$505,0)),"")</f>
        <v/>
      </c>
      <c r="K128" s="37">
        <f>IFERROR(INDEX('Fund Research'!$P$6:$P$505,MATCH(123,'Fund Research'!$U$6:$U$505,0)),"")</f>
        <v/>
      </c>
      <c r="L128" s="35">
        <f>IFERROR(INDEX('Fund Research'!$S$6:$S$505,MATCH(123,'Fund Research'!$U$6:$U$505,0)),"")</f>
        <v/>
      </c>
      <c r="M128" s="35">
        <f>IFERROR(INDEX('Fund Research'!$T$6:$T$505,MATCH(123,'Fund Research'!$U$6:$U$505,0)),"")</f>
        <v/>
      </c>
    </row>
    <row r="129" ht="15" customHeight="1">
      <c r="A129" s="34">
        <f>IFERROR(IF(INDEX('Fund Research'!$B$6:$B$505,MATCH(124,'Fund Research'!$U$6:$U$505,0))="","",124),"")</f>
        <v/>
      </c>
      <c r="B129" s="35">
        <f>IFERROR(INDEX('Fund Research'!$A$6:$A$505,MATCH(124,'Fund Research'!$U$6:$U$505,0)),"")</f>
        <v/>
      </c>
      <c r="C129" s="35">
        <f>IFERROR(INDEX('Fund Research'!$B$6:$B$505,MATCH(124,'Fund Research'!$U$6:$U$505,0)),"")</f>
        <v/>
      </c>
      <c r="D129" s="35">
        <f>IFERROR(INDEX('Fund Research'!$C$6:$C$505,MATCH(124,'Fund Research'!$U$6:$U$505,0)),"")</f>
        <v/>
      </c>
      <c r="E129" s="36">
        <f>IFERROR(INDEX('Fund Research'!$G$6:$G$505,MATCH(124,'Fund Research'!$U$6:$U$505,0)),"")</f>
        <v/>
      </c>
      <c r="F129" s="36">
        <f>IFERROR(INDEX('Fund Research'!$H$6:$H$505,MATCH(124,'Fund Research'!$U$6:$U$505,0)),"")</f>
        <v/>
      </c>
      <c r="G129" s="36">
        <f>IFERROR(INDEX('Fund Research'!$I$6:$I$505,MATCH(124,'Fund Research'!$U$6:$U$505,0)),"")</f>
        <v/>
      </c>
      <c r="H129" s="37">
        <f>IFERROR(INDEX('Fund Research'!$J$6:$J$505,MATCH(124,'Fund Research'!$U$6:$U$505,0)),"")</f>
        <v/>
      </c>
      <c r="I129" s="38">
        <f>IFERROR(INDEX('Fund Research'!$L$6:$L$505,MATCH(124,'Fund Research'!$U$6:$U$505,0)),"")</f>
        <v/>
      </c>
      <c r="J129" s="37">
        <f>IFERROR(INDEX('Fund Research'!$N$6:$N$505,MATCH(124,'Fund Research'!$U$6:$U$505,0)),"")</f>
        <v/>
      </c>
      <c r="K129" s="37">
        <f>IFERROR(INDEX('Fund Research'!$P$6:$P$505,MATCH(124,'Fund Research'!$U$6:$U$505,0)),"")</f>
        <v/>
      </c>
      <c r="L129" s="35">
        <f>IFERROR(INDEX('Fund Research'!$S$6:$S$505,MATCH(124,'Fund Research'!$U$6:$U$505,0)),"")</f>
        <v/>
      </c>
      <c r="M129" s="35">
        <f>IFERROR(INDEX('Fund Research'!$T$6:$T$505,MATCH(124,'Fund Research'!$U$6:$U$505,0)),"")</f>
        <v/>
      </c>
    </row>
    <row r="130" ht="15" customHeight="1">
      <c r="A130" s="34">
        <f>IFERROR(IF(INDEX('Fund Research'!$B$6:$B$505,MATCH(125,'Fund Research'!$U$6:$U$505,0))="","",125),"")</f>
        <v/>
      </c>
      <c r="B130" s="35">
        <f>IFERROR(INDEX('Fund Research'!$A$6:$A$505,MATCH(125,'Fund Research'!$U$6:$U$505,0)),"")</f>
        <v/>
      </c>
      <c r="C130" s="35">
        <f>IFERROR(INDEX('Fund Research'!$B$6:$B$505,MATCH(125,'Fund Research'!$U$6:$U$505,0)),"")</f>
        <v/>
      </c>
      <c r="D130" s="35">
        <f>IFERROR(INDEX('Fund Research'!$C$6:$C$505,MATCH(125,'Fund Research'!$U$6:$U$505,0)),"")</f>
        <v/>
      </c>
      <c r="E130" s="36">
        <f>IFERROR(INDEX('Fund Research'!$G$6:$G$505,MATCH(125,'Fund Research'!$U$6:$U$505,0)),"")</f>
        <v/>
      </c>
      <c r="F130" s="36">
        <f>IFERROR(INDEX('Fund Research'!$H$6:$H$505,MATCH(125,'Fund Research'!$U$6:$U$505,0)),"")</f>
        <v/>
      </c>
      <c r="G130" s="36">
        <f>IFERROR(INDEX('Fund Research'!$I$6:$I$505,MATCH(125,'Fund Research'!$U$6:$U$505,0)),"")</f>
        <v/>
      </c>
      <c r="H130" s="37">
        <f>IFERROR(INDEX('Fund Research'!$J$6:$J$505,MATCH(125,'Fund Research'!$U$6:$U$505,0)),"")</f>
        <v/>
      </c>
      <c r="I130" s="38">
        <f>IFERROR(INDEX('Fund Research'!$L$6:$L$505,MATCH(125,'Fund Research'!$U$6:$U$505,0)),"")</f>
        <v/>
      </c>
      <c r="J130" s="37">
        <f>IFERROR(INDEX('Fund Research'!$N$6:$N$505,MATCH(125,'Fund Research'!$U$6:$U$505,0)),"")</f>
        <v/>
      </c>
      <c r="K130" s="37">
        <f>IFERROR(INDEX('Fund Research'!$P$6:$P$505,MATCH(125,'Fund Research'!$U$6:$U$505,0)),"")</f>
        <v/>
      </c>
      <c r="L130" s="35">
        <f>IFERROR(INDEX('Fund Research'!$S$6:$S$505,MATCH(125,'Fund Research'!$U$6:$U$505,0)),"")</f>
        <v/>
      </c>
      <c r="M130" s="35">
        <f>IFERROR(INDEX('Fund Research'!$T$6:$T$505,MATCH(125,'Fund Research'!$U$6:$U$505,0)),"")</f>
        <v/>
      </c>
    </row>
    <row r="131" ht="15" customHeight="1">
      <c r="A131" s="34">
        <f>IFERROR(IF(INDEX('Fund Research'!$B$6:$B$505,MATCH(126,'Fund Research'!$U$6:$U$505,0))="","",126),"")</f>
        <v/>
      </c>
      <c r="B131" s="35">
        <f>IFERROR(INDEX('Fund Research'!$A$6:$A$505,MATCH(126,'Fund Research'!$U$6:$U$505,0)),"")</f>
        <v/>
      </c>
      <c r="C131" s="35">
        <f>IFERROR(INDEX('Fund Research'!$B$6:$B$505,MATCH(126,'Fund Research'!$U$6:$U$505,0)),"")</f>
        <v/>
      </c>
      <c r="D131" s="35">
        <f>IFERROR(INDEX('Fund Research'!$C$6:$C$505,MATCH(126,'Fund Research'!$U$6:$U$505,0)),"")</f>
        <v/>
      </c>
      <c r="E131" s="36">
        <f>IFERROR(INDEX('Fund Research'!$G$6:$G$505,MATCH(126,'Fund Research'!$U$6:$U$505,0)),"")</f>
        <v/>
      </c>
      <c r="F131" s="36">
        <f>IFERROR(INDEX('Fund Research'!$H$6:$H$505,MATCH(126,'Fund Research'!$U$6:$U$505,0)),"")</f>
        <v/>
      </c>
      <c r="G131" s="36">
        <f>IFERROR(INDEX('Fund Research'!$I$6:$I$505,MATCH(126,'Fund Research'!$U$6:$U$505,0)),"")</f>
        <v/>
      </c>
      <c r="H131" s="37">
        <f>IFERROR(INDEX('Fund Research'!$J$6:$J$505,MATCH(126,'Fund Research'!$U$6:$U$505,0)),"")</f>
        <v/>
      </c>
      <c r="I131" s="38">
        <f>IFERROR(INDEX('Fund Research'!$L$6:$L$505,MATCH(126,'Fund Research'!$U$6:$U$505,0)),"")</f>
        <v/>
      </c>
      <c r="J131" s="37">
        <f>IFERROR(INDEX('Fund Research'!$N$6:$N$505,MATCH(126,'Fund Research'!$U$6:$U$505,0)),"")</f>
        <v/>
      </c>
      <c r="K131" s="37">
        <f>IFERROR(INDEX('Fund Research'!$P$6:$P$505,MATCH(126,'Fund Research'!$U$6:$U$505,0)),"")</f>
        <v/>
      </c>
      <c r="L131" s="35">
        <f>IFERROR(INDEX('Fund Research'!$S$6:$S$505,MATCH(126,'Fund Research'!$U$6:$U$505,0)),"")</f>
        <v/>
      </c>
      <c r="M131" s="35">
        <f>IFERROR(INDEX('Fund Research'!$T$6:$T$505,MATCH(126,'Fund Research'!$U$6:$U$505,0)),"")</f>
        <v/>
      </c>
    </row>
    <row r="132" ht="15" customHeight="1">
      <c r="A132" s="34">
        <f>IFERROR(IF(INDEX('Fund Research'!$B$6:$B$505,MATCH(127,'Fund Research'!$U$6:$U$505,0))="","",127),"")</f>
        <v/>
      </c>
      <c r="B132" s="35">
        <f>IFERROR(INDEX('Fund Research'!$A$6:$A$505,MATCH(127,'Fund Research'!$U$6:$U$505,0)),"")</f>
        <v/>
      </c>
      <c r="C132" s="35">
        <f>IFERROR(INDEX('Fund Research'!$B$6:$B$505,MATCH(127,'Fund Research'!$U$6:$U$505,0)),"")</f>
        <v/>
      </c>
      <c r="D132" s="35">
        <f>IFERROR(INDEX('Fund Research'!$C$6:$C$505,MATCH(127,'Fund Research'!$U$6:$U$505,0)),"")</f>
        <v/>
      </c>
      <c r="E132" s="36">
        <f>IFERROR(INDEX('Fund Research'!$G$6:$G$505,MATCH(127,'Fund Research'!$U$6:$U$505,0)),"")</f>
        <v/>
      </c>
      <c r="F132" s="36">
        <f>IFERROR(INDEX('Fund Research'!$H$6:$H$505,MATCH(127,'Fund Research'!$U$6:$U$505,0)),"")</f>
        <v/>
      </c>
      <c r="G132" s="36">
        <f>IFERROR(INDEX('Fund Research'!$I$6:$I$505,MATCH(127,'Fund Research'!$U$6:$U$505,0)),"")</f>
        <v/>
      </c>
      <c r="H132" s="37">
        <f>IFERROR(INDEX('Fund Research'!$J$6:$J$505,MATCH(127,'Fund Research'!$U$6:$U$505,0)),"")</f>
        <v/>
      </c>
      <c r="I132" s="38">
        <f>IFERROR(INDEX('Fund Research'!$L$6:$L$505,MATCH(127,'Fund Research'!$U$6:$U$505,0)),"")</f>
        <v/>
      </c>
      <c r="J132" s="37">
        <f>IFERROR(INDEX('Fund Research'!$N$6:$N$505,MATCH(127,'Fund Research'!$U$6:$U$505,0)),"")</f>
        <v/>
      </c>
      <c r="K132" s="37">
        <f>IFERROR(INDEX('Fund Research'!$P$6:$P$505,MATCH(127,'Fund Research'!$U$6:$U$505,0)),"")</f>
        <v/>
      </c>
      <c r="L132" s="35">
        <f>IFERROR(INDEX('Fund Research'!$S$6:$S$505,MATCH(127,'Fund Research'!$U$6:$U$505,0)),"")</f>
        <v/>
      </c>
      <c r="M132" s="35">
        <f>IFERROR(INDEX('Fund Research'!$T$6:$T$505,MATCH(127,'Fund Research'!$U$6:$U$505,0)),"")</f>
        <v/>
      </c>
    </row>
    <row r="133" ht="15" customHeight="1">
      <c r="A133" s="34">
        <f>IFERROR(IF(INDEX('Fund Research'!$B$6:$B$505,MATCH(128,'Fund Research'!$U$6:$U$505,0))="","",128),"")</f>
        <v/>
      </c>
      <c r="B133" s="35">
        <f>IFERROR(INDEX('Fund Research'!$A$6:$A$505,MATCH(128,'Fund Research'!$U$6:$U$505,0)),"")</f>
        <v/>
      </c>
      <c r="C133" s="35">
        <f>IFERROR(INDEX('Fund Research'!$B$6:$B$505,MATCH(128,'Fund Research'!$U$6:$U$505,0)),"")</f>
        <v/>
      </c>
      <c r="D133" s="35">
        <f>IFERROR(INDEX('Fund Research'!$C$6:$C$505,MATCH(128,'Fund Research'!$U$6:$U$505,0)),"")</f>
        <v/>
      </c>
      <c r="E133" s="36">
        <f>IFERROR(INDEX('Fund Research'!$G$6:$G$505,MATCH(128,'Fund Research'!$U$6:$U$505,0)),"")</f>
        <v/>
      </c>
      <c r="F133" s="36">
        <f>IFERROR(INDEX('Fund Research'!$H$6:$H$505,MATCH(128,'Fund Research'!$U$6:$U$505,0)),"")</f>
        <v/>
      </c>
      <c r="G133" s="36">
        <f>IFERROR(INDEX('Fund Research'!$I$6:$I$505,MATCH(128,'Fund Research'!$U$6:$U$505,0)),"")</f>
        <v/>
      </c>
      <c r="H133" s="37">
        <f>IFERROR(INDEX('Fund Research'!$J$6:$J$505,MATCH(128,'Fund Research'!$U$6:$U$505,0)),"")</f>
        <v/>
      </c>
      <c r="I133" s="38">
        <f>IFERROR(INDEX('Fund Research'!$L$6:$L$505,MATCH(128,'Fund Research'!$U$6:$U$505,0)),"")</f>
        <v/>
      </c>
      <c r="J133" s="37">
        <f>IFERROR(INDEX('Fund Research'!$N$6:$N$505,MATCH(128,'Fund Research'!$U$6:$U$505,0)),"")</f>
        <v/>
      </c>
      <c r="K133" s="37">
        <f>IFERROR(INDEX('Fund Research'!$P$6:$P$505,MATCH(128,'Fund Research'!$U$6:$U$505,0)),"")</f>
        <v/>
      </c>
      <c r="L133" s="35">
        <f>IFERROR(INDEX('Fund Research'!$S$6:$S$505,MATCH(128,'Fund Research'!$U$6:$U$505,0)),"")</f>
        <v/>
      </c>
      <c r="M133" s="35">
        <f>IFERROR(INDEX('Fund Research'!$T$6:$T$505,MATCH(128,'Fund Research'!$U$6:$U$505,0)),"")</f>
        <v/>
      </c>
    </row>
    <row r="134" ht="15" customHeight="1">
      <c r="A134" s="34">
        <f>IFERROR(IF(INDEX('Fund Research'!$B$6:$B$505,MATCH(129,'Fund Research'!$U$6:$U$505,0))="","",129),"")</f>
        <v/>
      </c>
      <c r="B134" s="35">
        <f>IFERROR(INDEX('Fund Research'!$A$6:$A$505,MATCH(129,'Fund Research'!$U$6:$U$505,0)),"")</f>
        <v/>
      </c>
      <c r="C134" s="35">
        <f>IFERROR(INDEX('Fund Research'!$B$6:$B$505,MATCH(129,'Fund Research'!$U$6:$U$505,0)),"")</f>
        <v/>
      </c>
      <c r="D134" s="35">
        <f>IFERROR(INDEX('Fund Research'!$C$6:$C$505,MATCH(129,'Fund Research'!$U$6:$U$505,0)),"")</f>
        <v/>
      </c>
      <c r="E134" s="36">
        <f>IFERROR(INDEX('Fund Research'!$G$6:$G$505,MATCH(129,'Fund Research'!$U$6:$U$505,0)),"")</f>
        <v/>
      </c>
      <c r="F134" s="36">
        <f>IFERROR(INDEX('Fund Research'!$H$6:$H$505,MATCH(129,'Fund Research'!$U$6:$U$505,0)),"")</f>
        <v/>
      </c>
      <c r="G134" s="36">
        <f>IFERROR(INDEX('Fund Research'!$I$6:$I$505,MATCH(129,'Fund Research'!$U$6:$U$505,0)),"")</f>
        <v/>
      </c>
      <c r="H134" s="37">
        <f>IFERROR(INDEX('Fund Research'!$J$6:$J$505,MATCH(129,'Fund Research'!$U$6:$U$505,0)),"")</f>
        <v/>
      </c>
      <c r="I134" s="38">
        <f>IFERROR(INDEX('Fund Research'!$L$6:$L$505,MATCH(129,'Fund Research'!$U$6:$U$505,0)),"")</f>
        <v/>
      </c>
      <c r="J134" s="37">
        <f>IFERROR(INDEX('Fund Research'!$N$6:$N$505,MATCH(129,'Fund Research'!$U$6:$U$505,0)),"")</f>
        <v/>
      </c>
      <c r="K134" s="37">
        <f>IFERROR(INDEX('Fund Research'!$P$6:$P$505,MATCH(129,'Fund Research'!$U$6:$U$505,0)),"")</f>
        <v/>
      </c>
      <c r="L134" s="35">
        <f>IFERROR(INDEX('Fund Research'!$S$6:$S$505,MATCH(129,'Fund Research'!$U$6:$U$505,0)),"")</f>
        <v/>
      </c>
      <c r="M134" s="35">
        <f>IFERROR(INDEX('Fund Research'!$T$6:$T$505,MATCH(129,'Fund Research'!$U$6:$U$505,0)),"")</f>
        <v/>
      </c>
    </row>
    <row r="135" ht="15" customHeight="1">
      <c r="A135" s="34">
        <f>IFERROR(IF(INDEX('Fund Research'!$B$6:$B$505,MATCH(130,'Fund Research'!$U$6:$U$505,0))="","",130),"")</f>
        <v/>
      </c>
      <c r="B135" s="35">
        <f>IFERROR(INDEX('Fund Research'!$A$6:$A$505,MATCH(130,'Fund Research'!$U$6:$U$505,0)),"")</f>
        <v/>
      </c>
      <c r="C135" s="35">
        <f>IFERROR(INDEX('Fund Research'!$B$6:$B$505,MATCH(130,'Fund Research'!$U$6:$U$505,0)),"")</f>
        <v/>
      </c>
      <c r="D135" s="35">
        <f>IFERROR(INDEX('Fund Research'!$C$6:$C$505,MATCH(130,'Fund Research'!$U$6:$U$505,0)),"")</f>
        <v/>
      </c>
      <c r="E135" s="36">
        <f>IFERROR(INDEX('Fund Research'!$G$6:$G$505,MATCH(130,'Fund Research'!$U$6:$U$505,0)),"")</f>
        <v/>
      </c>
      <c r="F135" s="36">
        <f>IFERROR(INDEX('Fund Research'!$H$6:$H$505,MATCH(130,'Fund Research'!$U$6:$U$505,0)),"")</f>
        <v/>
      </c>
      <c r="G135" s="36">
        <f>IFERROR(INDEX('Fund Research'!$I$6:$I$505,MATCH(130,'Fund Research'!$U$6:$U$505,0)),"")</f>
        <v/>
      </c>
      <c r="H135" s="37">
        <f>IFERROR(INDEX('Fund Research'!$J$6:$J$505,MATCH(130,'Fund Research'!$U$6:$U$505,0)),"")</f>
        <v/>
      </c>
      <c r="I135" s="38">
        <f>IFERROR(INDEX('Fund Research'!$L$6:$L$505,MATCH(130,'Fund Research'!$U$6:$U$505,0)),"")</f>
        <v/>
      </c>
      <c r="J135" s="37">
        <f>IFERROR(INDEX('Fund Research'!$N$6:$N$505,MATCH(130,'Fund Research'!$U$6:$U$505,0)),"")</f>
        <v/>
      </c>
      <c r="K135" s="37">
        <f>IFERROR(INDEX('Fund Research'!$P$6:$P$505,MATCH(130,'Fund Research'!$U$6:$U$505,0)),"")</f>
        <v/>
      </c>
      <c r="L135" s="35">
        <f>IFERROR(INDEX('Fund Research'!$S$6:$S$505,MATCH(130,'Fund Research'!$U$6:$U$505,0)),"")</f>
        <v/>
      </c>
      <c r="M135" s="35">
        <f>IFERROR(INDEX('Fund Research'!$T$6:$T$505,MATCH(130,'Fund Research'!$U$6:$U$505,0)),"")</f>
        <v/>
      </c>
    </row>
    <row r="136" ht="15" customHeight="1">
      <c r="A136" s="34">
        <f>IFERROR(IF(INDEX('Fund Research'!$B$6:$B$505,MATCH(131,'Fund Research'!$U$6:$U$505,0))="","",131),"")</f>
        <v/>
      </c>
      <c r="B136" s="35">
        <f>IFERROR(INDEX('Fund Research'!$A$6:$A$505,MATCH(131,'Fund Research'!$U$6:$U$505,0)),"")</f>
        <v/>
      </c>
      <c r="C136" s="35">
        <f>IFERROR(INDEX('Fund Research'!$B$6:$B$505,MATCH(131,'Fund Research'!$U$6:$U$505,0)),"")</f>
        <v/>
      </c>
      <c r="D136" s="35">
        <f>IFERROR(INDEX('Fund Research'!$C$6:$C$505,MATCH(131,'Fund Research'!$U$6:$U$505,0)),"")</f>
        <v/>
      </c>
      <c r="E136" s="36">
        <f>IFERROR(INDEX('Fund Research'!$G$6:$G$505,MATCH(131,'Fund Research'!$U$6:$U$505,0)),"")</f>
        <v/>
      </c>
      <c r="F136" s="36">
        <f>IFERROR(INDEX('Fund Research'!$H$6:$H$505,MATCH(131,'Fund Research'!$U$6:$U$505,0)),"")</f>
        <v/>
      </c>
      <c r="G136" s="36">
        <f>IFERROR(INDEX('Fund Research'!$I$6:$I$505,MATCH(131,'Fund Research'!$U$6:$U$505,0)),"")</f>
        <v/>
      </c>
      <c r="H136" s="37">
        <f>IFERROR(INDEX('Fund Research'!$J$6:$J$505,MATCH(131,'Fund Research'!$U$6:$U$505,0)),"")</f>
        <v/>
      </c>
      <c r="I136" s="38">
        <f>IFERROR(INDEX('Fund Research'!$L$6:$L$505,MATCH(131,'Fund Research'!$U$6:$U$505,0)),"")</f>
        <v/>
      </c>
      <c r="J136" s="37">
        <f>IFERROR(INDEX('Fund Research'!$N$6:$N$505,MATCH(131,'Fund Research'!$U$6:$U$505,0)),"")</f>
        <v/>
      </c>
      <c r="K136" s="37">
        <f>IFERROR(INDEX('Fund Research'!$P$6:$P$505,MATCH(131,'Fund Research'!$U$6:$U$505,0)),"")</f>
        <v/>
      </c>
      <c r="L136" s="35">
        <f>IFERROR(INDEX('Fund Research'!$S$6:$S$505,MATCH(131,'Fund Research'!$U$6:$U$505,0)),"")</f>
        <v/>
      </c>
      <c r="M136" s="35">
        <f>IFERROR(INDEX('Fund Research'!$T$6:$T$505,MATCH(131,'Fund Research'!$U$6:$U$505,0)),"")</f>
        <v/>
      </c>
    </row>
    <row r="137" ht="15" customHeight="1">
      <c r="A137" s="34">
        <f>IFERROR(IF(INDEX('Fund Research'!$B$6:$B$505,MATCH(132,'Fund Research'!$U$6:$U$505,0))="","",132),"")</f>
        <v/>
      </c>
      <c r="B137" s="35">
        <f>IFERROR(INDEX('Fund Research'!$A$6:$A$505,MATCH(132,'Fund Research'!$U$6:$U$505,0)),"")</f>
        <v/>
      </c>
      <c r="C137" s="35">
        <f>IFERROR(INDEX('Fund Research'!$B$6:$B$505,MATCH(132,'Fund Research'!$U$6:$U$505,0)),"")</f>
        <v/>
      </c>
      <c r="D137" s="35">
        <f>IFERROR(INDEX('Fund Research'!$C$6:$C$505,MATCH(132,'Fund Research'!$U$6:$U$505,0)),"")</f>
        <v/>
      </c>
      <c r="E137" s="36">
        <f>IFERROR(INDEX('Fund Research'!$G$6:$G$505,MATCH(132,'Fund Research'!$U$6:$U$505,0)),"")</f>
        <v/>
      </c>
      <c r="F137" s="36">
        <f>IFERROR(INDEX('Fund Research'!$H$6:$H$505,MATCH(132,'Fund Research'!$U$6:$U$505,0)),"")</f>
        <v/>
      </c>
      <c r="G137" s="36">
        <f>IFERROR(INDEX('Fund Research'!$I$6:$I$505,MATCH(132,'Fund Research'!$U$6:$U$505,0)),"")</f>
        <v/>
      </c>
      <c r="H137" s="37">
        <f>IFERROR(INDEX('Fund Research'!$J$6:$J$505,MATCH(132,'Fund Research'!$U$6:$U$505,0)),"")</f>
        <v/>
      </c>
      <c r="I137" s="38">
        <f>IFERROR(INDEX('Fund Research'!$L$6:$L$505,MATCH(132,'Fund Research'!$U$6:$U$505,0)),"")</f>
        <v/>
      </c>
      <c r="J137" s="37">
        <f>IFERROR(INDEX('Fund Research'!$N$6:$N$505,MATCH(132,'Fund Research'!$U$6:$U$505,0)),"")</f>
        <v/>
      </c>
      <c r="K137" s="37">
        <f>IFERROR(INDEX('Fund Research'!$P$6:$P$505,MATCH(132,'Fund Research'!$U$6:$U$505,0)),"")</f>
        <v/>
      </c>
      <c r="L137" s="35">
        <f>IFERROR(INDEX('Fund Research'!$S$6:$S$505,MATCH(132,'Fund Research'!$U$6:$U$505,0)),"")</f>
        <v/>
      </c>
      <c r="M137" s="35">
        <f>IFERROR(INDEX('Fund Research'!$T$6:$T$505,MATCH(132,'Fund Research'!$U$6:$U$505,0)),"")</f>
        <v/>
      </c>
    </row>
    <row r="138" ht="15" customHeight="1">
      <c r="A138" s="34">
        <f>IFERROR(IF(INDEX('Fund Research'!$B$6:$B$505,MATCH(133,'Fund Research'!$U$6:$U$505,0))="","",133),"")</f>
        <v/>
      </c>
      <c r="B138" s="35">
        <f>IFERROR(INDEX('Fund Research'!$A$6:$A$505,MATCH(133,'Fund Research'!$U$6:$U$505,0)),"")</f>
        <v/>
      </c>
      <c r="C138" s="35">
        <f>IFERROR(INDEX('Fund Research'!$B$6:$B$505,MATCH(133,'Fund Research'!$U$6:$U$505,0)),"")</f>
        <v/>
      </c>
      <c r="D138" s="35">
        <f>IFERROR(INDEX('Fund Research'!$C$6:$C$505,MATCH(133,'Fund Research'!$U$6:$U$505,0)),"")</f>
        <v/>
      </c>
      <c r="E138" s="36">
        <f>IFERROR(INDEX('Fund Research'!$G$6:$G$505,MATCH(133,'Fund Research'!$U$6:$U$505,0)),"")</f>
        <v/>
      </c>
      <c r="F138" s="36">
        <f>IFERROR(INDEX('Fund Research'!$H$6:$H$505,MATCH(133,'Fund Research'!$U$6:$U$505,0)),"")</f>
        <v/>
      </c>
      <c r="G138" s="36">
        <f>IFERROR(INDEX('Fund Research'!$I$6:$I$505,MATCH(133,'Fund Research'!$U$6:$U$505,0)),"")</f>
        <v/>
      </c>
      <c r="H138" s="37">
        <f>IFERROR(INDEX('Fund Research'!$J$6:$J$505,MATCH(133,'Fund Research'!$U$6:$U$505,0)),"")</f>
        <v/>
      </c>
      <c r="I138" s="38">
        <f>IFERROR(INDEX('Fund Research'!$L$6:$L$505,MATCH(133,'Fund Research'!$U$6:$U$505,0)),"")</f>
        <v/>
      </c>
      <c r="J138" s="37">
        <f>IFERROR(INDEX('Fund Research'!$N$6:$N$505,MATCH(133,'Fund Research'!$U$6:$U$505,0)),"")</f>
        <v/>
      </c>
      <c r="K138" s="37">
        <f>IFERROR(INDEX('Fund Research'!$P$6:$P$505,MATCH(133,'Fund Research'!$U$6:$U$505,0)),"")</f>
        <v/>
      </c>
      <c r="L138" s="35">
        <f>IFERROR(INDEX('Fund Research'!$S$6:$S$505,MATCH(133,'Fund Research'!$U$6:$U$505,0)),"")</f>
        <v/>
      </c>
      <c r="M138" s="35">
        <f>IFERROR(INDEX('Fund Research'!$T$6:$T$505,MATCH(133,'Fund Research'!$U$6:$U$505,0)),"")</f>
        <v/>
      </c>
    </row>
    <row r="139" ht="15" customHeight="1">
      <c r="A139" s="34">
        <f>IFERROR(IF(INDEX('Fund Research'!$B$6:$B$505,MATCH(134,'Fund Research'!$U$6:$U$505,0))="","",134),"")</f>
        <v/>
      </c>
      <c r="B139" s="35">
        <f>IFERROR(INDEX('Fund Research'!$A$6:$A$505,MATCH(134,'Fund Research'!$U$6:$U$505,0)),"")</f>
        <v/>
      </c>
      <c r="C139" s="35">
        <f>IFERROR(INDEX('Fund Research'!$B$6:$B$505,MATCH(134,'Fund Research'!$U$6:$U$505,0)),"")</f>
        <v/>
      </c>
      <c r="D139" s="35">
        <f>IFERROR(INDEX('Fund Research'!$C$6:$C$505,MATCH(134,'Fund Research'!$U$6:$U$505,0)),"")</f>
        <v/>
      </c>
      <c r="E139" s="36">
        <f>IFERROR(INDEX('Fund Research'!$G$6:$G$505,MATCH(134,'Fund Research'!$U$6:$U$505,0)),"")</f>
        <v/>
      </c>
      <c r="F139" s="36">
        <f>IFERROR(INDEX('Fund Research'!$H$6:$H$505,MATCH(134,'Fund Research'!$U$6:$U$505,0)),"")</f>
        <v/>
      </c>
      <c r="G139" s="36">
        <f>IFERROR(INDEX('Fund Research'!$I$6:$I$505,MATCH(134,'Fund Research'!$U$6:$U$505,0)),"")</f>
        <v/>
      </c>
      <c r="H139" s="37">
        <f>IFERROR(INDEX('Fund Research'!$J$6:$J$505,MATCH(134,'Fund Research'!$U$6:$U$505,0)),"")</f>
        <v/>
      </c>
      <c r="I139" s="38">
        <f>IFERROR(INDEX('Fund Research'!$L$6:$L$505,MATCH(134,'Fund Research'!$U$6:$U$505,0)),"")</f>
        <v/>
      </c>
      <c r="J139" s="37">
        <f>IFERROR(INDEX('Fund Research'!$N$6:$N$505,MATCH(134,'Fund Research'!$U$6:$U$505,0)),"")</f>
        <v/>
      </c>
      <c r="K139" s="37">
        <f>IFERROR(INDEX('Fund Research'!$P$6:$P$505,MATCH(134,'Fund Research'!$U$6:$U$505,0)),"")</f>
        <v/>
      </c>
      <c r="L139" s="35">
        <f>IFERROR(INDEX('Fund Research'!$S$6:$S$505,MATCH(134,'Fund Research'!$U$6:$U$505,0)),"")</f>
        <v/>
      </c>
      <c r="M139" s="35">
        <f>IFERROR(INDEX('Fund Research'!$T$6:$T$505,MATCH(134,'Fund Research'!$U$6:$U$505,0)),"")</f>
        <v/>
      </c>
    </row>
    <row r="140" ht="15" customHeight="1">
      <c r="A140" s="34">
        <f>IFERROR(IF(INDEX('Fund Research'!$B$6:$B$505,MATCH(135,'Fund Research'!$U$6:$U$505,0))="","",135),"")</f>
        <v/>
      </c>
      <c r="B140" s="35">
        <f>IFERROR(INDEX('Fund Research'!$A$6:$A$505,MATCH(135,'Fund Research'!$U$6:$U$505,0)),"")</f>
        <v/>
      </c>
      <c r="C140" s="35">
        <f>IFERROR(INDEX('Fund Research'!$B$6:$B$505,MATCH(135,'Fund Research'!$U$6:$U$505,0)),"")</f>
        <v/>
      </c>
      <c r="D140" s="35">
        <f>IFERROR(INDEX('Fund Research'!$C$6:$C$505,MATCH(135,'Fund Research'!$U$6:$U$505,0)),"")</f>
        <v/>
      </c>
      <c r="E140" s="36">
        <f>IFERROR(INDEX('Fund Research'!$G$6:$G$505,MATCH(135,'Fund Research'!$U$6:$U$505,0)),"")</f>
        <v/>
      </c>
      <c r="F140" s="36">
        <f>IFERROR(INDEX('Fund Research'!$H$6:$H$505,MATCH(135,'Fund Research'!$U$6:$U$505,0)),"")</f>
        <v/>
      </c>
      <c r="G140" s="36">
        <f>IFERROR(INDEX('Fund Research'!$I$6:$I$505,MATCH(135,'Fund Research'!$U$6:$U$505,0)),"")</f>
        <v/>
      </c>
      <c r="H140" s="37">
        <f>IFERROR(INDEX('Fund Research'!$J$6:$J$505,MATCH(135,'Fund Research'!$U$6:$U$505,0)),"")</f>
        <v/>
      </c>
      <c r="I140" s="38">
        <f>IFERROR(INDEX('Fund Research'!$L$6:$L$505,MATCH(135,'Fund Research'!$U$6:$U$505,0)),"")</f>
        <v/>
      </c>
      <c r="J140" s="37">
        <f>IFERROR(INDEX('Fund Research'!$N$6:$N$505,MATCH(135,'Fund Research'!$U$6:$U$505,0)),"")</f>
        <v/>
      </c>
      <c r="K140" s="37">
        <f>IFERROR(INDEX('Fund Research'!$P$6:$P$505,MATCH(135,'Fund Research'!$U$6:$U$505,0)),"")</f>
        <v/>
      </c>
      <c r="L140" s="35">
        <f>IFERROR(INDEX('Fund Research'!$S$6:$S$505,MATCH(135,'Fund Research'!$U$6:$U$505,0)),"")</f>
        <v/>
      </c>
      <c r="M140" s="35">
        <f>IFERROR(INDEX('Fund Research'!$T$6:$T$505,MATCH(135,'Fund Research'!$U$6:$U$505,0)),"")</f>
        <v/>
      </c>
    </row>
    <row r="141" ht="15" customHeight="1">
      <c r="A141" s="34">
        <f>IFERROR(IF(INDEX('Fund Research'!$B$6:$B$505,MATCH(136,'Fund Research'!$U$6:$U$505,0))="","",136),"")</f>
        <v/>
      </c>
      <c r="B141" s="35">
        <f>IFERROR(INDEX('Fund Research'!$A$6:$A$505,MATCH(136,'Fund Research'!$U$6:$U$505,0)),"")</f>
        <v/>
      </c>
      <c r="C141" s="35">
        <f>IFERROR(INDEX('Fund Research'!$B$6:$B$505,MATCH(136,'Fund Research'!$U$6:$U$505,0)),"")</f>
        <v/>
      </c>
      <c r="D141" s="35">
        <f>IFERROR(INDEX('Fund Research'!$C$6:$C$505,MATCH(136,'Fund Research'!$U$6:$U$505,0)),"")</f>
        <v/>
      </c>
      <c r="E141" s="36">
        <f>IFERROR(INDEX('Fund Research'!$G$6:$G$505,MATCH(136,'Fund Research'!$U$6:$U$505,0)),"")</f>
        <v/>
      </c>
      <c r="F141" s="36">
        <f>IFERROR(INDEX('Fund Research'!$H$6:$H$505,MATCH(136,'Fund Research'!$U$6:$U$505,0)),"")</f>
        <v/>
      </c>
      <c r="G141" s="36">
        <f>IFERROR(INDEX('Fund Research'!$I$6:$I$505,MATCH(136,'Fund Research'!$U$6:$U$505,0)),"")</f>
        <v/>
      </c>
      <c r="H141" s="37">
        <f>IFERROR(INDEX('Fund Research'!$J$6:$J$505,MATCH(136,'Fund Research'!$U$6:$U$505,0)),"")</f>
        <v/>
      </c>
      <c r="I141" s="38">
        <f>IFERROR(INDEX('Fund Research'!$L$6:$L$505,MATCH(136,'Fund Research'!$U$6:$U$505,0)),"")</f>
        <v/>
      </c>
      <c r="J141" s="37">
        <f>IFERROR(INDEX('Fund Research'!$N$6:$N$505,MATCH(136,'Fund Research'!$U$6:$U$505,0)),"")</f>
        <v/>
      </c>
      <c r="K141" s="37">
        <f>IFERROR(INDEX('Fund Research'!$P$6:$P$505,MATCH(136,'Fund Research'!$U$6:$U$505,0)),"")</f>
        <v/>
      </c>
      <c r="L141" s="35">
        <f>IFERROR(INDEX('Fund Research'!$S$6:$S$505,MATCH(136,'Fund Research'!$U$6:$U$505,0)),"")</f>
        <v/>
      </c>
      <c r="M141" s="35">
        <f>IFERROR(INDEX('Fund Research'!$T$6:$T$505,MATCH(136,'Fund Research'!$U$6:$U$505,0)),"")</f>
        <v/>
      </c>
    </row>
    <row r="142" ht="15" customHeight="1">
      <c r="A142" s="34">
        <f>IFERROR(IF(INDEX('Fund Research'!$B$6:$B$505,MATCH(137,'Fund Research'!$U$6:$U$505,0))="","",137),"")</f>
        <v/>
      </c>
      <c r="B142" s="35">
        <f>IFERROR(INDEX('Fund Research'!$A$6:$A$505,MATCH(137,'Fund Research'!$U$6:$U$505,0)),"")</f>
        <v/>
      </c>
      <c r="C142" s="35">
        <f>IFERROR(INDEX('Fund Research'!$B$6:$B$505,MATCH(137,'Fund Research'!$U$6:$U$505,0)),"")</f>
        <v/>
      </c>
      <c r="D142" s="35">
        <f>IFERROR(INDEX('Fund Research'!$C$6:$C$505,MATCH(137,'Fund Research'!$U$6:$U$505,0)),"")</f>
        <v/>
      </c>
      <c r="E142" s="36">
        <f>IFERROR(INDEX('Fund Research'!$G$6:$G$505,MATCH(137,'Fund Research'!$U$6:$U$505,0)),"")</f>
        <v/>
      </c>
      <c r="F142" s="36">
        <f>IFERROR(INDEX('Fund Research'!$H$6:$H$505,MATCH(137,'Fund Research'!$U$6:$U$505,0)),"")</f>
        <v/>
      </c>
      <c r="G142" s="36">
        <f>IFERROR(INDEX('Fund Research'!$I$6:$I$505,MATCH(137,'Fund Research'!$U$6:$U$505,0)),"")</f>
        <v/>
      </c>
      <c r="H142" s="37">
        <f>IFERROR(INDEX('Fund Research'!$J$6:$J$505,MATCH(137,'Fund Research'!$U$6:$U$505,0)),"")</f>
        <v/>
      </c>
      <c r="I142" s="38">
        <f>IFERROR(INDEX('Fund Research'!$L$6:$L$505,MATCH(137,'Fund Research'!$U$6:$U$505,0)),"")</f>
        <v/>
      </c>
      <c r="J142" s="37">
        <f>IFERROR(INDEX('Fund Research'!$N$6:$N$505,MATCH(137,'Fund Research'!$U$6:$U$505,0)),"")</f>
        <v/>
      </c>
      <c r="K142" s="37">
        <f>IFERROR(INDEX('Fund Research'!$P$6:$P$505,MATCH(137,'Fund Research'!$U$6:$U$505,0)),"")</f>
        <v/>
      </c>
      <c r="L142" s="35">
        <f>IFERROR(INDEX('Fund Research'!$S$6:$S$505,MATCH(137,'Fund Research'!$U$6:$U$505,0)),"")</f>
        <v/>
      </c>
      <c r="M142" s="35">
        <f>IFERROR(INDEX('Fund Research'!$T$6:$T$505,MATCH(137,'Fund Research'!$U$6:$U$505,0)),"")</f>
        <v/>
      </c>
    </row>
    <row r="143" ht="15" customHeight="1">
      <c r="A143" s="34">
        <f>IFERROR(IF(INDEX('Fund Research'!$B$6:$B$505,MATCH(138,'Fund Research'!$U$6:$U$505,0))="","",138),"")</f>
        <v/>
      </c>
      <c r="B143" s="35">
        <f>IFERROR(INDEX('Fund Research'!$A$6:$A$505,MATCH(138,'Fund Research'!$U$6:$U$505,0)),"")</f>
        <v/>
      </c>
      <c r="C143" s="35">
        <f>IFERROR(INDEX('Fund Research'!$B$6:$B$505,MATCH(138,'Fund Research'!$U$6:$U$505,0)),"")</f>
        <v/>
      </c>
      <c r="D143" s="35">
        <f>IFERROR(INDEX('Fund Research'!$C$6:$C$505,MATCH(138,'Fund Research'!$U$6:$U$505,0)),"")</f>
        <v/>
      </c>
      <c r="E143" s="36">
        <f>IFERROR(INDEX('Fund Research'!$G$6:$G$505,MATCH(138,'Fund Research'!$U$6:$U$505,0)),"")</f>
        <v/>
      </c>
      <c r="F143" s="36">
        <f>IFERROR(INDEX('Fund Research'!$H$6:$H$505,MATCH(138,'Fund Research'!$U$6:$U$505,0)),"")</f>
        <v/>
      </c>
      <c r="G143" s="36">
        <f>IFERROR(INDEX('Fund Research'!$I$6:$I$505,MATCH(138,'Fund Research'!$U$6:$U$505,0)),"")</f>
        <v/>
      </c>
      <c r="H143" s="37">
        <f>IFERROR(INDEX('Fund Research'!$J$6:$J$505,MATCH(138,'Fund Research'!$U$6:$U$505,0)),"")</f>
        <v/>
      </c>
      <c r="I143" s="38">
        <f>IFERROR(INDEX('Fund Research'!$L$6:$L$505,MATCH(138,'Fund Research'!$U$6:$U$505,0)),"")</f>
        <v/>
      </c>
      <c r="J143" s="37">
        <f>IFERROR(INDEX('Fund Research'!$N$6:$N$505,MATCH(138,'Fund Research'!$U$6:$U$505,0)),"")</f>
        <v/>
      </c>
      <c r="K143" s="37">
        <f>IFERROR(INDEX('Fund Research'!$P$6:$P$505,MATCH(138,'Fund Research'!$U$6:$U$505,0)),"")</f>
        <v/>
      </c>
      <c r="L143" s="35">
        <f>IFERROR(INDEX('Fund Research'!$S$6:$S$505,MATCH(138,'Fund Research'!$U$6:$U$505,0)),"")</f>
        <v/>
      </c>
      <c r="M143" s="35">
        <f>IFERROR(INDEX('Fund Research'!$T$6:$T$505,MATCH(138,'Fund Research'!$U$6:$U$505,0)),"")</f>
        <v/>
      </c>
    </row>
    <row r="144" ht="15" customHeight="1">
      <c r="A144" s="34">
        <f>IFERROR(IF(INDEX('Fund Research'!$B$6:$B$505,MATCH(139,'Fund Research'!$U$6:$U$505,0))="","",139),"")</f>
        <v/>
      </c>
      <c r="B144" s="35">
        <f>IFERROR(INDEX('Fund Research'!$A$6:$A$505,MATCH(139,'Fund Research'!$U$6:$U$505,0)),"")</f>
        <v/>
      </c>
      <c r="C144" s="35">
        <f>IFERROR(INDEX('Fund Research'!$B$6:$B$505,MATCH(139,'Fund Research'!$U$6:$U$505,0)),"")</f>
        <v/>
      </c>
      <c r="D144" s="35">
        <f>IFERROR(INDEX('Fund Research'!$C$6:$C$505,MATCH(139,'Fund Research'!$U$6:$U$505,0)),"")</f>
        <v/>
      </c>
      <c r="E144" s="36">
        <f>IFERROR(INDEX('Fund Research'!$G$6:$G$505,MATCH(139,'Fund Research'!$U$6:$U$505,0)),"")</f>
        <v/>
      </c>
      <c r="F144" s="36">
        <f>IFERROR(INDEX('Fund Research'!$H$6:$H$505,MATCH(139,'Fund Research'!$U$6:$U$505,0)),"")</f>
        <v/>
      </c>
      <c r="G144" s="36">
        <f>IFERROR(INDEX('Fund Research'!$I$6:$I$505,MATCH(139,'Fund Research'!$U$6:$U$505,0)),"")</f>
        <v/>
      </c>
      <c r="H144" s="37">
        <f>IFERROR(INDEX('Fund Research'!$J$6:$J$505,MATCH(139,'Fund Research'!$U$6:$U$505,0)),"")</f>
        <v/>
      </c>
      <c r="I144" s="38">
        <f>IFERROR(INDEX('Fund Research'!$L$6:$L$505,MATCH(139,'Fund Research'!$U$6:$U$505,0)),"")</f>
        <v/>
      </c>
      <c r="J144" s="37">
        <f>IFERROR(INDEX('Fund Research'!$N$6:$N$505,MATCH(139,'Fund Research'!$U$6:$U$505,0)),"")</f>
        <v/>
      </c>
      <c r="K144" s="37">
        <f>IFERROR(INDEX('Fund Research'!$P$6:$P$505,MATCH(139,'Fund Research'!$U$6:$U$505,0)),"")</f>
        <v/>
      </c>
      <c r="L144" s="35">
        <f>IFERROR(INDEX('Fund Research'!$S$6:$S$505,MATCH(139,'Fund Research'!$U$6:$U$505,0)),"")</f>
        <v/>
      </c>
      <c r="M144" s="35">
        <f>IFERROR(INDEX('Fund Research'!$T$6:$T$505,MATCH(139,'Fund Research'!$U$6:$U$505,0)),"")</f>
        <v/>
      </c>
    </row>
    <row r="145" ht="15" customHeight="1">
      <c r="A145" s="34">
        <f>IFERROR(IF(INDEX('Fund Research'!$B$6:$B$505,MATCH(140,'Fund Research'!$U$6:$U$505,0))="","",140),"")</f>
        <v/>
      </c>
      <c r="B145" s="35">
        <f>IFERROR(INDEX('Fund Research'!$A$6:$A$505,MATCH(140,'Fund Research'!$U$6:$U$505,0)),"")</f>
        <v/>
      </c>
      <c r="C145" s="35">
        <f>IFERROR(INDEX('Fund Research'!$B$6:$B$505,MATCH(140,'Fund Research'!$U$6:$U$505,0)),"")</f>
        <v/>
      </c>
      <c r="D145" s="35">
        <f>IFERROR(INDEX('Fund Research'!$C$6:$C$505,MATCH(140,'Fund Research'!$U$6:$U$505,0)),"")</f>
        <v/>
      </c>
      <c r="E145" s="36">
        <f>IFERROR(INDEX('Fund Research'!$G$6:$G$505,MATCH(140,'Fund Research'!$U$6:$U$505,0)),"")</f>
        <v/>
      </c>
      <c r="F145" s="36">
        <f>IFERROR(INDEX('Fund Research'!$H$6:$H$505,MATCH(140,'Fund Research'!$U$6:$U$505,0)),"")</f>
        <v/>
      </c>
      <c r="G145" s="36">
        <f>IFERROR(INDEX('Fund Research'!$I$6:$I$505,MATCH(140,'Fund Research'!$U$6:$U$505,0)),"")</f>
        <v/>
      </c>
      <c r="H145" s="37">
        <f>IFERROR(INDEX('Fund Research'!$J$6:$J$505,MATCH(140,'Fund Research'!$U$6:$U$505,0)),"")</f>
        <v/>
      </c>
      <c r="I145" s="38">
        <f>IFERROR(INDEX('Fund Research'!$L$6:$L$505,MATCH(140,'Fund Research'!$U$6:$U$505,0)),"")</f>
        <v/>
      </c>
      <c r="J145" s="37">
        <f>IFERROR(INDEX('Fund Research'!$N$6:$N$505,MATCH(140,'Fund Research'!$U$6:$U$505,0)),"")</f>
        <v/>
      </c>
      <c r="K145" s="37">
        <f>IFERROR(INDEX('Fund Research'!$P$6:$P$505,MATCH(140,'Fund Research'!$U$6:$U$505,0)),"")</f>
        <v/>
      </c>
      <c r="L145" s="35">
        <f>IFERROR(INDEX('Fund Research'!$S$6:$S$505,MATCH(140,'Fund Research'!$U$6:$U$505,0)),"")</f>
        <v/>
      </c>
      <c r="M145" s="35">
        <f>IFERROR(INDEX('Fund Research'!$T$6:$T$505,MATCH(140,'Fund Research'!$U$6:$U$505,0)),"")</f>
        <v/>
      </c>
    </row>
    <row r="146" ht="15" customHeight="1">
      <c r="A146" s="34">
        <f>IFERROR(IF(INDEX('Fund Research'!$B$6:$B$505,MATCH(141,'Fund Research'!$U$6:$U$505,0))="","",141),"")</f>
        <v/>
      </c>
      <c r="B146" s="35">
        <f>IFERROR(INDEX('Fund Research'!$A$6:$A$505,MATCH(141,'Fund Research'!$U$6:$U$505,0)),"")</f>
        <v/>
      </c>
      <c r="C146" s="35">
        <f>IFERROR(INDEX('Fund Research'!$B$6:$B$505,MATCH(141,'Fund Research'!$U$6:$U$505,0)),"")</f>
        <v/>
      </c>
      <c r="D146" s="35">
        <f>IFERROR(INDEX('Fund Research'!$C$6:$C$505,MATCH(141,'Fund Research'!$U$6:$U$505,0)),"")</f>
        <v/>
      </c>
      <c r="E146" s="36">
        <f>IFERROR(INDEX('Fund Research'!$G$6:$G$505,MATCH(141,'Fund Research'!$U$6:$U$505,0)),"")</f>
        <v/>
      </c>
      <c r="F146" s="36">
        <f>IFERROR(INDEX('Fund Research'!$H$6:$H$505,MATCH(141,'Fund Research'!$U$6:$U$505,0)),"")</f>
        <v/>
      </c>
      <c r="G146" s="36">
        <f>IFERROR(INDEX('Fund Research'!$I$6:$I$505,MATCH(141,'Fund Research'!$U$6:$U$505,0)),"")</f>
        <v/>
      </c>
      <c r="H146" s="37">
        <f>IFERROR(INDEX('Fund Research'!$J$6:$J$505,MATCH(141,'Fund Research'!$U$6:$U$505,0)),"")</f>
        <v/>
      </c>
      <c r="I146" s="38">
        <f>IFERROR(INDEX('Fund Research'!$L$6:$L$505,MATCH(141,'Fund Research'!$U$6:$U$505,0)),"")</f>
        <v/>
      </c>
      <c r="J146" s="37">
        <f>IFERROR(INDEX('Fund Research'!$N$6:$N$505,MATCH(141,'Fund Research'!$U$6:$U$505,0)),"")</f>
        <v/>
      </c>
      <c r="K146" s="37">
        <f>IFERROR(INDEX('Fund Research'!$P$6:$P$505,MATCH(141,'Fund Research'!$U$6:$U$505,0)),"")</f>
        <v/>
      </c>
      <c r="L146" s="35">
        <f>IFERROR(INDEX('Fund Research'!$S$6:$S$505,MATCH(141,'Fund Research'!$U$6:$U$505,0)),"")</f>
        <v/>
      </c>
      <c r="M146" s="35">
        <f>IFERROR(INDEX('Fund Research'!$T$6:$T$505,MATCH(141,'Fund Research'!$U$6:$U$505,0)),"")</f>
        <v/>
      </c>
    </row>
    <row r="147" ht="15" customHeight="1">
      <c r="A147" s="34">
        <f>IFERROR(IF(INDEX('Fund Research'!$B$6:$B$505,MATCH(142,'Fund Research'!$U$6:$U$505,0))="","",142),"")</f>
        <v/>
      </c>
      <c r="B147" s="35">
        <f>IFERROR(INDEX('Fund Research'!$A$6:$A$505,MATCH(142,'Fund Research'!$U$6:$U$505,0)),"")</f>
        <v/>
      </c>
      <c r="C147" s="35">
        <f>IFERROR(INDEX('Fund Research'!$B$6:$B$505,MATCH(142,'Fund Research'!$U$6:$U$505,0)),"")</f>
        <v/>
      </c>
      <c r="D147" s="35">
        <f>IFERROR(INDEX('Fund Research'!$C$6:$C$505,MATCH(142,'Fund Research'!$U$6:$U$505,0)),"")</f>
        <v/>
      </c>
      <c r="E147" s="36">
        <f>IFERROR(INDEX('Fund Research'!$G$6:$G$505,MATCH(142,'Fund Research'!$U$6:$U$505,0)),"")</f>
        <v/>
      </c>
      <c r="F147" s="36">
        <f>IFERROR(INDEX('Fund Research'!$H$6:$H$505,MATCH(142,'Fund Research'!$U$6:$U$505,0)),"")</f>
        <v/>
      </c>
      <c r="G147" s="36">
        <f>IFERROR(INDEX('Fund Research'!$I$6:$I$505,MATCH(142,'Fund Research'!$U$6:$U$505,0)),"")</f>
        <v/>
      </c>
      <c r="H147" s="37">
        <f>IFERROR(INDEX('Fund Research'!$J$6:$J$505,MATCH(142,'Fund Research'!$U$6:$U$505,0)),"")</f>
        <v/>
      </c>
      <c r="I147" s="38">
        <f>IFERROR(INDEX('Fund Research'!$L$6:$L$505,MATCH(142,'Fund Research'!$U$6:$U$505,0)),"")</f>
        <v/>
      </c>
      <c r="J147" s="37">
        <f>IFERROR(INDEX('Fund Research'!$N$6:$N$505,MATCH(142,'Fund Research'!$U$6:$U$505,0)),"")</f>
        <v/>
      </c>
      <c r="K147" s="37">
        <f>IFERROR(INDEX('Fund Research'!$P$6:$P$505,MATCH(142,'Fund Research'!$U$6:$U$505,0)),"")</f>
        <v/>
      </c>
      <c r="L147" s="35">
        <f>IFERROR(INDEX('Fund Research'!$S$6:$S$505,MATCH(142,'Fund Research'!$U$6:$U$505,0)),"")</f>
        <v/>
      </c>
      <c r="M147" s="35">
        <f>IFERROR(INDEX('Fund Research'!$T$6:$T$505,MATCH(142,'Fund Research'!$U$6:$U$505,0)),"")</f>
        <v/>
      </c>
    </row>
    <row r="148" ht="15" customHeight="1">
      <c r="A148" s="34">
        <f>IFERROR(IF(INDEX('Fund Research'!$B$6:$B$505,MATCH(143,'Fund Research'!$U$6:$U$505,0))="","",143),"")</f>
        <v/>
      </c>
      <c r="B148" s="35">
        <f>IFERROR(INDEX('Fund Research'!$A$6:$A$505,MATCH(143,'Fund Research'!$U$6:$U$505,0)),"")</f>
        <v/>
      </c>
      <c r="C148" s="35">
        <f>IFERROR(INDEX('Fund Research'!$B$6:$B$505,MATCH(143,'Fund Research'!$U$6:$U$505,0)),"")</f>
        <v/>
      </c>
      <c r="D148" s="35">
        <f>IFERROR(INDEX('Fund Research'!$C$6:$C$505,MATCH(143,'Fund Research'!$U$6:$U$505,0)),"")</f>
        <v/>
      </c>
      <c r="E148" s="36">
        <f>IFERROR(INDEX('Fund Research'!$G$6:$G$505,MATCH(143,'Fund Research'!$U$6:$U$505,0)),"")</f>
        <v/>
      </c>
      <c r="F148" s="36">
        <f>IFERROR(INDEX('Fund Research'!$H$6:$H$505,MATCH(143,'Fund Research'!$U$6:$U$505,0)),"")</f>
        <v/>
      </c>
      <c r="G148" s="36">
        <f>IFERROR(INDEX('Fund Research'!$I$6:$I$505,MATCH(143,'Fund Research'!$U$6:$U$505,0)),"")</f>
        <v/>
      </c>
      <c r="H148" s="37">
        <f>IFERROR(INDEX('Fund Research'!$J$6:$J$505,MATCH(143,'Fund Research'!$U$6:$U$505,0)),"")</f>
        <v/>
      </c>
      <c r="I148" s="38">
        <f>IFERROR(INDEX('Fund Research'!$L$6:$L$505,MATCH(143,'Fund Research'!$U$6:$U$505,0)),"")</f>
        <v/>
      </c>
      <c r="J148" s="37">
        <f>IFERROR(INDEX('Fund Research'!$N$6:$N$505,MATCH(143,'Fund Research'!$U$6:$U$505,0)),"")</f>
        <v/>
      </c>
      <c r="K148" s="37">
        <f>IFERROR(INDEX('Fund Research'!$P$6:$P$505,MATCH(143,'Fund Research'!$U$6:$U$505,0)),"")</f>
        <v/>
      </c>
      <c r="L148" s="35">
        <f>IFERROR(INDEX('Fund Research'!$S$6:$S$505,MATCH(143,'Fund Research'!$U$6:$U$505,0)),"")</f>
        <v/>
      </c>
      <c r="M148" s="35">
        <f>IFERROR(INDEX('Fund Research'!$T$6:$T$505,MATCH(143,'Fund Research'!$U$6:$U$505,0)),"")</f>
        <v/>
      </c>
    </row>
    <row r="149" ht="15" customHeight="1">
      <c r="A149" s="34">
        <f>IFERROR(IF(INDEX('Fund Research'!$B$6:$B$505,MATCH(144,'Fund Research'!$U$6:$U$505,0))="","",144),"")</f>
        <v/>
      </c>
      <c r="B149" s="35">
        <f>IFERROR(INDEX('Fund Research'!$A$6:$A$505,MATCH(144,'Fund Research'!$U$6:$U$505,0)),"")</f>
        <v/>
      </c>
      <c r="C149" s="35">
        <f>IFERROR(INDEX('Fund Research'!$B$6:$B$505,MATCH(144,'Fund Research'!$U$6:$U$505,0)),"")</f>
        <v/>
      </c>
      <c r="D149" s="35">
        <f>IFERROR(INDEX('Fund Research'!$C$6:$C$505,MATCH(144,'Fund Research'!$U$6:$U$505,0)),"")</f>
        <v/>
      </c>
      <c r="E149" s="36">
        <f>IFERROR(INDEX('Fund Research'!$G$6:$G$505,MATCH(144,'Fund Research'!$U$6:$U$505,0)),"")</f>
        <v/>
      </c>
      <c r="F149" s="36">
        <f>IFERROR(INDEX('Fund Research'!$H$6:$H$505,MATCH(144,'Fund Research'!$U$6:$U$505,0)),"")</f>
        <v/>
      </c>
      <c r="G149" s="36">
        <f>IFERROR(INDEX('Fund Research'!$I$6:$I$505,MATCH(144,'Fund Research'!$U$6:$U$505,0)),"")</f>
        <v/>
      </c>
      <c r="H149" s="37">
        <f>IFERROR(INDEX('Fund Research'!$J$6:$J$505,MATCH(144,'Fund Research'!$U$6:$U$505,0)),"")</f>
        <v/>
      </c>
      <c r="I149" s="38">
        <f>IFERROR(INDEX('Fund Research'!$L$6:$L$505,MATCH(144,'Fund Research'!$U$6:$U$505,0)),"")</f>
        <v/>
      </c>
      <c r="J149" s="37">
        <f>IFERROR(INDEX('Fund Research'!$N$6:$N$505,MATCH(144,'Fund Research'!$U$6:$U$505,0)),"")</f>
        <v/>
      </c>
      <c r="K149" s="37">
        <f>IFERROR(INDEX('Fund Research'!$P$6:$P$505,MATCH(144,'Fund Research'!$U$6:$U$505,0)),"")</f>
        <v/>
      </c>
      <c r="L149" s="35">
        <f>IFERROR(INDEX('Fund Research'!$S$6:$S$505,MATCH(144,'Fund Research'!$U$6:$U$505,0)),"")</f>
        <v/>
      </c>
      <c r="M149" s="35">
        <f>IFERROR(INDEX('Fund Research'!$T$6:$T$505,MATCH(144,'Fund Research'!$U$6:$U$505,0)),"")</f>
        <v/>
      </c>
    </row>
    <row r="150" ht="15" customHeight="1">
      <c r="A150" s="34">
        <f>IFERROR(IF(INDEX('Fund Research'!$B$6:$B$505,MATCH(145,'Fund Research'!$U$6:$U$505,0))="","",145),"")</f>
        <v/>
      </c>
      <c r="B150" s="35">
        <f>IFERROR(INDEX('Fund Research'!$A$6:$A$505,MATCH(145,'Fund Research'!$U$6:$U$505,0)),"")</f>
        <v/>
      </c>
      <c r="C150" s="35">
        <f>IFERROR(INDEX('Fund Research'!$B$6:$B$505,MATCH(145,'Fund Research'!$U$6:$U$505,0)),"")</f>
        <v/>
      </c>
      <c r="D150" s="35">
        <f>IFERROR(INDEX('Fund Research'!$C$6:$C$505,MATCH(145,'Fund Research'!$U$6:$U$505,0)),"")</f>
        <v/>
      </c>
      <c r="E150" s="36">
        <f>IFERROR(INDEX('Fund Research'!$G$6:$G$505,MATCH(145,'Fund Research'!$U$6:$U$505,0)),"")</f>
        <v/>
      </c>
      <c r="F150" s="36">
        <f>IFERROR(INDEX('Fund Research'!$H$6:$H$505,MATCH(145,'Fund Research'!$U$6:$U$505,0)),"")</f>
        <v/>
      </c>
      <c r="G150" s="36">
        <f>IFERROR(INDEX('Fund Research'!$I$6:$I$505,MATCH(145,'Fund Research'!$U$6:$U$505,0)),"")</f>
        <v/>
      </c>
      <c r="H150" s="37">
        <f>IFERROR(INDEX('Fund Research'!$J$6:$J$505,MATCH(145,'Fund Research'!$U$6:$U$505,0)),"")</f>
        <v/>
      </c>
      <c r="I150" s="38">
        <f>IFERROR(INDEX('Fund Research'!$L$6:$L$505,MATCH(145,'Fund Research'!$U$6:$U$505,0)),"")</f>
        <v/>
      </c>
      <c r="J150" s="37">
        <f>IFERROR(INDEX('Fund Research'!$N$6:$N$505,MATCH(145,'Fund Research'!$U$6:$U$505,0)),"")</f>
        <v/>
      </c>
      <c r="K150" s="37">
        <f>IFERROR(INDEX('Fund Research'!$P$6:$P$505,MATCH(145,'Fund Research'!$U$6:$U$505,0)),"")</f>
        <v/>
      </c>
      <c r="L150" s="35">
        <f>IFERROR(INDEX('Fund Research'!$S$6:$S$505,MATCH(145,'Fund Research'!$U$6:$U$505,0)),"")</f>
        <v/>
      </c>
      <c r="M150" s="35">
        <f>IFERROR(INDEX('Fund Research'!$T$6:$T$505,MATCH(145,'Fund Research'!$U$6:$U$505,0)),"")</f>
        <v/>
      </c>
    </row>
    <row r="151" ht="15" customHeight="1">
      <c r="A151" s="34">
        <f>IFERROR(IF(INDEX('Fund Research'!$B$6:$B$505,MATCH(146,'Fund Research'!$U$6:$U$505,0))="","",146),"")</f>
        <v/>
      </c>
      <c r="B151" s="35">
        <f>IFERROR(INDEX('Fund Research'!$A$6:$A$505,MATCH(146,'Fund Research'!$U$6:$U$505,0)),"")</f>
        <v/>
      </c>
      <c r="C151" s="35">
        <f>IFERROR(INDEX('Fund Research'!$B$6:$B$505,MATCH(146,'Fund Research'!$U$6:$U$505,0)),"")</f>
        <v/>
      </c>
      <c r="D151" s="35">
        <f>IFERROR(INDEX('Fund Research'!$C$6:$C$505,MATCH(146,'Fund Research'!$U$6:$U$505,0)),"")</f>
        <v/>
      </c>
      <c r="E151" s="36">
        <f>IFERROR(INDEX('Fund Research'!$G$6:$G$505,MATCH(146,'Fund Research'!$U$6:$U$505,0)),"")</f>
        <v/>
      </c>
      <c r="F151" s="36">
        <f>IFERROR(INDEX('Fund Research'!$H$6:$H$505,MATCH(146,'Fund Research'!$U$6:$U$505,0)),"")</f>
        <v/>
      </c>
      <c r="G151" s="36">
        <f>IFERROR(INDEX('Fund Research'!$I$6:$I$505,MATCH(146,'Fund Research'!$U$6:$U$505,0)),"")</f>
        <v/>
      </c>
      <c r="H151" s="37">
        <f>IFERROR(INDEX('Fund Research'!$J$6:$J$505,MATCH(146,'Fund Research'!$U$6:$U$505,0)),"")</f>
        <v/>
      </c>
      <c r="I151" s="38">
        <f>IFERROR(INDEX('Fund Research'!$L$6:$L$505,MATCH(146,'Fund Research'!$U$6:$U$505,0)),"")</f>
        <v/>
      </c>
      <c r="J151" s="37">
        <f>IFERROR(INDEX('Fund Research'!$N$6:$N$505,MATCH(146,'Fund Research'!$U$6:$U$505,0)),"")</f>
        <v/>
      </c>
      <c r="K151" s="37">
        <f>IFERROR(INDEX('Fund Research'!$P$6:$P$505,MATCH(146,'Fund Research'!$U$6:$U$505,0)),"")</f>
        <v/>
      </c>
      <c r="L151" s="35">
        <f>IFERROR(INDEX('Fund Research'!$S$6:$S$505,MATCH(146,'Fund Research'!$U$6:$U$505,0)),"")</f>
        <v/>
      </c>
      <c r="M151" s="35">
        <f>IFERROR(INDEX('Fund Research'!$T$6:$T$505,MATCH(146,'Fund Research'!$U$6:$U$505,0)),"")</f>
        <v/>
      </c>
    </row>
    <row r="152" ht="15" customHeight="1">
      <c r="A152" s="34">
        <f>IFERROR(IF(INDEX('Fund Research'!$B$6:$B$505,MATCH(147,'Fund Research'!$U$6:$U$505,0))="","",147),"")</f>
        <v/>
      </c>
      <c r="B152" s="35">
        <f>IFERROR(INDEX('Fund Research'!$A$6:$A$505,MATCH(147,'Fund Research'!$U$6:$U$505,0)),"")</f>
        <v/>
      </c>
      <c r="C152" s="35">
        <f>IFERROR(INDEX('Fund Research'!$B$6:$B$505,MATCH(147,'Fund Research'!$U$6:$U$505,0)),"")</f>
        <v/>
      </c>
      <c r="D152" s="35">
        <f>IFERROR(INDEX('Fund Research'!$C$6:$C$505,MATCH(147,'Fund Research'!$U$6:$U$505,0)),"")</f>
        <v/>
      </c>
      <c r="E152" s="36">
        <f>IFERROR(INDEX('Fund Research'!$G$6:$G$505,MATCH(147,'Fund Research'!$U$6:$U$505,0)),"")</f>
        <v/>
      </c>
      <c r="F152" s="36">
        <f>IFERROR(INDEX('Fund Research'!$H$6:$H$505,MATCH(147,'Fund Research'!$U$6:$U$505,0)),"")</f>
        <v/>
      </c>
      <c r="G152" s="36">
        <f>IFERROR(INDEX('Fund Research'!$I$6:$I$505,MATCH(147,'Fund Research'!$U$6:$U$505,0)),"")</f>
        <v/>
      </c>
      <c r="H152" s="37">
        <f>IFERROR(INDEX('Fund Research'!$J$6:$J$505,MATCH(147,'Fund Research'!$U$6:$U$505,0)),"")</f>
        <v/>
      </c>
      <c r="I152" s="38">
        <f>IFERROR(INDEX('Fund Research'!$L$6:$L$505,MATCH(147,'Fund Research'!$U$6:$U$505,0)),"")</f>
        <v/>
      </c>
      <c r="J152" s="37">
        <f>IFERROR(INDEX('Fund Research'!$N$6:$N$505,MATCH(147,'Fund Research'!$U$6:$U$505,0)),"")</f>
        <v/>
      </c>
      <c r="K152" s="37">
        <f>IFERROR(INDEX('Fund Research'!$P$6:$P$505,MATCH(147,'Fund Research'!$U$6:$U$505,0)),"")</f>
        <v/>
      </c>
      <c r="L152" s="35">
        <f>IFERROR(INDEX('Fund Research'!$S$6:$S$505,MATCH(147,'Fund Research'!$U$6:$U$505,0)),"")</f>
        <v/>
      </c>
      <c r="M152" s="35">
        <f>IFERROR(INDEX('Fund Research'!$T$6:$T$505,MATCH(147,'Fund Research'!$U$6:$U$505,0)),"")</f>
        <v/>
      </c>
    </row>
    <row r="153" ht="15" customHeight="1">
      <c r="A153" s="34">
        <f>IFERROR(IF(INDEX('Fund Research'!$B$6:$B$505,MATCH(148,'Fund Research'!$U$6:$U$505,0))="","",148),"")</f>
        <v/>
      </c>
      <c r="B153" s="35">
        <f>IFERROR(INDEX('Fund Research'!$A$6:$A$505,MATCH(148,'Fund Research'!$U$6:$U$505,0)),"")</f>
        <v/>
      </c>
      <c r="C153" s="35">
        <f>IFERROR(INDEX('Fund Research'!$B$6:$B$505,MATCH(148,'Fund Research'!$U$6:$U$505,0)),"")</f>
        <v/>
      </c>
      <c r="D153" s="35">
        <f>IFERROR(INDEX('Fund Research'!$C$6:$C$505,MATCH(148,'Fund Research'!$U$6:$U$505,0)),"")</f>
        <v/>
      </c>
      <c r="E153" s="36">
        <f>IFERROR(INDEX('Fund Research'!$G$6:$G$505,MATCH(148,'Fund Research'!$U$6:$U$505,0)),"")</f>
        <v/>
      </c>
      <c r="F153" s="36">
        <f>IFERROR(INDEX('Fund Research'!$H$6:$H$505,MATCH(148,'Fund Research'!$U$6:$U$505,0)),"")</f>
        <v/>
      </c>
      <c r="G153" s="36">
        <f>IFERROR(INDEX('Fund Research'!$I$6:$I$505,MATCH(148,'Fund Research'!$U$6:$U$505,0)),"")</f>
        <v/>
      </c>
      <c r="H153" s="37">
        <f>IFERROR(INDEX('Fund Research'!$J$6:$J$505,MATCH(148,'Fund Research'!$U$6:$U$505,0)),"")</f>
        <v/>
      </c>
      <c r="I153" s="38">
        <f>IFERROR(INDEX('Fund Research'!$L$6:$L$505,MATCH(148,'Fund Research'!$U$6:$U$505,0)),"")</f>
        <v/>
      </c>
      <c r="J153" s="37">
        <f>IFERROR(INDEX('Fund Research'!$N$6:$N$505,MATCH(148,'Fund Research'!$U$6:$U$505,0)),"")</f>
        <v/>
      </c>
      <c r="K153" s="37">
        <f>IFERROR(INDEX('Fund Research'!$P$6:$P$505,MATCH(148,'Fund Research'!$U$6:$U$505,0)),"")</f>
        <v/>
      </c>
      <c r="L153" s="35">
        <f>IFERROR(INDEX('Fund Research'!$S$6:$S$505,MATCH(148,'Fund Research'!$U$6:$U$505,0)),"")</f>
        <v/>
      </c>
      <c r="M153" s="35">
        <f>IFERROR(INDEX('Fund Research'!$T$6:$T$505,MATCH(148,'Fund Research'!$U$6:$U$505,0)),"")</f>
        <v/>
      </c>
    </row>
    <row r="154" ht="15" customHeight="1">
      <c r="A154" s="34">
        <f>IFERROR(IF(INDEX('Fund Research'!$B$6:$B$505,MATCH(149,'Fund Research'!$U$6:$U$505,0))="","",149),"")</f>
        <v/>
      </c>
      <c r="B154" s="35">
        <f>IFERROR(INDEX('Fund Research'!$A$6:$A$505,MATCH(149,'Fund Research'!$U$6:$U$505,0)),"")</f>
        <v/>
      </c>
      <c r="C154" s="35">
        <f>IFERROR(INDEX('Fund Research'!$B$6:$B$505,MATCH(149,'Fund Research'!$U$6:$U$505,0)),"")</f>
        <v/>
      </c>
      <c r="D154" s="35">
        <f>IFERROR(INDEX('Fund Research'!$C$6:$C$505,MATCH(149,'Fund Research'!$U$6:$U$505,0)),"")</f>
        <v/>
      </c>
      <c r="E154" s="36">
        <f>IFERROR(INDEX('Fund Research'!$G$6:$G$505,MATCH(149,'Fund Research'!$U$6:$U$505,0)),"")</f>
        <v/>
      </c>
      <c r="F154" s="36">
        <f>IFERROR(INDEX('Fund Research'!$H$6:$H$505,MATCH(149,'Fund Research'!$U$6:$U$505,0)),"")</f>
        <v/>
      </c>
      <c r="G154" s="36">
        <f>IFERROR(INDEX('Fund Research'!$I$6:$I$505,MATCH(149,'Fund Research'!$U$6:$U$505,0)),"")</f>
        <v/>
      </c>
      <c r="H154" s="37">
        <f>IFERROR(INDEX('Fund Research'!$J$6:$J$505,MATCH(149,'Fund Research'!$U$6:$U$505,0)),"")</f>
        <v/>
      </c>
      <c r="I154" s="38">
        <f>IFERROR(INDEX('Fund Research'!$L$6:$L$505,MATCH(149,'Fund Research'!$U$6:$U$505,0)),"")</f>
        <v/>
      </c>
      <c r="J154" s="37">
        <f>IFERROR(INDEX('Fund Research'!$N$6:$N$505,MATCH(149,'Fund Research'!$U$6:$U$505,0)),"")</f>
        <v/>
      </c>
      <c r="K154" s="37">
        <f>IFERROR(INDEX('Fund Research'!$P$6:$P$505,MATCH(149,'Fund Research'!$U$6:$U$505,0)),"")</f>
        <v/>
      </c>
      <c r="L154" s="35">
        <f>IFERROR(INDEX('Fund Research'!$S$6:$S$505,MATCH(149,'Fund Research'!$U$6:$U$505,0)),"")</f>
        <v/>
      </c>
      <c r="M154" s="35">
        <f>IFERROR(INDEX('Fund Research'!$T$6:$T$505,MATCH(149,'Fund Research'!$U$6:$U$505,0)),"")</f>
        <v/>
      </c>
    </row>
    <row r="155" ht="15" customHeight="1">
      <c r="A155" s="34">
        <f>IFERROR(IF(INDEX('Fund Research'!$B$6:$B$505,MATCH(150,'Fund Research'!$U$6:$U$505,0))="","",150),"")</f>
        <v/>
      </c>
      <c r="B155" s="35">
        <f>IFERROR(INDEX('Fund Research'!$A$6:$A$505,MATCH(150,'Fund Research'!$U$6:$U$505,0)),"")</f>
        <v/>
      </c>
      <c r="C155" s="35">
        <f>IFERROR(INDEX('Fund Research'!$B$6:$B$505,MATCH(150,'Fund Research'!$U$6:$U$505,0)),"")</f>
        <v/>
      </c>
      <c r="D155" s="35">
        <f>IFERROR(INDEX('Fund Research'!$C$6:$C$505,MATCH(150,'Fund Research'!$U$6:$U$505,0)),"")</f>
        <v/>
      </c>
      <c r="E155" s="36">
        <f>IFERROR(INDEX('Fund Research'!$G$6:$G$505,MATCH(150,'Fund Research'!$U$6:$U$505,0)),"")</f>
        <v/>
      </c>
      <c r="F155" s="36">
        <f>IFERROR(INDEX('Fund Research'!$H$6:$H$505,MATCH(150,'Fund Research'!$U$6:$U$505,0)),"")</f>
        <v/>
      </c>
      <c r="G155" s="36">
        <f>IFERROR(INDEX('Fund Research'!$I$6:$I$505,MATCH(150,'Fund Research'!$U$6:$U$505,0)),"")</f>
        <v/>
      </c>
      <c r="H155" s="37">
        <f>IFERROR(INDEX('Fund Research'!$J$6:$J$505,MATCH(150,'Fund Research'!$U$6:$U$505,0)),"")</f>
        <v/>
      </c>
      <c r="I155" s="38">
        <f>IFERROR(INDEX('Fund Research'!$L$6:$L$505,MATCH(150,'Fund Research'!$U$6:$U$505,0)),"")</f>
        <v/>
      </c>
      <c r="J155" s="37">
        <f>IFERROR(INDEX('Fund Research'!$N$6:$N$505,MATCH(150,'Fund Research'!$U$6:$U$505,0)),"")</f>
        <v/>
      </c>
      <c r="K155" s="37">
        <f>IFERROR(INDEX('Fund Research'!$P$6:$P$505,MATCH(150,'Fund Research'!$U$6:$U$505,0)),"")</f>
        <v/>
      </c>
      <c r="L155" s="35">
        <f>IFERROR(INDEX('Fund Research'!$S$6:$S$505,MATCH(150,'Fund Research'!$U$6:$U$505,0)),"")</f>
        <v/>
      </c>
      <c r="M155" s="35">
        <f>IFERROR(INDEX('Fund Research'!$T$6:$T$505,MATCH(150,'Fund Research'!$U$6:$U$505,0)),"")</f>
        <v/>
      </c>
    </row>
    <row r="156" ht="15" customHeight="1">
      <c r="A156" s="34">
        <f>IFERROR(IF(INDEX('Fund Research'!$B$6:$B$505,MATCH(151,'Fund Research'!$U$6:$U$505,0))="","",151),"")</f>
        <v/>
      </c>
      <c r="B156" s="35">
        <f>IFERROR(INDEX('Fund Research'!$A$6:$A$505,MATCH(151,'Fund Research'!$U$6:$U$505,0)),"")</f>
        <v/>
      </c>
      <c r="C156" s="35">
        <f>IFERROR(INDEX('Fund Research'!$B$6:$B$505,MATCH(151,'Fund Research'!$U$6:$U$505,0)),"")</f>
        <v/>
      </c>
      <c r="D156" s="35">
        <f>IFERROR(INDEX('Fund Research'!$C$6:$C$505,MATCH(151,'Fund Research'!$U$6:$U$505,0)),"")</f>
        <v/>
      </c>
      <c r="E156" s="36">
        <f>IFERROR(INDEX('Fund Research'!$G$6:$G$505,MATCH(151,'Fund Research'!$U$6:$U$505,0)),"")</f>
        <v/>
      </c>
      <c r="F156" s="36">
        <f>IFERROR(INDEX('Fund Research'!$H$6:$H$505,MATCH(151,'Fund Research'!$U$6:$U$505,0)),"")</f>
        <v/>
      </c>
      <c r="G156" s="36">
        <f>IFERROR(INDEX('Fund Research'!$I$6:$I$505,MATCH(151,'Fund Research'!$U$6:$U$505,0)),"")</f>
        <v/>
      </c>
      <c r="H156" s="37">
        <f>IFERROR(INDEX('Fund Research'!$J$6:$J$505,MATCH(151,'Fund Research'!$U$6:$U$505,0)),"")</f>
        <v/>
      </c>
      <c r="I156" s="38">
        <f>IFERROR(INDEX('Fund Research'!$L$6:$L$505,MATCH(151,'Fund Research'!$U$6:$U$505,0)),"")</f>
        <v/>
      </c>
      <c r="J156" s="37">
        <f>IFERROR(INDEX('Fund Research'!$N$6:$N$505,MATCH(151,'Fund Research'!$U$6:$U$505,0)),"")</f>
        <v/>
      </c>
      <c r="K156" s="37">
        <f>IFERROR(INDEX('Fund Research'!$P$6:$P$505,MATCH(151,'Fund Research'!$U$6:$U$505,0)),"")</f>
        <v/>
      </c>
      <c r="L156" s="35">
        <f>IFERROR(INDEX('Fund Research'!$S$6:$S$505,MATCH(151,'Fund Research'!$U$6:$U$505,0)),"")</f>
        <v/>
      </c>
      <c r="M156" s="35">
        <f>IFERROR(INDEX('Fund Research'!$T$6:$T$505,MATCH(151,'Fund Research'!$U$6:$U$505,0)),"")</f>
        <v/>
      </c>
    </row>
    <row r="157" ht="15" customHeight="1">
      <c r="A157" s="34">
        <f>IFERROR(IF(INDEX('Fund Research'!$B$6:$B$505,MATCH(152,'Fund Research'!$U$6:$U$505,0))="","",152),"")</f>
        <v/>
      </c>
      <c r="B157" s="35">
        <f>IFERROR(INDEX('Fund Research'!$A$6:$A$505,MATCH(152,'Fund Research'!$U$6:$U$505,0)),"")</f>
        <v/>
      </c>
      <c r="C157" s="35">
        <f>IFERROR(INDEX('Fund Research'!$B$6:$B$505,MATCH(152,'Fund Research'!$U$6:$U$505,0)),"")</f>
        <v/>
      </c>
      <c r="D157" s="35">
        <f>IFERROR(INDEX('Fund Research'!$C$6:$C$505,MATCH(152,'Fund Research'!$U$6:$U$505,0)),"")</f>
        <v/>
      </c>
      <c r="E157" s="36">
        <f>IFERROR(INDEX('Fund Research'!$G$6:$G$505,MATCH(152,'Fund Research'!$U$6:$U$505,0)),"")</f>
        <v/>
      </c>
      <c r="F157" s="36">
        <f>IFERROR(INDEX('Fund Research'!$H$6:$H$505,MATCH(152,'Fund Research'!$U$6:$U$505,0)),"")</f>
        <v/>
      </c>
      <c r="G157" s="36">
        <f>IFERROR(INDEX('Fund Research'!$I$6:$I$505,MATCH(152,'Fund Research'!$U$6:$U$505,0)),"")</f>
        <v/>
      </c>
      <c r="H157" s="37">
        <f>IFERROR(INDEX('Fund Research'!$J$6:$J$505,MATCH(152,'Fund Research'!$U$6:$U$505,0)),"")</f>
        <v/>
      </c>
      <c r="I157" s="38">
        <f>IFERROR(INDEX('Fund Research'!$L$6:$L$505,MATCH(152,'Fund Research'!$U$6:$U$505,0)),"")</f>
        <v/>
      </c>
      <c r="J157" s="37">
        <f>IFERROR(INDEX('Fund Research'!$N$6:$N$505,MATCH(152,'Fund Research'!$U$6:$U$505,0)),"")</f>
        <v/>
      </c>
      <c r="K157" s="37">
        <f>IFERROR(INDEX('Fund Research'!$P$6:$P$505,MATCH(152,'Fund Research'!$U$6:$U$505,0)),"")</f>
        <v/>
      </c>
      <c r="L157" s="35">
        <f>IFERROR(INDEX('Fund Research'!$S$6:$S$505,MATCH(152,'Fund Research'!$U$6:$U$505,0)),"")</f>
        <v/>
      </c>
      <c r="M157" s="35">
        <f>IFERROR(INDEX('Fund Research'!$T$6:$T$505,MATCH(152,'Fund Research'!$U$6:$U$505,0)),"")</f>
        <v/>
      </c>
    </row>
    <row r="158" ht="15" customHeight="1">
      <c r="A158" s="34">
        <f>IFERROR(IF(INDEX('Fund Research'!$B$6:$B$505,MATCH(153,'Fund Research'!$U$6:$U$505,0))="","",153),"")</f>
        <v/>
      </c>
      <c r="B158" s="35">
        <f>IFERROR(INDEX('Fund Research'!$A$6:$A$505,MATCH(153,'Fund Research'!$U$6:$U$505,0)),"")</f>
        <v/>
      </c>
      <c r="C158" s="35">
        <f>IFERROR(INDEX('Fund Research'!$B$6:$B$505,MATCH(153,'Fund Research'!$U$6:$U$505,0)),"")</f>
        <v/>
      </c>
      <c r="D158" s="35">
        <f>IFERROR(INDEX('Fund Research'!$C$6:$C$505,MATCH(153,'Fund Research'!$U$6:$U$505,0)),"")</f>
        <v/>
      </c>
      <c r="E158" s="36">
        <f>IFERROR(INDEX('Fund Research'!$G$6:$G$505,MATCH(153,'Fund Research'!$U$6:$U$505,0)),"")</f>
        <v/>
      </c>
      <c r="F158" s="36">
        <f>IFERROR(INDEX('Fund Research'!$H$6:$H$505,MATCH(153,'Fund Research'!$U$6:$U$505,0)),"")</f>
        <v/>
      </c>
      <c r="G158" s="36">
        <f>IFERROR(INDEX('Fund Research'!$I$6:$I$505,MATCH(153,'Fund Research'!$U$6:$U$505,0)),"")</f>
        <v/>
      </c>
      <c r="H158" s="37">
        <f>IFERROR(INDEX('Fund Research'!$J$6:$J$505,MATCH(153,'Fund Research'!$U$6:$U$505,0)),"")</f>
        <v/>
      </c>
      <c r="I158" s="38">
        <f>IFERROR(INDEX('Fund Research'!$L$6:$L$505,MATCH(153,'Fund Research'!$U$6:$U$505,0)),"")</f>
        <v/>
      </c>
      <c r="J158" s="37">
        <f>IFERROR(INDEX('Fund Research'!$N$6:$N$505,MATCH(153,'Fund Research'!$U$6:$U$505,0)),"")</f>
        <v/>
      </c>
      <c r="K158" s="37">
        <f>IFERROR(INDEX('Fund Research'!$P$6:$P$505,MATCH(153,'Fund Research'!$U$6:$U$505,0)),"")</f>
        <v/>
      </c>
      <c r="L158" s="35">
        <f>IFERROR(INDEX('Fund Research'!$S$6:$S$505,MATCH(153,'Fund Research'!$U$6:$U$505,0)),"")</f>
        <v/>
      </c>
      <c r="M158" s="35">
        <f>IFERROR(INDEX('Fund Research'!$T$6:$T$505,MATCH(153,'Fund Research'!$U$6:$U$505,0)),"")</f>
        <v/>
      </c>
    </row>
    <row r="159" ht="15" customHeight="1">
      <c r="A159" s="34">
        <f>IFERROR(IF(INDEX('Fund Research'!$B$6:$B$505,MATCH(154,'Fund Research'!$U$6:$U$505,0))="","",154),"")</f>
        <v/>
      </c>
      <c r="B159" s="35">
        <f>IFERROR(INDEX('Fund Research'!$A$6:$A$505,MATCH(154,'Fund Research'!$U$6:$U$505,0)),"")</f>
        <v/>
      </c>
      <c r="C159" s="35">
        <f>IFERROR(INDEX('Fund Research'!$B$6:$B$505,MATCH(154,'Fund Research'!$U$6:$U$505,0)),"")</f>
        <v/>
      </c>
      <c r="D159" s="35">
        <f>IFERROR(INDEX('Fund Research'!$C$6:$C$505,MATCH(154,'Fund Research'!$U$6:$U$505,0)),"")</f>
        <v/>
      </c>
      <c r="E159" s="36">
        <f>IFERROR(INDEX('Fund Research'!$G$6:$G$505,MATCH(154,'Fund Research'!$U$6:$U$505,0)),"")</f>
        <v/>
      </c>
      <c r="F159" s="36">
        <f>IFERROR(INDEX('Fund Research'!$H$6:$H$505,MATCH(154,'Fund Research'!$U$6:$U$505,0)),"")</f>
        <v/>
      </c>
      <c r="G159" s="36">
        <f>IFERROR(INDEX('Fund Research'!$I$6:$I$505,MATCH(154,'Fund Research'!$U$6:$U$505,0)),"")</f>
        <v/>
      </c>
      <c r="H159" s="37">
        <f>IFERROR(INDEX('Fund Research'!$J$6:$J$505,MATCH(154,'Fund Research'!$U$6:$U$505,0)),"")</f>
        <v/>
      </c>
      <c r="I159" s="38">
        <f>IFERROR(INDEX('Fund Research'!$L$6:$L$505,MATCH(154,'Fund Research'!$U$6:$U$505,0)),"")</f>
        <v/>
      </c>
      <c r="J159" s="37">
        <f>IFERROR(INDEX('Fund Research'!$N$6:$N$505,MATCH(154,'Fund Research'!$U$6:$U$505,0)),"")</f>
        <v/>
      </c>
      <c r="K159" s="37">
        <f>IFERROR(INDEX('Fund Research'!$P$6:$P$505,MATCH(154,'Fund Research'!$U$6:$U$505,0)),"")</f>
        <v/>
      </c>
      <c r="L159" s="35">
        <f>IFERROR(INDEX('Fund Research'!$S$6:$S$505,MATCH(154,'Fund Research'!$U$6:$U$505,0)),"")</f>
        <v/>
      </c>
      <c r="M159" s="35">
        <f>IFERROR(INDEX('Fund Research'!$T$6:$T$505,MATCH(154,'Fund Research'!$U$6:$U$505,0)),"")</f>
        <v/>
      </c>
    </row>
    <row r="160" ht="15" customHeight="1">
      <c r="A160" s="34">
        <f>IFERROR(IF(INDEX('Fund Research'!$B$6:$B$505,MATCH(155,'Fund Research'!$U$6:$U$505,0))="","",155),"")</f>
        <v/>
      </c>
      <c r="B160" s="35">
        <f>IFERROR(INDEX('Fund Research'!$A$6:$A$505,MATCH(155,'Fund Research'!$U$6:$U$505,0)),"")</f>
        <v/>
      </c>
      <c r="C160" s="35">
        <f>IFERROR(INDEX('Fund Research'!$B$6:$B$505,MATCH(155,'Fund Research'!$U$6:$U$505,0)),"")</f>
        <v/>
      </c>
      <c r="D160" s="35">
        <f>IFERROR(INDEX('Fund Research'!$C$6:$C$505,MATCH(155,'Fund Research'!$U$6:$U$505,0)),"")</f>
        <v/>
      </c>
      <c r="E160" s="36">
        <f>IFERROR(INDEX('Fund Research'!$G$6:$G$505,MATCH(155,'Fund Research'!$U$6:$U$505,0)),"")</f>
        <v/>
      </c>
      <c r="F160" s="36">
        <f>IFERROR(INDEX('Fund Research'!$H$6:$H$505,MATCH(155,'Fund Research'!$U$6:$U$505,0)),"")</f>
        <v/>
      </c>
      <c r="G160" s="36">
        <f>IFERROR(INDEX('Fund Research'!$I$6:$I$505,MATCH(155,'Fund Research'!$U$6:$U$505,0)),"")</f>
        <v/>
      </c>
      <c r="H160" s="37">
        <f>IFERROR(INDEX('Fund Research'!$J$6:$J$505,MATCH(155,'Fund Research'!$U$6:$U$505,0)),"")</f>
        <v/>
      </c>
      <c r="I160" s="38">
        <f>IFERROR(INDEX('Fund Research'!$L$6:$L$505,MATCH(155,'Fund Research'!$U$6:$U$505,0)),"")</f>
        <v/>
      </c>
      <c r="J160" s="37">
        <f>IFERROR(INDEX('Fund Research'!$N$6:$N$505,MATCH(155,'Fund Research'!$U$6:$U$505,0)),"")</f>
        <v/>
      </c>
      <c r="K160" s="37">
        <f>IFERROR(INDEX('Fund Research'!$P$6:$P$505,MATCH(155,'Fund Research'!$U$6:$U$505,0)),"")</f>
        <v/>
      </c>
      <c r="L160" s="35">
        <f>IFERROR(INDEX('Fund Research'!$S$6:$S$505,MATCH(155,'Fund Research'!$U$6:$U$505,0)),"")</f>
        <v/>
      </c>
      <c r="M160" s="35">
        <f>IFERROR(INDEX('Fund Research'!$T$6:$T$505,MATCH(155,'Fund Research'!$U$6:$U$505,0)),"")</f>
        <v/>
      </c>
    </row>
    <row r="161" ht="15" customHeight="1">
      <c r="A161" s="34">
        <f>IFERROR(IF(INDEX('Fund Research'!$B$6:$B$505,MATCH(156,'Fund Research'!$U$6:$U$505,0))="","",156),"")</f>
        <v/>
      </c>
      <c r="B161" s="35">
        <f>IFERROR(INDEX('Fund Research'!$A$6:$A$505,MATCH(156,'Fund Research'!$U$6:$U$505,0)),"")</f>
        <v/>
      </c>
      <c r="C161" s="35">
        <f>IFERROR(INDEX('Fund Research'!$B$6:$B$505,MATCH(156,'Fund Research'!$U$6:$U$505,0)),"")</f>
        <v/>
      </c>
      <c r="D161" s="35">
        <f>IFERROR(INDEX('Fund Research'!$C$6:$C$505,MATCH(156,'Fund Research'!$U$6:$U$505,0)),"")</f>
        <v/>
      </c>
      <c r="E161" s="36">
        <f>IFERROR(INDEX('Fund Research'!$G$6:$G$505,MATCH(156,'Fund Research'!$U$6:$U$505,0)),"")</f>
        <v/>
      </c>
      <c r="F161" s="36">
        <f>IFERROR(INDEX('Fund Research'!$H$6:$H$505,MATCH(156,'Fund Research'!$U$6:$U$505,0)),"")</f>
        <v/>
      </c>
      <c r="G161" s="36">
        <f>IFERROR(INDEX('Fund Research'!$I$6:$I$505,MATCH(156,'Fund Research'!$U$6:$U$505,0)),"")</f>
        <v/>
      </c>
      <c r="H161" s="37">
        <f>IFERROR(INDEX('Fund Research'!$J$6:$J$505,MATCH(156,'Fund Research'!$U$6:$U$505,0)),"")</f>
        <v/>
      </c>
      <c r="I161" s="38">
        <f>IFERROR(INDEX('Fund Research'!$L$6:$L$505,MATCH(156,'Fund Research'!$U$6:$U$505,0)),"")</f>
        <v/>
      </c>
      <c r="J161" s="37">
        <f>IFERROR(INDEX('Fund Research'!$N$6:$N$505,MATCH(156,'Fund Research'!$U$6:$U$505,0)),"")</f>
        <v/>
      </c>
      <c r="K161" s="37">
        <f>IFERROR(INDEX('Fund Research'!$P$6:$P$505,MATCH(156,'Fund Research'!$U$6:$U$505,0)),"")</f>
        <v/>
      </c>
      <c r="L161" s="35">
        <f>IFERROR(INDEX('Fund Research'!$S$6:$S$505,MATCH(156,'Fund Research'!$U$6:$U$505,0)),"")</f>
        <v/>
      </c>
      <c r="M161" s="35">
        <f>IFERROR(INDEX('Fund Research'!$T$6:$T$505,MATCH(156,'Fund Research'!$U$6:$U$505,0)),"")</f>
        <v/>
      </c>
    </row>
    <row r="162" ht="15" customHeight="1">
      <c r="A162" s="34">
        <f>IFERROR(IF(INDEX('Fund Research'!$B$6:$B$505,MATCH(157,'Fund Research'!$U$6:$U$505,0))="","",157),"")</f>
        <v/>
      </c>
      <c r="B162" s="35">
        <f>IFERROR(INDEX('Fund Research'!$A$6:$A$505,MATCH(157,'Fund Research'!$U$6:$U$505,0)),"")</f>
        <v/>
      </c>
      <c r="C162" s="35">
        <f>IFERROR(INDEX('Fund Research'!$B$6:$B$505,MATCH(157,'Fund Research'!$U$6:$U$505,0)),"")</f>
        <v/>
      </c>
      <c r="D162" s="35">
        <f>IFERROR(INDEX('Fund Research'!$C$6:$C$505,MATCH(157,'Fund Research'!$U$6:$U$505,0)),"")</f>
        <v/>
      </c>
      <c r="E162" s="36">
        <f>IFERROR(INDEX('Fund Research'!$G$6:$G$505,MATCH(157,'Fund Research'!$U$6:$U$505,0)),"")</f>
        <v/>
      </c>
      <c r="F162" s="36">
        <f>IFERROR(INDEX('Fund Research'!$H$6:$H$505,MATCH(157,'Fund Research'!$U$6:$U$505,0)),"")</f>
        <v/>
      </c>
      <c r="G162" s="36">
        <f>IFERROR(INDEX('Fund Research'!$I$6:$I$505,MATCH(157,'Fund Research'!$U$6:$U$505,0)),"")</f>
        <v/>
      </c>
      <c r="H162" s="37">
        <f>IFERROR(INDEX('Fund Research'!$J$6:$J$505,MATCH(157,'Fund Research'!$U$6:$U$505,0)),"")</f>
        <v/>
      </c>
      <c r="I162" s="38">
        <f>IFERROR(INDEX('Fund Research'!$L$6:$L$505,MATCH(157,'Fund Research'!$U$6:$U$505,0)),"")</f>
        <v/>
      </c>
      <c r="J162" s="37">
        <f>IFERROR(INDEX('Fund Research'!$N$6:$N$505,MATCH(157,'Fund Research'!$U$6:$U$505,0)),"")</f>
        <v/>
      </c>
      <c r="K162" s="37">
        <f>IFERROR(INDEX('Fund Research'!$P$6:$P$505,MATCH(157,'Fund Research'!$U$6:$U$505,0)),"")</f>
        <v/>
      </c>
      <c r="L162" s="35">
        <f>IFERROR(INDEX('Fund Research'!$S$6:$S$505,MATCH(157,'Fund Research'!$U$6:$U$505,0)),"")</f>
        <v/>
      </c>
      <c r="M162" s="35">
        <f>IFERROR(INDEX('Fund Research'!$T$6:$T$505,MATCH(157,'Fund Research'!$U$6:$U$505,0)),"")</f>
        <v/>
      </c>
    </row>
    <row r="163" ht="15" customHeight="1">
      <c r="A163" s="34">
        <f>IFERROR(IF(INDEX('Fund Research'!$B$6:$B$505,MATCH(158,'Fund Research'!$U$6:$U$505,0))="","",158),"")</f>
        <v/>
      </c>
      <c r="B163" s="35">
        <f>IFERROR(INDEX('Fund Research'!$A$6:$A$505,MATCH(158,'Fund Research'!$U$6:$U$505,0)),"")</f>
        <v/>
      </c>
      <c r="C163" s="35">
        <f>IFERROR(INDEX('Fund Research'!$B$6:$B$505,MATCH(158,'Fund Research'!$U$6:$U$505,0)),"")</f>
        <v/>
      </c>
      <c r="D163" s="35">
        <f>IFERROR(INDEX('Fund Research'!$C$6:$C$505,MATCH(158,'Fund Research'!$U$6:$U$505,0)),"")</f>
        <v/>
      </c>
      <c r="E163" s="36">
        <f>IFERROR(INDEX('Fund Research'!$G$6:$G$505,MATCH(158,'Fund Research'!$U$6:$U$505,0)),"")</f>
        <v/>
      </c>
      <c r="F163" s="36">
        <f>IFERROR(INDEX('Fund Research'!$H$6:$H$505,MATCH(158,'Fund Research'!$U$6:$U$505,0)),"")</f>
        <v/>
      </c>
      <c r="G163" s="36">
        <f>IFERROR(INDEX('Fund Research'!$I$6:$I$505,MATCH(158,'Fund Research'!$U$6:$U$505,0)),"")</f>
        <v/>
      </c>
      <c r="H163" s="37">
        <f>IFERROR(INDEX('Fund Research'!$J$6:$J$505,MATCH(158,'Fund Research'!$U$6:$U$505,0)),"")</f>
        <v/>
      </c>
      <c r="I163" s="38">
        <f>IFERROR(INDEX('Fund Research'!$L$6:$L$505,MATCH(158,'Fund Research'!$U$6:$U$505,0)),"")</f>
        <v/>
      </c>
      <c r="J163" s="37">
        <f>IFERROR(INDEX('Fund Research'!$N$6:$N$505,MATCH(158,'Fund Research'!$U$6:$U$505,0)),"")</f>
        <v/>
      </c>
      <c r="K163" s="37">
        <f>IFERROR(INDEX('Fund Research'!$P$6:$P$505,MATCH(158,'Fund Research'!$U$6:$U$505,0)),"")</f>
        <v/>
      </c>
      <c r="L163" s="35">
        <f>IFERROR(INDEX('Fund Research'!$S$6:$S$505,MATCH(158,'Fund Research'!$U$6:$U$505,0)),"")</f>
        <v/>
      </c>
      <c r="M163" s="35">
        <f>IFERROR(INDEX('Fund Research'!$T$6:$T$505,MATCH(158,'Fund Research'!$U$6:$U$505,0)),"")</f>
        <v/>
      </c>
    </row>
    <row r="164" ht="15" customHeight="1">
      <c r="A164" s="34">
        <f>IFERROR(IF(INDEX('Fund Research'!$B$6:$B$505,MATCH(159,'Fund Research'!$U$6:$U$505,0))="","",159),"")</f>
        <v/>
      </c>
      <c r="B164" s="35">
        <f>IFERROR(INDEX('Fund Research'!$A$6:$A$505,MATCH(159,'Fund Research'!$U$6:$U$505,0)),"")</f>
        <v/>
      </c>
      <c r="C164" s="35">
        <f>IFERROR(INDEX('Fund Research'!$B$6:$B$505,MATCH(159,'Fund Research'!$U$6:$U$505,0)),"")</f>
        <v/>
      </c>
      <c r="D164" s="35">
        <f>IFERROR(INDEX('Fund Research'!$C$6:$C$505,MATCH(159,'Fund Research'!$U$6:$U$505,0)),"")</f>
        <v/>
      </c>
      <c r="E164" s="36">
        <f>IFERROR(INDEX('Fund Research'!$G$6:$G$505,MATCH(159,'Fund Research'!$U$6:$U$505,0)),"")</f>
        <v/>
      </c>
      <c r="F164" s="36">
        <f>IFERROR(INDEX('Fund Research'!$H$6:$H$505,MATCH(159,'Fund Research'!$U$6:$U$505,0)),"")</f>
        <v/>
      </c>
      <c r="G164" s="36">
        <f>IFERROR(INDEX('Fund Research'!$I$6:$I$505,MATCH(159,'Fund Research'!$U$6:$U$505,0)),"")</f>
        <v/>
      </c>
      <c r="H164" s="37">
        <f>IFERROR(INDEX('Fund Research'!$J$6:$J$505,MATCH(159,'Fund Research'!$U$6:$U$505,0)),"")</f>
        <v/>
      </c>
      <c r="I164" s="38">
        <f>IFERROR(INDEX('Fund Research'!$L$6:$L$505,MATCH(159,'Fund Research'!$U$6:$U$505,0)),"")</f>
        <v/>
      </c>
      <c r="J164" s="37">
        <f>IFERROR(INDEX('Fund Research'!$N$6:$N$505,MATCH(159,'Fund Research'!$U$6:$U$505,0)),"")</f>
        <v/>
      </c>
      <c r="K164" s="37">
        <f>IFERROR(INDEX('Fund Research'!$P$6:$P$505,MATCH(159,'Fund Research'!$U$6:$U$505,0)),"")</f>
        <v/>
      </c>
      <c r="L164" s="35">
        <f>IFERROR(INDEX('Fund Research'!$S$6:$S$505,MATCH(159,'Fund Research'!$U$6:$U$505,0)),"")</f>
        <v/>
      </c>
      <c r="M164" s="35">
        <f>IFERROR(INDEX('Fund Research'!$T$6:$T$505,MATCH(159,'Fund Research'!$U$6:$U$505,0)),"")</f>
        <v/>
      </c>
    </row>
    <row r="165" ht="15" customHeight="1">
      <c r="A165" s="34">
        <f>IFERROR(IF(INDEX('Fund Research'!$B$6:$B$505,MATCH(160,'Fund Research'!$U$6:$U$505,0))="","",160),"")</f>
        <v/>
      </c>
      <c r="B165" s="35">
        <f>IFERROR(INDEX('Fund Research'!$A$6:$A$505,MATCH(160,'Fund Research'!$U$6:$U$505,0)),"")</f>
        <v/>
      </c>
      <c r="C165" s="35">
        <f>IFERROR(INDEX('Fund Research'!$B$6:$B$505,MATCH(160,'Fund Research'!$U$6:$U$505,0)),"")</f>
        <v/>
      </c>
      <c r="D165" s="35">
        <f>IFERROR(INDEX('Fund Research'!$C$6:$C$505,MATCH(160,'Fund Research'!$U$6:$U$505,0)),"")</f>
        <v/>
      </c>
      <c r="E165" s="36">
        <f>IFERROR(INDEX('Fund Research'!$G$6:$G$505,MATCH(160,'Fund Research'!$U$6:$U$505,0)),"")</f>
        <v/>
      </c>
      <c r="F165" s="36">
        <f>IFERROR(INDEX('Fund Research'!$H$6:$H$505,MATCH(160,'Fund Research'!$U$6:$U$505,0)),"")</f>
        <v/>
      </c>
      <c r="G165" s="36">
        <f>IFERROR(INDEX('Fund Research'!$I$6:$I$505,MATCH(160,'Fund Research'!$U$6:$U$505,0)),"")</f>
        <v/>
      </c>
      <c r="H165" s="37">
        <f>IFERROR(INDEX('Fund Research'!$J$6:$J$505,MATCH(160,'Fund Research'!$U$6:$U$505,0)),"")</f>
        <v/>
      </c>
      <c r="I165" s="38">
        <f>IFERROR(INDEX('Fund Research'!$L$6:$L$505,MATCH(160,'Fund Research'!$U$6:$U$505,0)),"")</f>
        <v/>
      </c>
      <c r="J165" s="37">
        <f>IFERROR(INDEX('Fund Research'!$N$6:$N$505,MATCH(160,'Fund Research'!$U$6:$U$505,0)),"")</f>
        <v/>
      </c>
      <c r="K165" s="37">
        <f>IFERROR(INDEX('Fund Research'!$P$6:$P$505,MATCH(160,'Fund Research'!$U$6:$U$505,0)),"")</f>
        <v/>
      </c>
      <c r="L165" s="35">
        <f>IFERROR(INDEX('Fund Research'!$S$6:$S$505,MATCH(160,'Fund Research'!$U$6:$U$505,0)),"")</f>
        <v/>
      </c>
      <c r="M165" s="35">
        <f>IFERROR(INDEX('Fund Research'!$T$6:$T$505,MATCH(160,'Fund Research'!$U$6:$U$505,0)),"")</f>
        <v/>
      </c>
    </row>
    <row r="166" ht="15" customHeight="1">
      <c r="A166" s="34">
        <f>IFERROR(IF(INDEX('Fund Research'!$B$6:$B$505,MATCH(161,'Fund Research'!$U$6:$U$505,0))="","",161),"")</f>
        <v/>
      </c>
      <c r="B166" s="35">
        <f>IFERROR(INDEX('Fund Research'!$A$6:$A$505,MATCH(161,'Fund Research'!$U$6:$U$505,0)),"")</f>
        <v/>
      </c>
      <c r="C166" s="35">
        <f>IFERROR(INDEX('Fund Research'!$B$6:$B$505,MATCH(161,'Fund Research'!$U$6:$U$505,0)),"")</f>
        <v/>
      </c>
      <c r="D166" s="35">
        <f>IFERROR(INDEX('Fund Research'!$C$6:$C$505,MATCH(161,'Fund Research'!$U$6:$U$505,0)),"")</f>
        <v/>
      </c>
      <c r="E166" s="36">
        <f>IFERROR(INDEX('Fund Research'!$G$6:$G$505,MATCH(161,'Fund Research'!$U$6:$U$505,0)),"")</f>
        <v/>
      </c>
      <c r="F166" s="36">
        <f>IFERROR(INDEX('Fund Research'!$H$6:$H$505,MATCH(161,'Fund Research'!$U$6:$U$505,0)),"")</f>
        <v/>
      </c>
      <c r="G166" s="36">
        <f>IFERROR(INDEX('Fund Research'!$I$6:$I$505,MATCH(161,'Fund Research'!$U$6:$U$505,0)),"")</f>
        <v/>
      </c>
      <c r="H166" s="37">
        <f>IFERROR(INDEX('Fund Research'!$J$6:$J$505,MATCH(161,'Fund Research'!$U$6:$U$505,0)),"")</f>
        <v/>
      </c>
      <c r="I166" s="38">
        <f>IFERROR(INDEX('Fund Research'!$L$6:$L$505,MATCH(161,'Fund Research'!$U$6:$U$505,0)),"")</f>
        <v/>
      </c>
      <c r="J166" s="37">
        <f>IFERROR(INDEX('Fund Research'!$N$6:$N$505,MATCH(161,'Fund Research'!$U$6:$U$505,0)),"")</f>
        <v/>
      </c>
      <c r="K166" s="37">
        <f>IFERROR(INDEX('Fund Research'!$P$6:$P$505,MATCH(161,'Fund Research'!$U$6:$U$505,0)),"")</f>
        <v/>
      </c>
      <c r="L166" s="35">
        <f>IFERROR(INDEX('Fund Research'!$S$6:$S$505,MATCH(161,'Fund Research'!$U$6:$U$505,0)),"")</f>
        <v/>
      </c>
      <c r="M166" s="35">
        <f>IFERROR(INDEX('Fund Research'!$T$6:$T$505,MATCH(161,'Fund Research'!$U$6:$U$505,0)),"")</f>
        <v/>
      </c>
    </row>
    <row r="167" ht="15" customHeight="1">
      <c r="A167" s="34">
        <f>IFERROR(IF(INDEX('Fund Research'!$B$6:$B$505,MATCH(162,'Fund Research'!$U$6:$U$505,0))="","",162),"")</f>
        <v/>
      </c>
      <c r="B167" s="35">
        <f>IFERROR(INDEX('Fund Research'!$A$6:$A$505,MATCH(162,'Fund Research'!$U$6:$U$505,0)),"")</f>
        <v/>
      </c>
      <c r="C167" s="35">
        <f>IFERROR(INDEX('Fund Research'!$B$6:$B$505,MATCH(162,'Fund Research'!$U$6:$U$505,0)),"")</f>
        <v/>
      </c>
      <c r="D167" s="35">
        <f>IFERROR(INDEX('Fund Research'!$C$6:$C$505,MATCH(162,'Fund Research'!$U$6:$U$505,0)),"")</f>
        <v/>
      </c>
      <c r="E167" s="36">
        <f>IFERROR(INDEX('Fund Research'!$G$6:$G$505,MATCH(162,'Fund Research'!$U$6:$U$505,0)),"")</f>
        <v/>
      </c>
      <c r="F167" s="36">
        <f>IFERROR(INDEX('Fund Research'!$H$6:$H$505,MATCH(162,'Fund Research'!$U$6:$U$505,0)),"")</f>
        <v/>
      </c>
      <c r="G167" s="36">
        <f>IFERROR(INDEX('Fund Research'!$I$6:$I$505,MATCH(162,'Fund Research'!$U$6:$U$505,0)),"")</f>
        <v/>
      </c>
      <c r="H167" s="37">
        <f>IFERROR(INDEX('Fund Research'!$J$6:$J$505,MATCH(162,'Fund Research'!$U$6:$U$505,0)),"")</f>
        <v/>
      </c>
      <c r="I167" s="38">
        <f>IFERROR(INDEX('Fund Research'!$L$6:$L$505,MATCH(162,'Fund Research'!$U$6:$U$505,0)),"")</f>
        <v/>
      </c>
      <c r="J167" s="37">
        <f>IFERROR(INDEX('Fund Research'!$N$6:$N$505,MATCH(162,'Fund Research'!$U$6:$U$505,0)),"")</f>
        <v/>
      </c>
      <c r="K167" s="37">
        <f>IFERROR(INDEX('Fund Research'!$P$6:$P$505,MATCH(162,'Fund Research'!$U$6:$U$505,0)),"")</f>
        <v/>
      </c>
      <c r="L167" s="35">
        <f>IFERROR(INDEX('Fund Research'!$S$6:$S$505,MATCH(162,'Fund Research'!$U$6:$U$505,0)),"")</f>
        <v/>
      </c>
      <c r="M167" s="35">
        <f>IFERROR(INDEX('Fund Research'!$T$6:$T$505,MATCH(162,'Fund Research'!$U$6:$U$505,0)),"")</f>
        <v/>
      </c>
    </row>
    <row r="168" ht="15" customHeight="1">
      <c r="A168" s="34">
        <f>IFERROR(IF(INDEX('Fund Research'!$B$6:$B$505,MATCH(163,'Fund Research'!$U$6:$U$505,0))="","",163),"")</f>
        <v/>
      </c>
      <c r="B168" s="35">
        <f>IFERROR(INDEX('Fund Research'!$A$6:$A$505,MATCH(163,'Fund Research'!$U$6:$U$505,0)),"")</f>
        <v/>
      </c>
      <c r="C168" s="35">
        <f>IFERROR(INDEX('Fund Research'!$B$6:$B$505,MATCH(163,'Fund Research'!$U$6:$U$505,0)),"")</f>
        <v/>
      </c>
      <c r="D168" s="35">
        <f>IFERROR(INDEX('Fund Research'!$C$6:$C$505,MATCH(163,'Fund Research'!$U$6:$U$505,0)),"")</f>
        <v/>
      </c>
      <c r="E168" s="36">
        <f>IFERROR(INDEX('Fund Research'!$G$6:$G$505,MATCH(163,'Fund Research'!$U$6:$U$505,0)),"")</f>
        <v/>
      </c>
      <c r="F168" s="36">
        <f>IFERROR(INDEX('Fund Research'!$H$6:$H$505,MATCH(163,'Fund Research'!$U$6:$U$505,0)),"")</f>
        <v/>
      </c>
      <c r="G168" s="36">
        <f>IFERROR(INDEX('Fund Research'!$I$6:$I$505,MATCH(163,'Fund Research'!$U$6:$U$505,0)),"")</f>
        <v/>
      </c>
      <c r="H168" s="37">
        <f>IFERROR(INDEX('Fund Research'!$J$6:$J$505,MATCH(163,'Fund Research'!$U$6:$U$505,0)),"")</f>
        <v/>
      </c>
      <c r="I168" s="38">
        <f>IFERROR(INDEX('Fund Research'!$L$6:$L$505,MATCH(163,'Fund Research'!$U$6:$U$505,0)),"")</f>
        <v/>
      </c>
      <c r="J168" s="37">
        <f>IFERROR(INDEX('Fund Research'!$N$6:$N$505,MATCH(163,'Fund Research'!$U$6:$U$505,0)),"")</f>
        <v/>
      </c>
      <c r="K168" s="37">
        <f>IFERROR(INDEX('Fund Research'!$P$6:$P$505,MATCH(163,'Fund Research'!$U$6:$U$505,0)),"")</f>
        <v/>
      </c>
      <c r="L168" s="35">
        <f>IFERROR(INDEX('Fund Research'!$S$6:$S$505,MATCH(163,'Fund Research'!$U$6:$U$505,0)),"")</f>
        <v/>
      </c>
      <c r="M168" s="35">
        <f>IFERROR(INDEX('Fund Research'!$T$6:$T$505,MATCH(163,'Fund Research'!$U$6:$U$505,0)),"")</f>
        <v/>
      </c>
    </row>
    <row r="169" ht="15" customHeight="1">
      <c r="A169" s="34">
        <f>IFERROR(IF(INDEX('Fund Research'!$B$6:$B$505,MATCH(164,'Fund Research'!$U$6:$U$505,0))="","",164),"")</f>
        <v/>
      </c>
      <c r="B169" s="35">
        <f>IFERROR(INDEX('Fund Research'!$A$6:$A$505,MATCH(164,'Fund Research'!$U$6:$U$505,0)),"")</f>
        <v/>
      </c>
      <c r="C169" s="35">
        <f>IFERROR(INDEX('Fund Research'!$B$6:$B$505,MATCH(164,'Fund Research'!$U$6:$U$505,0)),"")</f>
        <v/>
      </c>
      <c r="D169" s="35">
        <f>IFERROR(INDEX('Fund Research'!$C$6:$C$505,MATCH(164,'Fund Research'!$U$6:$U$505,0)),"")</f>
        <v/>
      </c>
      <c r="E169" s="36">
        <f>IFERROR(INDEX('Fund Research'!$G$6:$G$505,MATCH(164,'Fund Research'!$U$6:$U$505,0)),"")</f>
        <v/>
      </c>
      <c r="F169" s="36">
        <f>IFERROR(INDEX('Fund Research'!$H$6:$H$505,MATCH(164,'Fund Research'!$U$6:$U$505,0)),"")</f>
        <v/>
      </c>
      <c r="G169" s="36">
        <f>IFERROR(INDEX('Fund Research'!$I$6:$I$505,MATCH(164,'Fund Research'!$U$6:$U$505,0)),"")</f>
        <v/>
      </c>
      <c r="H169" s="37">
        <f>IFERROR(INDEX('Fund Research'!$J$6:$J$505,MATCH(164,'Fund Research'!$U$6:$U$505,0)),"")</f>
        <v/>
      </c>
      <c r="I169" s="38">
        <f>IFERROR(INDEX('Fund Research'!$L$6:$L$505,MATCH(164,'Fund Research'!$U$6:$U$505,0)),"")</f>
        <v/>
      </c>
      <c r="J169" s="37">
        <f>IFERROR(INDEX('Fund Research'!$N$6:$N$505,MATCH(164,'Fund Research'!$U$6:$U$505,0)),"")</f>
        <v/>
      </c>
      <c r="K169" s="37">
        <f>IFERROR(INDEX('Fund Research'!$P$6:$P$505,MATCH(164,'Fund Research'!$U$6:$U$505,0)),"")</f>
        <v/>
      </c>
      <c r="L169" s="35">
        <f>IFERROR(INDEX('Fund Research'!$S$6:$S$505,MATCH(164,'Fund Research'!$U$6:$U$505,0)),"")</f>
        <v/>
      </c>
      <c r="M169" s="35">
        <f>IFERROR(INDEX('Fund Research'!$T$6:$T$505,MATCH(164,'Fund Research'!$U$6:$U$505,0)),"")</f>
        <v/>
      </c>
    </row>
    <row r="170" ht="15" customHeight="1">
      <c r="A170" s="34">
        <f>IFERROR(IF(INDEX('Fund Research'!$B$6:$B$505,MATCH(165,'Fund Research'!$U$6:$U$505,0))="","",165),"")</f>
        <v/>
      </c>
      <c r="B170" s="35">
        <f>IFERROR(INDEX('Fund Research'!$A$6:$A$505,MATCH(165,'Fund Research'!$U$6:$U$505,0)),"")</f>
        <v/>
      </c>
      <c r="C170" s="35">
        <f>IFERROR(INDEX('Fund Research'!$B$6:$B$505,MATCH(165,'Fund Research'!$U$6:$U$505,0)),"")</f>
        <v/>
      </c>
      <c r="D170" s="35">
        <f>IFERROR(INDEX('Fund Research'!$C$6:$C$505,MATCH(165,'Fund Research'!$U$6:$U$505,0)),"")</f>
        <v/>
      </c>
      <c r="E170" s="36">
        <f>IFERROR(INDEX('Fund Research'!$G$6:$G$505,MATCH(165,'Fund Research'!$U$6:$U$505,0)),"")</f>
        <v/>
      </c>
      <c r="F170" s="36">
        <f>IFERROR(INDEX('Fund Research'!$H$6:$H$505,MATCH(165,'Fund Research'!$U$6:$U$505,0)),"")</f>
        <v/>
      </c>
      <c r="G170" s="36">
        <f>IFERROR(INDEX('Fund Research'!$I$6:$I$505,MATCH(165,'Fund Research'!$U$6:$U$505,0)),"")</f>
        <v/>
      </c>
      <c r="H170" s="37">
        <f>IFERROR(INDEX('Fund Research'!$J$6:$J$505,MATCH(165,'Fund Research'!$U$6:$U$505,0)),"")</f>
        <v/>
      </c>
      <c r="I170" s="38">
        <f>IFERROR(INDEX('Fund Research'!$L$6:$L$505,MATCH(165,'Fund Research'!$U$6:$U$505,0)),"")</f>
        <v/>
      </c>
      <c r="J170" s="37">
        <f>IFERROR(INDEX('Fund Research'!$N$6:$N$505,MATCH(165,'Fund Research'!$U$6:$U$505,0)),"")</f>
        <v/>
      </c>
      <c r="K170" s="37">
        <f>IFERROR(INDEX('Fund Research'!$P$6:$P$505,MATCH(165,'Fund Research'!$U$6:$U$505,0)),"")</f>
        <v/>
      </c>
      <c r="L170" s="35">
        <f>IFERROR(INDEX('Fund Research'!$S$6:$S$505,MATCH(165,'Fund Research'!$U$6:$U$505,0)),"")</f>
        <v/>
      </c>
      <c r="M170" s="35">
        <f>IFERROR(INDEX('Fund Research'!$T$6:$T$505,MATCH(165,'Fund Research'!$U$6:$U$505,0)),"")</f>
        <v/>
      </c>
    </row>
    <row r="171" ht="15" customHeight="1">
      <c r="A171" s="34">
        <f>IFERROR(IF(INDEX('Fund Research'!$B$6:$B$505,MATCH(166,'Fund Research'!$U$6:$U$505,0))="","",166),"")</f>
        <v/>
      </c>
      <c r="B171" s="35">
        <f>IFERROR(INDEX('Fund Research'!$A$6:$A$505,MATCH(166,'Fund Research'!$U$6:$U$505,0)),"")</f>
        <v/>
      </c>
      <c r="C171" s="35">
        <f>IFERROR(INDEX('Fund Research'!$B$6:$B$505,MATCH(166,'Fund Research'!$U$6:$U$505,0)),"")</f>
        <v/>
      </c>
      <c r="D171" s="35">
        <f>IFERROR(INDEX('Fund Research'!$C$6:$C$505,MATCH(166,'Fund Research'!$U$6:$U$505,0)),"")</f>
        <v/>
      </c>
      <c r="E171" s="36">
        <f>IFERROR(INDEX('Fund Research'!$G$6:$G$505,MATCH(166,'Fund Research'!$U$6:$U$505,0)),"")</f>
        <v/>
      </c>
      <c r="F171" s="36">
        <f>IFERROR(INDEX('Fund Research'!$H$6:$H$505,MATCH(166,'Fund Research'!$U$6:$U$505,0)),"")</f>
        <v/>
      </c>
      <c r="G171" s="36">
        <f>IFERROR(INDEX('Fund Research'!$I$6:$I$505,MATCH(166,'Fund Research'!$U$6:$U$505,0)),"")</f>
        <v/>
      </c>
      <c r="H171" s="37">
        <f>IFERROR(INDEX('Fund Research'!$J$6:$J$505,MATCH(166,'Fund Research'!$U$6:$U$505,0)),"")</f>
        <v/>
      </c>
      <c r="I171" s="38">
        <f>IFERROR(INDEX('Fund Research'!$L$6:$L$505,MATCH(166,'Fund Research'!$U$6:$U$505,0)),"")</f>
        <v/>
      </c>
      <c r="J171" s="37">
        <f>IFERROR(INDEX('Fund Research'!$N$6:$N$505,MATCH(166,'Fund Research'!$U$6:$U$505,0)),"")</f>
        <v/>
      </c>
      <c r="K171" s="37">
        <f>IFERROR(INDEX('Fund Research'!$P$6:$P$505,MATCH(166,'Fund Research'!$U$6:$U$505,0)),"")</f>
        <v/>
      </c>
      <c r="L171" s="35">
        <f>IFERROR(INDEX('Fund Research'!$S$6:$S$505,MATCH(166,'Fund Research'!$U$6:$U$505,0)),"")</f>
        <v/>
      </c>
      <c r="M171" s="35">
        <f>IFERROR(INDEX('Fund Research'!$T$6:$T$505,MATCH(166,'Fund Research'!$U$6:$U$505,0)),"")</f>
        <v/>
      </c>
    </row>
    <row r="172" ht="15" customHeight="1">
      <c r="A172" s="34">
        <f>IFERROR(IF(INDEX('Fund Research'!$B$6:$B$505,MATCH(167,'Fund Research'!$U$6:$U$505,0))="","",167),"")</f>
        <v/>
      </c>
      <c r="B172" s="35">
        <f>IFERROR(INDEX('Fund Research'!$A$6:$A$505,MATCH(167,'Fund Research'!$U$6:$U$505,0)),"")</f>
        <v/>
      </c>
      <c r="C172" s="35">
        <f>IFERROR(INDEX('Fund Research'!$B$6:$B$505,MATCH(167,'Fund Research'!$U$6:$U$505,0)),"")</f>
        <v/>
      </c>
      <c r="D172" s="35">
        <f>IFERROR(INDEX('Fund Research'!$C$6:$C$505,MATCH(167,'Fund Research'!$U$6:$U$505,0)),"")</f>
        <v/>
      </c>
      <c r="E172" s="36">
        <f>IFERROR(INDEX('Fund Research'!$G$6:$G$505,MATCH(167,'Fund Research'!$U$6:$U$505,0)),"")</f>
        <v/>
      </c>
      <c r="F172" s="36">
        <f>IFERROR(INDEX('Fund Research'!$H$6:$H$505,MATCH(167,'Fund Research'!$U$6:$U$505,0)),"")</f>
        <v/>
      </c>
      <c r="G172" s="36">
        <f>IFERROR(INDEX('Fund Research'!$I$6:$I$505,MATCH(167,'Fund Research'!$U$6:$U$505,0)),"")</f>
        <v/>
      </c>
      <c r="H172" s="37">
        <f>IFERROR(INDEX('Fund Research'!$J$6:$J$505,MATCH(167,'Fund Research'!$U$6:$U$505,0)),"")</f>
        <v/>
      </c>
      <c r="I172" s="38">
        <f>IFERROR(INDEX('Fund Research'!$L$6:$L$505,MATCH(167,'Fund Research'!$U$6:$U$505,0)),"")</f>
        <v/>
      </c>
      <c r="J172" s="37">
        <f>IFERROR(INDEX('Fund Research'!$N$6:$N$505,MATCH(167,'Fund Research'!$U$6:$U$505,0)),"")</f>
        <v/>
      </c>
      <c r="K172" s="37">
        <f>IFERROR(INDEX('Fund Research'!$P$6:$P$505,MATCH(167,'Fund Research'!$U$6:$U$505,0)),"")</f>
        <v/>
      </c>
      <c r="L172" s="35">
        <f>IFERROR(INDEX('Fund Research'!$S$6:$S$505,MATCH(167,'Fund Research'!$U$6:$U$505,0)),"")</f>
        <v/>
      </c>
      <c r="M172" s="35">
        <f>IFERROR(INDEX('Fund Research'!$T$6:$T$505,MATCH(167,'Fund Research'!$U$6:$U$505,0)),"")</f>
        <v/>
      </c>
    </row>
    <row r="173" ht="15" customHeight="1">
      <c r="A173" s="34">
        <f>IFERROR(IF(INDEX('Fund Research'!$B$6:$B$505,MATCH(168,'Fund Research'!$U$6:$U$505,0))="","",168),"")</f>
        <v/>
      </c>
      <c r="B173" s="35">
        <f>IFERROR(INDEX('Fund Research'!$A$6:$A$505,MATCH(168,'Fund Research'!$U$6:$U$505,0)),"")</f>
        <v/>
      </c>
      <c r="C173" s="35">
        <f>IFERROR(INDEX('Fund Research'!$B$6:$B$505,MATCH(168,'Fund Research'!$U$6:$U$505,0)),"")</f>
        <v/>
      </c>
      <c r="D173" s="35">
        <f>IFERROR(INDEX('Fund Research'!$C$6:$C$505,MATCH(168,'Fund Research'!$U$6:$U$505,0)),"")</f>
        <v/>
      </c>
      <c r="E173" s="36">
        <f>IFERROR(INDEX('Fund Research'!$G$6:$G$505,MATCH(168,'Fund Research'!$U$6:$U$505,0)),"")</f>
        <v/>
      </c>
      <c r="F173" s="36">
        <f>IFERROR(INDEX('Fund Research'!$H$6:$H$505,MATCH(168,'Fund Research'!$U$6:$U$505,0)),"")</f>
        <v/>
      </c>
      <c r="G173" s="36">
        <f>IFERROR(INDEX('Fund Research'!$I$6:$I$505,MATCH(168,'Fund Research'!$U$6:$U$505,0)),"")</f>
        <v/>
      </c>
      <c r="H173" s="37">
        <f>IFERROR(INDEX('Fund Research'!$J$6:$J$505,MATCH(168,'Fund Research'!$U$6:$U$505,0)),"")</f>
        <v/>
      </c>
      <c r="I173" s="38">
        <f>IFERROR(INDEX('Fund Research'!$L$6:$L$505,MATCH(168,'Fund Research'!$U$6:$U$505,0)),"")</f>
        <v/>
      </c>
      <c r="J173" s="37">
        <f>IFERROR(INDEX('Fund Research'!$N$6:$N$505,MATCH(168,'Fund Research'!$U$6:$U$505,0)),"")</f>
        <v/>
      </c>
      <c r="K173" s="37">
        <f>IFERROR(INDEX('Fund Research'!$P$6:$P$505,MATCH(168,'Fund Research'!$U$6:$U$505,0)),"")</f>
        <v/>
      </c>
      <c r="L173" s="35">
        <f>IFERROR(INDEX('Fund Research'!$S$6:$S$505,MATCH(168,'Fund Research'!$U$6:$U$505,0)),"")</f>
        <v/>
      </c>
      <c r="M173" s="35">
        <f>IFERROR(INDEX('Fund Research'!$T$6:$T$505,MATCH(168,'Fund Research'!$U$6:$U$505,0)),"")</f>
        <v/>
      </c>
    </row>
    <row r="174" ht="15" customHeight="1">
      <c r="A174" s="34">
        <f>IFERROR(IF(INDEX('Fund Research'!$B$6:$B$505,MATCH(169,'Fund Research'!$U$6:$U$505,0))="","",169),"")</f>
        <v/>
      </c>
      <c r="B174" s="35">
        <f>IFERROR(INDEX('Fund Research'!$A$6:$A$505,MATCH(169,'Fund Research'!$U$6:$U$505,0)),"")</f>
        <v/>
      </c>
      <c r="C174" s="35">
        <f>IFERROR(INDEX('Fund Research'!$B$6:$B$505,MATCH(169,'Fund Research'!$U$6:$U$505,0)),"")</f>
        <v/>
      </c>
      <c r="D174" s="35">
        <f>IFERROR(INDEX('Fund Research'!$C$6:$C$505,MATCH(169,'Fund Research'!$U$6:$U$505,0)),"")</f>
        <v/>
      </c>
      <c r="E174" s="36">
        <f>IFERROR(INDEX('Fund Research'!$G$6:$G$505,MATCH(169,'Fund Research'!$U$6:$U$505,0)),"")</f>
        <v/>
      </c>
      <c r="F174" s="36">
        <f>IFERROR(INDEX('Fund Research'!$H$6:$H$505,MATCH(169,'Fund Research'!$U$6:$U$505,0)),"")</f>
        <v/>
      </c>
      <c r="G174" s="36">
        <f>IFERROR(INDEX('Fund Research'!$I$6:$I$505,MATCH(169,'Fund Research'!$U$6:$U$505,0)),"")</f>
        <v/>
      </c>
      <c r="H174" s="37">
        <f>IFERROR(INDEX('Fund Research'!$J$6:$J$505,MATCH(169,'Fund Research'!$U$6:$U$505,0)),"")</f>
        <v/>
      </c>
      <c r="I174" s="38">
        <f>IFERROR(INDEX('Fund Research'!$L$6:$L$505,MATCH(169,'Fund Research'!$U$6:$U$505,0)),"")</f>
        <v/>
      </c>
      <c r="J174" s="37">
        <f>IFERROR(INDEX('Fund Research'!$N$6:$N$505,MATCH(169,'Fund Research'!$U$6:$U$505,0)),"")</f>
        <v/>
      </c>
      <c r="K174" s="37">
        <f>IFERROR(INDEX('Fund Research'!$P$6:$P$505,MATCH(169,'Fund Research'!$U$6:$U$505,0)),"")</f>
        <v/>
      </c>
      <c r="L174" s="35">
        <f>IFERROR(INDEX('Fund Research'!$S$6:$S$505,MATCH(169,'Fund Research'!$U$6:$U$505,0)),"")</f>
        <v/>
      </c>
      <c r="M174" s="35">
        <f>IFERROR(INDEX('Fund Research'!$T$6:$T$505,MATCH(169,'Fund Research'!$U$6:$U$505,0)),"")</f>
        <v/>
      </c>
    </row>
    <row r="175" ht="15" customHeight="1">
      <c r="A175" s="34">
        <f>IFERROR(IF(INDEX('Fund Research'!$B$6:$B$505,MATCH(170,'Fund Research'!$U$6:$U$505,0))="","",170),"")</f>
        <v/>
      </c>
      <c r="B175" s="35">
        <f>IFERROR(INDEX('Fund Research'!$A$6:$A$505,MATCH(170,'Fund Research'!$U$6:$U$505,0)),"")</f>
        <v/>
      </c>
      <c r="C175" s="35">
        <f>IFERROR(INDEX('Fund Research'!$B$6:$B$505,MATCH(170,'Fund Research'!$U$6:$U$505,0)),"")</f>
        <v/>
      </c>
      <c r="D175" s="35">
        <f>IFERROR(INDEX('Fund Research'!$C$6:$C$505,MATCH(170,'Fund Research'!$U$6:$U$505,0)),"")</f>
        <v/>
      </c>
      <c r="E175" s="36">
        <f>IFERROR(INDEX('Fund Research'!$G$6:$G$505,MATCH(170,'Fund Research'!$U$6:$U$505,0)),"")</f>
        <v/>
      </c>
      <c r="F175" s="36">
        <f>IFERROR(INDEX('Fund Research'!$H$6:$H$505,MATCH(170,'Fund Research'!$U$6:$U$505,0)),"")</f>
        <v/>
      </c>
      <c r="G175" s="36">
        <f>IFERROR(INDEX('Fund Research'!$I$6:$I$505,MATCH(170,'Fund Research'!$U$6:$U$505,0)),"")</f>
        <v/>
      </c>
      <c r="H175" s="37">
        <f>IFERROR(INDEX('Fund Research'!$J$6:$J$505,MATCH(170,'Fund Research'!$U$6:$U$505,0)),"")</f>
        <v/>
      </c>
      <c r="I175" s="38">
        <f>IFERROR(INDEX('Fund Research'!$L$6:$L$505,MATCH(170,'Fund Research'!$U$6:$U$505,0)),"")</f>
        <v/>
      </c>
      <c r="J175" s="37">
        <f>IFERROR(INDEX('Fund Research'!$N$6:$N$505,MATCH(170,'Fund Research'!$U$6:$U$505,0)),"")</f>
        <v/>
      </c>
      <c r="K175" s="37">
        <f>IFERROR(INDEX('Fund Research'!$P$6:$P$505,MATCH(170,'Fund Research'!$U$6:$U$505,0)),"")</f>
        <v/>
      </c>
      <c r="L175" s="35">
        <f>IFERROR(INDEX('Fund Research'!$S$6:$S$505,MATCH(170,'Fund Research'!$U$6:$U$505,0)),"")</f>
        <v/>
      </c>
      <c r="M175" s="35">
        <f>IFERROR(INDEX('Fund Research'!$T$6:$T$505,MATCH(170,'Fund Research'!$U$6:$U$505,0)),"")</f>
        <v/>
      </c>
    </row>
    <row r="176" ht="15" customHeight="1">
      <c r="A176" s="34">
        <f>IFERROR(IF(INDEX('Fund Research'!$B$6:$B$505,MATCH(171,'Fund Research'!$U$6:$U$505,0))="","",171),"")</f>
        <v/>
      </c>
      <c r="B176" s="35">
        <f>IFERROR(INDEX('Fund Research'!$A$6:$A$505,MATCH(171,'Fund Research'!$U$6:$U$505,0)),"")</f>
        <v/>
      </c>
      <c r="C176" s="35">
        <f>IFERROR(INDEX('Fund Research'!$B$6:$B$505,MATCH(171,'Fund Research'!$U$6:$U$505,0)),"")</f>
        <v/>
      </c>
      <c r="D176" s="35">
        <f>IFERROR(INDEX('Fund Research'!$C$6:$C$505,MATCH(171,'Fund Research'!$U$6:$U$505,0)),"")</f>
        <v/>
      </c>
      <c r="E176" s="36">
        <f>IFERROR(INDEX('Fund Research'!$G$6:$G$505,MATCH(171,'Fund Research'!$U$6:$U$505,0)),"")</f>
        <v/>
      </c>
      <c r="F176" s="36">
        <f>IFERROR(INDEX('Fund Research'!$H$6:$H$505,MATCH(171,'Fund Research'!$U$6:$U$505,0)),"")</f>
        <v/>
      </c>
      <c r="G176" s="36">
        <f>IFERROR(INDEX('Fund Research'!$I$6:$I$505,MATCH(171,'Fund Research'!$U$6:$U$505,0)),"")</f>
        <v/>
      </c>
      <c r="H176" s="37">
        <f>IFERROR(INDEX('Fund Research'!$J$6:$J$505,MATCH(171,'Fund Research'!$U$6:$U$505,0)),"")</f>
        <v/>
      </c>
      <c r="I176" s="38">
        <f>IFERROR(INDEX('Fund Research'!$L$6:$L$505,MATCH(171,'Fund Research'!$U$6:$U$505,0)),"")</f>
        <v/>
      </c>
      <c r="J176" s="37">
        <f>IFERROR(INDEX('Fund Research'!$N$6:$N$505,MATCH(171,'Fund Research'!$U$6:$U$505,0)),"")</f>
        <v/>
      </c>
      <c r="K176" s="37">
        <f>IFERROR(INDEX('Fund Research'!$P$6:$P$505,MATCH(171,'Fund Research'!$U$6:$U$505,0)),"")</f>
        <v/>
      </c>
      <c r="L176" s="35">
        <f>IFERROR(INDEX('Fund Research'!$S$6:$S$505,MATCH(171,'Fund Research'!$U$6:$U$505,0)),"")</f>
        <v/>
      </c>
      <c r="M176" s="35">
        <f>IFERROR(INDEX('Fund Research'!$T$6:$T$505,MATCH(171,'Fund Research'!$U$6:$U$505,0)),"")</f>
        <v/>
      </c>
    </row>
    <row r="177" ht="15" customHeight="1">
      <c r="A177" s="34">
        <f>IFERROR(IF(INDEX('Fund Research'!$B$6:$B$505,MATCH(172,'Fund Research'!$U$6:$U$505,0))="","",172),"")</f>
        <v/>
      </c>
      <c r="B177" s="35">
        <f>IFERROR(INDEX('Fund Research'!$A$6:$A$505,MATCH(172,'Fund Research'!$U$6:$U$505,0)),"")</f>
        <v/>
      </c>
      <c r="C177" s="35">
        <f>IFERROR(INDEX('Fund Research'!$B$6:$B$505,MATCH(172,'Fund Research'!$U$6:$U$505,0)),"")</f>
        <v/>
      </c>
      <c r="D177" s="35">
        <f>IFERROR(INDEX('Fund Research'!$C$6:$C$505,MATCH(172,'Fund Research'!$U$6:$U$505,0)),"")</f>
        <v/>
      </c>
      <c r="E177" s="36">
        <f>IFERROR(INDEX('Fund Research'!$G$6:$G$505,MATCH(172,'Fund Research'!$U$6:$U$505,0)),"")</f>
        <v/>
      </c>
      <c r="F177" s="36">
        <f>IFERROR(INDEX('Fund Research'!$H$6:$H$505,MATCH(172,'Fund Research'!$U$6:$U$505,0)),"")</f>
        <v/>
      </c>
      <c r="G177" s="36">
        <f>IFERROR(INDEX('Fund Research'!$I$6:$I$505,MATCH(172,'Fund Research'!$U$6:$U$505,0)),"")</f>
        <v/>
      </c>
      <c r="H177" s="37">
        <f>IFERROR(INDEX('Fund Research'!$J$6:$J$505,MATCH(172,'Fund Research'!$U$6:$U$505,0)),"")</f>
        <v/>
      </c>
      <c r="I177" s="38">
        <f>IFERROR(INDEX('Fund Research'!$L$6:$L$505,MATCH(172,'Fund Research'!$U$6:$U$505,0)),"")</f>
        <v/>
      </c>
      <c r="J177" s="37">
        <f>IFERROR(INDEX('Fund Research'!$N$6:$N$505,MATCH(172,'Fund Research'!$U$6:$U$505,0)),"")</f>
        <v/>
      </c>
      <c r="K177" s="37">
        <f>IFERROR(INDEX('Fund Research'!$P$6:$P$505,MATCH(172,'Fund Research'!$U$6:$U$505,0)),"")</f>
        <v/>
      </c>
      <c r="L177" s="35">
        <f>IFERROR(INDEX('Fund Research'!$S$6:$S$505,MATCH(172,'Fund Research'!$U$6:$U$505,0)),"")</f>
        <v/>
      </c>
      <c r="M177" s="35">
        <f>IFERROR(INDEX('Fund Research'!$T$6:$T$505,MATCH(172,'Fund Research'!$U$6:$U$505,0)),"")</f>
        <v/>
      </c>
    </row>
    <row r="178" ht="15" customHeight="1">
      <c r="A178" s="34">
        <f>IFERROR(IF(INDEX('Fund Research'!$B$6:$B$505,MATCH(173,'Fund Research'!$U$6:$U$505,0))="","",173),"")</f>
        <v/>
      </c>
      <c r="B178" s="35">
        <f>IFERROR(INDEX('Fund Research'!$A$6:$A$505,MATCH(173,'Fund Research'!$U$6:$U$505,0)),"")</f>
        <v/>
      </c>
      <c r="C178" s="35">
        <f>IFERROR(INDEX('Fund Research'!$B$6:$B$505,MATCH(173,'Fund Research'!$U$6:$U$505,0)),"")</f>
        <v/>
      </c>
      <c r="D178" s="35">
        <f>IFERROR(INDEX('Fund Research'!$C$6:$C$505,MATCH(173,'Fund Research'!$U$6:$U$505,0)),"")</f>
        <v/>
      </c>
      <c r="E178" s="36">
        <f>IFERROR(INDEX('Fund Research'!$G$6:$G$505,MATCH(173,'Fund Research'!$U$6:$U$505,0)),"")</f>
        <v/>
      </c>
      <c r="F178" s="36">
        <f>IFERROR(INDEX('Fund Research'!$H$6:$H$505,MATCH(173,'Fund Research'!$U$6:$U$505,0)),"")</f>
        <v/>
      </c>
      <c r="G178" s="36">
        <f>IFERROR(INDEX('Fund Research'!$I$6:$I$505,MATCH(173,'Fund Research'!$U$6:$U$505,0)),"")</f>
        <v/>
      </c>
      <c r="H178" s="37">
        <f>IFERROR(INDEX('Fund Research'!$J$6:$J$505,MATCH(173,'Fund Research'!$U$6:$U$505,0)),"")</f>
        <v/>
      </c>
      <c r="I178" s="38">
        <f>IFERROR(INDEX('Fund Research'!$L$6:$L$505,MATCH(173,'Fund Research'!$U$6:$U$505,0)),"")</f>
        <v/>
      </c>
      <c r="J178" s="37">
        <f>IFERROR(INDEX('Fund Research'!$N$6:$N$505,MATCH(173,'Fund Research'!$U$6:$U$505,0)),"")</f>
        <v/>
      </c>
      <c r="K178" s="37">
        <f>IFERROR(INDEX('Fund Research'!$P$6:$P$505,MATCH(173,'Fund Research'!$U$6:$U$505,0)),"")</f>
        <v/>
      </c>
      <c r="L178" s="35">
        <f>IFERROR(INDEX('Fund Research'!$S$6:$S$505,MATCH(173,'Fund Research'!$U$6:$U$505,0)),"")</f>
        <v/>
      </c>
      <c r="M178" s="35">
        <f>IFERROR(INDEX('Fund Research'!$T$6:$T$505,MATCH(173,'Fund Research'!$U$6:$U$505,0)),"")</f>
        <v/>
      </c>
    </row>
    <row r="179" ht="15" customHeight="1">
      <c r="A179" s="34">
        <f>IFERROR(IF(INDEX('Fund Research'!$B$6:$B$505,MATCH(174,'Fund Research'!$U$6:$U$505,0))="","",174),"")</f>
        <v/>
      </c>
      <c r="B179" s="35">
        <f>IFERROR(INDEX('Fund Research'!$A$6:$A$505,MATCH(174,'Fund Research'!$U$6:$U$505,0)),"")</f>
        <v/>
      </c>
      <c r="C179" s="35">
        <f>IFERROR(INDEX('Fund Research'!$B$6:$B$505,MATCH(174,'Fund Research'!$U$6:$U$505,0)),"")</f>
        <v/>
      </c>
      <c r="D179" s="35">
        <f>IFERROR(INDEX('Fund Research'!$C$6:$C$505,MATCH(174,'Fund Research'!$U$6:$U$505,0)),"")</f>
        <v/>
      </c>
      <c r="E179" s="36">
        <f>IFERROR(INDEX('Fund Research'!$G$6:$G$505,MATCH(174,'Fund Research'!$U$6:$U$505,0)),"")</f>
        <v/>
      </c>
      <c r="F179" s="36">
        <f>IFERROR(INDEX('Fund Research'!$H$6:$H$505,MATCH(174,'Fund Research'!$U$6:$U$505,0)),"")</f>
        <v/>
      </c>
      <c r="G179" s="36">
        <f>IFERROR(INDEX('Fund Research'!$I$6:$I$505,MATCH(174,'Fund Research'!$U$6:$U$505,0)),"")</f>
        <v/>
      </c>
      <c r="H179" s="37">
        <f>IFERROR(INDEX('Fund Research'!$J$6:$J$505,MATCH(174,'Fund Research'!$U$6:$U$505,0)),"")</f>
        <v/>
      </c>
      <c r="I179" s="38">
        <f>IFERROR(INDEX('Fund Research'!$L$6:$L$505,MATCH(174,'Fund Research'!$U$6:$U$505,0)),"")</f>
        <v/>
      </c>
      <c r="J179" s="37">
        <f>IFERROR(INDEX('Fund Research'!$N$6:$N$505,MATCH(174,'Fund Research'!$U$6:$U$505,0)),"")</f>
        <v/>
      </c>
      <c r="K179" s="37">
        <f>IFERROR(INDEX('Fund Research'!$P$6:$P$505,MATCH(174,'Fund Research'!$U$6:$U$505,0)),"")</f>
        <v/>
      </c>
      <c r="L179" s="35">
        <f>IFERROR(INDEX('Fund Research'!$S$6:$S$505,MATCH(174,'Fund Research'!$U$6:$U$505,0)),"")</f>
        <v/>
      </c>
      <c r="M179" s="35">
        <f>IFERROR(INDEX('Fund Research'!$T$6:$T$505,MATCH(174,'Fund Research'!$U$6:$U$505,0)),"")</f>
        <v/>
      </c>
    </row>
    <row r="180" ht="15" customHeight="1">
      <c r="A180" s="34">
        <f>IFERROR(IF(INDEX('Fund Research'!$B$6:$B$505,MATCH(175,'Fund Research'!$U$6:$U$505,0))="","",175),"")</f>
        <v/>
      </c>
      <c r="B180" s="35">
        <f>IFERROR(INDEX('Fund Research'!$A$6:$A$505,MATCH(175,'Fund Research'!$U$6:$U$505,0)),"")</f>
        <v/>
      </c>
      <c r="C180" s="35">
        <f>IFERROR(INDEX('Fund Research'!$B$6:$B$505,MATCH(175,'Fund Research'!$U$6:$U$505,0)),"")</f>
        <v/>
      </c>
      <c r="D180" s="35">
        <f>IFERROR(INDEX('Fund Research'!$C$6:$C$505,MATCH(175,'Fund Research'!$U$6:$U$505,0)),"")</f>
        <v/>
      </c>
      <c r="E180" s="36">
        <f>IFERROR(INDEX('Fund Research'!$G$6:$G$505,MATCH(175,'Fund Research'!$U$6:$U$505,0)),"")</f>
        <v/>
      </c>
      <c r="F180" s="36">
        <f>IFERROR(INDEX('Fund Research'!$H$6:$H$505,MATCH(175,'Fund Research'!$U$6:$U$505,0)),"")</f>
        <v/>
      </c>
      <c r="G180" s="36">
        <f>IFERROR(INDEX('Fund Research'!$I$6:$I$505,MATCH(175,'Fund Research'!$U$6:$U$505,0)),"")</f>
        <v/>
      </c>
      <c r="H180" s="37">
        <f>IFERROR(INDEX('Fund Research'!$J$6:$J$505,MATCH(175,'Fund Research'!$U$6:$U$505,0)),"")</f>
        <v/>
      </c>
      <c r="I180" s="38">
        <f>IFERROR(INDEX('Fund Research'!$L$6:$L$505,MATCH(175,'Fund Research'!$U$6:$U$505,0)),"")</f>
        <v/>
      </c>
      <c r="J180" s="37">
        <f>IFERROR(INDEX('Fund Research'!$N$6:$N$505,MATCH(175,'Fund Research'!$U$6:$U$505,0)),"")</f>
        <v/>
      </c>
      <c r="K180" s="37">
        <f>IFERROR(INDEX('Fund Research'!$P$6:$P$505,MATCH(175,'Fund Research'!$U$6:$U$505,0)),"")</f>
        <v/>
      </c>
      <c r="L180" s="35">
        <f>IFERROR(INDEX('Fund Research'!$S$6:$S$505,MATCH(175,'Fund Research'!$U$6:$U$505,0)),"")</f>
        <v/>
      </c>
      <c r="M180" s="35">
        <f>IFERROR(INDEX('Fund Research'!$T$6:$T$505,MATCH(175,'Fund Research'!$U$6:$U$505,0)),"")</f>
        <v/>
      </c>
    </row>
    <row r="181" ht="15" customHeight="1">
      <c r="A181" s="34">
        <f>IFERROR(IF(INDEX('Fund Research'!$B$6:$B$505,MATCH(176,'Fund Research'!$U$6:$U$505,0))="","",176),"")</f>
        <v/>
      </c>
      <c r="B181" s="35">
        <f>IFERROR(INDEX('Fund Research'!$A$6:$A$505,MATCH(176,'Fund Research'!$U$6:$U$505,0)),"")</f>
        <v/>
      </c>
      <c r="C181" s="35">
        <f>IFERROR(INDEX('Fund Research'!$B$6:$B$505,MATCH(176,'Fund Research'!$U$6:$U$505,0)),"")</f>
        <v/>
      </c>
      <c r="D181" s="35">
        <f>IFERROR(INDEX('Fund Research'!$C$6:$C$505,MATCH(176,'Fund Research'!$U$6:$U$505,0)),"")</f>
        <v/>
      </c>
      <c r="E181" s="36">
        <f>IFERROR(INDEX('Fund Research'!$G$6:$G$505,MATCH(176,'Fund Research'!$U$6:$U$505,0)),"")</f>
        <v/>
      </c>
      <c r="F181" s="36">
        <f>IFERROR(INDEX('Fund Research'!$H$6:$H$505,MATCH(176,'Fund Research'!$U$6:$U$505,0)),"")</f>
        <v/>
      </c>
      <c r="G181" s="36">
        <f>IFERROR(INDEX('Fund Research'!$I$6:$I$505,MATCH(176,'Fund Research'!$U$6:$U$505,0)),"")</f>
        <v/>
      </c>
      <c r="H181" s="37">
        <f>IFERROR(INDEX('Fund Research'!$J$6:$J$505,MATCH(176,'Fund Research'!$U$6:$U$505,0)),"")</f>
        <v/>
      </c>
      <c r="I181" s="38">
        <f>IFERROR(INDEX('Fund Research'!$L$6:$L$505,MATCH(176,'Fund Research'!$U$6:$U$505,0)),"")</f>
        <v/>
      </c>
      <c r="J181" s="37">
        <f>IFERROR(INDEX('Fund Research'!$N$6:$N$505,MATCH(176,'Fund Research'!$U$6:$U$505,0)),"")</f>
        <v/>
      </c>
      <c r="K181" s="37">
        <f>IFERROR(INDEX('Fund Research'!$P$6:$P$505,MATCH(176,'Fund Research'!$U$6:$U$505,0)),"")</f>
        <v/>
      </c>
      <c r="L181" s="35">
        <f>IFERROR(INDEX('Fund Research'!$S$6:$S$505,MATCH(176,'Fund Research'!$U$6:$U$505,0)),"")</f>
        <v/>
      </c>
      <c r="M181" s="35">
        <f>IFERROR(INDEX('Fund Research'!$T$6:$T$505,MATCH(176,'Fund Research'!$U$6:$U$505,0)),"")</f>
        <v/>
      </c>
    </row>
    <row r="182" ht="15" customHeight="1">
      <c r="A182" s="34">
        <f>IFERROR(IF(INDEX('Fund Research'!$B$6:$B$505,MATCH(177,'Fund Research'!$U$6:$U$505,0))="","",177),"")</f>
        <v/>
      </c>
      <c r="B182" s="35">
        <f>IFERROR(INDEX('Fund Research'!$A$6:$A$505,MATCH(177,'Fund Research'!$U$6:$U$505,0)),"")</f>
        <v/>
      </c>
      <c r="C182" s="35">
        <f>IFERROR(INDEX('Fund Research'!$B$6:$B$505,MATCH(177,'Fund Research'!$U$6:$U$505,0)),"")</f>
        <v/>
      </c>
      <c r="D182" s="35">
        <f>IFERROR(INDEX('Fund Research'!$C$6:$C$505,MATCH(177,'Fund Research'!$U$6:$U$505,0)),"")</f>
        <v/>
      </c>
      <c r="E182" s="36">
        <f>IFERROR(INDEX('Fund Research'!$G$6:$G$505,MATCH(177,'Fund Research'!$U$6:$U$505,0)),"")</f>
        <v/>
      </c>
      <c r="F182" s="36">
        <f>IFERROR(INDEX('Fund Research'!$H$6:$H$505,MATCH(177,'Fund Research'!$U$6:$U$505,0)),"")</f>
        <v/>
      </c>
      <c r="G182" s="36">
        <f>IFERROR(INDEX('Fund Research'!$I$6:$I$505,MATCH(177,'Fund Research'!$U$6:$U$505,0)),"")</f>
        <v/>
      </c>
      <c r="H182" s="37">
        <f>IFERROR(INDEX('Fund Research'!$J$6:$J$505,MATCH(177,'Fund Research'!$U$6:$U$505,0)),"")</f>
        <v/>
      </c>
      <c r="I182" s="38">
        <f>IFERROR(INDEX('Fund Research'!$L$6:$L$505,MATCH(177,'Fund Research'!$U$6:$U$505,0)),"")</f>
        <v/>
      </c>
      <c r="J182" s="37">
        <f>IFERROR(INDEX('Fund Research'!$N$6:$N$505,MATCH(177,'Fund Research'!$U$6:$U$505,0)),"")</f>
        <v/>
      </c>
      <c r="K182" s="37">
        <f>IFERROR(INDEX('Fund Research'!$P$6:$P$505,MATCH(177,'Fund Research'!$U$6:$U$505,0)),"")</f>
        <v/>
      </c>
      <c r="L182" s="35">
        <f>IFERROR(INDEX('Fund Research'!$S$6:$S$505,MATCH(177,'Fund Research'!$U$6:$U$505,0)),"")</f>
        <v/>
      </c>
      <c r="M182" s="35">
        <f>IFERROR(INDEX('Fund Research'!$T$6:$T$505,MATCH(177,'Fund Research'!$U$6:$U$505,0)),"")</f>
        <v/>
      </c>
    </row>
    <row r="183" ht="15" customHeight="1">
      <c r="A183" s="34">
        <f>IFERROR(IF(INDEX('Fund Research'!$B$6:$B$505,MATCH(178,'Fund Research'!$U$6:$U$505,0))="","",178),"")</f>
        <v/>
      </c>
      <c r="B183" s="35">
        <f>IFERROR(INDEX('Fund Research'!$A$6:$A$505,MATCH(178,'Fund Research'!$U$6:$U$505,0)),"")</f>
        <v/>
      </c>
      <c r="C183" s="35">
        <f>IFERROR(INDEX('Fund Research'!$B$6:$B$505,MATCH(178,'Fund Research'!$U$6:$U$505,0)),"")</f>
        <v/>
      </c>
      <c r="D183" s="35">
        <f>IFERROR(INDEX('Fund Research'!$C$6:$C$505,MATCH(178,'Fund Research'!$U$6:$U$505,0)),"")</f>
        <v/>
      </c>
      <c r="E183" s="36">
        <f>IFERROR(INDEX('Fund Research'!$G$6:$G$505,MATCH(178,'Fund Research'!$U$6:$U$505,0)),"")</f>
        <v/>
      </c>
      <c r="F183" s="36">
        <f>IFERROR(INDEX('Fund Research'!$H$6:$H$505,MATCH(178,'Fund Research'!$U$6:$U$505,0)),"")</f>
        <v/>
      </c>
      <c r="G183" s="36">
        <f>IFERROR(INDEX('Fund Research'!$I$6:$I$505,MATCH(178,'Fund Research'!$U$6:$U$505,0)),"")</f>
        <v/>
      </c>
      <c r="H183" s="37">
        <f>IFERROR(INDEX('Fund Research'!$J$6:$J$505,MATCH(178,'Fund Research'!$U$6:$U$505,0)),"")</f>
        <v/>
      </c>
      <c r="I183" s="38">
        <f>IFERROR(INDEX('Fund Research'!$L$6:$L$505,MATCH(178,'Fund Research'!$U$6:$U$505,0)),"")</f>
        <v/>
      </c>
      <c r="J183" s="37">
        <f>IFERROR(INDEX('Fund Research'!$N$6:$N$505,MATCH(178,'Fund Research'!$U$6:$U$505,0)),"")</f>
        <v/>
      </c>
      <c r="K183" s="37">
        <f>IFERROR(INDEX('Fund Research'!$P$6:$P$505,MATCH(178,'Fund Research'!$U$6:$U$505,0)),"")</f>
        <v/>
      </c>
      <c r="L183" s="35">
        <f>IFERROR(INDEX('Fund Research'!$S$6:$S$505,MATCH(178,'Fund Research'!$U$6:$U$505,0)),"")</f>
        <v/>
      </c>
      <c r="M183" s="35">
        <f>IFERROR(INDEX('Fund Research'!$T$6:$T$505,MATCH(178,'Fund Research'!$U$6:$U$505,0)),"")</f>
        <v/>
      </c>
    </row>
    <row r="184" ht="15" customHeight="1">
      <c r="A184" s="34">
        <f>IFERROR(IF(INDEX('Fund Research'!$B$6:$B$505,MATCH(179,'Fund Research'!$U$6:$U$505,0))="","",179),"")</f>
        <v/>
      </c>
      <c r="B184" s="35">
        <f>IFERROR(INDEX('Fund Research'!$A$6:$A$505,MATCH(179,'Fund Research'!$U$6:$U$505,0)),"")</f>
        <v/>
      </c>
      <c r="C184" s="35">
        <f>IFERROR(INDEX('Fund Research'!$B$6:$B$505,MATCH(179,'Fund Research'!$U$6:$U$505,0)),"")</f>
        <v/>
      </c>
      <c r="D184" s="35">
        <f>IFERROR(INDEX('Fund Research'!$C$6:$C$505,MATCH(179,'Fund Research'!$U$6:$U$505,0)),"")</f>
        <v/>
      </c>
      <c r="E184" s="36">
        <f>IFERROR(INDEX('Fund Research'!$G$6:$G$505,MATCH(179,'Fund Research'!$U$6:$U$505,0)),"")</f>
        <v/>
      </c>
      <c r="F184" s="36">
        <f>IFERROR(INDEX('Fund Research'!$H$6:$H$505,MATCH(179,'Fund Research'!$U$6:$U$505,0)),"")</f>
        <v/>
      </c>
      <c r="G184" s="36">
        <f>IFERROR(INDEX('Fund Research'!$I$6:$I$505,MATCH(179,'Fund Research'!$U$6:$U$505,0)),"")</f>
        <v/>
      </c>
      <c r="H184" s="37">
        <f>IFERROR(INDEX('Fund Research'!$J$6:$J$505,MATCH(179,'Fund Research'!$U$6:$U$505,0)),"")</f>
        <v/>
      </c>
      <c r="I184" s="38">
        <f>IFERROR(INDEX('Fund Research'!$L$6:$L$505,MATCH(179,'Fund Research'!$U$6:$U$505,0)),"")</f>
        <v/>
      </c>
      <c r="J184" s="37">
        <f>IFERROR(INDEX('Fund Research'!$N$6:$N$505,MATCH(179,'Fund Research'!$U$6:$U$505,0)),"")</f>
        <v/>
      </c>
      <c r="K184" s="37">
        <f>IFERROR(INDEX('Fund Research'!$P$6:$P$505,MATCH(179,'Fund Research'!$U$6:$U$505,0)),"")</f>
        <v/>
      </c>
      <c r="L184" s="35">
        <f>IFERROR(INDEX('Fund Research'!$S$6:$S$505,MATCH(179,'Fund Research'!$U$6:$U$505,0)),"")</f>
        <v/>
      </c>
      <c r="M184" s="35">
        <f>IFERROR(INDEX('Fund Research'!$T$6:$T$505,MATCH(179,'Fund Research'!$U$6:$U$505,0)),"")</f>
        <v/>
      </c>
    </row>
    <row r="185" ht="15" customHeight="1">
      <c r="A185" s="34">
        <f>IFERROR(IF(INDEX('Fund Research'!$B$6:$B$505,MATCH(180,'Fund Research'!$U$6:$U$505,0))="","",180),"")</f>
        <v/>
      </c>
      <c r="B185" s="35">
        <f>IFERROR(INDEX('Fund Research'!$A$6:$A$505,MATCH(180,'Fund Research'!$U$6:$U$505,0)),"")</f>
        <v/>
      </c>
      <c r="C185" s="35">
        <f>IFERROR(INDEX('Fund Research'!$B$6:$B$505,MATCH(180,'Fund Research'!$U$6:$U$505,0)),"")</f>
        <v/>
      </c>
      <c r="D185" s="35">
        <f>IFERROR(INDEX('Fund Research'!$C$6:$C$505,MATCH(180,'Fund Research'!$U$6:$U$505,0)),"")</f>
        <v/>
      </c>
      <c r="E185" s="36">
        <f>IFERROR(INDEX('Fund Research'!$G$6:$G$505,MATCH(180,'Fund Research'!$U$6:$U$505,0)),"")</f>
        <v/>
      </c>
      <c r="F185" s="36">
        <f>IFERROR(INDEX('Fund Research'!$H$6:$H$505,MATCH(180,'Fund Research'!$U$6:$U$505,0)),"")</f>
        <v/>
      </c>
      <c r="G185" s="36">
        <f>IFERROR(INDEX('Fund Research'!$I$6:$I$505,MATCH(180,'Fund Research'!$U$6:$U$505,0)),"")</f>
        <v/>
      </c>
      <c r="H185" s="37">
        <f>IFERROR(INDEX('Fund Research'!$J$6:$J$505,MATCH(180,'Fund Research'!$U$6:$U$505,0)),"")</f>
        <v/>
      </c>
      <c r="I185" s="38">
        <f>IFERROR(INDEX('Fund Research'!$L$6:$L$505,MATCH(180,'Fund Research'!$U$6:$U$505,0)),"")</f>
        <v/>
      </c>
      <c r="J185" s="37">
        <f>IFERROR(INDEX('Fund Research'!$N$6:$N$505,MATCH(180,'Fund Research'!$U$6:$U$505,0)),"")</f>
        <v/>
      </c>
      <c r="K185" s="37">
        <f>IFERROR(INDEX('Fund Research'!$P$6:$P$505,MATCH(180,'Fund Research'!$U$6:$U$505,0)),"")</f>
        <v/>
      </c>
      <c r="L185" s="35">
        <f>IFERROR(INDEX('Fund Research'!$S$6:$S$505,MATCH(180,'Fund Research'!$U$6:$U$505,0)),"")</f>
        <v/>
      </c>
      <c r="M185" s="35">
        <f>IFERROR(INDEX('Fund Research'!$T$6:$T$505,MATCH(180,'Fund Research'!$U$6:$U$505,0)),"")</f>
        <v/>
      </c>
    </row>
    <row r="186" ht="15" customHeight="1">
      <c r="A186" s="34">
        <f>IFERROR(IF(INDEX('Fund Research'!$B$6:$B$505,MATCH(181,'Fund Research'!$U$6:$U$505,0))="","",181),"")</f>
        <v/>
      </c>
      <c r="B186" s="35">
        <f>IFERROR(INDEX('Fund Research'!$A$6:$A$505,MATCH(181,'Fund Research'!$U$6:$U$505,0)),"")</f>
        <v/>
      </c>
      <c r="C186" s="35">
        <f>IFERROR(INDEX('Fund Research'!$B$6:$B$505,MATCH(181,'Fund Research'!$U$6:$U$505,0)),"")</f>
        <v/>
      </c>
      <c r="D186" s="35">
        <f>IFERROR(INDEX('Fund Research'!$C$6:$C$505,MATCH(181,'Fund Research'!$U$6:$U$505,0)),"")</f>
        <v/>
      </c>
      <c r="E186" s="36">
        <f>IFERROR(INDEX('Fund Research'!$G$6:$G$505,MATCH(181,'Fund Research'!$U$6:$U$505,0)),"")</f>
        <v/>
      </c>
      <c r="F186" s="36">
        <f>IFERROR(INDEX('Fund Research'!$H$6:$H$505,MATCH(181,'Fund Research'!$U$6:$U$505,0)),"")</f>
        <v/>
      </c>
      <c r="G186" s="36">
        <f>IFERROR(INDEX('Fund Research'!$I$6:$I$505,MATCH(181,'Fund Research'!$U$6:$U$505,0)),"")</f>
        <v/>
      </c>
      <c r="H186" s="37">
        <f>IFERROR(INDEX('Fund Research'!$J$6:$J$505,MATCH(181,'Fund Research'!$U$6:$U$505,0)),"")</f>
        <v/>
      </c>
      <c r="I186" s="38">
        <f>IFERROR(INDEX('Fund Research'!$L$6:$L$505,MATCH(181,'Fund Research'!$U$6:$U$505,0)),"")</f>
        <v/>
      </c>
      <c r="J186" s="37">
        <f>IFERROR(INDEX('Fund Research'!$N$6:$N$505,MATCH(181,'Fund Research'!$U$6:$U$505,0)),"")</f>
        <v/>
      </c>
      <c r="K186" s="37">
        <f>IFERROR(INDEX('Fund Research'!$P$6:$P$505,MATCH(181,'Fund Research'!$U$6:$U$505,0)),"")</f>
        <v/>
      </c>
      <c r="L186" s="35">
        <f>IFERROR(INDEX('Fund Research'!$S$6:$S$505,MATCH(181,'Fund Research'!$U$6:$U$505,0)),"")</f>
        <v/>
      </c>
      <c r="M186" s="35">
        <f>IFERROR(INDEX('Fund Research'!$T$6:$T$505,MATCH(181,'Fund Research'!$U$6:$U$505,0)),"")</f>
        <v/>
      </c>
    </row>
    <row r="187" ht="15" customHeight="1">
      <c r="A187" s="34">
        <f>IFERROR(IF(INDEX('Fund Research'!$B$6:$B$505,MATCH(182,'Fund Research'!$U$6:$U$505,0))="","",182),"")</f>
        <v/>
      </c>
      <c r="B187" s="35">
        <f>IFERROR(INDEX('Fund Research'!$A$6:$A$505,MATCH(182,'Fund Research'!$U$6:$U$505,0)),"")</f>
        <v/>
      </c>
      <c r="C187" s="35">
        <f>IFERROR(INDEX('Fund Research'!$B$6:$B$505,MATCH(182,'Fund Research'!$U$6:$U$505,0)),"")</f>
        <v/>
      </c>
      <c r="D187" s="35">
        <f>IFERROR(INDEX('Fund Research'!$C$6:$C$505,MATCH(182,'Fund Research'!$U$6:$U$505,0)),"")</f>
        <v/>
      </c>
      <c r="E187" s="36">
        <f>IFERROR(INDEX('Fund Research'!$G$6:$G$505,MATCH(182,'Fund Research'!$U$6:$U$505,0)),"")</f>
        <v/>
      </c>
      <c r="F187" s="36">
        <f>IFERROR(INDEX('Fund Research'!$H$6:$H$505,MATCH(182,'Fund Research'!$U$6:$U$505,0)),"")</f>
        <v/>
      </c>
      <c r="G187" s="36">
        <f>IFERROR(INDEX('Fund Research'!$I$6:$I$505,MATCH(182,'Fund Research'!$U$6:$U$505,0)),"")</f>
        <v/>
      </c>
      <c r="H187" s="37">
        <f>IFERROR(INDEX('Fund Research'!$J$6:$J$505,MATCH(182,'Fund Research'!$U$6:$U$505,0)),"")</f>
        <v/>
      </c>
      <c r="I187" s="38">
        <f>IFERROR(INDEX('Fund Research'!$L$6:$L$505,MATCH(182,'Fund Research'!$U$6:$U$505,0)),"")</f>
        <v/>
      </c>
      <c r="J187" s="37">
        <f>IFERROR(INDEX('Fund Research'!$N$6:$N$505,MATCH(182,'Fund Research'!$U$6:$U$505,0)),"")</f>
        <v/>
      </c>
      <c r="K187" s="37">
        <f>IFERROR(INDEX('Fund Research'!$P$6:$P$505,MATCH(182,'Fund Research'!$U$6:$U$505,0)),"")</f>
        <v/>
      </c>
      <c r="L187" s="35">
        <f>IFERROR(INDEX('Fund Research'!$S$6:$S$505,MATCH(182,'Fund Research'!$U$6:$U$505,0)),"")</f>
        <v/>
      </c>
      <c r="M187" s="35">
        <f>IFERROR(INDEX('Fund Research'!$T$6:$T$505,MATCH(182,'Fund Research'!$U$6:$U$505,0)),"")</f>
        <v/>
      </c>
    </row>
    <row r="188" ht="15" customHeight="1">
      <c r="A188" s="34">
        <f>IFERROR(IF(INDEX('Fund Research'!$B$6:$B$505,MATCH(183,'Fund Research'!$U$6:$U$505,0))="","",183),"")</f>
        <v/>
      </c>
      <c r="B188" s="35">
        <f>IFERROR(INDEX('Fund Research'!$A$6:$A$505,MATCH(183,'Fund Research'!$U$6:$U$505,0)),"")</f>
        <v/>
      </c>
      <c r="C188" s="35">
        <f>IFERROR(INDEX('Fund Research'!$B$6:$B$505,MATCH(183,'Fund Research'!$U$6:$U$505,0)),"")</f>
        <v/>
      </c>
      <c r="D188" s="35">
        <f>IFERROR(INDEX('Fund Research'!$C$6:$C$505,MATCH(183,'Fund Research'!$U$6:$U$505,0)),"")</f>
        <v/>
      </c>
      <c r="E188" s="36">
        <f>IFERROR(INDEX('Fund Research'!$G$6:$G$505,MATCH(183,'Fund Research'!$U$6:$U$505,0)),"")</f>
        <v/>
      </c>
      <c r="F188" s="36">
        <f>IFERROR(INDEX('Fund Research'!$H$6:$H$505,MATCH(183,'Fund Research'!$U$6:$U$505,0)),"")</f>
        <v/>
      </c>
      <c r="G188" s="36">
        <f>IFERROR(INDEX('Fund Research'!$I$6:$I$505,MATCH(183,'Fund Research'!$U$6:$U$505,0)),"")</f>
        <v/>
      </c>
      <c r="H188" s="37">
        <f>IFERROR(INDEX('Fund Research'!$J$6:$J$505,MATCH(183,'Fund Research'!$U$6:$U$505,0)),"")</f>
        <v/>
      </c>
      <c r="I188" s="38">
        <f>IFERROR(INDEX('Fund Research'!$L$6:$L$505,MATCH(183,'Fund Research'!$U$6:$U$505,0)),"")</f>
        <v/>
      </c>
      <c r="J188" s="37">
        <f>IFERROR(INDEX('Fund Research'!$N$6:$N$505,MATCH(183,'Fund Research'!$U$6:$U$505,0)),"")</f>
        <v/>
      </c>
      <c r="K188" s="37">
        <f>IFERROR(INDEX('Fund Research'!$P$6:$P$505,MATCH(183,'Fund Research'!$U$6:$U$505,0)),"")</f>
        <v/>
      </c>
      <c r="L188" s="35">
        <f>IFERROR(INDEX('Fund Research'!$S$6:$S$505,MATCH(183,'Fund Research'!$U$6:$U$505,0)),"")</f>
        <v/>
      </c>
      <c r="M188" s="35">
        <f>IFERROR(INDEX('Fund Research'!$T$6:$T$505,MATCH(183,'Fund Research'!$U$6:$U$505,0)),"")</f>
        <v/>
      </c>
    </row>
    <row r="189" ht="15" customHeight="1">
      <c r="A189" s="34">
        <f>IFERROR(IF(INDEX('Fund Research'!$B$6:$B$505,MATCH(184,'Fund Research'!$U$6:$U$505,0))="","",184),"")</f>
        <v/>
      </c>
      <c r="B189" s="35">
        <f>IFERROR(INDEX('Fund Research'!$A$6:$A$505,MATCH(184,'Fund Research'!$U$6:$U$505,0)),"")</f>
        <v/>
      </c>
      <c r="C189" s="35">
        <f>IFERROR(INDEX('Fund Research'!$B$6:$B$505,MATCH(184,'Fund Research'!$U$6:$U$505,0)),"")</f>
        <v/>
      </c>
      <c r="D189" s="35">
        <f>IFERROR(INDEX('Fund Research'!$C$6:$C$505,MATCH(184,'Fund Research'!$U$6:$U$505,0)),"")</f>
        <v/>
      </c>
      <c r="E189" s="36">
        <f>IFERROR(INDEX('Fund Research'!$G$6:$G$505,MATCH(184,'Fund Research'!$U$6:$U$505,0)),"")</f>
        <v/>
      </c>
      <c r="F189" s="36">
        <f>IFERROR(INDEX('Fund Research'!$H$6:$H$505,MATCH(184,'Fund Research'!$U$6:$U$505,0)),"")</f>
        <v/>
      </c>
      <c r="G189" s="36">
        <f>IFERROR(INDEX('Fund Research'!$I$6:$I$505,MATCH(184,'Fund Research'!$U$6:$U$505,0)),"")</f>
        <v/>
      </c>
      <c r="H189" s="37">
        <f>IFERROR(INDEX('Fund Research'!$J$6:$J$505,MATCH(184,'Fund Research'!$U$6:$U$505,0)),"")</f>
        <v/>
      </c>
      <c r="I189" s="38">
        <f>IFERROR(INDEX('Fund Research'!$L$6:$L$505,MATCH(184,'Fund Research'!$U$6:$U$505,0)),"")</f>
        <v/>
      </c>
      <c r="J189" s="37">
        <f>IFERROR(INDEX('Fund Research'!$N$6:$N$505,MATCH(184,'Fund Research'!$U$6:$U$505,0)),"")</f>
        <v/>
      </c>
      <c r="K189" s="37">
        <f>IFERROR(INDEX('Fund Research'!$P$6:$P$505,MATCH(184,'Fund Research'!$U$6:$U$505,0)),"")</f>
        <v/>
      </c>
      <c r="L189" s="35">
        <f>IFERROR(INDEX('Fund Research'!$S$6:$S$505,MATCH(184,'Fund Research'!$U$6:$U$505,0)),"")</f>
        <v/>
      </c>
      <c r="M189" s="35">
        <f>IFERROR(INDEX('Fund Research'!$T$6:$T$505,MATCH(184,'Fund Research'!$U$6:$U$505,0)),"")</f>
        <v/>
      </c>
    </row>
    <row r="190" ht="15" customHeight="1">
      <c r="A190" s="34">
        <f>IFERROR(IF(INDEX('Fund Research'!$B$6:$B$505,MATCH(185,'Fund Research'!$U$6:$U$505,0))="","",185),"")</f>
        <v/>
      </c>
      <c r="B190" s="35">
        <f>IFERROR(INDEX('Fund Research'!$A$6:$A$505,MATCH(185,'Fund Research'!$U$6:$U$505,0)),"")</f>
        <v/>
      </c>
      <c r="C190" s="35">
        <f>IFERROR(INDEX('Fund Research'!$B$6:$B$505,MATCH(185,'Fund Research'!$U$6:$U$505,0)),"")</f>
        <v/>
      </c>
      <c r="D190" s="35">
        <f>IFERROR(INDEX('Fund Research'!$C$6:$C$505,MATCH(185,'Fund Research'!$U$6:$U$505,0)),"")</f>
        <v/>
      </c>
      <c r="E190" s="36">
        <f>IFERROR(INDEX('Fund Research'!$G$6:$G$505,MATCH(185,'Fund Research'!$U$6:$U$505,0)),"")</f>
        <v/>
      </c>
      <c r="F190" s="36">
        <f>IFERROR(INDEX('Fund Research'!$H$6:$H$505,MATCH(185,'Fund Research'!$U$6:$U$505,0)),"")</f>
        <v/>
      </c>
      <c r="G190" s="36">
        <f>IFERROR(INDEX('Fund Research'!$I$6:$I$505,MATCH(185,'Fund Research'!$U$6:$U$505,0)),"")</f>
        <v/>
      </c>
      <c r="H190" s="37">
        <f>IFERROR(INDEX('Fund Research'!$J$6:$J$505,MATCH(185,'Fund Research'!$U$6:$U$505,0)),"")</f>
        <v/>
      </c>
      <c r="I190" s="38">
        <f>IFERROR(INDEX('Fund Research'!$L$6:$L$505,MATCH(185,'Fund Research'!$U$6:$U$505,0)),"")</f>
        <v/>
      </c>
      <c r="J190" s="37">
        <f>IFERROR(INDEX('Fund Research'!$N$6:$N$505,MATCH(185,'Fund Research'!$U$6:$U$505,0)),"")</f>
        <v/>
      </c>
      <c r="K190" s="37">
        <f>IFERROR(INDEX('Fund Research'!$P$6:$P$505,MATCH(185,'Fund Research'!$U$6:$U$505,0)),"")</f>
        <v/>
      </c>
      <c r="L190" s="35">
        <f>IFERROR(INDEX('Fund Research'!$S$6:$S$505,MATCH(185,'Fund Research'!$U$6:$U$505,0)),"")</f>
        <v/>
      </c>
      <c r="M190" s="35">
        <f>IFERROR(INDEX('Fund Research'!$T$6:$T$505,MATCH(185,'Fund Research'!$U$6:$U$505,0)),"")</f>
        <v/>
      </c>
    </row>
    <row r="191" ht="15" customHeight="1">
      <c r="A191" s="34">
        <f>IFERROR(IF(INDEX('Fund Research'!$B$6:$B$505,MATCH(186,'Fund Research'!$U$6:$U$505,0))="","",186),"")</f>
        <v/>
      </c>
      <c r="B191" s="35">
        <f>IFERROR(INDEX('Fund Research'!$A$6:$A$505,MATCH(186,'Fund Research'!$U$6:$U$505,0)),"")</f>
        <v/>
      </c>
      <c r="C191" s="35">
        <f>IFERROR(INDEX('Fund Research'!$B$6:$B$505,MATCH(186,'Fund Research'!$U$6:$U$505,0)),"")</f>
        <v/>
      </c>
      <c r="D191" s="35">
        <f>IFERROR(INDEX('Fund Research'!$C$6:$C$505,MATCH(186,'Fund Research'!$U$6:$U$505,0)),"")</f>
        <v/>
      </c>
      <c r="E191" s="36">
        <f>IFERROR(INDEX('Fund Research'!$G$6:$G$505,MATCH(186,'Fund Research'!$U$6:$U$505,0)),"")</f>
        <v/>
      </c>
      <c r="F191" s="36">
        <f>IFERROR(INDEX('Fund Research'!$H$6:$H$505,MATCH(186,'Fund Research'!$U$6:$U$505,0)),"")</f>
        <v/>
      </c>
      <c r="G191" s="36">
        <f>IFERROR(INDEX('Fund Research'!$I$6:$I$505,MATCH(186,'Fund Research'!$U$6:$U$505,0)),"")</f>
        <v/>
      </c>
      <c r="H191" s="37">
        <f>IFERROR(INDEX('Fund Research'!$J$6:$J$505,MATCH(186,'Fund Research'!$U$6:$U$505,0)),"")</f>
        <v/>
      </c>
      <c r="I191" s="38">
        <f>IFERROR(INDEX('Fund Research'!$L$6:$L$505,MATCH(186,'Fund Research'!$U$6:$U$505,0)),"")</f>
        <v/>
      </c>
      <c r="J191" s="37">
        <f>IFERROR(INDEX('Fund Research'!$N$6:$N$505,MATCH(186,'Fund Research'!$U$6:$U$505,0)),"")</f>
        <v/>
      </c>
      <c r="K191" s="37">
        <f>IFERROR(INDEX('Fund Research'!$P$6:$P$505,MATCH(186,'Fund Research'!$U$6:$U$505,0)),"")</f>
        <v/>
      </c>
      <c r="L191" s="35">
        <f>IFERROR(INDEX('Fund Research'!$S$6:$S$505,MATCH(186,'Fund Research'!$U$6:$U$505,0)),"")</f>
        <v/>
      </c>
      <c r="M191" s="35">
        <f>IFERROR(INDEX('Fund Research'!$T$6:$T$505,MATCH(186,'Fund Research'!$U$6:$U$505,0)),"")</f>
        <v/>
      </c>
    </row>
    <row r="192" ht="15" customHeight="1">
      <c r="A192" s="34">
        <f>IFERROR(IF(INDEX('Fund Research'!$B$6:$B$505,MATCH(187,'Fund Research'!$U$6:$U$505,0))="","",187),"")</f>
        <v/>
      </c>
      <c r="B192" s="35">
        <f>IFERROR(INDEX('Fund Research'!$A$6:$A$505,MATCH(187,'Fund Research'!$U$6:$U$505,0)),"")</f>
        <v/>
      </c>
      <c r="C192" s="35">
        <f>IFERROR(INDEX('Fund Research'!$B$6:$B$505,MATCH(187,'Fund Research'!$U$6:$U$505,0)),"")</f>
        <v/>
      </c>
      <c r="D192" s="35">
        <f>IFERROR(INDEX('Fund Research'!$C$6:$C$505,MATCH(187,'Fund Research'!$U$6:$U$505,0)),"")</f>
        <v/>
      </c>
      <c r="E192" s="36">
        <f>IFERROR(INDEX('Fund Research'!$G$6:$G$505,MATCH(187,'Fund Research'!$U$6:$U$505,0)),"")</f>
        <v/>
      </c>
      <c r="F192" s="36">
        <f>IFERROR(INDEX('Fund Research'!$H$6:$H$505,MATCH(187,'Fund Research'!$U$6:$U$505,0)),"")</f>
        <v/>
      </c>
      <c r="G192" s="36">
        <f>IFERROR(INDEX('Fund Research'!$I$6:$I$505,MATCH(187,'Fund Research'!$U$6:$U$505,0)),"")</f>
        <v/>
      </c>
      <c r="H192" s="37">
        <f>IFERROR(INDEX('Fund Research'!$J$6:$J$505,MATCH(187,'Fund Research'!$U$6:$U$505,0)),"")</f>
        <v/>
      </c>
      <c r="I192" s="38">
        <f>IFERROR(INDEX('Fund Research'!$L$6:$L$505,MATCH(187,'Fund Research'!$U$6:$U$505,0)),"")</f>
        <v/>
      </c>
      <c r="J192" s="37">
        <f>IFERROR(INDEX('Fund Research'!$N$6:$N$505,MATCH(187,'Fund Research'!$U$6:$U$505,0)),"")</f>
        <v/>
      </c>
      <c r="K192" s="37">
        <f>IFERROR(INDEX('Fund Research'!$P$6:$P$505,MATCH(187,'Fund Research'!$U$6:$U$505,0)),"")</f>
        <v/>
      </c>
      <c r="L192" s="35">
        <f>IFERROR(INDEX('Fund Research'!$S$6:$S$505,MATCH(187,'Fund Research'!$U$6:$U$505,0)),"")</f>
        <v/>
      </c>
      <c r="M192" s="35">
        <f>IFERROR(INDEX('Fund Research'!$T$6:$T$505,MATCH(187,'Fund Research'!$U$6:$U$505,0)),"")</f>
        <v/>
      </c>
    </row>
    <row r="193" ht="15" customHeight="1">
      <c r="A193" s="34">
        <f>IFERROR(IF(INDEX('Fund Research'!$B$6:$B$505,MATCH(188,'Fund Research'!$U$6:$U$505,0))="","",188),"")</f>
        <v/>
      </c>
      <c r="B193" s="35">
        <f>IFERROR(INDEX('Fund Research'!$A$6:$A$505,MATCH(188,'Fund Research'!$U$6:$U$505,0)),"")</f>
        <v/>
      </c>
      <c r="C193" s="35">
        <f>IFERROR(INDEX('Fund Research'!$B$6:$B$505,MATCH(188,'Fund Research'!$U$6:$U$505,0)),"")</f>
        <v/>
      </c>
      <c r="D193" s="35">
        <f>IFERROR(INDEX('Fund Research'!$C$6:$C$505,MATCH(188,'Fund Research'!$U$6:$U$505,0)),"")</f>
        <v/>
      </c>
      <c r="E193" s="36">
        <f>IFERROR(INDEX('Fund Research'!$G$6:$G$505,MATCH(188,'Fund Research'!$U$6:$U$505,0)),"")</f>
        <v/>
      </c>
      <c r="F193" s="36">
        <f>IFERROR(INDEX('Fund Research'!$H$6:$H$505,MATCH(188,'Fund Research'!$U$6:$U$505,0)),"")</f>
        <v/>
      </c>
      <c r="G193" s="36">
        <f>IFERROR(INDEX('Fund Research'!$I$6:$I$505,MATCH(188,'Fund Research'!$U$6:$U$505,0)),"")</f>
        <v/>
      </c>
      <c r="H193" s="37">
        <f>IFERROR(INDEX('Fund Research'!$J$6:$J$505,MATCH(188,'Fund Research'!$U$6:$U$505,0)),"")</f>
        <v/>
      </c>
      <c r="I193" s="38">
        <f>IFERROR(INDEX('Fund Research'!$L$6:$L$505,MATCH(188,'Fund Research'!$U$6:$U$505,0)),"")</f>
        <v/>
      </c>
      <c r="J193" s="37">
        <f>IFERROR(INDEX('Fund Research'!$N$6:$N$505,MATCH(188,'Fund Research'!$U$6:$U$505,0)),"")</f>
        <v/>
      </c>
      <c r="K193" s="37">
        <f>IFERROR(INDEX('Fund Research'!$P$6:$P$505,MATCH(188,'Fund Research'!$U$6:$U$505,0)),"")</f>
        <v/>
      </c>
      <c r="L193" s="35">
        <f>IFERROR(INDEX('Fund Research'!$S$6:$S$505,MATCH(188,'Fund Research'!$U$6:$U$505,0)),"")</f>
        <v/>
      </c>
      <c r="M193" s="35">
        <f>IFERROR(INDEX('Fund Research'!$T$6:$T$505,MATCH(188,'Fund Research'!$U$6:$U$505,0)),"")</f>
        <v/>
      </c>
    </row>
    <row r="194" ht="15" customHeight="1">
      <c r="A194" s="34">
        <f>IFERROR(IF(INDEX('Fund Research'!$B$6:$B$505,MATCH(189,'Fund Research'!$U$6:$U$505,0))="","",189),"")</f>
        <v/>
      </c>
      <c r="B194" s="35">
        <f>IFERROR(INDEX('Fund Research'!$A$6:$A$505,MATCH(189,'Fund Research'!$U$6:$U$505,0)),"")</f>
        <v/>
      </c>
      <c r="C194" s="35">
        <f>IFERROR(INDEX('Fund Research'!$B$6:$B$505,MATCH(189,'Fund Research'!$U$6:$U$505,0)),"")</f>
        <v/>
      </c>
      <c r="D194" s="35">
        <f>IFERROR(INDEX('Fund Research'!$C$6:$C$505,MATCH(189,'Fund Research'!$U$6:$U$505,0)),"")</f>
        <v/>
      </c>
      <c r="E194" s="36">
        <f>IFERROR(INDEX('Fund Research'!$G$6:$G$505,MATCH(189,'Fund Research'!$U$6:$U$505,0)),"")</f>
        <v/>
      </c>
      <c r="F194" s="36">
        <f>IFERROR(INDEX('Fund Research'!$H$6:$H$505,MATCH(189,'Fund Research'!$U$6:$U$505,0)),"")</f>
        <v/>
      </c>
      <c r="G194" s="36">
        <f>IFERROR(INDEX('Fund Research'!$I$6:$I$505,MATCH(189,'Fund Research'!$U$6:$U$505,0)),"")</f>
        <v/>
      </c>
      <c r="H194" s="37">
        <f>IFERROR(INDEX('Fund Research'!$J$6:$J$505,MATCH(189,'Fund Research'!$U$6:$U$505,0)),"")</f>
        <v/>
      </c>
      <c r="I194" s="38">
        <f>IFERROR(INDEX('Fund Research'!$L$6:$L$505,MATCH(189,'Fund Research'!$U$6:$U$505,0)),"")</f>
        <v/>
      </c>
      <c r="J194" s="37">
        <f>IFERROR(INDEX('Fund Research'!$N$6:$N$505,MATCH(189,'Fund Research'!$U$6:$U$505,0)),"")</f>
        <v/>
      </c>
      <c r="K194" s="37">
        <f>IFERROR(INDEX('Fund Research'!$P$6:$P$505,MATCH(189,'Fund Research'!$U$6:$U$505,0)),"")</f>
        <v/>
      </c>
      <c r="L194" s="35">
        <f>IFERROR(INDEX('Fund Research'!$S$6:$S$505,MATCH(189,'Fund Research'!$U$6:$U$505,0)),"")</f>
        <v/>
      </c>
      <c r="M194" s="35">
        <f>IFERROR(INDEX('Fund Research'!$T$6:$T$505,MATCH(189,'Fund Research'!$U$6:$U$505,0)),"")</f>
        <v/>
      </c>
    </row>
    <row r="195" ht="15" customHeight="1">
      <c r="A195" s="34">
        <f>IFERROR(IF(INDEX('Fund Research'!$B$6:$B$505,MATCH(190,'Fund Research'!$U$6:$U$505,0))="","",190),"")</f>
        <v/>
      </c>
      <c r="B195" s="35">
        <f>IFERROR(INDEX('Fund Research'!$A$6:$A$505,MATCH(190,'Fund Research'!$U$6:$U$505,0)),"")</f>
        <v/>
      </c>
      <c r="C195" s="35">
        <f>IFERROR(INDEX('Fund Research'!$B$6:$B$505,MATCH(190,'Fund Research'!$U$6:$U$505,0)),"")</f>
        <v/>
      </c>
      <c r="D195" s="35">
        <f>IFERROR(INDEX('Fund Research'!$C$6:$C$505,MATCH(190,'Fund Research'!$U$6:$U$505,0)),"")</f>
        <v/>
      </c>
      <c r="E195" s="36">
        <f>IFERROR(INDEX('Fund Research'!$G$6:$G$505,MATCH(190,'Fund Research'!$U$6:$U$505,0)),"")</f>
        <v/>
      </c>
      <c r="F195" s="36">
        <f>IFERROR(INDEX('Fund Research'!$H$6:$H$505,MATCH(190,'Fund Research'!$U$6:$U$505,0)),"")</f>
        <v/>
      </c>
      <c r="G195" s="36">
        <f>IFERROR(INDEX('Fund Research'!$I$6:$I$505,MATCH(190,'Fund Research'!$U$6:$U$505,0)),"")</f>
        <v/>
      </c>
      <c r="H195" s="37">
        <f>IFERROR(INDEX('Fund Research'!$J$6:$J$505,MATCH(190,'Fund Research'!$U$6:$U$505,0)),"")</f>
        <v/>
      </c>
      <c r="I195" s="38">
        <f>IFERROR(INDEX('Fund Research'!$L$6:$L$505,MATCH(190,'Fund Research'!$U$6:$U$505,0)),"")</f>
        <v/>
      </c>
      <c r="J195" s="37">
        <f>IFERROR(INDEX('Fund Research'!$N$6:$N$505,MATCH(190,'Fund Research'!$U$6:$U$505,0)),"")</f>
        <v/>
      </c>
      <c r="K195" s="37">
        <f>IFERROR(INDEX('Fund Research'!$P$6:$P$505,MATCH(190,'Fund Research'!$U$6:$U$505,0)),"")</f>
        <v/>
      </c>
      <c r="L195" s="35">
        <f>IFERROR(INDEX('Fund Research'!$S$6:$S$505,MATCH(190,'Fund Research'!$U$6:$U$505,0)),"")</f>
        <v/>
      </c>
      <c r="M195" s="35">
        <f>IFERROR(INDEX('Fund Research'!$T$6:$T$505,MATCH(190,'Fund Research'!$U$6:$U$505,0)),"")</f>
        <v/>
      </c>
    </row>
    <row r="196" ht="15" customHeight="1">
      <c r="A196" s="34">
        <f>IFERROR(IF(INDEX('Fund Research'!$B$6:$B$505,MATCH(191,'Fund Research'!$U$6:$U$505,0))="","",191),"")</f>
        <v/>
      </c>
      <c r="B196" s="35">
        <f>IFERROR(INDEX('Fund Research'!$A$6:$A$505,MATCH(191,'Fund Research'!$U$6:$U$505,0)),"")</f>
        <v/>
      </c>
      <c r="C196" s="35">
        <f>IFERROR(INDEX('Fund Research'!$B$6:$B$505,MATCH(191,'Fund Research'!$U$6:$U$505,0)),"")</f>
        <v/>
      </c>
      <c r="D196" s="35">
        <f>IFERROR(INDEX('Fund Research'!$C$6:$C$505,MATCH(191,'Fund Research'!$U$6:$U$505,0)),"")</f>
        <v/>
      </c>
      <c r="E196" s="36">
        <f>IFERROR(INDEX('Fund Research'!$G$6:$G$505,MATCH(191,'Fund Research'!$U$6:$U$505,0)),"")</f>
        <v/>
      </c>
      <c r="F196" s="36">
        <f>IFERROR(INDEX('Fund Research'!$H$6:$H$505,MATCH(191,'Fund Research'!$U$6:$U$505,0)),"")</f>
        <v/>
      </c>
      <c r="G196" s="36">
        <f>IFERROR(INDEX('Fund Research'!$I$6:$I$505,MATCH(191,'Fund Research'!$U$6:$U$505,0)),"")</f>
        <v/>
      </c>
      <c r="H196" s="37">
        <f>IFERROR(INDEX('Fund Research'!$J$6:$J$505,MATCH(191,'Fund Research'!$U$6:$U$505,0)),"")</f>
        <v/>
      </c>
      <c r="I196" s="38">
        <f>IFERROR(INDEX('Fund Research'!$L$6:$L$505,MATCH(191,'Fund Research'!$U$6:$U$505,0)),"")</f>
        <v/>
      </c>
      <c r="J196" s="37">
        <f>IFERROR(INDEX('Fund Research'!$N$6:$N$505,MATCH(191,'Fund Research'!$U$6:$U$505,0)),"")</f>
        <v/>
      </c>
      <c r="K196" s="37">
        <f>IFERROR(INDEX('Fund Research'!$P$6:$P$505,MATCH(191,'Fund Research'!$U$6:$U$505,0)),"")</f>
        <v/>
      </c>
      <c r="L196" s="35">
        <f>IFERROR(INDEX('Fund Research'!$S$6:$S$505,MATCH(191,'Fund Research'!$U$6:$U$505,0)),"")</f>
        <v/>
      </c>
      <c r="M196" s="35">
        <f>IFERROR(INDEX('Fund Research'!$T$6:$T$505,MATCH(191,'Fund Research'!$U$6:$U$505,0)),"")</f>
        <v/>
      </c>
    </row>
    <row r="197" ht="15" customHeight="1">
      <c r="A197" s="34">
        <f>IFERROR(IF(INDEX('Fund Research'!$B$6:$B$505,MATCH(192,'Fund Research'!$U$6:$U$505,0))="","",192),"")</f>
        <v/>
      </c>
      <c r="B197" s="35">
        <f>IFERROR(INDEX('Fund Research'!$A$6:$A$505,MATCH(192,'Fund Research'!$U$6:$U$505,0)),"")</f>
        <v/>
      </c>
      <c r="C197" s="35">
        <f>IFERROR(INDEX('Fund Research'!$B$6:$B$505,MATCH(192,'Fund Research'!$U$6:$U$505,0)),"")</f>
        <v/>
      </c>
      <c r="D197" s="35">
        <f>IFERROR(INDEX('Fund Research'!$C$6:$C$505,MATCH(192,'Fund Research'!$U$6:$U$505,0)),"")</f>
        <v/>
      </c>
      <c r="E197" s="36">
        <f>IFERROR(INDEX('Fund Research'!$G$6:$G$505,MATCH(192,'Fund Research'!$U$6:$U$505,0)),"")</f>
        <v/>
      </c>
      <c r="F197" s="36">
        <f>IFERROR(INDEX('Fund Research'!$H$6:$H$505,MATCH(192,'Fund Research'!$U$6:$U$505,0)),"")</f>
        <v/>
      </c>
      <c r="G197" s="36">
        <f>IFERROR(INDEX('Fund Research'!$I$6:$I$505,MATCH(192,'Fund Research'!$U$6:$U$505,0)),"")</f>
        <v/>
      </c>
      <c r="H197" s="37">
        <f>IFERROR(INDEX('Fund Research'!$J$6:$J$505,MATCH(192,'Fund Research'!$U$6:$U$505,0)),"")</f>
        <v/>
      </c>
      <c r="I197" s="38">
        <f>IFERROR(INDEX('Fund Research'!$L$6:$L$505,MATCH(192,'Fund Research'!$U$6:$U$505,0)),"")</f>
        <v/>
      </c>
      <c r="J197" s="37">
        <f>IFERROR(INDEX('Fund Research'!$N$6:$N$505,MATCH(192,'Fund Research'!$U$6:$U$505,0)),"")</f>
        <v/>
      </c>
      <c r="K197" s="37">
        <f>IFERROR(INDEX('Fund Research'!$P$6:$P$505,MATCH(192,'Fund Research'!$U$6:$U$505,0)),"")</f>
        <v/>
      </c>
      <c r="L197" s="35">
        <f>IFERROR(INDEX('Fund Research'!$S$6:$S$505,MATCH(192,'Fund Research'!$U$6:$U$505,0)),"")</f>
        <v/>
      </c>
      <c r="M197" s="35">
        <f>IFERROR(INDEX('Fund Research'!$T$6:$T$505,MATCH(192,'Fund Research'!$U$6:$U$505,0)),"")</f>
        <v/>
      </c>
    </row>
    <row r="198" ht="15" customHeight="1">
      <c r="A198" s="34">
        <f>IFERROR(IF(INDEX('Fund Research'!$B$6:$B$505,MATCH(193,'Fund Research'!$U$6:$U$505,0))="","",193),"")</f>
        <v/>
      </c>
      <c r="B198" s="35">
        <f>IFERROR(INDEX('Fund Research'!$A$6:$A$505,MATCH(193,'Fund Research'!$U$6:$U$505,0)),"")</f>
        <v/>
      </c>
      <c r="C198" s="35">
        <f>IFERROR(INDEX('Fund Research'!$B$6:$B$505,MATCH(193,'Fund Research'!$U$6:$U$505,0)),"")</f>
        <v/>
      </c>
      <c r="D198" s="35">
        <f>IFERROR(INDEX('Fund Research'!$C$6:$C$505,MATCH(193,'Fund Research'!$U$6:$U$505,0)),"")</f>
        <v/>
      </c>
      <c r="E198" s="36">
        <f>IFERROR(INDEX('Fund Research'!$G$6:$G$505,MATCH(193,'Fund Research'!$U$6:$U$505,0)),"")</f>
        <v/>
      </c>
      <c r="F198" s="36">
        <f>IFERROR(INDEX('Fund Research'!$H$6:$H$505,MATCH(193,'Fund Research'!$U$6:$U$505,0)),"")</f>
        <v/>
      </c>
      <c r="G198" s="36">
        <f>IFERROR(INDEX('Fund Research'!$I$6:$I$505,MATCH(193,'Fund Research'!$U$6:$U$505,0)),"")</f>
        <v/>
      </c>
      <c r="H198" s="37">
        <f>IFERROR(INDEX('Fund Research'!$J$6:$J$505,MATCH(193,'Fund Research'!$U$6:$U$505,0)),"")</f>
        <v/>
      </c>
      <c r="I198" s="38">
        <f>IFERROR(INDEX('Fund Research'!$L$6:$L$505,MATCH(193,'Fund Research'!$U$6:$U$505,0)),"")</f>
        <v/>
      </c>
      <c r="J198" s="37">
        <f>IFERROR(INDEX('Fund Research'!$N$6:$N$505,MATCH(193,'Fund Research'!$U$6:$U$505,0)),"")</f>
        <v/>
      </c>
      <c r="K198" s="37">
        <f>IFERROR(INDEX('Fund Research'!$P$6:$P$505,MATCH(193,'Fund Research'!$U$6:$U$505,0)),"")</f>
        <v/>
      </c>
      <c r="L198" s="35">
        <f>IFERROR(INDEX('Fund Research'!$S$6:$S$505,MATCH(193,'Fund Research'!$U$6:$U$505,0)),"")</f>
        <v/>
      </c>
      <c r="M198" s="35">
        <f>IFERROR(INDEX('Fund Research'!$T$6:$T$505,MATCH(193,'Fund Research'!$U$6:$U$505,0)),"")</f>
        <v/>
      </c>
    </row>
    <row r="199" ht="15" customHeight="1">
      <c r="A199" s="34">
        <f>IFERROR(IF(INDEX('Fund Research'!$B$6:$B$505,MATCH(194,'Fund Research'!$U$6:$U$505,0))="","",194),"")</f>
        <v/>
      </c>
      <c r="B199" s="35">
        <f>IFERROR(INDEX('Fund Research'!$A$6:$A$505,MATCH(194,'Fund Research'!$U$6:$U$505,0)),"")</f>
        <v/>
      </c>
      <c r="C199" s="35">
        <f>IFERROR(INDEX('Fund Research'!$B$6:$B$505,MATCH(194,'Fund Research'!$U$6:$U$505,0)),"")</f>
        <v/>
      </c>
      <c r="D199" s="35">
        <f>IFERROR(INDEX('Fund Research'!$C$6:$C$505,MATCH(194,'Fund Research'!$U$6:$U$505,0)),"")</f>
        <v/>
      </c>
      <c r="E199" s="36">
        <f>IFERROR(INDEX('Fund Research'!$G$6:$G$505,MATCH(194,'Fund Research'!$U$6:$U$505,0)),"")</f>
        <v/>
      </c>
      <c r="F199" s="36">
        <f>IFERROR(INDEX('Fund Research'!$H$6:$H$505,MATCH(194,'Fund Research'!$U$6:$U$505,0)),"")</f>
        <v/>
      </c>
      <c r="G199" s="36">
        <f>IFERROR(INDEX('Fund Research'!$I$6:$I$505,MATCH(194,'Fund Research'!$U$6:$U$505,0)),"")</f>
        <v/>
      </c>
      <c r="H199" s="37">
        <f>IFERROR(INDEX('Fund Research'!$J$6:$J$505,MATCH(194,'Fund Research'!$U$6:$U$505,0)),"")</f>
        <v/>
      </c>
      <c r="I199" s="38">
        <f>IFERROR(INDEX('Fund Research'!$L$6:$L$505,MATCH(194,'Fund Research'!$U$6:$U$505,0)),"")</f>
        <v/>
      </c>
      <c r="J199" s="37">
        <f>IFERROR(INDEX('Fund Research'!$N$6:$N$505,MATCH(194,'Fund Research'!$U$6:$U$505,0)),"")</f>
        <v/>
      </c>
      <c r="K199" s="37">
        <f>IFERROR(INDEX('Fund Research'!$P$6:$P$505,MATCH(194,'Fund Research'!$U$6:$U$505,0)),"")</f>
        <v/>
      </c>
      <c r="L199" s="35">
        <f>IFERROR(INDEX('Fund Research'!$S$6:$S$505,MATCH(194,'Fund Research'!$U$6:$U$505,0)),"")</f>
        <v/>
      </c>
      <c r="M199" s="35">
        <f>IFERROR(INDEX('Fund Research'!$T$6:$T$505,MATCH(194,'Fund Research'!$U$6:$U$505,0)),"")</f>
        <v/>
      </c>
    </row>
    <row r="200" ht="15" customHeight="1">
      <c r="A200" s="34">
        <f>IFERROR(IF(INDEX('Fund Research'!$B$6:$B$505,MATCH(195,'Fund Research'!$U$6:$U$505,0))="","",195),"")</f>
        <v/>
      </c>
      <c r="B200" s="35">
        <f>IFERROR(INDEX('Fund Research'!$A$6:$A$505,MATCH(195,'Fund Research'!$U$6:$U$505,0)),"")</f>
        <v/>
      </c>
      <c r="C200" s="35">
        <f>IFERROR(INDEX('Fund Research'!$B$6:$B$505,MATCH(195,'Fund Research'!$U$6:$U$505,0)),"")</f>
        <v/>
      </c>
      <c r="D200" s="35">
        <f>IFERROR(INDEX('Fund Research'!$C$6:$C$505,MATCH(195,'Fund Research'!$U$6:$U$505,0)),"")</f>
        <v/>
      </c>
      <c r="E200" s="36">
        <f>IFERROR(INDEX('Fund Research'!$G$6:$G$505,MATCH(195,'Fund Research'!$U$6:$U$505,0)),"")</f>
        <v/>
      </c>
      <c r="F200" s="36">
        <f>IFERROR(INDEX('Fund Research'!$H$6:$H$505,MATCH(195,'Fund Research'!$U$6:$U$505,0)),"")</f>
        <v/>
      </c>
      <c r="G200" s="36">
        <f>IFERROR(INDEX('Fund Research'!$I$6:$I$505,MATCH(195,'Fund Research'!$U$6:$U$505,0)),"")</f>
        <v/>
      </c>
      <c r="H200" s="37">
        <f>IFERROR(INDEX('Fund Research'!$J$6:$J$505,MATCH(195,'Fund Research'!$U$6:$U$505,0)),"")</f>
        <v/>
      </c>
      <c r="I200" s="38">
        <f>IFERROR(INDEX('Fund Research'!$L$6:$L$505,MATCH(195,'Fund Research'!$U$6:$U$505,0)),"")</f>
        <v/>
      </c>
      <c r="J200" s="37">
        <f>IFERROR(INDEX('Fund Research'!$N$6:$N$505,MATCH(195,'Fund Research'!$U$6:$U$505,0)),"")</f>
        <v/>
      </c>
      <c r="K200" s="37">
        <f>IFERROR(INDEX('Fund Research'!$P$6:$P$505,MATCH(195,'Fund Research'!$U$6:$U$505,0)),"")</f>
        <v/>
      </c>
      <c r="L200" s="35">
        <f>IFERROR(INDEX('Fund Research'!$S$6:$S$505,MATCH(195,'Fund Research'!$U$6:$U$505,0)),"")</f>
        <v/>
      </c>
      <c r="M200" s="35">
        <f>IFERROR(INDEX('Fund Research'!$T$6:$T$505,MATCH(195,'Fund Research'!$U$6:$U$505,0)),"")</f>
        <v/>
      </c>
    </row>
    <row r="201" ht="15" customHeight="1">
      <c r="A201" s="34">
        <f>IFERROR(IF(INDEX('Fund Research'!$B$6:$B$505,MATCH(196,'Fund Research'!$U$6:$U$505,0))="","",196),"")</f>
        <v/>
      </c>
      <c r="B201" s="35">
        <f>IFERROR(INDEX('Fund Research'!$A$6:$A$505,MATCH(196,'Fund Research'!$U$6:$U$505,0)),"")</f>
        <v/>
      </c>
      <c r="C201" s="35">
        <f>IFERROR(INDEX('Fund Research'!$B$6:$B$505,MATCH(196,'Fund Research'!$U$6:$U$505,0)),"")</f>
        <v/>
      </c>
      <c r="D201" s="35">
        <f>IFERROR(INDEX('Fund Research'!$C$6:$C$505,MATCH(196,'Fund Research'!$U$6:$U$505,0)),"")</f>
        <v/>
      </c>
      <c r="E201" s="36">
        <f>IFERROR(INDEX('Fund Research'!$G$6:$G$505,MATCH(196,'Fund Research'!$U$6:$U$505,0)),"")</f>
        <v/>
      </c>
      <c r="F201" s="36">
        <f>IFERROR(INDEX('Fund Research'!$H$6:$H$505,MATCH(196,'Fund Research'!$U$6:$U$505,0)),"")</f>
        <v/>
      </c>
      <c r="G201" s="36">
        <f>IFERROR(INDEX('Fund Research'!$I$6:$I$505,MATCH(196,'Fund Research'!$U$6:$U$505,0)),"")</f>
        <v/>
      </c>
      <c r="H201" s="37">
        <f>IFERROR(INDEX('Fund Research'!$J$6:$J$505,MATCH(196,'Fund Research'!$U$6:$U$505,0)),"")</f>
        <v/>
      </c>
      <c r="I201" s="38">
        <f>IFERROR(INDEX('Fund Research'!$L$6:$L$505,MATCH(196,'Fund Research'!$U$6:$U$505,0)),"")</f>
        <v/>
      </c>
      <c r="J201" s="37">
        <f>IFERROR(INDEX('Fund Research'!$N$6:$N$505,MATCH(196,'Fund Research'!$U$6:$U$505,0)),"")</f>
        <v/>
      </c>
      <c r="K201" s="37">
        <f>IFERROR(INDEX('Fund Research'!$P$6:$P$505,MATCH(196,'Fund Research'!$U$6:$U$505,0)),"")</f>
        <v/>
      </c>
      <c r="L201" s="35">
        <f>IFERROR(INDEX('Fund Research'!$S$6:$S$505,MATCH(196,'Fund Research'!$U$6:$U$505,0)),"")</f>
        <v/>
      </c>
      <c r="M201" s="35">
        <f>IFERROR(INDEX('Fund Research'!$T$6:$T$505,MATCH(196,'Fund Research'!$U$6:$U$505,0)),"")</f>
        <v/>
      </c>
    </row>
    <row r="202" ht="15" customHeight="1">
      <c r="A202" s="34">
        <f>IFERROR(IF(INDEX('Fund Research'!$B$6:$B$505,MATCH(197,'Fund Research'!$U$6:$U$505,0))="","",197),"")</f>
        <v/>
      </c>
      <c r="B202" s="35">
        <f>IFERROR(INDEX('Fund Research'!$A$6:$A$505,MATCH(197,'Fund Research'!$U$6:$U$505,0)),"")</f>
        <v/>
      </c>
      <c r="C202" s="35">
        <f>IFERROR(INDEX('Fund Research'!$B$6:$B$505,MATCH(197,'Fund Research'!$U$6:$U$505,0)),"")</f>
        <v/>
      </c>
      <c r="D202" s="35">
        <f>IFERROR(INDEX('Fund Research'!$C$6:$C$505,MATCH(197,'Fund Research'!$U$6:$U$505,0)),"")</f>
        <v/>
      </c>
      <c r="E202" s="36">
        <f>IFERROR(INDEX('Fund Research'!$G$6:$G$505,MATCH(197,'Fund Research'!$U$6:$U$505,0)),"")</f>
        <v/>
      </c>
      <c r="F202" s="36">
        <f>IFERROR(INDEX('Fund Research'!$H$6:$H$505,MATCH(197,'Fund Research'!$U$6:$U$505,0)),"")</f>
        <v/>
      </c>
      <c r="G202" s="36">
        <f>IFERROR(INDEX('Fund Research'!$I$6:$I$505,MATCH(197,'Fund Research'!$U$6:$U$505,0)),"")</f>
        <v/>
      </c>
      <c r="H202" s="37">
        <f>IFERROR(INDEX('Fund Research'!$J$6:$J$505,MATCH(197,'Fund Research'!$U$6:$U$505,0)),"")</f>
        <v/>
      </c>
      <c r="I202" s="38">
        <f>IFERROR(INDEX('Fund Research'!$L$6:$L$505,MATCH(197,'Fund Research'!$U$6:$U$505,0)),"")</f>
        <v/>
      </c>
      <c r="J202" s="37">
        <f>IFERROR(INDEX('Fund Research'!$N$6:$N$505,MATCH(197,'Fund Research'!$U$6:$U$505,0)),"")</f>
        <v/>
      </c>
      <c r="K202" s="37">
        <f>IFERROR(INDEX('Fund Research'!$P$6:$P$505,MATCH(197,'Fund Research'!$U$6:$U$505,0)),"")</f>
        <v/>
      </c>
      <c r="L202" s="35">
        <f>IFERROR(INDEX('Fund Research'!$S$6:$S$505,MATCH(197,'Fund Research'!$U$6:$U$505,0)),"")</f>
        <v/>
      </c>
      <c r="M202" s="35">
        <f>IFERROR(INDEX('Fund Research'!$T$6:$T$505,MATCH(197,'Fund Research'!$U$6:$U$505,0)),"")</f>
        <v/>
      </c>
    </row>
    <row r="203" ht="15" customHeight="1">
      <c r="A203" s="34">
        <f>IFERROR(IF(INDEX('Fund Research'!$B$6:$B$505,MATCH(198,'Fund Research'!$U$6:$U$505,0))="","",198),"")</f>
        <v/>
      </c>
      <c r="B203" s="35">
        <f>IFERROR(INDEX('Fund Research'!$A$6:$A$505,MATCH(198,'Fund Research'!$U$6:$U$505,0)),"")</f>
        <v/>
      </c>
      <c r="C203" s="35">
        <f>IFERROR(INDEX('Fund Research'!$B$6:$B$505,MATCH(198,'Fund Research'!$U$6:$U$505,0)),"")</f>
        <v/>
      </c>
      <c r="D203" s="35">
        <f>IFERROR(INDEX('Fund Research'!$C$6:$C$505,MATCH(198,'Fund Research'!$U$6:$U$505,0)),"")</f>
        <v/>
      </c>
      <c r="E203" s="36">
        <f>IFERROR(INDEX('Fund Research'!$G$6:$G$505,MATCH(198,'Fund Research'!$U$6:$U$505,0)),"")</f>
        <v/>
      </c>
      <c r="F203" s="36">
        <f>IFERROR(INDEX('Fund Research'!$H$6:$H$505,MATCH(198,'Fund Research'!$U$6:$U$505,0)),"")</f>
        <v/>
      </c>
      <c r="G203" s="36">
        <f>IFERROR(INDEX('Fund Research'!$I$6:$I$505,MATCH(198,'Fund Research'!$U$6:$U$505,0)),"")</f>
        <v/>
      </c>
      <c r="H203" s="37">
        <f>IFERROR(INDEX('Fund Research'!$J$6:$J$505,MATCH(198,'Fund Research'!$U$6:$U$505,0)),"")</f>
        <v/>
      </c>
      <c r="I203" s="38">
        <f>IFERROR(INDEX('Fund Research'!$L$6:$L$505,MATCH(198,'Fund Research'!$U$6:$U$505,0)),"")</f>
        <v/>
      </c>
      <c r="J203" s="37">
        <f>IFERROR(INDEX('Fund Research'!$N$6:$N$505,MATCH(198,'Fund Research'!$U$6:$U$505,0)),"")</f>
        <v/>
      </c>
      <c r="K203" s="37">
        <f>IFERROR(INDEX('Fund Research'!$P$6:$P$505,MATCH(198,'Fund Research'!$U$6:$U$505,0)),"")</f>
        <v/>
      </c>
      <c r="L203" s="35">
        <f>IFERROR(INDEX('Fund Research'!$S$6:$S$505,MATCH(198,'Fund Research'!$U$6:$U$505,0)),"")</f>
        <v/>
      </c>
      <c r="M203" s="35">
        <f>IFERROR(INDEX('Fund Research'!$T$6:$T$505,MATCH(198,'Fund Research'!$U$6:$U$505,0)),"")</f>
        <v/>
      </c>
    </row>
    <row r="204" ht="15" customHeight="1">
      <c r="A204" s="34">
        <f>IFERROR(IF(INDEX('Fund Research'!$B$6:$B$505,MATCH(199,'Fund Research'!$U$6:$U$505,0))="","",199),"")</f>
        <v/>
      </c>
      <c r="B204" s="35">
        <f>IFERROR(INDEX('Fund Research'!$A$6:$A$505,MATCH(199,'Fund Research'!$U$6:$U$505,0)),"")</f>
        <v/>
      </c>
      <c r="C204" s="35">
        <f>IFERROR(INDEX('Fund Research'!$B$6:$B$505,MATCH(199,'Fund Research'!$U$6:$U$505,0)),"")</f>
        <v/>
      </c>
      <c r="D204" s="35">
        <f>IFERROR(INDEX('Fund Research'!$C$6:$C$505,MATCH(199,'Fund Research'!$U$6:$U$505,0)),"")</f>
        <v/>
      </c>
      <c r="E204" s="36">
        <f>IFERROR(INDEX('Fund Research'!$G$6:$G$505,MATCH(199,'Fund Research'!$U$6:$U$505,0)),"")</f>
        <v/>
      </c>
      <c r="F204" s="36">
        <f>IFERROR(INDEX('Fund Research'!$H$6:$H$505,MATCH(199,'Fund Research'!$U$6:$U$505,0)),"")</f>
        <v/>
      </c>
      <c r="G204" s="36">
        <f>IFERROR(INDEX('Fund Research'!$I$6:$I$505,MATCH(199,'Fund Research'!$U$6:$U$505,0)),"")</f>
        <v/>
      </c>
      <c r="H204" s="37">
        <f>IFERROR(INDEX('Fund Research'!$J$6:$J$505,MATCH(199,'Fund Research'!$U$6:$U$505,0)),"")</f>
        <v/>
      </c>
      <c r="I204" s="38">
        <f>IFERROR(INDEX('Fund Research'!$L$6:$L$505,MATCH(199,'Fund Research'!$U$6:$U$505,0)),"")</f>
        <v/>
      </c>
      <c r="J204" s="37">
        <f>IFERROR(INDEX('Fund Research'!$N$6:$N$505,MATCH(199,'Fund Research'!$U$6:$U$505,0)),"")</f>
        <v/>
      </c>
      <c r="K204" s="37">
        <f>IFERROR(INDEX('Fund Research'!$P$6:$P$505,MATCH(199,'Fund Research'!$U$6:$U$505,0)),"")</f>
        <v/>
      </c>
      <c r="L204" s="35">
        <f>IFERROR(INDEX('Fund Research'!$S$6:$S$505,MATCH(199,'Fund Research'!$U$6:$U$505,0)),"")</f>
        <v/>
      </c>
      <c r="M204" s="35">
        <f>IFERROR(INDEX('Fund Research'!$T$6:$T$505,MATCH(199,'Fund Research'!$U$6:$U$505,0)),"")</f>
        <v/>
      </c>
    </row>
    <row r="205" ht="15" customHeight="1">
      <c r="A205" s="34">
        <f>IFERROR(IF(INDEX('Fund Research'!$B$6:$B$505,MATCH(200,'Fund Research'!$U$6:$U$505,0))="","",200),"")</f>
        <v/>
      </c>
      <c r="B205" s="35">
        <f>IFERROR(INDEX('Fund Research'!$A$6:$A$505,MATCH(200,'Fund Research'!$U$6:$U$505,0)),"")</f>
        <v/>
      </c>
      <c r="C205" s="35">
        <f>IFERROR(INDEX('Fund Research'!$B$6:$B$505,MATCH(200,'Fund Research'!$U$6:$U$505,0)),"")</f>
        <v/>
      </c>
      <c r="D205" s="35">
        <f>IFERROR(INDEX('Fund Research'!$C$6:$C$505,MATCH(200,'Fund Research'!$U$6:$U$505,0)),"")</f>
        <v/>
      </c>
      <c r="E205" s="36">
        <f>IFERROR(INDEX('Fund Research'!$G$6:$G$505,MATCH(200,'Fund Research'!$U$6:$U$505,0)),"")</f>
        <v/>
      </c>
      <c r="F205" s="36">
        <f>IFERROR(INDEX('Fund Research'!$H$6:$H$505,MATCH(200,'Fund Research'!$U$6:$U$505,0)),"")</f>
        <v/>
      </c>
      <c r="G205" s="36">
        <f>IFERROR(INDEX('Fund Research'!$I$6:$I$505,MATCH(200,'Fund Research'!$U$6:$U$505,0)),"")</f>
        <v/>
      </c>
      <c r="H205" s="37">
        <f>IFERROR(INDEX('Fund Research'!$J$6:$J$505,MATCH(200,'Fund Research'!$U$6:$U$505,0)),"")</f>
        <v/>
      </c>
      <c r="I205" s="38">
        <f>IFERROR(INDEX('Fund Research'!$L$6:$L$505,MATCH(200,'Fund Research'!$U$6:$U$505,0)),"")</f>
        <v/>
      </c>
      <c r="J205" s="37">
        <f>IFERROR(INDEX('Fund Research'!$N$6:$N$505,MATCH(200,'Fund Research'!$U$6:$U$505,0)),"")</f>
        <v/>
      </c>
      <c r="K205" s="37">
        <f>IFERROR(INDEX('Fund Research'!$P$6:$P$505,MATCH(200,'Fund Research'!$U$6:$U$505,0)),"")</f>
        <v/>
      </c>
      <c r="L205" s="35">
        <f>IFERROR(INDEX('Fund Research'!$S$6:$S$505,MATCH(200,'Fund Research'!$U$6:$U$505,0)),"")</f>
        <v/>
      </c>
      <c r="M205" s="35">
        <f>IFERROR(INDEX('Fund Research'!$T$6:$T$505,MATCH(200,'Fund Research'!$U$6:$U$505,0)),"")</f>
        <v/>
      </c>
    </row>
  </sheetData>
  <autoFilter ref="A5:M205"/>
  <mergeCells count="3">
    <mergeCell ref="A4:M4"/>
    <mergeCell ref="A2:M2"/>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4" customWidth="1" min="3" max="3"/>
    <col width="30" customWidth="1" min="4" max="4"/>
    <col width="16" customWidth="1" min="5" max="5"/>
    <col width="16" customWidth="1" min="6" max="6"/>
    <col width="15" customWidth="1" min="7" max="7"/>
    <col width="11" customWidth="1" min="8" max="8"/>
    <col width="12" customWidth="1" min="9" max="9"/>
    <col width="13" customWidth="1" min="10" max="10"/>
    <col width="12" customWidth="1" min="11" max="11"/>
    <col width="26" customWidth="1" min="12" max="12"/>
    <col width="46" customWidth="1" min="13" max="13"/>
  </cols>
  <sheetData>
    <row r="1" ht="26" customHeight="1">
      <c r="A1" s="1" t="inlineStr">
        <is>
          <t>NEED TO IMPROVE</t>
        </is>
      </c>
    </row>
    <row r="2" ht="16" customHeight="1">
      <c r="A2" s="2" t="inlineStr">
        <is>
          <t>Schemes in the middle band - lagging, not yet failing. Your call-list.</t>
        </is>
      </c>
    </row>
    <row r="3">
      <c r="A3" s="4" t="inlineStr">
        <is>
          <t>Schemes</t>
        </is>
      </c>
      <c r="B3" s="22">
        <f>COUNTIF('Fund Research'!$R$6:$R$505,"Need to Improve")</f>
        <v/>
      </c>
      <c r="C3" s="21" t="inlineStr">
        <is>
          <t>Current value</t>
        </is>
      </c>
      <c r="D3" s="31">
        <f>SUMIF('Fund Research'!$R$6:$R$505,"Need to Improve",'Fund Research'!$H$6:$H$505)</f>
        <v/>
      </c>
      <c r="E3" s="21" t="inlineStr">
        <is>
          <t>Invested</t>
        </is>
      </c>
      <c r="F3" s="31">
        <f>SUMIF('Fund Research'!$R$6:$R$505,"Need to Improve",'Fund Research'!$G$6:$G$505)</f>
        <v/>
      </c>
      <c r="G3" s="21" t="inlineStr">
        <is>
          <t>Avg 3Y</t>
        </is>
      </c>
      <c r="H3" s="16">
        <f>IFERROR(AVERAGEIF('Fund Research'!$R$6:$R$505,"Need to Improve",'Fund Research'!$L$6:$L$505),"")</f>
        <v/>
      </c>
    </row>
    <row r="4">
      <c r="A4" s="25" t="inlineStr">
        <is>
          <t>Ranked worst first by 3-year return. Read-only - edit on Fund Research.</t>
        </is>
      </c>
    </row>
    <row r="5" ht="32" customHeight="1">
      <c r="A5" s="26" t="inlineStr">
        <is>
          <t>#</t>
        </is>
      </c>
      <c r="B5" s="26" t="inlineStr">
        <is>
          <t>Client Name</t>
        </is>
      </c>
      <c r="C5" s="26" t="inlineStr">
        <is>
          <t>Scheme Name</t>
        </is>
      </c>
      <c r="D5" s="26" t="inlineStr">
        <is>
          <t>Category</t>
        </is>
      </c>
      <c r="E5" s="26" t="inlineStr">
        <is>
          <t>Total Invested</t>
        </is>
      </c>
      <c r="F5" s="26" t="inlineStr">
        <is>
          <t>Current Value
(Live)</t>
        </is>
      </c>
      <c r="G5" s="26" t="inlineStr">
        <is>
          <t>Gain / Loss</t>
        </is>
      </c>
      <c r="H5" s="26" t="inlineStr">
        <is>
          <t>Abs. Rtn.</t>
        </is>
      </c>
      <c r="I5" s="26" t="inlineStr">
        <is>
          <t>3Y Return
(CAGR)</t>
        </is>
      </c>
      <c r="J5" s="26" t="inlineStr">
        <is>
          <t>Category Avg
3Y</t>
        </is>
      </c>
      <c r="K5" s="26" t="inlineStr">
        <is>
          <t>vs Category
(3Y)</t>
        </is>
      </c>
      <c r="L5" s="26" t="inlineStr">
        <is>
          <t>Suggested Action</t>
        </is>
      </c>
      <c r="M5" s="26" t="inlineStr">
        <is>
          <t>Remark</t>
        </is>
      </c>
    </row>
    <row r="6" ht="15" customHeight="1">
      <c r="A6" s="34">
        <f>IFERROR(IF(INDEX('Fund Research'!$B$6:$B$505,MATCH(1,'Fund Research'!$V$6:$V$505,0))="","",1),"")</f>
        <v/>
      </c>
      <c r="B6" s="35">
        <f>IFERROR(INDEX('Fund Research'!$A$6:$A$505,MATCH(1,'Fund Research'!$V$6:$V$505,0)),"")</f>
        <v/>
      </c>
      <c r="C6" s="35">
        <f>IFERROR(INDEX('Fund Research'!$B$6:$B$505,MATCH(1,'Fund Research'!$V$6:$V$505,0)),"")</f>
        <v/>
      </c>
      <c r="D6" s="35">
        <f>IFERROR(INDEX('Fund Research'!$C$6:$C$505,MATCH(1,'Fund Research'!$V$6:$V$505,0)),"")</f>
        <v/>
      </c>
      <c r="E6" s="36">
        <f>IFERROR(INDEX('Fund Research'!$G$6:$G$505,MATCH(1,'Fund Research'!$V$6:$V$505,0)),"")</f>
        <v/>
      </c>
      <c r="F6" s="36">
        <f>IFERROR(INDEX('Fund Research'!$H$6:$H$505,MATCH(1,'Fund Research'!$V$6:$V$505,0)),"")</f>
        <v/>
      </c>
      <c r="G6" s="36">
        <f>IFERROR(INDEX('Fund Research'!$I$6:$I$505,MATCH(1,'Fund Research'!$V$6:$V$505,0)),"")</f>
        <v/>
      </c>
      <c r="H6" s="37">
        <f>IFERROR(INDEX('Fund Research'!$J$6:$J$505,MATCH(1,'Fund Research'!$V$6:$V$505,0)),"")</f>
        <v/>
      </c>
      <c r="I6" s="39">
        <f>IFERROR(INDEX('Fund Research'!$L$6:$L$505,MATCH(1,'Fund Research'!$V$6:$V$505,0)),"")</f>
        <v/>
      </c>
      <c r="J6" s="37">
        <f>IFERROR(INDEX('Fund Research'!$N$6:$N$505,MATCH(1,'Fund Research'!$V$6:$V$505,0)),"")</f>
        <v/>
      </c>
      <c r="K6" s="37">
        <f>IFERROR(INDEX('Fund Research'!$P$6:$P$505,MATCH(1,'Fund Research'!$V$6:$V$505,0)),"")</f>
        <v/>
      </c>
      <c r="L6" s="35">
        <f>IFERROR(INDEX('Fund Research'!$S$6:$S$505,MATCH(1,'Fund Research'!$V$6:$V$505,0)),"")</f>
        <v/>
      </c>
      <c r="M6" s="35">
        <f>IFERROR(INDEX('Fund Research'!$T$6:$T$505,MATCH(1,'Fund Research'!$V$6:$V$505,0)),"")</f>
        <v/>
      </c>
    </row>
    <row r="7" ht="15" customHeight="1">
      <c r="A7" s="34">
        <f>IFERROR(IF(INDEX('Fund Research'!$B$6:$B$505,MATCH(2,'Fund Research'!$V$6:$V$505,0))="","",2),"")</f>
        <v/>
      </c>
      <c r="B7" s="35">
        <f>IFERROR(INDEX('Fund Research'!$A$6:$A$505,MATCH(2,'Fund Research'!$V$6:$V$505,0)),"")</f>
        <v/>
      </c>
      <c r="C7" s="35">
        <f>IFERROR(INDEX('Fund Research'!$B$6:$B$505,MATCH(2,'Fund Research'!$V$6:$V$505,0)),"")</f>
        <v/>
      </c>
      <c r="D7" s="35">
        <f>IFERROR(INDEX('Fund Research'!$C$6:$C$505,MATCH(2,'Fund Research'!$V$6:$V$505,0)),"")</f>
        <v/>
      </c>
      <c r="E7" s="36">
        <f>IFERROR(INDEX('Fund Research'!$G$6:$G$505,MATCH(2,'Fund Research'!$V$6:$V$505,0)),"")</f>
        <v/>
      </c>
      <c r="F7" s="36">
        <f>IFERROR(INDEX('Fund Research'!$H$6:$H$505,MATCH(2,'Fund Research'!$V$6:$V$505,0)),"")</f>
        <v/>
      </c>
      <c r="G7" s="36">
        <f>IFERROR(INDEX('Fund Research'!$I$6:$I$505,MATCH(2,'Fund Research'!$V$6:$V$505,0)),"")</f>
        <v/>
      </c>
      <c r="H7" s="37">
        <f>IFERROR(INDEX('Fund Research'!$J$6:$J$505,MATCH(2,'Fund Research'!$V$6:$V$505,0)),"")</f>
        <v/>
      </c>
      <c r="I7" s="39">
        <f>IFERROR(INDEX('Fund Research'!$L$6:$L$505,MATCH(2,'Fund Research'!$V$6:$V$505,0)),"")</f>
        <v/>
      </c>
      <c r="J7" s="37">
        <f>IFERROR(INDEX('Fund Research'!$N$6:$N$505,MATCH(2,'Fund Research'!$V$6:$V$505,0)),"")</f>
        <v/>
      </c>
      <c r="K7" s="37">
        <f>IFERROR(INDEX('Fund Research'!$P$6:$P$505,MATCH(2,'Fund Research'!$V$6:$V$505,0)),"")</f>
        <v/>
      </c>
      <c r="L7" s="35">
        <f>IFERROR(INDEX('Fund Research'!$S$6:$S$505,MATCH(2,'Fund Research'!$V$6:$V$505,0)),"")</f>
        <v/>
      </c>
      <c r="M7" s="35">
        <f>IFERROR(INDEX('Fund Research'!$T$6:$T$505,MATCH(2,'Fund Research'!$V$6:$V$505,0)),"")</f>
        <v/>
      </c>
    </row>
    <row r="8" ht="15" customHeight="1">
      <c r="A8" s="34">
        <f>IFERROR(IF(INDEX('Fund Research'!$B$6:$B$505,MATCH(3,'Fund Research'!$V$6:$V$505,0))="","",3),"")</f>
        <v/>
      </c>
      <c r="B8" s="35">
        <f>IFERROR(INDEX('Fund Research'!$A$6:$A$505,MATCH(3,'Fund Research'!$V$6:$V$505,0)),"")</f>
        <v/>
      </c>
      <c r="C8" s="35">
        <f>IFERROR(INDEX('Fund Research'!$B$6:$B$505,MATCH(3,'Fund Research'!$V$6:$V$505,0)),"")</f>
        <v/>
      </c>
      <c r="D8" s="35">
        <f>IFERROR(INDEX('Fund Research'!$C$6:$C$505,MATCH(3,'Fund Research'!$V$6:$V$505,0)),"")</f>
        <v/>
      </c>
      <c r="E8" s="36">
        <f>IFERROR(INDEX('Fund Research'!$G$6:$G$505,MATCH(3,'Fund Research'!$V$6:$V$505,0)),"")</f>
        <v/>
      </c>
      <c r="F8" s="36">
        <f>IFERROR(INDEX('Fund Research'!$H$6:$H$505,MATCH(3,'Fund Research'!$V$6:$V$505,0)),"")</f>
        <v/>
      </c>
      <c r="G8" s="36">
        <f>IFERROR(INDEX('Fund Research'!$I$6:$I$505,MATCH(3,'Fund Research'!$V$6:$V$505,0)),"")</f>
        <v/>
      </c>
      <c r="H8" s="37">
        <f>IFERROR(INDEX('Fund Research'!$J$6:$J$505,MATCH(3,'Fund Research'!$V$6:$V$505,0)),"")</f>
        <v/>
      </c>
      <c r="I8" s="39">
        <f>IFERROR(INDEX('Fund Research'!$L$6:$L$505,MATCH(3,'Fund Research'!$V$6:$V$505,0)),"")</f>
        <v/>
      </c>
      <c r="J8" s="37">
        <f>IFERROR(INDEX('Fund Research'!$N$6:$N$505,MATCH(3,'Fund Research'!$V$6:$V$505,0)),"")</f>
        <v/>
      </c>
      <c r="K8" s="37">
        <f>IFERROR(INDEX('Fund Research'!$P$6:$P$505,MATCH(3,'Fund Research'!$V$6:$V$505,0)),"")</f>
        <v/>
      </c>
      <c r="L8" s="35">
        <f>IFERROR(INDEX('Fund Research'!$S$6:$S$505,MATCH(3,'Fund Research'!$V$6:$V$505,0)),"")</f>
        <v/>
      </c>
      <c r="M8" s="35">
        <f>IFERROR(INDEX('Fund Research'!$T$6:$T$505,MATCH(3,'Fund Research'!$V$6:$V$505,0)),"")</f>
        <v/>
      </c>
    </row>
    <row r="9" ht="15" customHeight="1">
      <c r="A9" s="34">
        <f>IFERROR(IF(INDEX('Fund Research'!$B$6:$B$505,MATCH(4,'Fund Research'!$V$6:$V$505,0))="","",4),"")</f>
        <v/>
      </c>
      <c r="B9" s="35">
        <f>IFERROR(INDEX('Fund Research'!$A$6:$A$505,MATCH(4,'Fund Research'!$V$6:$V$505,0)),"")</f>
        <v/>
      </c>
      <c r="C9" s="35">
        <f>IFERROR(INDEX('Fund Research'!$B$6:$B$505,MATCH(4,'Fund Research'!$V$6:$V$505,0)),"")</f>
        <v/>
      </c>
      <c r="D9" s="35">
        <f>IFERROR(INDEX('Fund Research'!$C$6:$C$505,MATCH(4,'Fund Research'!$V$6:$V$505,0)),"")</f>
        <v/>
      </c>
      <c r="E9" s="36">
        <f>IFERROR(INDEX('Fund Research'!$G$6:$G$505,MATCH(4,'Fund Research'!$V$6:$V$505,0)),"")</f>
        <v/>
      </c>
      <c r="F9" s="36">
        <f>IFERROR(INDEX('Fund Research'!$H$6:$H$505,MATCH(4,'Fund Research'!$V$6:$V$505,0)),"")</f>
        <v/>
      </c>
      <c r="G9" s="36">
        <f>IFERROR(INDEX('Fund Research'!$I$6:$I$505,MATCH(4,'Fund Research'!$V$6:$V$505,0)),"")</f>
        <v/>
      </c>
      <c r="H9" s="37">
        <f>IFERROR(INDEX('Fund Research'!$J$6:$J$505,MATCH(4,'Fund Research'!$V$6:$V$505,0)),"")</f>
        <v/>
      </c>
      <c r="I9" s="39">
        <f>IFERROR(INDEX('Fund Research'!$L$6:$L$505,MATCH(4,'Fund Research'!$V$6:$V$505,0)),"")</f>
        <v/>
      </c>
      <c r="J9" s="37">
        <f>IFERROR(INDEX('Fund Research'!$N$6:$N$505,MATCH(4,'Fund Research'!$V$6:$V$505,0)),"")</f>
        <v/>
      </c>
      <c r="K9" s="37">
        <f>IFERROR(INDEX('Fund Research'!$P$6:$P$505,MATCH(4,'Fund Research'!$V$6:$V$505,0)),"")</f>
        <v/>
      </c>
      <c r="L9" s="35">
        <f>IFERROR(INDEX('Fund Research'!$S$6:$S$505,MATCH(4,'Fund Research'!$V$6:$V$505,0)),"")</f>
        <v/>
      </c>
      <c r="M9" s="35">
        <f>IFERROR(INDEX('Fund Research'!$T$6:$T$505,MATCH(4,'Fund Research'!$V$6:$V$505,0)),"")</f>
        <v/>
      </c>
    </row>
    <row r="10" ht="15" customHeight="1">
      <c r="A10" s="34">
        <f>IFERROR(IF(INDEX('Fund Research'!$B$6:$B$505,MATCH(5,'Fund Research'!$V$6:$V$505,0))="","",5),"")</f>
        <v/>
      </c>
      <c r="B10" s="35">
        <f>IFERROR(INDEX('Fund Research'!$A$6:$A$505,MATCH(5,'Fund Research'!$V$6:$V$505,0)),"")</f>
        <v/>
      </c>
      <c r="C10" s="35">
        <f>IFERROR(INDEX('Fund Research'!$B$6:$B$505,MATCH(5,'Fund Research'!$V$6:$V$505,0)),"")</f>
        <v/>
      </c>
      <c r="D10" s="35">
        <f>IFERROR(INDEX('Fund Research'!$C$6:$C$505,MATCH(5,'Fund Research'!$V$6:$V$505,0)),"")</f>
        <v/>
      </c>
      <c r="E10" s="36">
        <f>IFERROR(INDEX('Fund Research'!$G$6:$G$505,MATCH(5,'Fund Research'!$V$6:$V$505,0)),"")</f>
        <v/>
      </c>
      <c r="F10" s="36">
        <f>IFERROR(INDEX('Fund Research'!$H$6:$H$505,MATCH(5,'Fund Research'!$V$6:$V$505,0)),"")</f>
        <v/>
      </c>
      <c r="G10" s="36">
        <f>IFERROR(INDEX('Fund Research'!$I$6:$I$505,MATCH(5,'Fund Research'!$V$6:$V$505,0)),"")</f>
        <v/>
      </c>
      <c r="H10" s="37">
        <f>IFERROR(INDEX('Fund Research'!$J$6:$J$505,MATCH(5,'Fund Research'!$V$6:$V$505,0)),"")</f>
        <v/>
      </c>
      <c r="I10" s="39">
        <f>IFERROR(INDEX('Fund Research'!$L$6:$L$505,MATCH(5,'Fund Research'!$V$6:$V$505,0)),"")</f>
        <v/>
      </c>
      <c r="J10" s="37">
        <f>IFERROR(INDEX('Fund Research'!$N$6:$N$505,MATCH(5,'Fund Research'!$V$6:$V$505,0)),"")</f>
        <v/>
      </c>
      <c r="K10" s="37">
        <f>IFERROR(INDEX('Fund Research'!$P$6:$P$505,MATCH(5,'Fund Research'!$V$6:$V$505,0)),"")</f>
        <v/>
      </c>
      <c r="L10" s="35">
        <f>IFERROR(INDEX('Fund Research'!$S$6:$S$505,MATCH(5,'Fund Research'!$V$6:$V$505,0)),"")</f>
        <v/>
      </c>
      <c r="M10" s="35">
        <f>IFERROR(INDEX('Fund Research'!$T$6:$T$505,MATCH(5,'Fund Research'!$V$6:$V$505,0)),"")</f>
        <v/>
      </c>
    </row>
    <row r="11" ht="15" customHeight="1">
      <c r="A11" s="34">
        <f>IFERROR(IF(INDEX('Fund Research'!$B$6:$B$505,MATCH(6,'Fund Research'!$V$6:$V$505,0))="","",6),"")</f>
        <v/>
      </c>
      <c r="B11" s="35">
        <f>IFERROR(INDEX('Fund Research'!$A$6:$A$505,MATCH(6,'Fund Research'!$V$6:$V$505,0)),"")</f>
        <v/>
      </c>
      <c r="C11" s="35">
        <f>IFERROR(INDEX('Fund Research'!$B$6:$B$505,MATCH(6,'Fund Research'!$V$6:$V$505,0)),"")</f>
        <v/>
      </c>
      <c r="D11" s="35">
        <f>IFERROR(INDEX('Fund Research'!$C$6:$C$505,MATCH(6,'Fund Research'!$V$6:$V$505,0)),"")</f>
        <v/>
      </c>
      <c r="E11" s="36">
        <f>IFERROR(INDEX('Fund Research'!$G$6:$G$505,MATCH(6,'Fund Research'!$V$6:$V$505,0)),"")</f>
        <v/>
      </c>
      <c r="F11" s="36">
        <f>IFERROR(INDEX('Fund Research'!$H$6:$H$505,MATCH(6,'Fund Research'!$V$6:$V$505,0)),"")</f>
        <v/>
      </c>
      <c r="G11" s="36">
        <f>IFERROR(INDEX('Fund Research'!$I$6:$I$505,MATCH(6,'Fund Research'!$V$6:$V$505,0)),"")</f>
        <v/>
      </c>
      <c r="H11" s="37">
        <f>IFERROR(INDEX('Fund Research'!$J$6:$J$505,MATCH(6,'Fund Research'!$V$6:$V$505,0)),"")</f>
        <v/>
      </c>
      <c r="I11" s="39">
        <f>IFERROR(INDEX('Fund Research'!$L$6:$L$505,MATCH(6,'Fund Research'!$V$6:$V$505,0)),"")</f>
        <v/>
      </c>
      <c r="J11" s="37">
        <f>IFERROR(INDEX('Fund Research'!$N$6:$N$505,MATCH(6,'Fund Research'!$V$6:$V$505,0)),"")</f>
        <v/>
      </c>
      <c r="K11" s="37">
        <f>IFERROR(INDEX('Fund Research'!$P$6:$P$505,MATCH(6,'Fund Research'!$V$6:$V$505,0)),"")</f>
        <v/>
      </c>
      <c r="L11" s="35">
        <f>IFERROR(INDEX('Fund Research'!$S$6:$S$505,MATCH(6,'Fund Research'!$V$6:$V$505,0)),"")</f>
        <v/>
      </c>
      <c r="M11" s="35">
        <f>IFERROR(INDEX('Fund Research'!$T$6:$T$505,MATCH(6,'Fund Research'!$V$6:$V$505,0)),"")</f>
        <v/>
      </c>
    </row>
    <row r="12" ht="15" customHeight="1">
      <c r="A12" s="34">
        <f>IFERROR(IF(INDEX('Fund Research'!$B$6:$B$505,MATCH(7,'Fund Research'!$V$6:$V$505,0))="","",7),"")</f>
        <v/>
      </c>
      <c r="B12" s="35">
        <f>IFERROR(INDEX('Fund Research'!$A$6:$A$505,MATCH(7,'Fund Research'!$V$6:$V$505,0)),"")</f>
        <v/>
      </c>
      <c r="C12" s="35">
        <f>IFERROR(INDEX('Fund Research'!$B$6:$B$505,MATCH(7,'Fund Research'!$V$6:$V$505,0)),"")</f>
        <v/>
      </c>
      <c r="D12" s="35">
        <f>IFERROR(INDEX('Fund Research'!$C$6:$C$505,MATCH(7,'Fund Research'!$V$6:$V$505,0)),"")</f>
        <v/>
      </c>
      <c r="E12" s="36">
        <f>IFERROR(INDEX('Fund Research'!$G$6:$G$505,MATCH(7,'Fund Research'!$V$6:$V$505,0)),"")</f>
        <v/>
      </c>
      <c r="F12" s="36">
        <f>IFERROR(INDEX('Fund Research'!$H$6:$H$505,MATCH(7,'Fund Research'!$V$6:$V$505,0)),"")</f>
        <v/>
      </c>
      <c r="G12" s="36">
        <f>IFERROR(INDEX('Fund Research'!$I$6:$I$505,MATCH(7,'Fund Research'!$V$6:$V$505,0)),"")</f>
        <v/>
      </c>
      <c r="H12" s="37">
        <f>IFERROR(INDEX('Fund Research'!$J$6:$J$505,MATCH(7,'Fund Research'!$V$6:$V$505,0)),"")</f>
        <v/>
      </c>
      <c r="I12" s="39">
        <f>IFERROR(INDEX('Fund Research'!$L$6:$L$505,MATCH(7,'Fund Research'!$V$6:$V$505,0)),"")</f>
        <v/>
      </c>
      <c r="J12" s="37">
        <f>IFERROR(INDEX('Fund Research'!$N$6:$N$505,MATCH(7,'Fund Research'!$V$6:$V$505,0)),"")</f>
        <v/>
      </c>
      <c r="K12" s="37">
        <f>IFERROR(INDEX('Fund Research'!$P$6:$P$505,MATCH(7,'Fund Research'!$V$6:$V$505,0)),"")</f>
        <v/>
      </c>
      <c r="L12" s="35">
        <f>IFERROR(INDEX('Fund Research'!$S$6:$S$505,MATCH(7,'Fund Research'!$V$6:$V$505,0)),"")</f>
        <v/>
      </c>
      <c r="M12" s="35">
        <f>IFERROR(INDEX('Fund Research'!$T$6:$T$505,MATCH(7,'Fund Research'!$V$6:$V$505,0)),"")</f>
        <v/>
      </c>
    </row>
    <row r="13" ht="15" customHeight="1">
      <c r="A13" s="34">
        <f>IFERROR(IF(INDEX('Fund Research'!$B$6:$B$505,MATCH(8,'Fund Research'!$V$6:$V$505,0))="","",8),"")</f>
        <v/>
      </c>
      <c r="B13" s="35">
        <f>IFERROR(INDEX('Fund Research'!$A$6:$A$505,MATCH(8,'Fund Research'!$V$6:$V$505,0)),"")</f>
        <v/>
      </c>
      <c r="C13" s="35">
        <f>IFERROR(INDEX('Fund Research'!$B$6:$B$505,MATCH(8,'Fund Research'!$V$6:$V$505,0)),"")</f>
        <v/>
      </c>
      <c r="D13" s="35">
        <f>IFERROR(INDEX('Fund Research'!$C$6:$C$505,MATCH(8,'Fund Research'!$V$6:$V$505,0)),"")</f>
        <v/>
      </c>
      <c r="E13" s="36">
        <f>IFERROR(INDEX('Fund Research'!$G$6:$G$505,MATCH(8,'Fund Research'!$V$6:$V$505,0)),"")</f>
        <v/>
      </c>
      <c r="F13" s="36">
        <f>IFERROR(INDEX('Fund Research'!$H$6:$H$505,MATCH(8,'Fund Research'!$V$6:$V$505,0)),"")</f>
        <v/>
      </c>
      <c r="G13" s="36">
        <f>IFERROR(INDEX('Fund Research'!$I$6:$I$505,MATCH(8,'Fund Research'!$V$6:$V$505,0)),"")</f>
        <v/>
      </c>
      <c r="H13" s="37">
        <f>IFERROR(INDEX('Fund Research'!$J$6:$J$505,MATCH(8,'Fund Research'!$V$6:$V$505,0)),"")</f>
        <v/>
      </c>
      <c r="I13" s="39">
        <f>IFERROR(INDEX('Fund Research'!$L$6:$L$505,MATCH(8,'Fund Research'!$V$6:$V$505,0)),"")</f>
        <v/>
      </c>
      <c r="J13" s="37">
        <f>IFERROR(INDEX('Fund Research'!$N$6:$N$505,MATCH(8,'Fund Research'!$V$6:$V$505,0)),"")</f>
        <v/>
      </c>
      <c r="K13" s="37">
        <f>IFERROR(INDEX('Fund Research'!$P$6:$P$505,MATCH(8,'Fund Research'!$V$6:$V$505,0)),"")</f>
        <v/>
      </c>
      <c r="L13" s="35">
        <f>IFERROR(INDEX('Fund Research'!$S$6:$S$505,MATCH(8,'Fund Research'!$V$6:$V$505,0)),"")</f>
        <v/>
      </c>
      <c r="M13" s="35">
        <f>IFERROR(INDEX('Fund Research'!$T$6:$T$505,MATCH(8,'Fund Research'!$V$6:$V$505,0)),"")</f>
        <v/>
      </c>
    </row>
    <row r="14" ht="15" customHeight="1">
      <c r="A14" s="34">
        <f>IFERROR(IF(INDEX('Fund Research'!$B$6:$B$505,MATCH(9,'Fund Research'!$V$6:$V$505,0))="","",9),"")</f>
        <v/>
      </c>
      <c r="B14" s="35">
        <f>IFERROR(INDEX('Fund Research'!$A$6:$A$505,MATCH(9,'Fund Research'!$V$6:$V$505,0)),"")</f>
        <v/>
      </c>
      <c r="C14" s="35">
        <f>IFERROR(INDEX('Fund Research'!$B$6:$B$505,MATCH(9,'Fund Research'!$V$6:$V$505,0)),"")</f>
        <v/>
      </c>
      <c r="D14" s="35">
        <f>IFERROR(INDEX('Fund Research'!$C$6:$C$505,MATCH(9,'Fund Research'!$V$6:$V$505,0)),"")</f>
        <v/>
      </c>
      <c r="E14" s="36">
        <f>IFERROR(INDEX('Fund Research'!$G$6:$G$505,MATCH(9,'Fund Research'!$V$6:$V$505,0)),"")</f>
        <v/>
      </c>
      <c r="F14" s="36">
        <f>IFERROR(INDEX('Fund Research'!$H$6:$H$505,MATCH(9,'Fund Research'!$V$6:$V$505,0)),"")</f>
        <v/>
      </c>
      <c r="G14" s="36">
        <f>IFERROR(INDEX('Fund Research'!$I$6:$I$505,MATCH(9,'Fund Research'!$V$6:$V$505,0)),"")</f>
        <v/>
      </c>
      <c r="H14" s="37">
        <f>IFERROR(INDEX('Fund Research'!$J$6:$J$505,MATCH(9,'Fund Research'!$V$6:$V$505,0)),"")</f>
        <v/>
      </c>
      <c r="I14" s="39">
        <f>IFERROR(INDEX('Fund Research'!$L$6:$L$505,MATCH(9,'Fund Research'!$V$6:$V$505,0)),"")</f>
        <v/>
      </c>
      <c r="J14" s="37">
        <f>IFERROR(INDEX('Fund Research'!$N$6:$N$505,MATCH(9,'Fund Research'!$V$6:$V$505,0)),"")</f>
        <v/>
      </c>
      <c r="K14" s="37">
        <f>IFERROR(INDEX('Fund Research'!$P$6:$P$505,MATCH(9,'Fund Research'!$V$6:$V$505,0)),"")</f>
        <v/>
      </c>
      <c r="L14" s="35">
        <f>IFERROR(INDEX('Fund Research'!$S$6:$S$505,MATCH(9,'Fund Research'!$V$6:$V$505,0)),"")</f>
        <v/>
      </c>
      <c r="M14" s="35">
        <f>IFERROR(INDEX('Fund Research'!$T$6:$T$505,MATCH(9,'Fund Research'!$V$6:$V$505,0)),"")</f>
        <v/>
      </c>
    </row>
    <row r="15" ht="15" customHeight="1">
      <c r="A15" s="34">
        <f>IFERROR(IF(INDEX('Fund Research'!$B$6:$B$505,MATCH(10,'Fund Research'!$V$6:$V$505,0))="","",10),"")</f>
        <v/>
      </c>
      <c r="B15" s="35">
        <f>IFERROR(INDEX('Fund Research'!$A$6:$A$505,MATCH(10,'Fund Research'!$V$6:$V$505,0)),"")</f>
        <v/>
      </c>
      <c r="C15" s="35">
        <f>IFERROR(INDEX('Fund Research'!$B$6:$B$505,MATCH(10,'Fund Research'!$V$6:$V$505,0)),"")</f>
        <v/>
      </c>
      <c r="D15" s="35">
        <f>IFERROR(INDEX('Fund Research'!$C$6:$C$505,MATCH(10,'Fund Research'!$V$6:$V$505,0)),"")</f>
        <v/>
      </c>
      <c r="E15" s="36">
        <f>IFERROR(INDEX('Fund Research'!$G$6:$G$505,MATCH(10,'Fund Research'!$V$6:$V$505,0)),"")</f>
        <v/>
      </c>
      <c r="F15" s="36">
        <f>IFERROR(INDEX('Fund Research'!$H$6:$H$505,MATCH(10,'Fund Research'!$V$6:$V$505,0)),"")</f>
        <v/>
      </c>
      <c r="G15" s="36">
        <f>IFERROR(INDEX('Fund Research'!$I$6:$I$505,MATCH(10,'Fund Research'!$V$6:$V$505,0)),"")</f>
        <v/>
      </c>
      <c r="H15" s="37">
        <f>IFERROR(INDEX('Fund Research'!$J$6:$J$505,MATCH(10,'Fund Research'!$V$6:$V$505,0)),"")</f>
        <v/>
      </c>
      <c r="I15" s="39">
        <f>IFERROR(INDEX('Fund Research'!$L$6:$L$505,MATCH(10,'Fund Research'!$V$6:$V$505,0)),"")</f>
        <v/>
      </c>
      <c r="J15" s="37">
        <f>IFERROR(INDEX('Fund Research'!$N$6:$N$505,MATCH(10,'Fund Research'!$V$6:$V$505,0)),"")</f>
        <v/>
      </c>
      <c r="K15" s="37">
        <f>IFERROR(INDEX('Fund Research'!$P$6:$P$505,MATCH(10,'Fund Research'!$V$6:$V$505,0)),"")</f>
        <v/>
      </c>
      <c r="L15" s="35">
        <f>IFERROR(INDEX('Fund Research'!$S$6:$S$505,MATCH(10,'Fund Research'!$V$6:$V$505,0)),"")</f>
        <v/>
      </c>
      <c r="M15" s="35">
        <f>IFERROR(INDEX('Fund Research'!$T$6:$T$505,MATCH(10,'Fund Research'!$V$6:$V$505,0)),"")</f>
        <v/>
      </c>
    </row>
    <row r="16" ht="15" customHeight="1">
      <c r="A16" s="34">
        <f>IFERROR(IF(INDEX('Fund Research'!$B$6:$B$505,MATCH(11,'Fund Research'!$V$6:$V$505,0))="","",11),"")</f>
        <v/>
      </c>
      <c r="B16" s="35">
        <f>IFERROR(INDEX('Fund Research'!$A$6:$A$505,MATCH(11,'Fund Research'!$V$6:$V$505,0)),"")</f>
        <v/>
      </c>
      <c r="C16" s="35">
        <f>IFERROR(INDEX('Fund Research'!$B$6:$B$505,MATCH(11,'Fund Research'!$V$6:$V$505,0)),"")</f>
        <v/>
      </c>
      <c r="D16" s="35">
        <f>IFERROR(INDEX('Fund Research'!$C$6:$C$505,MATCH(11,'Fund Research'!$V$6:$V$505,0)),"")</f>
        <v/>
      </c>
      <c r="E16" s="36">
        <f>IFERROR(INDEX('Fund Research'!$G$6:$G$505,MATCH(11,'Fund Research'!$V$6:$V$505,0)),"")</f>
        <v/>
      </c>
      <c r="F16" s="36">
        <f>IFERROR(INDEX('Fund Research'!$H$6:$H$505,MATCH(11,'Fund Research'!$V$6:$V$505,0)),"")</f>
        <v/>
      </c>
      <c r="G16" s="36">
        <f>IFERROR(INDEX('Fund Research'!$I$6:$I$505,MATCH(11,'Fund Research'!$V$6:$V$505,0)),"")</f>
        <v/>
      </c>
      <c r="H16" s="37">
        <f>IFERROR(INDEX('Fund Research'!$J$6:$J$505,MATCH(11,'Fund Research'!$V$6:$V$505,0)),"")</f>
        <v/>
      </c>
      <c r="I16" s="39">
        <f>IFERROR(INDEX('Fund Research'!$L$6:$L$505,MATCH(11,'Fund Research'!$V$6:$V$505,0)),"")</f>
        <v/>
      </c>
      <c r="J16" s="37">
        <f>IFERROR(INDEX('Fund Research'!$N$6:$N$505,MATCH(11,'Fund Research'!$V$6:$V$505,0)),"")</f>
        <v/>
      </c>
      <c r="K16" s="37">
        <f>IFERROR(INDEX('Fund Research'!$P$6:$P$505,MATCH(11,'Fund Research'!$V$6:$V$505,0)),"")</f>
        <v/>
      </c>
      <c r="L16" s="35">
        <f>IFERROR(INDEX('Fund Research'!$S$6:$S$505,MATCH(11,'Fund Research'!$V$6:$V$505,0)),"")</f>
        <v/>
      </c>
      <c r="M16" s="35">
        <f>IFERROR(INDEX('Fund Research'!$T$6:$T$505,MATCH(11,'Fund Research'!$V$6:$V$505,0)),"")</f>
        <v/>
      </c>
    </row>
    <row r="17" ht="15" customHeight="1">
      <c r="A17" s="34">
        <f>IFERROR(IF(INDEX('Fund Research'!$B$6:$B$505,MATCH(12,'Fund Research'!$V$6:$V$505,0))="","",12),"")</f>
        <v/>
      </c>
      <c r="B17" s="35">
        <f>IFERROR(INDEX('Fund Research'!$A$6:$A$505,MATCH(12,'Fund Research'!$V$6:$V$505,0)),"")</f>
        <v/>
      </c>
      <c r="C17" s="35">
        <f>IFERROR(INDEX('Fund Research'!$B$6:$B$505,MATCH(12,'Fund Research'!$V$6:$V$505,0)),"")</f>
        <v/>
      </c>
      <c r="D17" s="35">
        <f>IFERROR(INDEX('Fund Research'!$C$6:$C$505,MATCH(12,'Fund Research'!$V$6:$V$505,0)),"")</f>
        <v/>
      </c>
      <c r="E17" s="36">
        <f>IFERROR(INDEX('Fund Research'!$G$6:$G$505,MATCH(12,'Fund Research'!$V$6:$V$505,0)),"")</f>
        <v/>
      </c>
      <c r="F17" s="36">
        <f>IFERROR(INDEX('Fund Research'!$H$6:$H$505,MATCH(12,'Fund Research'!$V$6:$V$505,0)),"")</f>
        <v/>
      </c>
      <c r="G17" s="36">
        <f>IFERROR(INDEX('Fund Research'!$I$6:$I$505,MATCH(12,'Fund Research'!$V$6:$V$505,0)),"")</f>
        <v/>
      </c>
      <c r="H17" s="37">
        <f>IFERROR(INDEX('Fund Research'!$J$6:$J$505,MATCH(12,'Fund Research'!$V$6:$V$505,0)),"")</f>
        <v/>
      </c>
      <c r="I17" s="39">
        <f>IFERROR(INDEX('Fund Research'!$L$6:$L$505,MATCH(12,'Fund Research'!$V$6:$V$505,0)),"")</f>
        <v/>
      </c>
      <c r="J17" s="37">
        <f>IFERROR(INDEX('Fund Research'!$N$6:$N$505,MATCH(12,'Fund Research'!$V$6:$V$505,0)),"")</f>
        <v/>
      </c>
      <c r="K17" s="37">
        <f>IFERROR(INDEX('Fund Research'!$P$6:$P$505,MATCH(12,'Fund Research'!$V$6:$V$505,0)),"")</f>
        <v/>
      </c>
      <c r="L17" s="35">
        <f>IFERROR(INDEX('Fund Research'!$S$6:$S$505,MATCH(12,'Fund Research'!$V$6:$V$505,0)),"")</f>
        <v/>
      </c>
      <c r="M17" s="35">
        <f>IFERROR(INDEX('Fund Research'!$T$6:$T$505,MATCH(12,'Fund Research'!$V$6:$V$505,0)),"")</f>
        <v/>
      </c>
    </row>
    <row r="18" ht="15" customHeight="1">
      <c r="A18" s="34">
        <f>IFERROR(IF(INDEX('Fund Research'!$B$6:$B$505,MATCH(13,'Fund Research'!$V$6:$V$505,0))="","",13),"")</f>
        <v/>
      </c>
      <c r="B18" s="35">
        <f>IFERROR(INDEX('Fund Research'!$A$6:$A$505,MATCH(13,'Fund Research'!$V$6:$V$505,0)),"")</f>
        <v/>
      </c>
      <c r="C18" s="35">
        <f>IFERROR(INDEX('Fund Research'!$B$6:$B$505,MATCH(13,'Fund Research'!$V$6:$V$505,0)),"")</f>
        <v/>
      </c>
      <c r="D18" s="35">
        <f>IFERROR(INDEX('Fund Research'!$C$6:$C$505,MATCH(13,'Fund Research'!$V$6:$V$505,0)),"")</f>
        <v/>
      </c>
      <c r="E18" s="36">
        <f>IFERROR(INDEX('Fund Research'!$G$6:$G$505,MATCH(13,'Fund Research'!$V$6:$V$505,0)),"")</f>
        <v/>
      </c>
      <c r="F18" s="36">
        <f>IFERROR(INDEX('Fund Research'!$H$6:$H$505,MATCH(13,'Fund Research'!$V$6:$V$505,0)),"")</f>
        <v/>
      </c>
      <c r="G18" s="36">
        <f>IFERROR(INDEX('Fund Research'!$I$6:$I$505,MATCH(13,'Fund Research'!$V$6:$V$505,0)),"")</f>
        <v/>
      </c>
      <c r="H18" s="37">
        <f>IFERROR(INDEX('Fund Research'!$J$6:$J$505,MATCH(13,'Fund Research'!$V$6:$V$505,0)),"")</f>
        <v/>
      </c>
      <c r="I18" s="39">
        <f>IFERROR(INDEX('Fund Research'!$L$6:$L$505,MATCH(13,'Fund Research'!$V$6:$V$505,0)),"")</f>
        <v/>
      </c>
      <c r="J18" s="37">
        <f>IFERROR(INDEX('Fund Research'!$N$6:$N$505,MATCH(13,'Fund Research'!$V$6:$V$505,0)),"")</f>
        <v/>
      </c>
      <c r="K18" s="37">
        <f>IFERROR(INDEX('Fund Research'!$P$6:$P$505,MATCH(13,'Fund Research'!$V$6:$V$505,0)),"")</f>
        <v/>
      </c>
      <c r="L18" s="35">
        <f>IFERROR(INDEX('Fund Research'!$S$6:$S$505,MATCH(13,'Fund Research'!$V$6:$V$505,0)),"")</f>
        <v/>
      </c>
      <c r="M18" s="35">
        <f>IFERROR(INDEX('Fund Research'!$T$6:$T$505,MATCH(13,'Fund Research'!$V$6:$V$505,0)),"")</f>
        <v/>
      </c>
    </row>
    <row r="19" ht="15" customHeight="1">
      <c r="A19" s="34">
        <f>IFERROR(IF(INDEX('Fund Research'!$B$6:$B$505,MATCH(14,'Fund Research'!$V$6:$V$505,0))="","",14),"")</f>
        <v/>
      </c>
      <c r="B19" s="35">
        <f>IFERROR(INDEX('Fund Research'!$A$6:$A$505,MATCH(14,'Fund Research'!$V$6:$V$505,0)),"")</f>
        <v/>
      </c>
      <c r="C19" s="35">
        <f>IFERROR(INDEX('Fund Research'!$B$6:$B$505,MATCH(14,'Fund Research'!$V$6:$V$505,0)),"")</f>
        <v/>
      </c>
      <c r="D19" s="35">
        <f>IFERROR(INDEX('Fund Research'!$C$6:$C$505,MATCH(14,'Fund Research'!$V$6:$V$505,0)),"")</f>
        <v/>
      </c>
      <c r="E19" s="36">
        <f>IFERROR(INDEX('Fund Research'!$G$6:$G$505,MATCH(14,'Fund Research'!$V$6:$V$505,0)),"")</f>
        <v/>
      </c>
      <c r="F19" s="36">
        <f>IFERROR(INDEX('Fund Research'!$H$6:$H$505,MATCH(14,'Fund Research'!$V$6:$V$505,0)),"")</f>
        <v/>
      </c>
      <c r="G19" s="36">
        <f>IFERROR(INDEX('Fund Research'!$I$6:$I$505,MATCH(14,'Fund Research'!$V$6:$V$505,0)),"")</f>
        <v/>
      </c>
      <c r="H19" s="37">
        <f>IFERROR(INDEX('Fund Research'!$J$6:$J$505,MATCH(14,'Fund Research'!$V$6:$V$505,0)),"")</f>
        <v/>
      </c>
      <c r="I19" s="39">
        <f>IFERROR(INDEX('Fund Research'!$L$6:$L$505,MATCH(14,'Fund Research'!$V$6:$V$505,0)),"")</f>
        <v/>
      </c>
      <c r="J19" s="37">
        <f>IFERROR(INDEX('Fund Research'!$N$6:$N$505,MATCH(14,'Fund Research'!$V$6:$V$505,0)),"")</f>
        <v/>
      </c>
      <c r="K19" s="37">
        <f>IFERROR(INDEX('Fund Research'!$P$6:$P$505,MATCH(14,'Fund Research'!$V$6:$V$505,0)),"")</f>
        <v/>
      </c>
      <c r="L19" s="35">
        <f>IFERROR(INDEX('Fund Research'!$S$6:$S$505,MATCH(14,'Fund Research'!$V$6:$V$505,0)),"")</f>
        <v/>
      </c>
      <c r="M19" s="35">
        <f>IFERROR(INDEX('Fund Research'!$T$6:$T$505,MATCH(14,'Fund Research'!$V$6:$V$505,0)),"")</f>
        <v/>
      </c>
    </row>
    <row r="20" ht="15" customHeight="1">
      <c r="A20" s="34">
        <f>IFERROR(IF(INDEX('Fund Research'!$B$6:$B$505,MATCH(15,'Fund Research'!$V$6:$V$505,0))="","",15),"")</f>
        <v/>
      </c>
      <c r="B20" s="35">
        <f>IFERROR(INDEX('Fund Research'!$A$6:$A$505,MATCH(15,'Fund Research'!$V$6:$V$505,0)),"")</f>
        <v/>
      </c>
      <c r="C20" s="35">
        <f>IFERROR(INDEX('Fund Research'!$B$6:$B$505,MATCH(15,'Fund Research'!$V$6:$V$505,0)),"")</f>
        <v/>
      </c>
      <c r="D20" s="35">
        <f>IFERROR(INDEX('Fund Research'!$C$6:$C$505,MATCH(15,'Fund Research'!$V$6:$V$505,0)),"")</f>
        <v/>
      </c>
      <c r="E20" s="36">
        <f>IFERROR(INDEX('Fund Research'!$G$6:$G$505,MATCH(15,'Fund Research'!$V$6:$V$505,0)),"")</f>
        <v/>
      </c>
      <c r="F20" s="36">
        <f>IFERROR(INDEX('Fund Research'!$H$6:$H$505,MATCH(15,'Fund Research'!$V$6:$V$505,0)),"")</f>
        <v/>
      </c>
      <c r="G20" s="36">
        <f>IFERROR(INDEX('Fund Research'!$I$6:$I$505,MATCH(15,'Fund Research'!$V$6:$V$505,0)),"")</f>
        <v/>
      </c>
      <c r="H20" s="37">
        <f>IFERROR(INDEX('Fund Research'!$J$6:$J$505,MATCH(15,'Fund Research'!$V$6:$V$505,0)),"")</f>
        <v/>
      </c>
      <c r="I20" s="39">
        <f>IFERROR(INDEX('Fund Research'!$L$6:$L$505,MATCH(15,'Fund Research'!$V$6:$V$505,0)),"")</f>
        <v/>
      </c>
      <c r="J20" s="37">
        <f>IFERROR(INDEX('Fund Research'!$N$6:$N$505,MATCH(15,'Fund Research'!$V$6:$V$505,0)),"")</f>
        <v/>
      </c>
      <c r="K20" s="37">
        <f>IFERROR(INDEX('Fund Research'!$P$6:$P$505,MATCH(15,'Fund Research'!$V$6:$V$505,0)),"")</f>
        <v/>
      </c>
      <c r="L20" s="35">
        <f>IFERROR(INDEX('Fund Research'!$S$6:$S$505,MATCH(15,'Fund Research'!$V$6:$V$505,0)),"")</f>
        <v/>
      </c>
      <c r="M20" s="35">
        <f>IFERROR(INDEX('Fund Research'!$T$6:$T$505,MATCH(15,'Fund Research'!$V$6:$V$505,0)),"")</f>
        <v/>
      </c>
    </row>
    <row r="21" ht="15" customHeight="1">
      <c r="A21" s="34">
        <f>IFERROR(IF(INDEX('Fund Research'!$B$6:$B$505,MATCH(16,'Fund Research'!$V$6:$V$505,0))="","",16),"")</f>
        <v/>
      </c>
      <c r="B21" s="35">
        <f>IFERROR(INDEX('Fund Research'!$A$6:$A$505,MATCH(16,'Fund Research'!$V$6:$V$505,0)),"")</f>
        <v/>
      </c>
      <c r="C21" s="35">
        <f>IFERROR(INDEX('Fund Research'!$B$6:$B$505,MATCH(16,'Fund Research'!$V$6:$V$505,0)),"")</f>
        <v/>
      </c>
      <c r="D21" s="35">
        <f>IFERROR(INDEX('Fund Research'!$C$6:$C$505,MATCH(16,'Fund Research'!$V$6:$V$505,0)),"")</f>
        <v/>
      </c>
      <c r="E21" s="36">
        <f>IFERROR(INDEX('Fund Research'!$G$6:$G$505,MATCH(16,'Fund Research'!$V$6:$V$505,0)),"")</f>
        <v/>
      </c>
      <c r="F21" s="36">
        <f>IFERROR(INDEX('Fund Research'!$H$6:$H$505,MATCH(16,'Fund Research'!$V$6:$V$505,0)),"")</f>
        <v/>
      </c>
      <c r="G21" s="36">
        <f>IFERROR(INDEX('Fund Research'!$I$6:$I$505,MATCH(16,'Fund Research'!$V$6:$V$505,0)),"")</f>
        <v/>
      </c>
      <c r="H21" s="37">
        <f>IFERROR(INDEX('Fund Research'!$J$6:$J$505,MATCH(16,'Fund Research'!$V$6:$V$505,0)),"")</f>
        <v/>
      </c>
      <c r="I21" s="39">
        <f>IFERROR(INDEX('Fund Research'!$L$6:$L$505,MATCH(16,'Fund Research'!$V$6:$V$505,0)),"")</f>
        <v/>
      </c>
      <c r="J21" s="37">
        <f>IFERROR(INDEX('Fund Research'!$N$6:$N$505,MATCH(16,'Fund Research'!$V$6:$V$505,0)),"")</f>
        <v/>
      </c>
      <c r="K21" s="37">
        <f>IFERROR(INDEX('Fund Research'!$P$6:$P$505,MATCH(16,'Fund Research'!$V$6:$V$505,0)),"")</f>
        <v/>
      </c>
      <c r="L21" s="35">
        <f>IFERROR(INDEX('Fund Research'!$S$6:$S$505,MATCH(16,'Fund Research'!$V$6:$V$505,0)),"")</f>
        <v/>
      </c>
      <c r="M21" s="35">
        <f>IFERROR(INDEX('Fund Research'!$T$6:$T$505,MATCH(16,'Fund Research'!$V$6:$V$505,0)),"")</f>
        <v/>
      </c>
    </row>
    <row r="22" ht="15" customHeight="1">
      <c r="A22" s="34">
        <f>IFERROR(IF(INDEX('Fund Research'!$B$6:$B$505,MATCH(17,'Fund Research'!$V$6:$V$505,0))="","",17),"")</f>
        <v/>
      </c>
      <c r="B22" s="35">
        <f>IFERROR(INDEX('Fund Research'!$A$6:$A$505,MATCH(17,'Fund Research'!$V$6:$V$505,0)),"")</f>
        <v/>
      </c>
      <c r="C22" s="35">
        <f>IFERROR(INDEX('Fund Research'!$B$6:$B$505,MATCH(17,'Fund Research'!$V$6:$V$505,0)),"")</f>
        <v/>
      </c>
      <c r="D22" s="35">
        <f>IFERROR(INDEX('Fund Research'!$C$6:$C$505,MATCH(17,'Fund Research'!$V$6:$V$505,0)),"")</f>
        <v/>
      </c>
      <c r="E22" s="36">
        <f>IFERROR(INDEX('Fund Research'!$G$6:$G$505,MATCH(17,'Fund Research'!$V$6:$V$505,0)),"")</f>
        <v/>
      </c>
      <c r="F22" s="36">
        <f>IFERROR(INDEX('Fund Research'!$H$6:$H$505,MATCH(17,'Fund Research'!$V$6:$V$505,0)),"")</f>
        <v/>
      </c>
      <c r="G22" s="36">
        <f>IFERROR(INDEX('Fund Research'!$I$6:$I$505,MATCH(17,'Fund Research'!$V$6:$V$505,0)),"")</f>
        <v/>
      </c>
      <c r="H22" s="37">
        <f>IFERROR(INDEX('Fund Research'!$J$6:$J$505,MATCH(17,'Fund Research'!$V$6:$V$505,0)),"")</f>
        <v/>
      </c>
      <c r="I22" s="39">
        <f>IFERROR(INDEX('Fund Research'!$L$6:$L$505,MATCH(17,'Fund Research'!$V$6:$V$505,0)),"")</f>
        <v/>
      </c>
      <c r="J22" s="37">
        <f>IFERROR(INDEX('Fund Research'!$N$6:$N$505,MATCH(17,'Fund Research'!$V$6:$V$505,0)),"")</f>
        <v/>
      </c>
      <c r="K22" s="37">
        <f>IFERROR(INDEX('Fund Research'!$P$6:$P$505,MATCH(17,'Fund Research'!$V$6:$V$505,0)),"")</f>
        <v/>
      </c>
      <c r="L22" s="35">
        <f>IFERROR(INDEX('Fund Research'!$S$6:$S$505,MATCH(17,'Fund Research'!$V$6:$V$505,0)),"")</f>
        <v/>
      </c>
      <c r="M22" s="35">
        <f>IFERROR(INDEX('Fund Research'!$T$6:$T$505,MATCH(17,'Fund Research'!$V$6:$V$505,0)),"")</f>
        <v/>
      </c>
    </row>
    <row r="23" ht="15" customHeight="1">
      <c r="A23" s="34">
        <f>IFERROR(IF(INDEX('Fund Research'!$B$6:$B$505,MATCH(18,'Fund Research'!$V$6:$V$505,0))="","",18),"")</f>
        <v/>
      </c>
      <c r="B23" s="35">
        <f>IFERROR(INDEX('Fund Research'!$A$6:$A$505,MATCH(18,'Fund Research'!$V$6:$V$505,0)),"")</f>
        <v/>
      </c>
      <c r="C23" s="35">
        <f>IFERROR(INDEX('Fund Research'!$B$6:$B$505,MATCH(18,'Fund Research'!$V$6:$V$505,0)),"")</f>
        <v/>
      </c>
      <c r="D23" s="35">
        <f>IFERROR(INDEX('Fund Research'!$C$6:$C$505,MATCH(18,'Fund Research'!$V$6:$V$505,0)),"")</f>
        <v/>
      </c>
      <c r="E23" s="36">
        <f>IFERROR(INDEX('Fund Research'!$G$6:$G$505,MATCH(18,'Fund Research'!$V$6:$V$505,0)),"")</f>
        <v/>
      </c>
      <c r="F23" s="36">
        <f>IFERROR(INDEX('Fund Research'!$H$6:$H$505,MATCH(18,'Fund Research'!$V$6:$V$505,0)),"")</f>
        <v/>
      </c>
      <c r="G23" s="36">
        <f>IFERROR(INDEX('Fund Research'!$I$6:$I$505,MATCH(18,'Fund Research'!$V$6:$V$505,0)),"")</f>
        <v/>
      </c>
      <c r="H23" s="37">
        <f>IFERROR(INDEX('Fund Research'!$J$6:$J$505,MATCH(18,'Fund Research'!$V$6:$V$505,0)),"")</f>
        <v/>
      </c>
      <c r="I23" s="39">
        <f>IFERROR(INDEX('Fund Research'!$L$6:$L$505,MATCH(18,'Fund Research'!$V$6:$V$505,0)),"")</f>
        <v/>
      </c>
      <c r="J23" s="37">
        <f>IFERROR(INDEX('Fund Research'!$N$6:$N$505,MATCH(18,'Fund Research'!$V$6:$V$505,0)),"")</f>
        <v/>
      </c>
      <c r="K23" s="37">
        <f>IFERROR(INDEX('Fund Research'!$P$6:$P$505,MATCH(18,'Fund Research'!$V$6:$V$505,0)),"")</f>
        <v/>
      </c>
      <c r="L23" s="35">
        <f>IFERROR(INDEX('Fund Research'!$S$6:$S$505,MATCH(18,'Fund Research'!$V$6:$V$505,0)),"")</f>
        <v/>
      </c>
      <c r="M23" s="35">
        <f>IFERROR(INDEX('Fund Research'!$T$6:$T$505,MATCH(18,'Fund Research'!$V$6:$V$505,0)),"")</f>
        <v/>
      </c>
    </row>
    <row r="24" ht="15" customHeight="1">
      <c r="A24" s="34">
        <f>IFERROR(IF(INDEX('Fund Research'!$B$6:$B$505,MATCH(19,'Fund Research'!$V$6:$V$505,0))="","",19),"")</f>
        <v/>
      </c>
      <c r="B24" s="35">
        <f>IFERROR(INDEX('Fund Research'!$A$6:$A$505,MATCH(19,'Fund Research'!$V$6:$V$505,0)),"")</f>
        <v/>
      </c>
      <c r="C24" s="35">
        <f>IFERROR(INDEX('Fund Research'!$B$6:$B$505,MATCH(19,'Fund Research'!$V$6:$V$505,0)),"")</f>
        <v/>
      </c>
      <c r="D24" s="35">
        <f>IFERROR(INDEX('Fund Research'!$C$6:$C$505,MATCH(19,'Fund Research'!$V$6:$V$505,0)),"")</f>
        <v/>
      </c>
      <c r="E24" s="36">
        <f>IFERROR(INDEX('Fund Research'!$G$6:$G$505,MATCH(19,'Fund Research'!$V$6:$V$505,0)),"")</f>
        <v/>
      </c>
      <c r="F24" s="36">
        <f>IFERROR(INDEX('Fund Research'!$H$6:$H$505,MATCH(19,'Fund Research'!$V$6:$V$505,0)),"")</f>
        <v/>
      </c>
      <c r="G24" s="36">
        <f>IFERROR(INDEX('Fund Research'!$I$6:$I$505,MATCH(19,'Fund Research'!$V$6:$V$505,0)),"")</f>
        <v/>
      </c>
      <c r="H24" s="37">
        <f>IFERROR(INDEX('Fund Research'!$J$6:$J$505,MATCH(19,'Fund Research'!$V$6:$V$505,0)),"")</f>
        <v/>
      </c>
      <c r="I24" s="39">
        <f>IFERROR(INDEX('Fund Research'!$L$6:$L$505,MATCH(19,'Fund Research'!$V$6:$V$505,0)),"")</f>
        <v/>
      </c>
      <c r="J24" s="37">
        <f>IFERROR(INDEX('Fund Research'!$N$6:$N$505,MATCH(19,'Fund Research'!$V$6:$V$505,0)),"")</f>
        <v/>
      </c>
      <c r="K24" s="37">
        <f>IFERROR(INDEX('Fund Research'!$P$6:$P$505,MATCH(19,'Fund Research'!$V$6:$V$505,0)),"")</f>
        <v/>
      </c>
      <c r="L24" s="35">
        <f>IFERROR(INDEX('Fund Research'!$S$6:$S$505,MATCH(19,'Fund Research'!$V$6:$V$505,0)),"")</f>
        <v/>
      </c>
      <c r="M24" s="35">
        <f>IFERROR(INDEX('Fund Research'!$T$6:$T$505,MATCH(19,'Fund Research'!$V$6:$V$505,0)),"")</f>
        <v/>
      </c>
    </row>
    <row r="25" ht="15" customHeight="1">
      <c r="A25" s="34">
        <f>IFERROR(IF(INDEX('Fund Research'!$B$6:$B$505,MATCH(20,'Fund Research'!$V$6:$V$505,0))="","",20),"")</f>
        <v/>
      </c>
      <c r="B25" s="35">
        <f>IFERROR(INDEX('Fund Research'!$A$6:$A$505,MATCH(20,'Fund Research'!$V$6:$V$505,0)),"")</f>
        <v/>
      </c>
      <c r="C25" s="35">
        <f>IFERROR(INDEX('Fund Research'!$B$6:$B$505,MATCH(20,'Fund Research'!$V$6:$V$505,0)),"")</f>
        <v/>
      </c>
      <c r="D25" s="35">
        <f>IFERROR(INDEX('Fund Research'!$C$6:$C$505,MATCH(20,'Fund Research'!$V$6:$V$505,0)),"")</f>
        <v/>
      </c>
      <c r="E25" s="36">
        <f>IFERROR(INDEX('Fund Research'!$G$6:$G$505,MATCH(20,'Fund Research'!$V$6:$V$505,0)),"")</f>
        <v/>
      </c>
      <c r="F25" s="36">
        <f>IFERROR(INDEX('Fund Research'!$H$6:$H$505,MATCH(20,'Fund Research'!$V$6:$V$505,0)),"")</f>
        <v/>
      </c>
      <c r="G25" s="36">
        <f>IFERROR(INDEX('Fund Research'!$I$6:$I$505,MATCH(20,'Fund Research'!$V$6:$V$505,0)),"")</f>
        <v/>
      </c>
      <c r="H25" s="37">
        <f>IFERROR(INDEX('Fund Research'!$J$6:$J$505,MATCH(20,'Fund Research'!$V$6:$V$505,0)),"")</f>
        <v/>
      </c>
      <c r="I25" s="39">
        <f>IFERROR(INDEX('Fund Research'!$L$6:$L$505,MATCH(20,'Fund Research'!$V$6:$V$505,0)),"")</f>
        <v/>
      </c>
      <c r="J25" s="37">
        <f>IFERROR(INDEX('Fund Research'!$N$6:$N$505,MATCH(20,'Fund Research'!$V$6:$V$505,0)),"")</f>
        <v/>
      </c>
      <c r="K25" s="37">
        <f>IFERROR(INDEX('Fund Research'!$P$6:$P$505,MATCH(20,'Fund Research'!$V$6:$V$505,0)),"")</f>
        <v/>
      </c>
      <c r="L25" s="35">
        <f>IFERROR(INDEX('Fund Research'!$S$6:$S$505,MATCH(20,'Fund Research'!$V$6:$V$505,0)),"")</f>
        <v/>
      </c>
      <c r="M25" s="35">
        <f>IFERROR(INDEX('Fund Research'!$T$6:$T$505,MATCH(20,'Fund Research'!$V$6:$V$505,0)),"")</f>
        <v/>
      </c>
    </row>
    <row r="26" ht="15" customHeight="1">
      <c r="A26" s="34">
        <f>IFERROR(IF(INDEX('Fund Research'!$B$6:$B$505,MATCH(21,'Fund Research'!$V$6:$V$505,0))="","",21),"")</f>
        <v/>
      </c>
      <c r="B26" s="35">
        <f>IFERROR(INDEX('Fund Research'!$A$6:$A$505,MATCH(21,'Fund Research'!$V$6:$V$505,0)),"")</f>
        <v/>
      </c>
      <c r="C26" s="35">
        <f>IFERROR(INDEX('Fund Research'!$B$6:$B$505,MATCH(21,'Fund Research'!$V$6:$V$505,0)),"")</f>
        <v/>
      </c>
      <c r="D26" s="35">
        <f>IFERROR(INDEX('Fund Research'!$C$6:$C$505,MATCH(21,'Fund Research'!$V$6:$V$505,0)),"")</f>
        <v/>
      </c>
      <c r="E26" s="36">
        <f>IFERROR(INDEX('Fund Research'!$G$6:$G$505,MATCH(21,'Fund Research'!$V$6:$V$505,0)),"")</f>
        <v/>
      </c>
      <c r="F26" s="36">
        <f>IFERROR(INDEX('Fund Research'!$H$6:$H$505,MATCH(21,'Fund Research'!$V$6:$V$505,0)),"")</f>
        <v/>
      </c>
      <c r="G26" s="36">
        <f>IFERROR(INDEX('Fund Research'!$I$6:$I$505,MATCH(21,'Fund Research'!$V$6:$V$505,0)),"")</f>
        <v/>
      </c>
      <c r="H26" s="37">
        <f>IFERROR(INDEX('Fund Research'!$J$6:$J$505,MATCH(21,'Fund Research'!$V$6:$V$505,0)),"")</f>
        <v/>
      </c>
      <c r="I26" s="39">
        <f>IFERROR(INDEX('Fund Research'!$L$6:$L$505,MATCH(21,'Fund Research'!$V$6:$V$505,0)),"")</f>
        <v/>
      </c>
      <c r="J26" s="37">
        <f>IFERROR(INDEX('Fund Research'!$N$6:$N$505,MATCH(21,'Fund Research'!$V$6:$V$505,0)),"")</f>
        <v/>
      </c>
      <c r="K26" s="37">
        <f>IFERROR(INDEX('Fund Research'!$P$6:$P$505,MATCH(21,'Fund Research'!$V$6:$V$505,0)),"")</f>
        <v/>
      </c>
      <c r="L26" s="35">
        <f>IFERROR(INDEX('Fund Research'!$S$6:$S$505,MATCH(21,'Fund Research'!$V$6:$V$505,0)),"")</f>
        <v/>
      </c>
      <c r="M26" s="35">
        <f>IFERROR(INDEX('Fund Research'!$T$6:$T$505,MATCH(21,'Fund Research'!$V$6:$V$505,0)),"")</f>
        <v/>
      </c>
    </row>
    <row r="27" ht="15" customHeight="1">
      <c r="A27" s="34">
        <f>IFERROR(IF(INDEX('Fund Research'!$B$6:$B$505,MATCH(22,'Fund Research'!$V$6:$V$505,0))="","",22),"")</f>
        <v/>
      </c>
      <c r="B27" s="35">
        <f>IFERROR(INDEX('Fund Research'!$A$6:$A$505,MATCH(22,'Fund Research'!$V$6:$V$505,0)),"")</f>
        <v/>
      </c>
      <c r="C27" s="35">
        <f>IFERROR(INDEX('Fund Research'!$B$6:$B$505,MATCH(22,'Fund Research'!$V$6:$V$505,0)),"")</f>
        <v/>
      </c>
      <c r="D27" s="35">
        <f>IFERROR(INDEX('Fund Research'!$C$6:$C$505,MATCH(22,'Fund Research'!$V$6:$V$505,0)),"")</f>
        <v/>
      </c>
      <c r="E27" s="36">
        <f>IFERROR(INDEX('Fund Research'!$G$6:$G$505,MATCH(22,'Fund Research'!$V$6:$V$505,0)),"")</f>
        <v/>
      </c>
      <c r="F27" s="36">
        <f>IFERROR(INDEX('Fund Research'!$H$6:$H$505,MATCH(22,'Fund Research'!$V$6:$V$505,0)),"")</f>
        <v/>
      </c>
      <c r="G27" s="36">
        <f>IFERROR(INDEX('Fund Research'!$I$6:$I$505,MATCH(22,'Fund Research'!$V$6:$V$505,0)),"")</f>
        <v/>
      </c>
      <c r="H27" s="37">
        <f>IFERROR(INDEX('Fund Research'!$J$6:$J$505,MATCH(22,'Fund Research'!$V$6:$V$505,0)),"")</f>
        <v/>
      </c>
      <c r="I27" s="39">
        <f>IFERROR(INDEX('Fund Research'!$L$6:$L$505,MATCH(22,'Fund Research'!$V$6:$V$505,0)),"")</f>
        <v/>
      </c>
      <c r="J27" s="37">
        <f>IFERROR(INDEX('Fund Research'!$N$6:$N$505,MATCH(22,'Fund Research'!$V$6:$V$505,0)),"")</f>
        <v/>
      </c>
      <c r="K27" s="37">
        <f>IFERROR(INDEX('Fund Research'!$P$6:$P$505,MATCH(22,'Fund Research'!$V$6:$V$505,0)),"")</f>
        <v/>
      </c>
      <c r="L27" s="35">
        <f>IFERROR(INDEX('Fund Research'!$S$6:$S$505,MATCH(22,'Fund Research'!$V$6:$V$505,0)),"")</f>
        <v/>
      </c>
      <c r="M27" s="35">
        <f>IFERROR(INDEX('Fund Research'!$T$6:$T$505,MATCH(22,'Fund Research'!$V$6:$V$505,0)),"")</f>
        <v/>
      </c>
    </row>
    <row r="28" ht="15" customHeight="1">
      <c r="A28" s="34">
        <f>IFERROR(IF(INDEX('Fund Research'!$B$6:$B$505,MATCH(23,'Fund Research'!$V$6:$V$505,0))="","",23),"")</f>
        <v/>
      </c>
      <c r="B28" s="35">
        <f>IFERROR(INDEX('Fund Research'!$A$6:$A$505,MATCH(23,'Fund Research'!$V$6:$V$505,0)),"")</f>
        <v/>
      </c>
      <c r="C28" s="35">
        <f>IFERROR(INDEX('Fund Research'!$B$6:$B$505,MATCH(23,'Fund Research'!$V$6:$V$505,0)),"")</f>
        <v/>
      </c>
      <c r="D28" s="35">
        <f>IFERROR(INDEX('Fund Research'!$C$6:$C$505,MATCH(23,'Fund Research'!$V$6:$V$505,0)),"")</f>
        <v/>
      </c>
      <c r="E28" s="36">
        <f>IFERROR(INDEX('Fund Research'!$G$6:$G$505,MATCH(23,'Fund Research'!$V$6:$V$505,0)),"")</f>
        <v/>
      </c>
      <c r="F28" s="36">
        <f>IFERROR(INDEX('Fund Research'!$H$6:$H$505,MATCH(23,'Fund Research'!$V$6:$V$505,0)),"")</f>
        <v/>
      </c>
      <c r="G28" s="36">
        <f>IFERROR(INDEX('Fund Research'!$I$6:$I$505,MATCH(23,'Fund Research'!$V$6:$V$505,0)),"")</f>
        <v/>
      </c>
      <c r="H28" s="37">
        <f>IFERROR(INDEX('Fund Research'!$J$6:$J$505,MATCH(23,'Fund Research'!$V$6:$V$505,0)),"")</f>
        <v/>
      </c>
      <c r="I28" s="39">
        <f>IFERROR(INDEX('Fund Research'!$L$6:$L$505,MATCH(23,'Fund Research'!$V$6:$V$505,0)),"")</f>
        <v/>
      </c>
      <c r="J28" s="37">
        <f>IFERROR(INDEX('Fund Research'!$N$6:$N$505,MATCH(23,'Fund Research'!$V$6:$V$505,0)),"")</f>
        <v/>
      </c>
      <c r="K28" s="37">
        <f>IFERROR(INDEX('Fund Research'!$P$6:$P$505,MATCH(23,'Fund Research'!$V$6:$V$505,0)),"")</f>
        <v/>
      </c>
      <c r="L28" s="35">
        <f>IFERROR(INDEX('Fund Research'!$S$6:$S$505,MATCH(23,'Fund Research'!$V$6:$V$505,0)),"")</f>
        <v/>
      </c>
      <c r="M28" s="35">
        <f>IFERROR(INDEX('Fund Research'!$T$6:$T$505,MATCH(23,'Fund Research'!$V$6:$V$505,0)),"")</f>
        <v/>
      </c>
    </row>
    <row r="29" ht="15" customHeight="1">
      <c r="A29" s="34">
        <f>IFERROR(IF(INDEX('Fund Research'!$B$6:$B$505,MATCH(24,'Fund Research'!$V$6:$V$505,0))="","",24),"")</f>
        <v/>
      </c>
      <c r="B29" s="35">
        <f>IFERROR(INDEX('Fund Research'!$A$6:$A$505,MATCH(24,'Fund Research'!$V$6:$V$505,0)),"")</f>
        <v/>
      </c>
      <c r="C29" s="35">
        <f>IFERROR(INDEX('Fund Research'!$B$6:$B$505,MATCH(24,'Fund Research'!$V$6:$V$505,0)),"")</f>
        <v/>
      </c>
      <c r="D29" s="35">
        <f>IFERROR(INDEX('Fund Research'!$C$6:$C$505,MATCH(24,'Fund Research'!$V$6:$V$505,0)),"")</f>
        <v/>
      </c>
      <c r="E29" s="36">
        <f>IFERROR(INDEX('Fund Research'!$G$6:$G$505,MATCH(24,'Fund Research'!$V$6:$V$505,0)),"")</f>
        <v/>
      </c>
      <c r="F29" s="36">
        <f>IFERROR(INDEX('Fund Research'!$H$6:$H$505,MATCH(24,'Fund Research'!$V$6:$V$505,0)),"")</f>
        <v/>
      </c>
      <c r="G29" s="36">
        <f>IFERROR(INDEX('Fund Research'!$I$6:$I$505,MATCH(24,'Fund Research'!$V$6:$V$505,0)),"")</f>
        <v/>
      </c>
      <c r="H29" s="37">
        <f>IFERROR(INDEX('Fund Research'!$J$6:$J$505,MATCH(24,'Fund Research'!$V$6:$V$505,0)),"")</f>
        <v/>
      </c>
      <c r="I29" s="39">
        <f>IFERROR(INDEX('Fund Research'!$L$6:$L$505,MATCH(24,'Fund Research'!$V$6:$V$505,0)),"")</f>
        <v/>
      </c>
      <c r="J29" s="37">
        <f>IFERROR(INDEX('Fund Research'!$N$6:$N$505,MATCH(24,'Fund Research'!$V$6:$V$505,0)),"")</f>
        <v/>
      </c>
      <c r="K29" s="37">
        <f>IFERROR(INDEX('Fund Research'!$P$6:$P$505,MATCH(24,'Fund Research'!$V$6:$V$505,0)),"")</f>
        <v/>
      </c>
      <c r="L29" s="35">
        <f>IFERROR(INDEX('Fund Research'!$S$6:$S$505,MATCH(24,'Fund Research'!$V$6:$V$505,0)),"")</f>
        <v/>
      </c>
      <c r="M29" s="35">
        <f>IFERROR(INDEX('Fund Research'!$T$6:$T$505,MATCH(24,'Fund Research'!$V$6:$V$505,0)),"")</f>
        <v/>
      </c>
    </row>
    <row r="30" ht="15" customHeight="1">
      <c r="A30" s="34">
        <f>IFERROR(IF(INDEX('Fund Research'!$B$6:$B$505,MATCH(25,'Fund Research'!$V$6:$V$505,0))="","",25),"")</f>
        <v/>
      </c>
      <c r="B30" s="35">
        <f>IFERROR(INDEX('Fund Research'!$A$6:$A$505,MATCH(25,'Fund Research'!$V$6:$V$505,0)),"")</f>
        <v/>
      </c>
      <c r="C30" s="35">
        <f>IFERROR(INDEX('Fund Research'!$B$6:$B$505,MATCH(25,'Fund Research'!$V$6:$V$505,0)),"")</f>
        <v/>
      </c>
      <c r="D30" s="35">
        <f>IFERROR(INDEX('Fund Research'!$C$6:$C$505,MATCH(25,'Fund Research'!$V$6:$V$505,0)),"")</f>
        <v/>
      </c>
      <c r="E30" s="36">
        <f>IFERROR(INDEX('Fund Research'!$G$6:$G$505,MATCH(25,'Fund Research'!$V$6:$V$505,0)),"")</f>
        <v/>
      </c>
      <c r="F30" s="36">
        <f>IFERROR(INDEX('Fund Research'!$H$6:$H$505,MATCH(25,'Fund Research'!$V$6:$V$505,0)),"")</f>
        <v/>
      </c>
      <c r="G30" s="36">
        <f>IFERROR(INDEX('Fund Research'!$I$6:$I$505,MATCH(25,'Fund Research'!$V$6:$V$505,0)),"")</f>
        <v/>
      </c>
      <c r="H30" s="37">
        <f>IFERROR(INDEX('Fund Research'!$J$6:$J$505,MATCH(25,'Fund Research'!$V$6:$V$505,0)),"")</f>
        <v/>
      </c>
      <c r="I30" s="39">
        <f>IFERROR(INDEX('Fund Research'!$L$6:$L$505,MATCH(25,'Fund Research'!$V$6:$V$505,0)),"")</f>
        <v/>
      </c>
      <c r="J30" s="37">
        <f>IFERROR(INDEX('Fund Research'!$N$6:$N$505,MATCH(25,'Fund Research'!$V$6:$V$505,0)),"")</f>
        <v/>
      </c>
      <c r="K30" s="37">
        <f>IFERROR(INDEX('Fund Research'!$P$6:$P$505,MATCH(25,'Fund Research'!$V$6:$V$505,0)),"")</f>
        <v/>
      </c>
      <c r="L30" s="35">
        <f>IFERROR(INDEX('Fund Research'!$S$6:$S$505,MATCH(25,'Fund Research'!$V$6:$V$505,0)),"")</f>
        <v/>
      </c>
      <c r="M30" s="35">
        <f>IFERROR(INDEX('Fund Research'!$T$6:$T$505,MATCH(25,'Fund Research'!$V$6:$V$505,0)),"")</f>
        <v/>
      </c>
    </row>
    <row r="31" ht="15" customHeight="1">
      <c r="A31" s="34">
        <f>IFERROR(IF(INDEX('Fund Research'!$B$6:$B$505,MATCH(26,'Fund Research'!$V$6:$V$505,0))="","",26),"")</f>
        <v/>
      </c>
      <c r="B31" s="35">
        <f>IFERROR(INDEX('Fund Research'!$A$6:$A$505,MATCH(26,'Fund Research'!$V$6:$V$505,0)),"")</f>
        <v/>
      </c>
      <c r="C31" s="35">
        <f>IFERROR(INDEX('Fund Research'!$B$6:$B$505,MATCH(26,'Fund Research'!$V$6:$V$505,0)),"")</f>
        <v/>
      </c>
      <c r="D31" s="35">
        <f>IFERROR(INDEX('Fund Research'!$C$6:$C$505,MATCH(26,'Fund Research'!$V$6:$V$505,0)),"")</f>
        <v/>
      </c>
      <c r="E31" s="36">
        <f>IFERROR(INDEX('Fund Research'!$G$6:$G$505,MATCH(26,'Fund Research'!$V$6:$V$505,0)),"")</f>
        <v/>
      </c>
      <c r="F31" s="36">
        <f>IFERROR(INDEX('Fund Research'!$H$6:$H$505,MATCH(26,'Fund Research'!$V$6:$V$505,0)),"")</f>
        <v/>
      </c>
      <c r="G31" s="36">
        <f>IFERROR(INDEX('Fund Research'!$I$6:$I$505,MATCH(26,'Fund Research'!$V$6:$V$505,0)),"")</f>
        <v/>
      </c>
      <c r="H31" s="37">
        <f>IFERROR(INDEX('Fund Research'!$J$6:$J$505,MATCH(26,'Fund Research'!$V$6:$V$505,0)),"")</f>
        <v/>
      </c>
      <c r="I31" s="39">
        <f>IFERROR(INDEX('Fund Research'!$L$6:$L$505,MATCH(26,'Fund Research'!$V$6:$V$505,0)),"")</f>
        <v/>
      </c>
      <c r="J31" s="37">
        <f>IFERROR(INDEX('Fund Research'!$N$6:$N$505,MATCH(26,'Fund Research'!$V$6:$V$505,0)),"")</f>
        <v/>
      </c>
      <c r="K31" s="37">
        <f>IFERROR(INDEX('Fund Research'!$P$6:$P$505,MATCH(26,'Fund Research'!$V$6:$V$505,0)),"")</f>
        <v/>
      </c>
      <c r="L31" s="35">
        <f>IFERROR(INDEX('Fund Research'!$S$6:$S$505,MATCH(26,'Fund Research'!$V$6:$V$505,0)),"")</f>
        <v/>
      </c>
      <c r="M31" s="35">
        <f>IFERROR(INDEX('Fund Research'!$T$6:$T$505,MATCH(26,'Fund Research'!$V$6:$V$505,0)),"")</f>
        <v/>
      </c>
    </row>
    <row r="32" ht="15" customHeight="1">
      <c r="A32" s="34">
        <f>IFERROR(IF(INDEX('Fund Research'!$B$6:$B$505,MATCH(27,'Fund Research'!$V$6:$V$505,0))="","",27),"")</f>
        <v/>
      </c>
      <c r="B32" s="35">
        <f>IFERROR(INDEX('Fund Research'!$A$6:$A$505,MATCH(27,'Fund Research'!$V$6:$V$505,0)),"")</f>
        <v/>
      </c>
      <c r="C32" s="35">
        <f>IFERROR(INDEX('Fund Research'!$B$6:$B$505,MATCH(27,'Fund Research'!$V$6:$V$505,0)),"")</f>
        <v/>
      </c>
      <c r="D32" s="35">
        <f>IFERROR(INDEX('Fund Research'!$C$6:$C$505,MATCH(27,'Fund Research'!$V$6:$V$505,0)),"")</f>
        <v/>
      </c>
      <c r="E32" s="36">
        <f>IFERROR(INDEX('Fund Research'!$G$6:$G$505,MATCH(27,'Fund Research'!$V$6:$V$505,0)),"")</f>
        <v/>
      </c>
      <c r="F32" s="36">
        <f>IFERROR(INDEX('Fund Research'!$H$6:$H$505,MATCH(27,'Fund Research'!$V$6:$V$505,0)),"")</f>
        <v/>
      </c>
      <c r="G32" s="36">
        <f>IFERROR(INDEX('Fund Research'!$I$6:$I$505,MATCH(27,'Fund Research'!$V$6:$V$505,0)),"")</f>
        <v/>
      </c>
      <c r="H32" s="37">
        <f>IFERROR(INDEX('Fund Research'!$J$6:$J$505,MATCH(27,'Fund Research'!$V$6:$V$505,0)),"")</f>
        <v/>
      </c>
      <c r="I32" s="39">
        <f>IFERROR(INDEX('Fund Research'!$L$6:$L$505,MATCH(27,'Fund Research'!$V$6:$V$505,0)),"")</f>
        <v/>
      </c>
      <c r="J32" s="37">
        <f>IFERROR(INDEX('Fund Research'!$N$6:$N$505,MATCH(27,'Fund Research'!$V$6:$V$505,0)),"")</f>
        <v/>
      </c>
      <c r="K32" s="37">
        <f>IFERROR(INDEX('Fund Research'!$P$6:$P$505,MATCH(27,'Fund Research'!$V$6:$V$505,0)),"")</f>
        <v/>
      </c>
      <c r="L32" s="35">
        <f>IFERROR(INDEX('Fund Research'!$S$6:$S$505,MATCH(27,'Fund Research'!$V$6:$V$505,0)),"")</f>
        <v/>
      </c>
      <c r="M32" s="35">
        <f>IFERROR(INDEX('Fund Research'!$T$6:$T$505,MATCH(27,'Fund Research'!$V$6:$V$505,0)),"")</f>
        <v/>
      </c>
    </row>
    <row r="33" ht="15" customHeight="1">
      <c r="A33" s="34">
        <f>IFERROR(IF(INDEX('Fund Research'!$B$6:$B$505,MATCH(28,'Fund Research'!$V$6:$V$505,0))="","",28),"")</f>
        <v/>
      </c>
      <c r="B33" s="35">
        <f>IFERROR(INDEX('Fund Research'!$A$6:$A$505,MATCH(28,'Fund Research'!$V$6:$V$505,0)),"")</f>
        <v/>
      </c>
      <c r="C33" s="35">
        <f>IFERROR(INDEX('Fund Research'!$B$6:$B$505,MATCH(28,'Fund Research'!$V$6:$V$505,0)),"")</f>
        <v/>
      </c>
      <c r="D33" s="35">
        <f>IFERROR(INDEX('Fund Research'!$C$6:$C$505,MATCH(28,'Fund Research'!$V$6:$V$505,0)),"")</f>
        <v/>
      </c>
      <c r="E33" s="36">
        <f>IFERROR(INDEX('Fund Research'!$G$6:$G$505,MATCH(28,'Fund Research'!$V$6:$V$505,0)),"")</f>
        <v/>
      </c>
      <c r="F33" s="36">
        <f>IFERROR(INDEX('Fund Research'!$H$6:$H$505,MATCH(28,'Fund Research'!$V$6:$V$505,0)),"")</f>
        <v/>
      </c>
      <c r="G33" s="36">
        <f>IFERROR(INDEX('Fund Research'!$I$6:$I$505,MATCH(28,'Fund Research'!$V$6:$V$505,0)),"")</f>
        <v/>
      </c>
      <c r="H33" s="37">
        <f>IFERROR(INDEX('Fund Research'!$J$6:$J$505,MATCH(28,'Fund Research'!$V$6:$V$505,0)),"")</f>
        <v/>
      </c>
      <c r="I33" s="39">
        <f>IFERROR(INDEX('Fund Research'!$L$6:$L$505,MATCH(28,'Fund Research'!$V$6:$V$505,0)),"")</f>
        <v/>
      </c>
      <c r="J33" s="37">
        <f>IFERROR(INDEX('Fund Research'!$N$6:$N$505,MATCH(28,'Fund Research'!$V$6:$V$505,0)),"")</f>
        <v/>
      </c>
      <c r="K33" s="37">
        <f>IFERROR(INDEX('Fund Research'!$P$6:$P$505,MATCH(28,'Fund Research'!$V$6:$V$505,0)),"")</f>
        <v/>
      </c>
      <c r="L33" s="35">
        <f>IFERROR(INDEX('Fund Research'!$S$6:$S$505,MATCH(28,'Fund Research'!$V$6:$V$505,0)),"")</f>
        <v/>
      </c>
      <c r="M33" s="35">
        <f>IFERROR(INDEX('Fund Research'!$T$6:$T$505,MATCH(28,'Fund Research'!$V$6:$V$505,0)),"")</f>
        <v/>
      </c>
    </row>
    <row r="34" ht="15" customHeight="1">
      <c r="A34" s="34">
        <f>IFERROR(IF(INDEX('Fund Research'!$B$6:$B$505,MATCH(29,'Fund Research'!$V$6:$V$505,0))="","",29),"")</f>
        <v/>
      </c>
      <c r="B34" s="35">
        <f>IFERROR(INDEX('Fund Research'!$A$6:$A$505,MATCH(29,'Fund Research'!$V$6:$V$505,0)),"")</f>
        <v/>
      </c>
      <c r="C34" s="35">
        <f>IFERROR(INDEX('Fund Research'!$B$6:$B$505,MATCH(29,'Fund Research'!$V$6:$V$505,0)),"")</f>
        <v/>
      </c>
      <c r="D34" s="35">
        <f>IFERROR(INDEX('Fund Research'!$C$6:$C$505,MATCH(29,'Fund Research'!$V$6:$V$505,0)),"")</f>
        <v/>
      </c>
      <c r="E34" s="36">
        <f>IFERROR(INDEX('Fund Research'!$G$6:$G$505,MATCH(29,'Fund Research'!$V$6:$V$505,0)),"")</f>
        <v/>
      </c>
      <c r="F34" s="36">
        <f>IFERROR(INDEX('Fund Research'!$H$6:$H$505,MATCH(29,'Fund Research'!$V$6:$V$505,0)),"")</f>
        <v/>
      </c>
      <c r="G34" s="36">
        <f>IFERROR(INDEX('Fund Research'!$I$6:$I$505,MATCH(29,'Fund Research'!$V$6:$V$505,0)),"")</f>
        <v/>
      </c>
      <c r="H34" s="37">
        <f>IFERROR(INDEX('Fund Research'!$J$6:$J$505,MATCH(29,'Fund Research'!$V$6:$V$505,0)),"")</f>
        <v/>
      </c>
      <c r="I34" s="39">
        <f>IFERROR(INDEX('Fund Research'!$L$6:$L$505,MATCH(29,'Fund Research'!$V$6:$V$505,0)),"")</f>
        <v/>
      </c>
      <c r="J34" s="37">
        <f>IFERROR(INDEX('Fund Research'!$N$6:$N$505,MATCH(29,'Fund Research'!$V$6:$V$505,0)),"")</f>
        <v/>
      </c>
      <c r="K34" s="37">
        <f>IFERROR(INDEX('Fund Research'!$P$6:$P$505,MATCH(29,'Fund Research'!$V$6:$V$505,0)),"")</f>
        <v/>
      </c>
      <c r="L34" s="35">
        <f>IFERROR(INDEX('Fund Research'!$S$6:$S$505,MATCH(29,'Fund Research'!$V$6:$V$505,0)),"")</f>
        <v/>
      </c>
      <c r="M34" s="35">
        <f>IFERROR(INDEX('Fund Research'!$T$6:$T$505,MATCH(29,'Fund Research'!$V$6:$V$505,0)),"")</f>
        <v/>
      </c>
    </row>
    <row r="35" ht="15" customHeight="1">
      <c r="A35" s="34">
        <f>IFERROR(IF(INDEX('Fund Research'!$B$6:$B$505,MATCH(30,'Fund Research'!$V$6:$V$505,0))="","",30),"")</f>
        <v/>
      </c>
      <c r="B35" s="35">
        <f>IFERROR(INDEX('Fund Research'!$A$6:$A$505,MATCH(30,'Fund Research'!$V$6:$V$505,0)),"")</f>
        <v/>
      </c>
      <c r="C35" s="35">
        <f>IFERROR(INDEX('Fund Research'!$B$6:$B$505,MATCH(30,'Fund Research'!$V$6:$V$505,0)),"")</f>
        <v/>
      </c>
      <c r="D35" s="35">
        <f>IFERROR(INDEX('Fund Research'!$C$6:$C$505,MATCH(30,'Fund Research'!$V$6:$V$505,0)),"")</f>
        <v/>
      </c>
      <c r="E35" s="36">
        <f>IFERROR(INDEX('Fund Research'!$G$6:$G$505,MATCH(30,'Fund Research'!$V$6:$V$505,0)),"")</f>
        <v/>
      </c>
      <c r="F35" s="36">
        <f>IFERROR(INDEX('Fund Research'!$H$6:$H$505,MATCH(30,'Fund Research'!$V$6:$V$505,0)),"")</f>
        <v/>
      </c>
      <c r="G35" s="36">
        <f>IFERROR(INDEX('Fund Research'!$I$6:$I$505,MATCH(30,'Fund Research'!$V$6:$V$505,0)),"")</f>
        <v/>
      </c>
      <c r="H35" s="37">
        <f>IFERROR(INDEX('Fund Research'!$J$6:$J$505,MATCH(30,'Fund Research'!$V$6:$V$505,0)),"")</f>
        <v/>
      </c>
      <c r="I35" s="39">
        <f>IFERROR(INDEX('Fund Research'!$L$6:$L$505,MATCH(30,'Fund Research'!$V$6:$V$505,0)),"")</f>
        <v/>
      </c>
      <c r="J35" s="37">
        <f>IFERROR(INDEX('Fund Research'!$N$6:$N$505,MATCH(30,'Fund Research'!$V$6:$V$505,0)),"")</f>
        <v/>
      </c>
      <c r="K35" s="37">
        <f>IFERROR(INDEX('Fund Research'!$P$6:$P$505,MATCH(30,'Fund Research'!$V$6:$V$505,0)),"")</f>
        <v/>
      </c>
      <c r="L35" s="35">
        <f>IFERROR(INDEX('Fund Research'!$S$6:$S$505,MATCH(30,'Fund Research'!$V$6:$V$505,0)),"")</f>
        <v/>
      </c>
      <c r="M35" s="35">
        <f>IFERROR(INDEX('Fund Research'!$T$6:$T$505,MATCH(30,'Fund Research'!$V$6:$V$505,0)),"")</f>
        <v/>
      </c>
    </row>
    <row r="36" ht="15" customHeight="1">
      <c r="A36" s="34">
        <f>IFERROR(IF(INDEX('Fund Research'!$B$6:$B$505,MATCH(31,'Fund Research'!$V$6:$V$505,0))="","",31),"")</f>
        <v/>
      </c>
      <c r="B36" s="35">
        <f>IFERROR(INDEX('Fund Research'!$A$6:$A$505,MATCH(31,'Fund Research'!$V$6:$V$505,0)),"")</f>
        <v/>
      </c>
      <c r="C36" s="35">
        <f>IFERROR(INDEX('Fund Research'!$B$6:$B$505,MATCH(31,'Fund Research'!$V$6:$V$505,0)),"")</f>
        <v/>
      </c>
      <c r="D36" s="35">
        <f>IFERROR(INDEX('Fund Research'!$C$6:$C$505,MATCH(31,'Fund Research'!$V$6:$V$505,0)),"")</f>
        <v/>
      </c>
      <c r="E36" s="36">
        <f>IFERROR(INDEX('Fund Research'!$G$6:$G$505,MATCH(31,'Fund Research'!$V$6:$V$505,0)),"")</f>
        <v/>
      </c>
      <c r="F36" s="36">
        <f>IFERROR(INDEX('Fund Research'!$H$6:$H$505,MATCH(31,'Fund Research'!$V$6:$V$505,0)),"")</f>
        <v/>
      </c>
      <c r="G36" s="36">
        <f>IFERROR(INDEX('Fund Research'!$I$6:$I$505,MATCH(31,'Fund Research'!$V$6:$V$505,0)),"")</f>
        <v/>
      </c>
      <c r="H36" s="37">
        <f>IFERROR(INDEX('Fund Research'!$J$6:$J$505,MATCH(31,'Fund Research'!$V$6:$V$505,0)),"")</f>
        <v/>
      </c>
      <c r="I36" s="39">
        <f>IFERROR(INDEX('Fund Research'!$L$6:$L$505,MATCH(31,'Fund Research'!$V$6:$V$505,0)),"")</f>
        <v/>
      </c>
      <c r="J36" s="37">
        <f>IFERROR(INDEX('Fund Research'!$N$6:$N$505,MATCH(31,'Fund Research'!$V$6:$V$505,0)),"")</f>
        <v/>
      </c>
      <c r="K36" s="37">
        <f>IFERROR(INDEX('Fund Research'!$P$6:$P$505,MATCH(31,'Fund Research'!$V$6:$V$505,0)),"")</f>
        <v/>
      </c>
      <c r="L36" s="35">
        <f>IFERROR(INDEX('Fund Research'!$S$6:$S$505,MATCH(31,'Fund Research'!$V$6:$V$505,0)),"")</f>
        <v/>
      </c>
      <c r="M36" s="35">
        <f>IFERROR(INDEX('Fund Research'!$T$6:$T$505,MATCH(31,'Fund Research'!$V$6:$V$505,0)),"")</f>
        <v/>
      </c>
    </row>
    <row r="37" ht="15" customHeight="1">
      <c r="A37" s="34">
        <f>IFERROR(IF(INDEX('Fund Research'!$B$6:$B$505,MATCH(32,'Fund Research'!$V$6:$V$505,0))="","",32),"")</f>
        <v/>
      </c>
      <c r="B37" s="35">
        <f>IFERROR(INDEX('Fund Research'!$A$6:$A$505,MATCH(32,'Fund Research'!$V$6:$V$505,0)),"")</f>
        <v/>
      </c>
      <c r="C37" s="35">
        <f>IFERROR(INDEX('Fund Research'!$B$6:$B$505,MATCH(32,'Fund Research'!$V$6:$V$505,0)),"")</f>
        <v/>
      </c>
      <c r="D37" s="35">
        <f>IFERROR(INDEX('Fund Research'!$C$6:$C$505,MATCH(32,'Fund Research'!$V$6:$V$505,0)),"")</f>
        <v/>
      </c>
      <c r="E37" s="36">
        <f>IFERROR(INDEX('Fund Research'!$G$6:$G$505,MATCH(32,'Fund Research'!$V$6:$V$505,0)),"")</f>
        <v/>
      </c>
      <c r="F37" s="36">
        <f>IFERROR(INDEX('Fund Research'!$H$6:$H$505,MATCH(32,'Fund Research'!$V$6:$V$505,0)),"")</f>
        <v/>
      </c>
      <c r="G37" s="36">
        <f>IFERROR(INDEX('Fund Research'!$I$6:$I$505,MATCH(32,'Fund Research'!$V$6:$V$505,0)),"")</f>
        <v/>
      </c>
      <c r="H37" s="37">
        <f>IFERROR(INDEX('Fund Research'!$J$6:$J$505,MATCH(32,'Fund Research'!$V$6:$V$505,0)),"")</f>
        <v/>
      </c>
      <c r="I37" s="39">
        <f>IFERROR(INDEX('Fund Research'!$L$6:$L$505,MATCH(32,'Fund Research'!$V$6:$V$505,0)),"")</f>
        <v/>
      </c>
      <c r="J37" s="37">
        <f>IFERROR(INDEX('Fund Research'!$N$6:$N$505,MATCH(32,'Fund Research'!$V$6:$V$505,0)),"")</f>
        <v/>
      </c>
      <c r="K37" s="37">
        <f>IFERROR(INDEX('Fund Research'!$P$6:$P$505,MATCH(32,'Fund Research'!$V$6:$V$505,0)),"")</f>
        <v/>
      </c>
      <c r="L37" s="35">
        <f>IFERROR(INDEX('Fund Research'!$S$6:$S$505,MATCH(32,'Fund Research'!$V$6:$V$505,0)),"")</f>
        <v/>
      </c>
      <c r="M37" s="35">
        <f>IFERROR(INDEX('Fund Research'!$T$6:$T$505,MATCH(32,'Fund Research'!$V$6:$V$505,0)),"")</f>
        <v/>
      </c>
    </row>
    <row r="38" ht="15" customHeight="1">
      <c r="A38" s="34">
        <f>IFERROR(IF(INDEX('Fund Research'!$B$6:$B$505,MATCH(33,'Fund Research'!$V$6:$V$505,0))="","",33),"")</f>
        <v/>
      </c>
      <c r="B38" s="35">
        <f>IFERROR(INDEX('Fund Research'!$A$6:$A$505,MATCH(33,'Fund Research'!$V$6:$V$505,0)),"")</f>
        <v/>
      </c>
      <c r="C38" s="35">
        <f>IFERROR(INDEX('Fund Research'!$B$6:$B$505,MATCH(33,'Fund Research'!$V$6:$V$505,0)),"")</f>
        <v/>
      </c>
      <c r="D38" s="35">
        <f>IFERROR(INDEX('Fund Research'!$C$6:$C$505,MATCH(33,'Fund Research'!$V$6:$V$505,0)),"")</f>
        <v/>
      </c>
      <c r="E38" s="36">
        <f>IFERROR(INDEX('Fund Research'!$G$6:$G$505,MATCH(33,'Fund Research'!$V$6:$V$505,0)),"")</f>
        <v/>
      </c>
      <c r="F38" s="36">
        <f>IFERROR(INDEX('Fund Research'!$H$6:$H$505,MATCH(33,'Fund Research'!$V$6:$V$505,0)),"")</f>
        <v/>
      </c>
      <c r="G38" s="36">
        <f>IFERROR(INDEX('Fund Research'!$I$6:$I$505,MATCH(33,'Fund Research'!$V$6:$V$505,0)),"")</f>
        <v/>
      </c>
      <c r="H38" s="37">
        <f>IFERROR(INDEX('Fund Research'!$J$6:$J$505,MATCH(33,'Fund Research'!$V$6:$V$505,0)),"")</f>
        <v/>
      </c>
      <c r="I38" s="39">
        <f>IFERROR(INDEX('Fund Research'!$L$6:$L$505,MATCH(33,'Fund Research'!$V$6:$V$505,0)),"")</f>
        <v/>
      </c>
      <c r="J38" s="37">
        <f>IFERROR(INDEX('Fund Research'!$N$6:$N$505,MATCH(33,'Fund Research'!$V$6:$V$505,0)),"")</f>
        <v/>
      </c>
      <c r="K38" s="37">
        <f>IFERROR(INDEX('Fund Research'!$P$6:$P$505,MATCH(33,'Fund Research'!$V$6:$V$505,0)),"")</f>
        <v/>
      </c>
      <c r="L38" s="35">
        <f>IFERROR(INDEX('Fund Research'!$S$6:$S$505,MATCH(33,'Fund Research'!$V$6:$V$505,0)),"")</f>
        <v/>
      </c>
      <c r="M38" s="35">
        <f>IFERROR(INDEX('Fund Research'!$T$6:$T$505,MATCH(33,'Fund Research'!$V$6:$V$505,0)),"")</f>
        <v/>
      </c>
    </row>
    <row r="39" ht="15" customHeight="1">
      <c r="A39" s="34">
        <f>IFERROR(IF(INDEX('Fund Research'!$B$6:$B$505,MATCH(34,'Fund Research'!$V$6:$V$505,0))="","",34),"")</f>
        <v/>
      </c>
      <c r="B39" s="35">
        <f>IFERROR(INDEX('Fund Research'!$A$6:$A$505,MATCH(34,'Fund Research'!$V$6:$V$505,0)),"")</f>
        <v/>
      </c>
      <c r="C39" s="35">
        <f>IFERROR(INDEX('Fund Research'!$B$6:$B$505,MATCH(34,'Fund Research'!$V$6:$V$505,0)),"")</f>
        <v/>
      </c>
      <c r="D39" s="35">
        <f>IFERROR(INDEX('Fund Research'!$C$6:$C$505,MATCH(34,'Fund Research'!$V$6:$V$505,0)),"")</f>
        <v/>
      </c>
      <c r="E39" s="36">
        <f>IFERROR(INDEX('Fund Research'!$G$6:$G$505,MATCH(34,'Fund Research'!$V$6:$V$505,0)),"")</f>
        <v/>
      </c>
      <c r="F39" s="36">
        <f>IFERROR(INDEX('Fund Research'!$H$6:$H$505,MATCH(34,'Fund Research'!$V$6:$V$505,0)),"")</f>
        <v/>
      </c>
      <c r="G39" s="36">
        <f>IFERROR(INDEX('Fund Research'!$I$6:$I$505,MATCH(34,'Fund Research'!$V$6:$V$505,0)),"")</f>
        <v/>
      </c>
      <c r="H39" s="37">
        <f>IFERROR(INDEX('Fund Research'!$J$6:$J$505,MATCH(34,'Fund Research'!$V$6:$V$505,0)),"")</f>
        <v/>
      </c>
      <c r="I39" s="39">
        <f>IFERROR(INDEX('Fund Research'!$L$6:$L$505,MATCH(34,'Fund Research'!$V$6:$V$505,0)),"")</f>
        <v/>
      </c>
      <c r="J39" s="37">
        <f>IFERROR(INDEX('Fund Research'!$N$6:$N$505,MATCH(34,'Fund Research'!$V$6:$V$505,0)),"")</f>
        <v/>
      </c>
      <c r="K39" s="37">
        <f>IFERROR(INDEX('Fund Research'!$P$6:$P$505,MATCH(34,'Fund Research'!$V$6:$V$505,0)),"")</f>
        <v/>
      </c>
      <c r="L39" s="35">
        <f>IFERROR(INDEX('Fund Research'!$S$6:$S$505,MATCH(34,'Fund Research'!$V$6:$V$505,0)),"")</f>
        <v/>
      </c>
      <c r="M39" s="35">
        <f>IFERROR(INDEX('Fund Research'!$T$6:$T$505,MATCH(34,'Fund Research'!$V$6:$V$505,0)),"")</f>
        <v/>
      </c>
    </row>
    <row r="40" ht="15" customHeight="1">
      <c r="A40" s="34">
        <f>IFERROR(IF(INDEX('Fund Research'!$B$6:$B$505,MATCH(35,'Fund Research'!$V$6:$V$505,0))="","",35),"")</f>
        <v/>
      </c>
      <c r="B40" s="35">
        <f>IFERROR(INDEX('Fund Research'!$A$6:$A$505,MATCH(35,'Fund Research'!$V$6:$V$505,0)),"")</f>
        <v/>
      </c>
      <c r="C40" s="35">
        <f>IFERROR(INDEX('Fund Research'!$B$6:$B$505,MATCH(35,'Fund Research'!$V$6:$V$505,0)),"")</f>
        <v/>
      </c>
      <c r="D40" s="35">
        <f>IFERROR(INDEX('Fund Research'!$C$6:$C$505,MATCH(35,'Fund Research'!$V$6:$V$505,0)),"")</f>
        <v/>
      </c>
      <c r="E40" s="36">
        <f>IFERROR(INDEX('Fund Research'!$G$6:$G$505,MATCH(35,'Fund Research'!$V$6:$V$505,0)),"")</f>
        <v/>
      </c>
      <c r="F40" s="36">
        <f>IFERROR(INDEX('Fund Research'!$H$6:$H$505,MATCH(35,'Fund Research'!$V$6:$V$505,0)),"")</f>
        <v/>
      </c>
      <c r="G40" s="36">
        <f>IFERROR(INDEX('Fund Research'!$I$6:$I$505,MATCH(35,'Fund Research'!$V$6:$V$505,0)),"")</f>
        <v/>
      </c>
      <c r="H40" s="37">
        <f>IFERROR(INDEX('Fund Research'!$J$6:$J$505,MATCH(35,'Fund Research'!$V$6:$V$505,0)),"")</f>
        <v/>
      </c>
      <c r="I40" s="39">
        <f>IFERROR(INDEX('Fund Research'!$L$6:$L$505,MATCH(35,'Fund Research'!$V$6:$V$505,0)),"")</f>
        <v/>
      </c>
      <c r="J40" s="37">
        <f>IFERROR(INDEX('Fund Research'!$N$6:$N$505,MATCH(35,'Fund Research'!$V$6:$V$505,0)),"")</f>
        <v/>
      </c>
      <c r="K40" s="37">
        <f>IFERROR(INDEX('Fund Research'!$P$6:$P$505,MATCH(35,'Fund Research'!$V$6:$V$505,0)),"")</f>
        <v/>
      </c>
      <c r="L40" s="35">
        <f>IFERROR(INDEX('Fund Research'!$S$6:$S$505,MATCH(35,'Fund Research'!$V$6:$V$505,0)),"")</f>
        <v/>
      </c>
      <c r="M40" s="35">
        <f>IFERROR(INDEX('Fund Research'!$T$6:$T$505,MATCH(35,'Fund Research'!$V$6:$V$505,0)),"")</f>
        <v/>
      </c>
    </row>
    <row r="41" ht="15" customHeight="1">
      <c r="A41" s="34">
        <f>IFERROR(IF(INDEX('Fund Research'!$B$6:$B$505,MATCH(36,'Fund Research'!$V$6:$V$505,0))="","",36),"")</f>
        <v/>
      </c>
      <c r="B41" s="35">
        <f>IFERROR(INDEX('Fund Research'!$A$6:$A$505,MATCH(36,'Fund Research'!$V$6:$V$505,0)),"")</f>
        <v/>
      </c>
      <c r="C41" s="35">
        <f>IFERROR(INDEX('Fund Research'!$B$6:$B$505,MATCH(36,'Fund Research'!$V$6:$V$505,0)),"")</f>
        <v/>
      </c>
      <c r="D41" s="35">
        <f>IFERROR(INDEX('Fund Research'!$C$6:$C$505,MATCH(36,'Fund Research'!$V$6:$V$505,0)),"")</f>
        <v/>
      </c>
      <c r="E41" s="36">
        <f>IFERROR(INDEX('Fund Research'!$G$6:$G$505,MATCH(36,'Fund Research'!$V$6:$V$505,0)),"")</f>
        <v/>
      </c>
      <c r="F41" s="36">
        <f>IFERROR(INDEX('Fund Research'!$H$6:$H$505,MATCH(36,'Fund Research'!$V$6:$V$505,0)),"")</f>
        <v/>
      </c>
      <c r="G41" s="36">
        <f>IFERROR(INDEX('Fund Research'!$I$6:$I$505,MATCH(36,'Fund Research'!$V$6:$V$505,0)),"")</f>
        <v/>
      </c>
      <c r="H41" s="37">
        <f>IFERROR(INDEX('Fund Research'!$J$6:$J$505,MATCH(36,'Fund Research'!$V$6:$V$505,0)),"")</f>
        <v/>
      </c>
      <c r="I41" s="39">
        <f>IFERROR(INDEX('Fund Research'!$L$6:$L$505,MATCH(36,'Fund Research'!$V$6:$V$505,0)),"")</f>
        <v/>
      </c>
      <c r="J41" s="37">
        <f>IFERROR(INDEX('Fund Research'!$N$6:$N$505,MATCH(36,'Fund Research'!$V$6:$V$505,0)),"")</f>
        <v/>
      </c>
      <c r="K41" s="37">
        <f>IFERROR(INDEX('Fund Research'!$P$6:$P$505,MATCH(36,'Fund Research'!$V$6:$V$505,0)),"")</f>
        <v/>
      </c>
      <c r="L41" s="35">
        <f>IFERROR(INDEX('Fund Research'!$S$6:$S$505,MATCH(36,'Fund Research'!$V$6:$V$505,0)),"")</f>
        <v/>
      </c>
      <c r="M41" s="35">
        <f>IFERROR(INDEX('Fund Research'!$T$6:$T$505,MATCH(36,'Fund Research'!$V$6:$V$505,0)),"")</f>
        <v/>
      </c>
    </row>
    <row r="42" ht="15" customHeight="1">
      <c r="A42" s="34">
        <f>IFERROR(IF(INDEX('Fund Research'!$B$6:$B$505,MATCH(37,'Fund Research'!$V$6:$V$505,0))="","",37),"")</f>
        <v/>
      </c>
      <c r="B42" s="35">
        <f>IFERROR(INDEX('Fund Research'!$A$6:$A$505,MATCH(37,'Fund Research'!$V$6:$V$505,0)),"")</f>
        <v/>
      </c>
      <c r="C42" s="35">
        <f>IFERROR(INDEX('Fund Research'!$B$6:$B$505,MATCH(37,'Fund Research'!$V$6:$V$505,0)),"")</f>
        <v/>
      </c>
      <c r="D42" s="35">
        <f>IFERROR(INDEX('Fund Research'!$C$6:$C$505,MATCH(37,'Fund Research'!$V$6:$V$505,0)),"")</f>
        <v/>
      </c>
      <c r="E42" s="36">
        <f>IFERROR(INDEX('Fund Research'!$G$6:$G$505,MATCH(37,'Fund Research'!$V$6:$V$505,0)),"")</f>
        <v/>
      </c>
      <c r="F42" s="36">
        <f>IFERROR(INDEX('Fund Research'!$H$6:$H$505,MATCH(37,'Fund Research'!$V$6:$V$505,0)),"")</f>
        <v/>
      </c>
      <c r="G42" s="36">
        <f>IFERROR(INDEX('Fund Research'!$I$6:$I$505,MATCH(37,'Fund Research'!$V$6:$V$505,0)),"")</f>
        <v/>
      </c>
      <c r="H42" s="37">
        <f>IFERROR(INDEX('Fund Research'!$J$6:$J$505,MATCH(37,'Fund Research'!$V$6:$V$505,0)),"")</f>
        <v/>
      </c>
      <c r="I42" s="39">
        <f>IFERROR(INDEX('Fund Research'!$L$6:$L$505,MATCH(37,'Fund Research'!$V$6:$V$505,0)),"")</f>
        <v/>
      </c>
      <c r="J42" s="37">
        <f>IFERROR(INDEX('Fund Research'!$N$6:$N$505,MATCH(37,'Fund Research'!$V$6:$V$505,0)),"")</f>
        <v/>
      </c>
      <c r="K42" s="37">
        <f>IFERROR(INDEX('Fund Research'!$P$6:$P$505,MATCH(37,'Fund Research'!$V$6:$V$505,0)),"")</f>
        <v/>
      </c>
      <c r="L42" s="35">
        <f>IFERROR(INDEX('Fund Research'!$S$6:$S$505,MATCH(37,'Fund Research'!$V$6:$V$505,0)),"")</f>
        <v/>
      </c>
      <c r="M42" s="35">
        <f>IFERROR(INDEX('Fund Research'!$T$6:$T$505,MATCH(37,'Fund Research'!$V$6:$V$505,0)),"")</f>
        <v/>
      </c>
    </row>
    <row r="43" ht="15" customHeight="1">
      <c r="A43" s="34">
        <f>IFERROR(IF(INDEX('Fund Research'!$B$6:$B$505,MATCH(38,'Fund Research'!$V$6:$V$505,0))="","",38),"")</f>
        <v/>
      </c>
      <c r="B43" s="35">
        <f>IFERROR(INDEX('Fund Research'!$A$6:$A$505,MATCH(38,'Fund Research'!$V$6:$V$505,0)),"")</f>
        <v/>
      </c>
      <c r="C43" s="35">
        <f>IFERROR(INDEX('Fund Research'!$B$6:$B$505,MATCH(38,'Fund Research'!$V$6:$V$505,0)),"")</f>
        <v/>
      </c>
      <c r="D43" s="35">
        <f>IFERROR(INDEX('Fund Research'!$C$6:$C$505,MATCH(38,'Fund Research'!$V$6:$V$505,0)),"")</f>
        <v/>
      </c>
      <c r="E43" s="36">
        <f>IFERROR(INDEX('Fund Research'!$G$6:$G$505,MATCH(38,'Fund Research'!$V$6:$V$505,0)),"")</f>
        <v/>
      </c>
      <c r="F43" s="36">
        <f>IFERROR(INDEX('Fund Research'!$H$6:$H$505,MATCH(38,'Fund Research'!$V$6:$V$505,0)),"")</f>
        <v/>
      </c>
      <c r="G43" s="36">
        <f>IFERROR(INDEX('Fund Research'!$I$6:$I$505,MATCH(38,'Fund Research'!$V$6:$V$505,0)),"")</f>
        <v/>
      </c>
      <c r="H43" s="37">
        <f>IFERROR(INDEX('Fund Research'!$J$6:$J$505,MATCH(38,'Fund Research'!$V$6:$V$505,0)),"")</f>
        <v/>
      </c>
      <c r="I43" s="39">
        <f>IFERROR(INDEX('Fund Research'!$L$6:$L$505,MATCH(38,'Fund Research'!$V$6:$V$505,0)),"")</f>
        <v/>
      </c>
      <c r="J43" s="37">
        <f>IFERROR(INDEX('Fund Research'!$N$6:$N$505,MATCH(38,'Fund Research'!$V$6:$V$505,0)),"")</f>
        <v/>
      </c>
      <c r="K43" s="37">
        <f>IFERROR(INDEX('Fund Research'!$P$6:$P$505,MATCH(38,'Fund Research'!$V$6:$V$505,0)),"")</f>
        <v/>
      </c>
      <c r="L43" s="35">
        <f>IFERROR(INDEX('Fund Research'!$S$6:$S$505,MATCH(38,'Fund Research'!$V$6:$V$505,0)),"")</f>
        <v/>
      </c>
      <c r="M43" s="35">
        <f>IFERROR(INDEX('Fund Research'!$T$6:$T$505,MATCH(38,'Fund Research'!$V$6:$V$505,0)),"")</f>
        <v/>
      </c>
    </row>
    <row r="44" ht="15" customHeight="1">
      <c r="A44" s="34">
        <f>IFERROR(IF(INDEX('Fund Research'!$B$6:$B$505,MATCH(39,'Fund Research'!$V$6:$V$505,0))="","",39),"")</f>
        <v/>
      </c>
      <c r="B44" s="35">
        <f>IFERROR(INDEX('Fund Research'!$A$6:$A$505,MATCH(39,'Fund Research'!$V$6:$V$505,0)),"")</f>
        <v/>
      </c>
      <c r="C44" s="35">
        <f>IFERROR(INDEX('Fund Research'!$B$6:$B$505,MATCH(39,'Fund Research'!$V$6:$V$505,0)),"")</f>
        <v/>
      </c>
      <c r="D44" s="35">
        <f>IFERROR(INDEX('Fund Research'!$C$6:$C$505,MATCH(39,'Fund Research'!$V$6:$V$505,0)),"")</f>
        <v/>
      </c>
      <c r="E44" s="36">
        <f>IFERROR(INDEX('Fund Research'!$G$6:$G$505,MATCH(39,'Fund Research'!$V$6:$V$505,0)),"")</f>
        <v/>
      </c>
      <c r="F44" s="36">
        <f>IFERROR(INDEX('Fund Research'!$H$6:$H$505,MATCH(39,'Fund Research'!$V$6:$V$505,0)),"")</f>
        <v/>
      </c>
      <c r="G44" s="36">
        <f>IFERROR(INDEX('Fund Research'!$I$6:$I$505,MATCH(39,'Fund Research'!$V$6:$V$505,0)),"")</f>
        <v/>
      </c>
      <c r="H44" s="37">
        <f>IFERROR(INDEX('Fund Research'!$J$6:$J$505,MATCH(39,'Fund Research'!$V$6:$V$505,0)),"")</f>
        <v/>
      </c>
      <c r="I44" s="39">
        <f>IFERROR(INDEX('Fund Research'!$L$6:$L$505,MATCH(39,'Fund Research'!$V$6:$V$505,0)),"")</f>
        <v/>
      </c>
      <c r="J44" s="37">
        <f>IFERROR(INDEX('Fund Research'!$N$6:$N$505,MATCH(39,'Fund Research'!$V$6:$V$505,0)),"")</f>
        <v/>
      </c>
      <c r="K44" s="37">
        <f>IFERROR(INDEX('Fund Research'!$P$6:$P$505,MATCH(39,'Fund Research'!$V$6:$V$505,0)),"")</f>
        <v/>
      </c>
      <c r="L44" s="35">
        <f>IFERROR(INDEX('Fund Research'!$S$6:$S$505,MATCH(39,'Fund Research'!$V$6:$V$505,0)),"")</f>
        <v/>
      </c>
      <c r="M44" s="35">
        <f>IFERROR(INDEX('Fund Research'!$T$6:$T$505,MATCH(39,'Fund Research'!$V$6:$V$505,0)),"")</f>
        <v/>
      </c>
    </row>
    <row r="45" ht="15" customHeight="1">
      <c r="A45" s="34">
        <f>IFERROR(IF(INDEX('Fund Research'!$B$6:$B$505,MATCH(40,'Fund Research'!$V$6:$V$505,0))="","",40),"")</f>
        <v/>
      </c>
      <c r="B45" s="35">
        <f>IFERROR(INDEX('Fund Research'!$A$6:$A$505,MATCH(40,'Fund Research'!$V$6:$V$505,0)),"")</f>
        <v/>
      </c>
      <c r="C45" s="35">
        <f>IFERROR(INDEX('Fund Research'!$B$6:$B$505,MATCH(40,'Fund Research'!$V$6:$V$505,0)),"")</f>
        <v/>
      </c>
      <c r="D45" s="35">
        <f>IFERROR(INDEX('Fund Research'!$C$6:$C$505,MATCH(40,'Fund Research'!$V$6:$V$505,0)),"")</f>
        <v/>
      </c>
      <c r="E45" s="36">
        <f>IFERROR(INDEX('Fund Research'!$G$6:$G$505,MATCH(40,'Fund Research'!$V$6:$V$505,0)),"")</f>
        <v/>
      </c>
      <c r="F45" s="36">
        <f>IFERROR(INDEX('Fund Research'!$H$6:$H$505,MATCH(40,'Fund Research'!$V$6:$V$505,0)),"")</f>
        <v/>
      </c>
      <c r="G45" s="36">
        <f>IFERROR(INDEX('Fund Research'!$I$6:$I$505,MATCH(40,'Fund Research'!$V$6:$V$505,0)),"")</f>
        <v/>
      </c>
      <c r="H45" s="37">
        <f>IFERROR(INDEX('Fund Research'!$J$6:$J$505,MATCH(40,'Fund Research'!$V$6:$V$505,0)),"")</f>
        <v/>
      </c>
      <c r="I45" s="39">
        <f>IFERROR(INDEX('Fund Research'!$L$6:$L$505,MATCH(40,'Fund Research'!$V$6:$V$505,0)),"")</f>
        <v/>
      </c>
      <c r="J45" s="37">
        <f>IFERROR(INDEX('Fund Research'!$N$6:$N$505,MATCH(40,'Fund Research'!$V$6:$V$505,0)),"")</f>
        <v/>
      </c>
      <c r="K45" s="37">
        <f>IFERROR(INDEX('Fund Research'!$P$6:$P$505,MATCH(40,'Fund Research'!$V$6:$V$505,0)),"")</f>
        <v/>
      </c>
      <c r="L45" s="35">
        <f>IFERROR(INDEX('Fund Research'!$S$6:$S$505,MATCH(40,'Fund Research'!$V$6:$V$505,0)),"")</f>
        <v/>
      </c>
      <c r="M45" s="35">
        <f>IFERROR(INDEX('Fund Research'!$T$6:$T$505,MATCH(40,'Fund Research'!$V$6:$V$505,0)),"")</f>
        <v/>
      </c>
    </row>
    <row r="46" ht="15" customHeight="1">
      <c r="A46" s="34">
        <f>IFERROR(IF(INDEX('Fund Research'!$B$6:$B$505,MATCH(41,'Fund Research'!$V$6:$V$505,0))="","",41),"")</f>
        <v/>
      </c>
      <c r="B46" s="35">
        <f>IFERROR(INDEX('Fund Research'!$A$6:$A$505,MATCH(41,'Fund Research'!$V$6:$V$505,0)),"")</f>
        <v/>
      </c>
      <c r="C46" s="35">
        <f>IFERROR(INDEX('Fund Research'!$B$6:$B$505,MATCH(41,'Fund Research'!$V$6:$V$505,0)),"")</f>
        <v/>
      </c>
      <c r="D46" s="35">
        <f>IFERROR(INDEX('Fund Research'!$C$6:$C$505,MATCH(41,'Fund Research'!$V$6:$V$505,0)),"")</f>
        <v/>
      </c>
      <c r="E46" s="36">
        <f>IFERROR(INDEX('Fund Research'!$G$6:$G$505,MATCH(41,'Fund Research'!$V$6:$V$505,0)),"")</f>
        <v/>
      </c>
      <c r="F46" s="36">
        <f>IFERROR(INDEX('Fund Research'!$H$6:$H$505,MATCH(41,'Fund Research'!$V$6:$V$505,0)),"")</f>
        <v/>
      </c>
      <c r="G46" s="36">
        <f>IFERROR(INDEX('Fund Research'!$I$6:$I$505,MATCH(41,'Fund Research'!$V$6:$V$505,0)),"")</f>
        <v/>
      </c>
      <c r="H46" s="37">
        <f>IFERROR(INDEX('Fund Research'!$J$6:$J$505,MATCH(41,'Fund Research'!$V$6:$V$505,0)),"")</f>
        <v/>
      </c>
      <c r="I46" s="39">
        <f>IFERROR(INDEX('Fund Research'!$L$6:$L$505,MATCH(41,'Fund Research'!$V$6:$V$505,0)),"")</f>
        <v/>
      </c>
      <c r="J46" s="37">
        <f>IFERROR(INDEX('Fund Research'!$N$6:$N$505,MATCH(41,'Fund Research'!$V$6:$V$505,0)),"")</f>
        <v/>
      </c>
      <c r="K46" s="37">
        <f>IFERROR(INDEX('Fund Research'!$P$6:$P$505,MATCH(41,'Fund Research'!$V$6:$V$505,0)),"")</f>
        <v/>
      </c>
      <c r="L46" s="35">
        <f>IFERROR(INDEX('Fund Research'!$S$6:$S$505,MATCH(41,'Fund Research'!$V$6:$V$505,0)),"")</f>
        <v/>
      </c>
      <c r="M46" s="35">
        <f>IFERROR(INDEX('Fund Research'!$T$6:$T$505,MATCH(41,'Fund Research'!$V$6:$V$505,0)),"")</f>
        <v/>
      </c>
    </row>
    <row r="47" ht="15" customHeight="1">
      <c r="A47" s="34">
        <f>IFERROR(IF(INDEX('Fund Research'!$B$6:$B$505,MATCH(42,'Fund Research'!$V$6:$V$505,0))="","",42),"")</f>
        <v/>
      </c>
      <c r="B47" s="35">
        <f>IFERROR(INDEX('Fund Research'!$A$6:$A$505,MATCH(42,'Fund Research'!$V$6:$V$505,0)),"")</f>
        <v/>
      </c>
      <c r="C47" s="35">
        <f>IFERROR(INDEX('Fund Research'!$B$6:$B$505,MATCH(42,'Fund Research'!$V$6:$V$505,0)),"")</f>
        <v/>
      </c>
      <c r="D47" s="35">
        <f>IFERROR(INDEX('Fund Research'!$C$6:$C$505,MATCH(42,'Fund Research'!$V$6:$V$505,0)),"")</f>
        <v/>
      </c>
      <c r="E47" s="36">
        <f>IFERROR(INDEX('Fund Research'!$G$6:$G$505,MATCH(42,'Fund Research'!$V$6:$V$505,0)),"")</f>
        <v/>
      </c>
      <c r="F47" s="36">
        <f>IFERROR(INDEX('Fund Research'!$H$6:$H$505,MATCH(42,'Fund Research'!$V$6:$V$505,0)),"")</f>
        <v/>
      </c>
      <c r="G47" s="36">
        <f>IFERROR(INDEX('Fund Research'!$I$6:$I$505,MATCH(42,'Fund Research'!$V$6:$V$505,0)),"")</f>
        <v/>
      </c>
      <c r="H47" s="37">
        <f>IFERROR(INDEX('Fund Research'!$J$6:$J$505,MATCH(42,'Fund Research'!$V$6:$V$505,0)),"")</f>
        <v/>
      </c>
      <c r="I47" s="39">
        <f>IFERROR(INDEX('Fund Research'!$L$6:$L$505,MATCH(42,'Fund Research'!$V$6:$V$505,0)),"")</f>
        <v/>
      </c>
      <c r="J47" s="37">
        <f>IFERROR(INDEX('Fund Research'!$N$6:$N$505,MATCH(42,'Fund Research'!$V$6:$V$505,0)),"")</f>
        <v/>
      </c>
      <c r="K47" s="37">
        <f>IFERROR(INDEX('Fund Research'!$P$6:$P$505,MATCH(42,'Fund Research'!$V$6:$V$505,0)),"")</f>
        <v/>
      </c>
      <c r="L47" s="35">
        <f>IFERROR(INDEX('Fund Research'!$S$6:$S$505,MATCH(42,'Fund Research'!$V$6:$V$505,0)),"")</f>
        <v/>
      </c>
      <c r="M47" s="35">
        <f>IFERROR(INDEX('Fund Research'!$T$6:$T$505,MATCH(42,'Fund Research'!$V$6:$V$505,0)),"")</f>
        <v/>
      </c>
    </row>
    <row r="48" ht="15" customHeight="1">
      <c r="A48" s="34">
        <f>IFERROR(IF(INDEX('Fund Research'!$B$6:$B$505,MATCH(43,'Fund Research'!$V$6:$V$505,0))="","",43),"")</f>
        <v/>
      </c>
      <c r="B48" s="35">
        <f>IFERROR(INDEX('Fund Research'!$A$6:$A$505,MATCH(43,'Fund Research'!$V$6:$V$505,0)),"")</f>
        <v/>
      </c>
      <c r="C48" s="35">
        <f>IFERROR(INDEX('Fund Research'!$B$6:$B$505,MATCH(43,'Fund Research'!$V$6:$V$505,0)),"")</f>
        <v/>
      </c>
      <c r="D48" s="35">
        <f>IFERROR(INDEX('Fund Research'!$C$6:$C$505,MATCH(43,'Fund Research'!$V$6:$V$505,0)),"")</f>
        <v/>
      </c>
      <c r="E48" s="36">
        <f>IFERROR(INDEX('Fund Research'!$G$6:$G$505,MATCH(43,'Fund Research'!$V$6:$V$505,0)),"")</f>
        <v/>
      </c>
      <c r="F48" s="36">
        <f>IFERROR(INDEX('Fund Research'!$H$6:$H$505,MATCH(43,'Fund Research'!$V$6:$V$505,0)),"")</f>
        <v/>
      </c>
      <c r="G48" s="36">
        <f>IFERROR(INDEX('Fund Research'!$I$6:$I$505,MATCH(43,'Fund Research'!$V$6:$V$505,0)),"")</f>
        <v/>
      </c>
      <c r="H48" s="37">
        <f>IFERROR(INDEX('Fund Research'!$J$6:$J$505,MATCH(43,'Fund Research'!$V$6:$V$505,0)),"")</f>
        <v/>
      </c>
      <c r="I48" s="39">
        <f>IFERROR(INDEX('Fund Research'!$L$6:$L$505,MATCH(43,'Fund Research'!$V$6:$V$505,0)),"")</f>
        <v/>
      </c>
      <c r="J48" s="37">
        <f>IFERROR(INDEX('Fund Research'!$N$6:$N$505,MATCH(43,'Fund Research'!$V$6:$V$505,0)),"")</f>
        <v/>
      </c>
      <c r="K48" s="37">
        <f>IFERROR(INDEX('Fund Research'!$P$6:$P$505,MATCH(43,'Fund Research'!$V$6:$V$505,0)),"")</f>
        <v/>
      </c>
      <c r="L48" s="35">
        <f>IFERROR(INDEX('Fund Research'!$S$6:$S$505,MATCH(43,'Fund Research'!$V$6:$V$505,0)),"")</f>
        <v/>
      </c>
      <c r="M48" s="35">
        <f>IFERROR(INDEX('Fund Research'!$T$6:$T$505,MATCH(43,'Fund Research'!$V$6:$V$505,0)),"")</f>
        <v/>
      </c>
    </row>
    <row r="49" ht="15" customHeight="1">
      <c r="A49" s="34">
        <f>IFERROR(IF(INDEX('Fund Research'!$B$6:$B$505,MATCH(44,'Fund Research'!$V$6:$V$505,0))="","",44),"")</f>
        <v/>
      </c>
      <c r="B49" s="35">
        <f>IFERROR(INDEX('Fund Research'!$A$6:$A$505,MATCH(44,'Fund Research'!$V$6:$V$505,0)),"")</f>
        <v/>
      </c>
      <c r="C49" s="35">
        <f>IFERROR(INDEX('Fund Research'!$B$6:$B$505,MATCH(44,'Fund Research'!$V$6:$V$505,0)),"")</f>
        <v/>
      </c>
      <c r="D49" s="35">
        <f>IFERROR(INDEX('Fund Research'!$C$6:$C$505,MATCH(44,'Fund Research'!$V$6:$V$505,0)),"")</f>
        <v/>
      </c>
      <c r="E49" s="36">
        <f>IFERROR(INDEX('Fund Research'!$G$6:$G$505,MATCH(44,'Fund Research'!$V$6:$V$505,0)),"")</f>
        <v/>
      </c>
      <c r="F49" s="36">
        <f>IFERROR(INDEX('Fund Research'!$H$6:$H$505,MATCH(44,'Fund Research'!$V$6:$V$505,0)),"")</f>
        <v/>
      </c>
      <c r="G49" s="36">
        <f>IFERROR(INDEX('Fund Research'!$I$6:$I$505,MATCH(44,'Fund Research'!$V$6:$V$505,0)),"")</f>
        <v/>
      </c>
      <c r="H49" s="37">
        <f>IFERROR(INDEX('Fund Research'!$J$6:$J$505,MATCH(44,'Fund Research'!$V$6:$V$505,0)),"")</f>
        <v/>
      </c>
      <c r="I49" s="39">
        <f>IFERROR(INDEX('Fund Research'!$L$6:$L$505,MATCH(44,'Fund Research'!$V$6:$V$505,0)),"")</f>
        <v/>
      </c>
      <c r="J49" s="37">
        <f>IFERROR(INDEX('Fund Research'!$N$6:$N$505,MATCH(44,'Fund Research'!$V$6:$V$505,0)),"")</f>
        <v/>
      </c>
      <c r="K49" s="37">
        <f>IFERROR(INDEX('Fund Research'!$P$6:$P$505,MATCH(44,'Fund Research'!$V$6:$V$505,0)),"")</f>
        <v/>
      </c>
      <c r="L49" s="35">
        <f>IFERROR(INDEX('Fund Research'!$S$6:$S$505,MATCH(44,'Fund Research'!$V$6:$V$505,0)),"")</f>
        <v/>
      </c>
      <c r="M49" s="35">
        <f>IFERROR(INDEX('Fund Research'!$T$6:$T$505,MATCH(44,'Fund Research'!$V$6:$V$505,0)),"")</f>
        <v/>
      </c>
    </row>
    <row r="50" ht="15" customHeight="1">
      <c r="A50" s="34">
        <f>IFERROR(IF(INDEX('Fund Research'!$B$6:$B$505,MATCH(45,'Fund Research'!$V$6:$V$505,0))="","",45),"")</f>
        <v/>
      </c>
      <c r="B50" s="35">
        <f>IFERROR(INDEX('Fund Research'!$A$6:$A$505,MATCH(45,'Fund Research'!$V$6:$V$505,0)),"")</f>
        <v/>
      </c>
      <c r="C50" s="35">
        <f>IFERROR(INDEX('Fund Research'!$B$6:$B$505,MATCH(45,'Fund Research'!$V$6:$V$505,0)),"")</f>
        <v/>
      </c>
      <c r="D50" s="35">
        <f>IFERROR(INDEX('Fund Research'!$C$6:$C$505,MATCH(45,'Fund Research'!$V$6:$V$505,0)),"")</f>
        <v/>
      </c>
      <c r="E50" s="36">
        <f>IFERROR(INDEX('Fund Research'!$G$6:$G$505,MATCH(45,'Fund Research'!$V$6:$V$505,0)),"")</f>
        <v/>
      </c>
      <c r="F50" s="36">
        <f>IFERROR(INDEX('Fund Research'!$H$6:$H$505,MATCH(45,'Fund Research'!$V$6:$V$505,0)),"")</f>
        <v/>
      </c>
      <c r="G50" s="36">
        <f>IFERROR(INDEX('Fund Research'!$I$6:$I$505,MATCH(45,'Fund Research'!$V$6:$V$505,0)),"")</f>
        <v/>
      </c>
      <c r="H50" s="37">
        <f>IFERROR(INDEX('Fund Research'!$J$6:$J$505,MATCH(45,'Fund Research'!$V$6:$V$505,0)),"")</f>
        <v/>
      </c>
      <c r="I50" s="39">
        <f>IFERROR(INDEX('Fund Research'!$L$6:$L$505,MATCH(45,'Fund Research'!$V$6:$V$505,0)),"")</f>
        <v/>
      </c>
      <c r="J50" s="37">
        <f>IFERROR(INDEX('Fund Research'!$N$6:$N$505,MATCH(45,'Fund Research'!$V$6:$V$505,0)),"")</f>
        <v/>
      </c>
      <c r="K50" s="37">
        <f>IFERROR(INDEX('Fund Research'!$P$6:$P$505,MATCH(45,'Fund Research'!$V$6:$V$505,0)),"")</f>
        <v/>
      </c>
      <c r="L50" s="35">
        <f>IFERROR(INDEX('Fund Research'!$S$6:$S$505,MATCH(45,'Fund Research'!$V$6:$V$505,0)),"")</f>
        <v/>
      </c>
      <c r="M50" s="35">
        <f>IFERROR(INDEX('Fund Research'!$T$6:$T$505,MATCH(45,'Fund Research'!$V$6:$V$505,0)),"")</f>
        <v/>
      </c>
    </row>
    <row r="51" ht="15" customHeight="1">
      <c r="A51" s="34">
        <f>IFERROR(IF(INDEX('Fund Research'!$B$6:$B$505,MATCH(46,'Fund Research'!$V$6:$V$505,0))="","",46),"")</f>
        <v/>
      </c>
      <c r="B51" s="35">
        <f>IFERROR(INDEX('Fund Research'!$A$6:$A$505,MATCH(46,'Fund Research'!$V$6:$V$505,0)),"")</f>
        <v/>
      </c>
      <c r="C51" s="35">
        <f>IFERROR(INDEX('Fund Research'!$B$6:$B$505,MATCH(46,'Fund Research'!$V$6:$V$505,0)),"")</f>
        <v/>
      </c>
      <c r="D51" s="35">
        <f>IFERROR(INDEX('Fund Research'!$C$6:$C$505,MATCH(46,'Fund Research'!$V$6:$V$505,0)),"")</f>
        <v/>
      </c>
      <c r="E51" s="36">
        <f>IFERROR(INDEX('Fund Research'!$G$6:$G$505,MATCH(46,'Fund Research'!$V$6:$V$505,0)),"")</f>
        <v/>
      </c>
      <c r="F51" s="36">
        <f>IFERROR(INDEX('Fund Research'!$H$6:$H$505,MATCH(46,'Fund Research'!$V$6:$V$505,0)),"")</f>
        <v/>
      </c>
      <c r="G51" s="36">
        <f>IFERROR(INDEX('Fund Research'!$I$6:$I$505,MATCH(46,'Fund Research'!$V$6:$V$505,0)),"")</f>
        <v/>
      </c>
      <c r="H51" s="37">
        <f>IFERROR(INDEX('Fund Research'!$J$6:$J$505,MATCH(46,'Fund Research'!$V$6:$V$505,0)),"")</f>
        <v/>
      </c>
      <c r="I51" s="39">
        <f>IFERROR(INDEX('Fund Research'!$L$6:$L$505,MATCH(46,'Fund Research'!$V$6:$V$505,0)),"")</f>
        <v/>
      </c>
      <c r="J51" s="37">
        <f>IFERROR(INDEX('Fund Research'!$N$6:$N$505,MATCH(46,'Fund Research'!$V$6:$V$505,0)),"")</f>
        <v/>
      </c>
      <c r="K51" s="37">
        <f>IFERROR(INDEX('Fund Research'!$P$6:$P$505,MATCH(46,'Fund Research'!$V$6:$V$505,0)),"")</f>
        <v/>
      </c>
      <c r="L51" s="35">
        <f>IFERROR(INDEX('Fund Research'!$S$6:$S$505,MATCH(46,'Fund Research'!$V$6:$V$505,0)),"")</f>
        <v/>
      </c>
      <c r="M51" s="35">
        <f>IFERROR(INDEX('Fund Research'!$T$6:$T$505,MATCH(46,'Fund Research'!$V$6:$V$505,0)),"")</f>
        <v/>
      </c>
    </row>
    <row r="52" ht="15" customHeight="1">
      <c r="A52" s="34">
        <f>IFERROR(IF(INDEX('Fund Research'!$B$6:$B$505,MATCH(47,'Fund Research'!$V$6:$V$505,0))="","",47),"")</f>
        <v/>
      </c>
      <c r="B52" s="35">
        <f>IFERROR(INDEX('Fund Research'!$A$6:$A$505,MATCH(47,'Fund Research'!$V$6:$V$505,0)),"")</f>
        <v/>
      </c>
      <c r="C52" s="35">
        <f>IFERROR(INDEX('Fund Research'!$B$6:$B$505,MATCH(47,'Fund Research'!$V$6:$V$505,0)),"")</f>
        <v/>
      </c>
      <c r="D52" s="35">
        <f>IFERROR(INDEX('Fund Research'!$C$6:$C$505,MATCH(47,'Fund Research'!$V$6:$V$505,0)),"")</f>
        <v/>
      </c>
      <c r="E52" s="36">
        <f>IFERROR(INDEX('Fund Research'!$G$6:$G$505,MATCH(47,'Fund Research'!$V$6:$V$505,0)),"")</f>
        <v/>
      </c>
      <c r="F52" s="36">
        <f>IFERROR(INDEX('Fund Research'!$H$6:$H$505,MATCH(47,'Fund Research'!$V$6:$V$505,0)),"")</f>
        <v/>
      </c>
      <c r="G52" s="36">
        <f>IFERROR(INDEX('Fund Research'!$I$6:$I$505,MATCH(47,'Fund Research'!$V$6:$V$505,0)),"")</f>
        <v/>
      </c>
      <c r="H52" s="37">
        <f>IFERROR(INDEX('Fund Research'!$J$6:$J$505,MATCH(47,'Fund Research'!$V$6:$V$505,0)),"")</f>
        <v/>
      </c>
      <c r="I52" s="39">
        <f>IFERROR(INDEX('Fund Research'!$L$6:$L$505,MATCH(47,'Fund Research'!$V$6:$V$505,0)),"")</f>
        <v/>
      </c>
      <c r="J52" s="37">
        <f>IFERROR(INDEX('Fund Research'!$N$6:$N$505,MATCH(47,'Fund Research'!$V$6:$V$505,0)),"")</f>
        <v/>
      </c>
      <c r="K52" s="37">
        <f>IFERROR(INDEX('Fund Research'!$P$6:$P$505,MATCH(47,'Fund Research'!$V$6:$V$505,0)),"")</f>
        <v/>
      </c>
      <c r="L52" s="35">
        <f>IFERROR(INDEX('Fund Research'!$S$6:$S$505,MATCH(47,'Fund Research'!$V$6:$V$505,0)),"")</f>
        <v/>
      </c>
      <c r="M52" s="35">
        <f>IFERROR(INDEX('Fund Research'!$T$6:$T$505,MATCH(47,'Fund Research'!$V$6:$V$505,0)),"")</f>
        <v/>
      </c>
    </row>
    <row r="53" ht="15" customHeight="1">
      <c r="A53" s="34">
        <f>IFERROR(IF(INDEX('Fund Research'!$B$6:$B$505,MATCH(48,'Fund Research'!$V$6:$V$505,0))="","",48),"")</f>
        <v/>
      </c>
      <c r="B53" s="35">
        <f>IFERROR(INDEX('Fund Research'!$A$6:$A$505,MATCH(48,'Fund Research'!$V$6:$V$505,0)),"")</f>
        <v/>
      </c>
      <c r="C53" s="35">
        <f>IFERROR(INDEX('Fund Research'!$B$6:$B$505,MATCH(48,'Fund Research'!$V$6:$V$505,0)),"")</f>
        <v/>
      </c>
      <c r="D53" s="35">
        <f>IFERROR(INDEX('Fund Research'!$C$6:$C$505,MATCH(48,'Fund Research'!$V$6:$V$505,0)),"")</f>
        <v/>
      </c>
      <c r="E53" s="36">
        <f>IFERROR(INDEX('Fund Research'!$G$6:$G$505,MATCH(48,'Fund Research'!$V$6:$V$505,0)),"")</f>
        <v/>
      </c>
      <c r="F53" s="36">
        <f>IFERROR(INDEX('Fund Research'!$H$6:$H$505,MATCH(48,'Fund Research'!$V$6:$V$505,0)),"")</f>
        <v/>
      </c>
      <c r="G53" s="36">
        <f>IFERROR(INDEX('Fund Research'!$I$6:$I$505,MATCH(48,'Fund Research'!$V$6:$V$505,0)),"")</f>
        <v/>
      </c>
      <c r="H53" s="37">
        <f>IFERROR(INDEX('Fund Research'!$J$6:$J$505,MATCH(48,'Fund Research'!$V$6:$V$505,0)),"")</f>
        <v/>
      </c>
      <c r="I53" s="39">
        <f>IFERROR(INDEX('Fund Research'!$L$6:$L$505,MATCH(48,'Fund Research'!$V$6:$V$505,0)),"")</f>
        <v/>
      </c>
      <c r="J53" s="37">
        <f>IFERROR(INDEX('Fund Research'!$N$6:$N$505,MATCH(48,'Fund Research'!$V$6:$V$505,0)),"")</f>
        <v/>
      </c>
      <c r="K53" s="37">
        <f>IFERROR(INDEX('Fund Research'!$P$6:$P$505,MATCH(48,'Fund Research'!$V$6:$V$505,0)),"")</f>
        <v/>
      </c>
      <c r="L53" s="35">
        <f>IFERROR(INDEX('Fund Research'!$S$6:$S$505,MATCH(48,'Fund Research'!$V$6:$V$505,0)),"")</f>
        <v/>
      </c>
      <c r="M53" s="35">
        <f>IFERROR(INDEX('Fund Research'!$T$6:$T$505,MATCH(48,'Fund Research'!$V$6:$V$505,0)),"")</f>
        <v/>
      </c>
    </row>
    <row r="54" ht="15" customHeight="1">
      <c r="A54" s="34">
        <f>IFERROR(IF(INDEX('Fund Research'!$B$6:$B$505,MATCH(49,'Fund Research'!$V$6:$V$505,0))="","",49),"")</f>
        <v/>
      </c>
      <c r="B54" s="35">
        <f>IFERROR(INDEX('Fund Research'!$A$6:$A$505,MATCH(49,'Fund Research'!$V$6:$V$505,0)),"")</f>
        <v/>
      </c>
      <c r="C54" s="35">
        <f>IFERROR(INDEX('Fund Research'!$B$6:$B$505,MATCH(49,'Fund Research'!$V$6:$V$505,0)),"")</f>
        <v/>
      </c>
      <c r="D54" s="35">
        <f>IFERROR(INDEX('Fund Research'!$C$6:$C$505,MATCH(49,'Fund Research'!$V$6:$V$505,0)),"")</f>
        <v/>
      </c>
      <c r="E54" s="36">
        <f>IFERROR(INDEX('Fund Research'!$G$6:$G$505,MATCH(49,'Fund Research'!$V$6:$V$505,0)),"")</f>
        <v/>
      </c>
      <c r="F54" s="36">
        <f>IFERROR(INDEX('Fund Research'!$H$6:$H$505,MATCH(49,'Fund Research'!$V$6:$V$505,0)),"")</f>
        <v/>
      </c>
      <c r="G54" s="36">
        <f>IFERROR(INDEX('Fund Research'!$I$6:$I$505,MATCH(49,'Fund Research'!$V$6:$V$505,0)),"")</f>
        <v/>
      </c>
      <c r="H54" s="37">
        <f>IFERROR(INDEX('Fund Research'!$J$6:$J$505,MATCH(49,'Fund Research'!$V$6:$V$505,0)),"")</f>
        <v/>
      </c>
      <c r="I54" s="39">
        <f>IFERROR(INDEX('Fund Research'!$L$6:$L$505,MATCH(49,'Fund Research'!$V$6:$V$505,0)),"")</f>
        <v/>
      </c>
      <c r="J54" s="37">
        <f>IFERROR(INDEX('Fund Research'!$N$6:$N$505,MATCH(49,'Fund Research'!$V$6:$V$505,0)),"")</f>
        <v/>
      </c>
      <c r="K54" s="37">
        <f>IFERROR(INDEX('Fund Research'!$P$6:$P$505,MATCH(49,'Fund Research'!$V$6:$V$505,0)),"")</f>
        <v/>
      </c>
      <c r="L54" s="35">
        <f>IFERROR(INDEX('Fund Research'!$S$6:$S$505,MATCH(49,'Fund Research'!$V$6:$V$505,0)),"")</f>
        <v/>
      </c>
      <c r="M54" s="35">
        <f>IFERROR(INDEX('Fund Research'!$T$6:$T$505,MATCH(49,'Fund Research'!$V$6:$V$505,0)),"")</f>
        <v/>
      </c>
    </row>
    <row r="55" ht="15" customHeight="1">
      <c r="A55" s="34">
        <f>IFERROR(IF(INDEX('Fund Research'!$B$6:$B$505,MATCH(50,'Fund Research'!$V$6:$V$505,0))="","",50),"")</f>
        <v/>
      </c>
      <c r="B55" s="35">
        <f>IFERROR(INDEX('Fund Research'!$A$6:$A$505,MATCH(50,'Fund Research'!$V$6:$V$505,0)),"")</f>
        <v/>
      </c>
      <c r="C55" s="35">
        <f>IFERROR(INDEX('Fund Research'!$B$6:$B$505,MATCH(50,'Fund Research'!$V$6:$V$505,0)),"")</f>
        <v/>
      </c>
      <c r="D55" s="35">
        <f>IFERROR(INDEX('Fund Research'!$C$6:$C$505,MATCH(50,'Fund Research'!$V$6:$V$505,0)),"")</f>
        <v/>
      </c>
      <c r="E55" s="36">
        <f>IFERROR(INDEX('Fund Research'!$G$6:$G$505,MATCH(50,'Fund Research'!$V$6:$V$505,0)),"")</f>
        <v/>
      </c>
      <c r="F55" s="36">
        <f>IFERROR(INDEX('Fund Research'!$H$6:$H$505,MATCH(50,'Fund Research'!$V$6:$V$505,0)),"")</f>
        <v/>
      </c>
      <c r="G55" s="36">
        <f>IFERROR(INDEX('Fund Research'!$I$6:$I$505,MATCH(50,'Fund Research'!$V$6:$V$505,0)),"")</f>
        <v/>
      </c>
      <c r="H55" s="37">
        <f>IFERROR(INDEX('Fund Research'!$J$6:$J$505,MATCH(50,'Fund Research'!$V$6:$V$505,0)),"")</f>
        <v/>
      </c>
      <c r="I55" s="39">
        <f>IFERROR(INDEX('Fund Research'!$L$6:$L$505,MATCH(50,'Fund Research'!$V$6:$V$505,0)),"")</f>
        <v/>
      </c>
      <c r="J55" s="37">
        <f>IFERROR(INDEX('Fund Research'!$N$6:$N$505,MATCH(50,'Fund Research'!$V$6:$V$505,0)),"")</f>
        <v/>
      </c>
      <c r="K55" s="37">
        <f>IFERROR(INDEX('Fund Research'!$P$6:$P$505,MATCH(50,'Fund Research'!$V$6:$V$505,0)),"")</f>
        <v/>
      </c>
      <c r="L55" s="35">
        <f>IFERROR(INDEX('Fund Research'!$S$6:$S$505,MATCH(50,'Fund Research'!$V$6:$V$505,0)),"")</f>
        <v/>
      </c>
      <c r="M55" s="35">
        <f>IFERROR(INDEX('Fund Research'!$T$6:$T$505,MATCH(50,'Fund Research'!$V$6:$V$505,0)),"")</f>
        <v/>
      </c>
    </row>
    <row r="56" ht="15" customHeight="1">
      <c r="A56" s="34">
        <f>IFERROR(IF(INDEX('Fund Research'!$B$6:$B$505,MATCH(51,'Fund Research'!$V$6:$V$505,0))="","",51),"")</f>
        <v/>
      </c>
      <c r="B56" s="35">
        <f>IFERROR(INDEX('Fund Research'!$A$6:$A$505,MATCH(51,'Fund Research'!$V$6:$V$505,0)),"")</f>
        <v/>
      </c>
      <c r="C56" s="35">
        <f>IFERROR(INDEX('Fund Research'!$B$6:$B$505,MATCH(51,'Fund Research'!$V$6:$V$505,0)),"")</f>
        <v/>
      </c>
      <c r="D56" s="35">
        <f>IFERROR(INDEX('Fund Research'!$C$6:$C$505,MATCH(51,'Fund Research'!$V$6:$V$505,0)),"")</f>
        <v/>
      </c>
      <c r="E56" s="36">
        <f>IFERROR(INDEX('Fund Research'!$G$6:$G$505,MATCH(51,'Fund Research'!$V$6:$V$505,0)),"")</f>
        <v/>
      </c>
      <c r="F56" s="36">
        <f>IFERROR(INDEX('Fund Research'!$H$6:$H$505,MATCH(51,'Fund Research'!$V$6:$V$505,0)),"")</f>
        <v/>
      </c>
      <c r="G56" s="36">
        <f>IFERROR(INDEX('Fund Research'!$I$6:$I$505,MATCH(51,'Fund Research'!$V$6:$V$505,0)),"")</f>
        <v/>
      </c>
      <c r="H56" s="37">
        <f>IFERROR(INDEX('Fund Research'!$J$6:$J$505,MATCH(51,'Fund Research'!$V$6:$V$505,0)),"")</f>
        <v/>
      </c>
      <c r="I56" s="39">
        <f>IFERROR(INDEX('Fund Research'!$L$6:$L$505,MATCH(51,'Fund Research'!$V$6:$V$505,0)),"")</f>
        <v/>
      </c>
      <c r="J56" s="37">
        <f>IFERROR(INDEX('Fund Research'!$N$6:$N$505,MATCH(51,'Fund Research'!$V$6:$V$505,0)),"")</f>
        <v/>
      </c>
      <c r="K56" s="37">
        <f>IFERROR(INDEX('Fund Research'!$P$6:$P$505,MATCH(51,'Fund Research'!$V$6:$V$505,0)),"")</f>
        <v/>
      </c>
      <c r="L56" s="35">
        <f>IFERROR(INDEX('Fund Research'!$S$6:$S$505,MATCH(51,'Fund Research'!$V$6:$V$505,0)),"")</f>
        <v/>
      </c>
      <c r="M56" s="35">
        <f>IFERROR(INDEX('Fund Research'!$T$6:$T$505,MATCH(51,'Fund Research'!$V$6:$V$505,0)),"")</f>
        <v/>
      </c>
    </row>
    <row r="57" ht="15" customHeight="1">
      <c r="A57" s="34">
        <f>IFERROR(IF(INDEX('Fund Research'!$B$6:$B$505,MATCH(52,'Fund Research'!$V$6:$V$505,0))="","",52),"")</f>
        <v/>
      </c>
      <c r="B57" s="35">
        <f>IFERROR(INDEX('Fund Research'!$A$6:$A$505,MATCH(52,'Fund Research'!$V$6:$V$505,0)),"")</f>
        <v/>
      </c>
      <c r="C57" s="35">
        <f>IFERROR(INDEX('Fund Research'!$B$6:$B$505,MATCH(52,'Fund Research'!$V$6:$V$505,0)),"")</f>
        <v/>
      </c>
      <c r="D57" s="35">
        <f>IFERROR(INDEX('Fund Research'!$C$6:$C$505,MATCH(52,'Fund Research'!$V$6:$V$505,0)),"")</f>
        <v/>
      </c>
      <c r="E57" s="36">
        <f>IFERROR(INDEX('Fund Research'!$G$6:$G$505,MATCH(52,'Fund Research'!$V$6:$V$505,0)),"")</f>
        <v/>
      </c>
      <c r="F57" s="36">
        <f>IFERROR(INDEX('Fund Research'!$H$6:$H$505,MATCH(52,'Fund Research'!$V$6:$V$505,0)),"")</f>
        <v/>
      </c>
      <c r="G57" s="36">
        <f>IFERROR(INDEX('Fund Research'!$I$6:$I$505,MATCH(52,'Fund Research'!$V$6:$V$505,0)),"")</f>
        <v/>
      </c>
      <c r="H57" s="37">
        <f>IFERROR(INDEX('Fund Research'!$J$6:$J$505,MATCH(52,'Fund Research'!$V$6:$V$505,0)),"")</f>
        <v/>
      </c>
      <c r="I57" s="39">
        <f>IFERROR(INDEX('Fund Research'!$L$6:$L$505,MATCH(52,'Fund Research'!$V$6:$V$505,0)),"")</f>
        <v/>
      </c>
      <c r="J57" s="37">
        <f>IFERROR(INDEX('Fund Research'!$N$6:$N$505,MATCH(52,'Fund Research'!$V$6:$V$505,0)),"")</f>
        <v/>
      </c>
      <c r="K57" s="37">
        <f>IFERROR(INDEX('Fund Research'!$P$6:$P$505,MATCH(52,'Fund Research'!$V$6:$V$505,0)),"")</f>
        <v/>
      </c>
      <c r="L57" s="35">
        <f>IFERROR(INDEX('Fund Research'!$S$6:$S$505,MATCH(52,'Fund Research'!$V$6:$V$505,0)),"")</f>
        <v/>
      </c>
      <c r="M57" s="35">
        <f>IFERROR(INDEX('Fund Research'!$T$6:$T$505,MATCH(52,'Fund Research'!$V$6:$V$505,0)),"")</f>
        <v/>
      </c>
    </row>
    <row r="58" ht="15" customHeight="1">
      <c r="A58" s="34">
        <f>IFERROR(IF(INDEX('Fund Research'!$B$6:$B$505,MATCH(53,'Fund Research'!$V$6:$V$505,0))="","",53),"")</f>
        <v/>
      </c>
      <c r="B58" s="35">
        <f>IFERROR(INDEX('Fund Research'!$A$6:$A$505,MATCH(53,'Fund Research'!$V$6:$V$505,0)),"")</f>
        <v/>
      </c>
      <c r="C58" s="35">
        <f>IFERROR(INDEX('Fund Research'!$B$6:$B$505,MATCH(53,'Fund Research'!$V$6:$V$505,0)),"")</f>
        <v/>
      </c>
      <c r="D58" s="35">
        <f>IFERROR(INDEX('Fund Research'!$C$6:$C$505,MATCH(53,'Fund Research'!$V$6:$V$505,0)),"")</f>
        <v/>
      </c>
      <c r="E58" s="36">
        <f>IFERROR(INDEX('Fund Research'!$G$6:$G$505,MATCH(53,'Fund Research'!$V$6:$V$505,0)),"")</f>
        <v/>
      </c>
      <c r="F58" s="36">
        <f>IFERROR(INDEX('Fund Research'!$H$6:$H$505,MATCH(53,'Fund Research'!$V$6:$V$505,0)),"")</f>
        <v/>
      </c>
      <c r="G58" s="36">
        <f>IFERROR(INDEX('Fund Research'!$I$6:$I$505,MATCH(53,'Fund Research'!$V$6:$V$505,0)),"")</f>
        <v/>
      </c>
      <c r="H58" s="37">
        <f>IFERROR(INDEX('Fund Research'!$J$6:$J$505,MATCH(53,'Fund Research'!$V$6:$V$505,0)),"")</f>
        <v/>
      </c>
      <c r="I58" s="39">
        <f>IFERROR(INDEX('Fund Research'!$L$6:$L$505,MATCH(53,'Fund Research'!$V$6:$V$505,0)),"")</f>
        <v/>
      </c>
      <c r="J58" s="37">
        <f>IFERROR(INDEX('Fund Research'!$N$6:$N$505,MATCH(53,'Fund Research'!$V$6:$V$505,0)),"")</f>
        <v/>
      </c>
      <c r="K58" s="37">
        <f>IFERROR(INDEX('Fund Research'!$P$6:$P$505,MATCH(53,'Fund Research'!$V$6:$V$505,0)),"")</f>
        <v/>
      </c>
      <c r="L58" s="35">
        <f>IFERROR(INDEX('Fund Research'!$S$6:$S$505,MATCH(53,'Fund Research'!$V$6:$V$505,0)),"")</f>
        <v/>
      </c>
      <c r="M58" s="35">
        <f>IFERROR(INDEX('Fund Research'!$T$6:$T$505,MATCH(53,'Fund Research'!$V$6:$V$505,0)),"")</f>
        <v/>
      </c>
    </row>
    <row r="59" ht="15" customHeight="1">
      <c r="A59" s="34">
        <f>IFERROR(IF(INDEX('Fund Research'!$B$6:$B$505,MATCH(54,'Fund Research'!$V$6:$V$505,0))="","",54),"")</f>
        <v/>
      </c>
      <c r="B59" s="35">
        <f>IFERROR(INDEX('Fund Research'!$A$6:$A$505,MATCH(54,'Fund Research'!$V$6:$V$505,0)),"")</f>
        <v/>
      </c>
      <c r="C59" s="35">
        <f>IFERROR(INDEX('Fund Research'!$B$6:$B$505,MATCH(54,'Fund Research'!$V$6:$V$505,0)),"")</f>
        <v/>
      </c>
      <c r="D59" s="35">
        <f>IFERROR(INDEX('Fund Research'!$C$6:$C$505,MATCH(54,'Fund Research'!$V$6:$V$505,0)),"")</f>
        <v/>
      </c>
      <c r="E59" s="36">
        <f>IFERROR(INDEX('Fund Research'!$G$6:$G$505,MATCH(54,'Fund Research'!$V$6:$V$505,0)),"")</f>
        <v/>
      </c>
      <c r="F59" s="36">
        <f>IFERROR(INDEX('Fund Research'!$H$6:$H$505,MATCH(54,'Fund Research'!$V$6:$V$505,0)),"")</f>
        <v/>
      </c>
      <c r="G59" s="36">
        <f>IFERROR(INDEX('Fund Research'!$I$6:$I$505,MATCH(54,'Fund Research'!$V$6:$V$505,0)),"")</f>
        <v/>
      </c>
      <c r="H59" s="37">
        <f>IFERROR(INDEX('Fund Research'!$J$6:$J$505,MATCH(54,'Fund Research'!$V$6:$V$505,0)),"")</f>
        <v/>
      </c>
      <c r="I59" s="39">
        <f>IFERROR(INDEX('Fund Research'!$L$6:$L$505,MATCH(54,'Fund Research'!$V$6:$V$505,0)),"")</f>
        <v/>
      </c>
      <c r="J59" s="37">
        <f>IFERROR(INDEX('Fund Research'!$N$6:$N$505,MATCH(54,'Fund Research'!$V$6:$V$505,0)),"")</f>
        <v/>
      </c>
      <c r="K59" s="37">
        <f>IFERROR(INDEX('Fund Research'!$P$6:$P$505,MATCH(54,'Fund Research'!$V$6:$V$505,0)),"")</f>
        <v/>
      </c>
      <c r="L59" s="35">
        <f>IFERROR(INDEX('Fund Research'!$S$6:$S$505,MATCH(54,'Fund Research'!$V$6:$V$505,0)),"")</f>
        <v/>
      </c>
      <c r="M59" s="35">
        <f>IFERROR(INDEX('Fund Research'!$T$6:$T$505,MATCH(54,'Fund Research'!$V$6:$V$505,0)),"")</f>
        <v/>
      </c>
    </row>
    <row r="60" ht="15" customHeight="1">
      <c r="A60" s="34">
        <f>IFERROR(IF(INDEX('Fund Research'!$B$6:$B$505,MATCH(55,'Fund Research'!$V$6:$V$505,0))="","",55),"")</f>
        <v/>
      </c>
      <c r="B60" s="35">
        <f>IFERROR(INDEX('Fund Research'!$A$6:$A$505,MATCH(55,'Fund Research'!$V$6:$V$505,0)),"")</f>
        <v/>
      </c>
      <c r="C60" s="35">
        <f>IFERROR(INDEX('Fund Research'!$B$6:$B$505,MATCH(55,'Fund Research'!$V$6:$V$505,0)),"")</f>
        <v/>
      </c>
      <c r="D60" s="35">
        <f>IFERROR(INDEX('Fund Research'!$C$6:$C$505,MATCH(55,'Fund Research'!$V$6:$V$505,0)),"")</f>
        <v/>
      </c>
      <c r="E60" s="36">
        <f>IFERROR(INDEX('Fund Research'!$G$6:$G$505,MATCH(55,'Fund Research'!$V$6:$V$505,0)),"")</f>
        <v/>
      </c>
      <c r="F60" s="36">
        <f>IFERROR(INDEX('Fund Research'!$H$6:$H$505,MATCH(55,'Fund Research'!$V$6:$V$505,0)),"")</f>
        <v/>
      </c>
      <c r="G60" s="36">
        <f>IFERROR(INDEX('Fund Research'!$I$6:$I$505,MATCH(55,'Fund Research'!$V$6:$V$505,0)),"")</f>
        <v/>
      </c>
      <c r="H60" s="37">
        <f>IFERROR(INDEX('Fund Research'!$J$6:$J$505,MATCH(55,'Fund Research'!$V$6:$V$505,0)),"")</f>
        <v/>
      </c>
      <c r="I60" s="39">
        <f>IFERROR(INDEX('Fund Research'!$L$6:$L$505,MATCH(55,'Fund Research'!$V$6:$V$505,0)),"")</f>
        <v/>
      </c>
      <c r="J60" s="37">
        <f>IFERROR(INDEX('Fund Research'!$N$6:$N$505,MATCH(55,'Fund Research'!$V$6:$V$505,0)),"")</f>
        <v/>
      </c>
      <c r="K60" s="37">
        <f>IFERROR(INDEX('Fund Research'!$P$6:$P$505,MATCH(55,'Fund Research'!$V$6:$V$505,0)),"")</f>
        <v/>
      </c>
      <c r="L60" s="35">
        <f>IFERROR(INDEX('Fund Research'!$S$6:$S$505,MATCH(55,'Fund Research'!$V$6:$V$505,0)),"")</f>
        <v/>
      </c>
      <c r="M60" s="35">
        <f>IFERROR(INDEX('Fund Research'!$T$6:$T$505,MATCH(55,'Fund Research'!$V$6:$V$505,0)),"")</f>
        <v/>
      </c>
    </row>
    <row r="61" ht="15" customHeight="1">
      <c r="A61" s="34">
        <f>IFERROR(IF(INDEX('Fund Research'!$B$6:$B$505,MATCH(56,'Fund Research'!$V$6:$V$505,0))="","",56),"")</f>
        <v/>
      </c>
      <c r="B61" s="35">
        <f>IFERROR(INDEX('Fund Research'!$A$6:$A$505,MATCH(56,'Fund Research'!$V$6:$V$505,0)),"")</f>
        <v/>
      </c>
      <c r="C61" s="35">
        <f>IFERROR(INDEX('Fund Research'!$B$6:$B$505,MATCH(56,'Fund Research'!$V$6:$V$505,0)),"")</f>
        <v/>
      </c>
      <c r="D61" s="35">
        <f>IFERROR(INDEX('Fund Research'!$C$6:$C$505,MATCH(56,'Fund Research'!$V$6:$V$505,0)),"")</f>
        <v/>
      </c>
      <c r="E61" s="36">
        <f>IFERROR(INDEX('Fund Research'!$G$6:$G$505,MATCH(56,'Fund Research'!$V$6:$V$505,0)),"")</f>
        <v/>
      </c>
      <c r="F61" s="36">
        <f>IFERROR(INDEX('Fund Research'!$H$6:$H$505,MATCH(56,'Fund Research'!$V$6:$V$505,0)),"")</f>
        <v/>
      </c>
      <c r="G61" s="36">
        <f>IFERROR(INDEX('Fund Research'!$I$6:$I$505,MATCH(56,'Fund Research'!$V$6:$V$505,0)),"")</f>
        <v/>
      </c>
      <c r="H61" s="37">
        <f>IFERROR(INDEX('Fund Research'!$J$6:$J$505,MATCH(56,'Fund Research'!$V$6:$V$505,0)),"")</f>
        <v/>
      </c>
      <c r="I61" s="39">
        <f>IFERROR(INDEX('Fund Research'!$L$6:$L$505,MATCH(56,'Fund Research'!$V$6:$V$505,0)),"")</f>
        <v/>
      </c>
      <c r="J61" s="37">
        <f>IFERROR(INDEX('Fund Research'!$N$6:$N$505,MATCH(56,'Fund Research'!$V$6:$V$505,0)),"")</f>
        <v/>
      </c>
      <c r="K61" s="37">
        <f>IFERROR(INDEX('Fund Research'!$P$6:$P$505,MATCH(56,'Fund Research'!$V$6:$V$505,0)),"")</f>
        <v/>
      </c>
      <c r="L61" s="35">
        <f>IFERROR(INDEX('Fund Research'!$S$6:$S$505,MATCH(56,'Fund Research'!$V$6:$V$505,0)),"")</f>
        <v/>
      </c>
      <c r="M61" s="35">
        <f>IFERROR(INDEX('Fund Research'!$T$6:$T$505,MATCH(56,'Fund Research'!$V$6:$V$505,0)),"")</f>
        <v/>
      </c>
    </row>
    <row r="62" ht="15" customHeight="1">
      <c r="A62" s="34">
        <f>IFERROR(IF(INDEX('Fund Research'!$B$6:$B$505,MATCH(57,'Fund Research'!$V$6:$V$505,0))="","",57),"")</f>
        <v/>
      </c>
      <c r="B62" s="35">
        <f>IFERROR(INDEX('Fund Research'!$A$6:$A$505,MATCH(57,'Fund Research'!$V$6:$V$505,0)),"")</f>
        <v/>
      </c>
      <c r="C62" s="35">
        <f>IFERROR(INDEX('Fund Research'!$B$6:$B$505,MATCH(57,'Fund Research'!$V$6:$V$505,0)),"")</f>
        <v/>
      </c>
      <c r="D62" s="35">
        <f>IFERROR(INDEX('Fund Research'!$C$6:$C$505,MATCH(57,'Fund Research'!$V$6:$V$505,0)),"")</f>
        <v/>
      </c>
      <c r="E62" s="36">
        <f>IFERROR(INDEX('Fund Research'!$G$6:$G$505,MATCH(57,'Fund Research'!$V$6:$V$505,0)),"")</f>
        <v/>
      </c>
      <c r="F62" s="36">
        <f>IFERROR(INDEX('Fund Research'!$H$6:$H$505,MATCH(57,'Fund Research'!$V$6:$V$505,0)),"")</f>
        <v/>
      </c>
      <c r="G62" s="36">
        <f>IFERROR(INDEX('Fund Research'!$I$6:$I$505,MATCH(57,'Fund Research'!$V$6:$V$505,0)),"")</f>
        <v/>
      </c>
      <c r="H62" s="37">
        <f>IFERROR(INDEX('Fund Research'!$J$6:$J$505,MATCH(57,'Fund Research'!$V$6:$V$505,0)),"")</f>
        <v/>
      </c>
      <c r="I62" s="39">
        <f>IFERROR(INDEX('Fund Research'!$L$6:$L$505,MATCH(57,'Fund Research'!$V$6:$V$505,0)),"")</f>
        <v/>
      </c>
      <c r="J62" s="37">
        <f>IFERROR(INDEX('Fund Research'!$N$6:$N$505,MATCH(57,'Fund Research'!$V$6:$V$505,0)),"")</f>
        <v/>
      </c>
      <c r="K62" s="37">
        <f>IFERROR(INDEX('Fund Research'!$P$6:$P$505,MATCH(57,'Fund Research'!$V$6:$V$505,0)),"")</f>
        <v/>
      </c>
      <c r="L62" s="35">
        <f>IFERROR(INDEX('Fund Research'!$S$6:$S$505,MATCH(57,'Fund Research'!$V$6:$V$505,0)),"")</f>
        <v/>
      </c>
      <c r="M62" s="35">
        <f>IFERROR(INDEX('Fund Research'!$T$6:$T$505,MATCH(57,'Fund Research'!$V$6:$V$505,0)),"")</f>
        <v/>
      </c>
    </row>
    <row r="63" ht="15" customHeight="1">
      <c r="A63" s="34">
        <f>IFERROR(IF(INDEX('Fund Research'!$B$6:$B$505,MATCH(58,'Fund Research'!$V$6:$V$505,0))="","",58),"")</f>
        <v/>
      </c>
      <c r="B63" s="35">
        <f>IFERROR(INDEX('Fund Research'!$A$6:$A$505,MATCH(58,'Fund Research'!$V$6:$V$505,0)),"")</f>
        <v/>
      </c>
      <c r="C63" s="35">
        <f>IFERROR(INDEX('Fund Research'!$B$6:$B$505,MATCH(58,'Fund Research'!$V$6:$V$505,0)),"")</f>
        <v/>
      </c>
      <c r="D63" s="35">
        <f>IFERROR(INDEX('Fund Research'!$C$6:$C$505,MATCH(58,'Fund Research'!$V$6:$V$505,0)),"")</f>
        <v/>
      </c>
      <c r="E63" s="36">
        <f>IFERROR(INDEX('Fund Research'!$G$6:$G$505,MATCH(58,'Fund Research'!$V$6:$V$505,0)),"")</f>
        <v/>
      </c>
      <c r="F63" s="36">
        <f>IFERROR(INDEX('Fund Research'!$H$6:$H$505,MATCH(58,'Fund Research'!$V$6:$V$505,0)),"")</f>
        <v/>
      </c>
      <c r="G63" s="36">
        <f>IFERROR(INDEX('Fund Research'!$I$6:$I$505,MATCH(58,'Fund Research'!$V$6:$V$505,0)),"")</f>
        <v/>
      </c>
      <c r="H63" s="37">
        <f>IFERROR(INDEX('Fund Research'!$J$6:$J$505,MATCH(58,'Fund Research'!$V$6:$V$505,0)),"")</f>
        <v/>
      </c>
      <c r="I63" s="39">
        <f>IFERROR(INDEX('Fund Research'!$L$6:$L$505,MATCH(58,'Fund Research'!$V$6:$V$505,0)),"")</f>
        <v/>
      </c>
      <c r="J63" s="37">
        <f>IFERROR(INDEX('Fund Research'!$N$6:$N$505,MATCH(58,'Fund Research'!$V$6:$V$505,0)),"")</f>
        <v/>
      </c>
      <c r="K63" s="37">
        <f>IFERROR(INDEX('Fund Research'!$P$6:$P$505,MATCH(58,'Fund Research'!$V$6:$V$505,0)),"")</f>
        <v/>
      </c>
      <c r="L63" s="35">
        <f>IFERROR(INDEX('Fund Research'!$S$6:$S$505,MATCH(58,'Fund Research'!$V$6:$V$505,0)),"")</f>
        <v/>
      </c>
      <c r="M63" s="35">
        <f>IFERROR(INDEX('Fund Research'!$T$6:$T$505,MATCH(58,'Fund Research'!$V$6:$V$505,0)),"")</f>
        <v/>
      </c>
    </row>
    <row r="64" ht="15" customHeight="1">
      <c r="A64" s="34">
        <f>IFERROR(IF(INDEX('Fund Research'!$B$6:$B$505,MATCH(59,'Fund Research'!$V$6:$V$505,0))="","",59),"")</f>
        <v/>
      </c>
      <c r="B64" s="35">
        <f>IFERROR(INDEX('Fund Research'!$A$6:$A$505,MATCH(59,'Fund Research'!$V$6:$V$505,0)),"")</f>
        <v/>
      </c>
      <c r="C64" s="35">
        <f>IFERROR(INDEX('Fund Research'!$B$6:$B$505,MATCH(59,'Fund Research'!$V$6:$V$505,0)),"")</f>
        <v/>
      </c>
      <c r="D64" s="35">
        <f>IFERROR(INDEX('Fund Research'!$C$6:$C$505,MATCH(59,'Fund Research'!$V$6:$V$505,0)),"")</f>
        <v/>
      </c>
      <c r="E64" s="36">
        <f>IFERROR(INDEX('Fund Research'!$G$6:$G$505,MATCH(59,'Fund Research'!$V$6:$V$505,0)),"")</f>
        <v/>
      </c>
      <c r="F64" s="36">
        <f>IFERROR(INDEX('Fund Research'!$H$6:$H$505,MATCH(59,'Fund Research'!$V$6:$V$505,0)),"")</f>
        <v/>
      </c>
      <c r="G64" s="36">
        <f>IFERROR(INDEX('Fund Research'!$I$6:$I$505,MATCH(59,'Fund Research'!$V$6:$V$505,0)),"")</f>
        <v/>
      </c>
      <c r="H64" s="37">
        <f>IFERROR(INDEX('Fund Research'!$J$6:$J$505,MATCH(59,'Fund Research'!$V$6:$V$505,0)),"")</f>
        <v/>
      </c>
      <c r="I64" s="39">
        <f>IFERROR(INDEX('Fund Research'!$L$6:$L$505,MATCH(59,'Fund Research'!$V$6:$V$505,0)),"")</f>
        <v/>
      </c>
      <c r="J64" s="37">
        <f>IFERROR(INDEX('Fund Research'!$N$6:$N$505,MATCH(59,'Fund Research'!$V$6:$V$505,0)),"")</f>
        <v/>
      </c>
      <c r="K64" s="37">
        <f>IFERROR(INDEX('Fund Research'!$P$6:$P$505,MATCH(59,'Fund Research'!$V$6:$V$505,0)),"")</f>
        <v/>
      </c>
      <c r="L64" s="35">
        <f>IFERROR(INDEX('Fund Research'!$S$6:$S$505,MATCH(59,'Fund Research'!$V$6:$V$505,0)),"")</f>
        <v/>
      </c>
      <c r="M64" s="35">
        <f>IFERROR(INDEX('Fund Research'!$T$6:$T$505,MATCH(59,'Fund Research'!$V$6:$V$505,0)),"")</f>
        <v/>
      </c>
    </row>
    <row r="65" ht="15" customHeight="1">
      <c r="A65" s="34">
        <f>IFERROR(IF(INDEX('Fund Research'!$B$6:$B$505,MATCH(60,'Fund Research'!$V$6:$V$505,0))="","",60),"")</f>
        <v/>
      </c>
      <c r="B65" s="35">
        <f>IFERROR(INDEX('Fund Research'!$A$6:$A$505,MATCH(60,'Fund Research'!$V$6:$V$505,0)),"")</f>
        <v/>
      </c>
      <c r="C65" s="35">
        <f>IFERROR(INDEX('Fund Research'!$B$6:$B$505,MATCH(60,'Fund Research'!$V$6:$V$505,0)),"")</f>
        <v/>
      </c>
      <c r="D65" s="35">
        <f>IFERROR(INDEX('Fund Research'!$C$6:$C$505,MATCH(60,'Fund Research'!$V$6:$V$505,0)),"")</f>
        <v/>
      </c>
      <c r="E65" s="36">
        <f>IFERROR(INDEX('Fund Research'!$G$6:$G$505,MATCH(60,'Fund Research'!$V$6:$V$505,0)),"")</f>
        <v/>
      </c>
      <c r="F65" s="36">
        <f>IFERROR(INDEX('Fund Research'!$H$6:$H$505,MATCH(60,'Fund Research'!$V$6:$V$505,0)),"")</f>
        <v/>
      </c>
      <c r="G65" s="36">
        <f>IFERROR(INDEX('Fund Research'!$I$6:$I$505,MATCH(60,'Fund Research'!$V$6:$V$505,0)),"")</f>
        <v/>
      </c>
      <c r="H65" s="37">
        <f>IFERROR(INDEX('Fund Research'!$J$6:$J$505,MATCH(60,'Fund Research'!$V$6:$V$505,0)),"")</f>
        <v/>
      </c>
      <c r="I65" s="39">
        <f>IFERROR(INDEX('Fund Research'!$L$6:$L$505,MATCH(60,'Fund Research'!$V$6:$V$505,0)),"")</f>
        <v/>
      </c>
      <c r="J65" s="37">
        <f>IFERROR(INDEX('Fund Research'!$N$6:$N$505,MATCH(60,'Fund Research'!$V$6:$V$505,0)),"")</f>
        <v/>
      </c>
      <c r="K65" s="37">
        <f>IFERROR(INDEX('Fund Research'!$P$6:$P$505,MATCH(60,'Fund Research'!$V$6:$V$505,0)),"")</f>
        <v/>
      </c>
      <c r="L65" s="35">
        <f>IFERROR(INDEX('Fund Research'!$S$6:$S$505,MATCH(60,'Fund Research'!$V$6:$V$505,0)),"")</f>
        <v/>
      </c>
      <c r="M65" s="35">
        <f>IFERROR(INDEX('Fund Research'!$T$6:$T$505,MATCH(60,'Fund Research'!$V$6:$V$505,0)),"")</f>
        <v/>
      </c>
    </row>
    <row r="66" ht="15" customHeight="1">
      <c r="A66" s="34">
        <f>IFERROR(IF(INDEX('Fund Research'!$B$6:$B$505,MATCH(61,'Fund Research'!$V$6:$V$505,0))="","",61),"")</f>
        <v/>
      </c>
      <c r="B66" s="35">
        <f>IFERROR(INDEX('Fund Research'!$A$6:$A$505,MATCH(61,'Fund Research'!$V$6:$V$505,0)),"")</f>
        <v/>
      </c>
      <c r="C66" s="35">
        <f>IFERROR(INDEX('Fund Research'!$B$6:$B$505,MATCH(61,'Fund Research'!$V$6:$V$505,0)),"")</f>
        <v/>
      </c>
      <c r="D66" s="35">
        <f>IFERROR(INDEX('Fund Research'!$C$6:$C$505,MATCH(61,'Fund Research'!$V$6:$V$505,0)),"")</f>
        <v/>
      </c>
      <c r="E66" s="36">
        <f>IFERROR(INDEX('Fund Research'!$G$6:$G$505,MATCH(61,'Fund Research'!$V$6:$V$505,0)),"")</f>
        <v/>
      </c>
      <c r="F66" s="36">
        <f>IFERROR(INDEX('Fund Research'!$H$6:$H$505,MATCH(61,'Fund Research'!$V$6:$V$505,0)),"")</f>
        <v/>
      </c>
      <c r="G66" s="36">
        <f>IFERROR(INDEX('Fund Research'!$I$6:$I$505,MATCH(61,'Fund Research'!$V$6:$V$505,0)),"")</f>
        <v/>
      </c>
      <c r="H66" s="37">
        <f>IFERROR(INDEX('Fund Research'!$J$6:$J$505,MATCH(61,'Fund Research'!$V$6:$V$505,0)),"")</f>
        <v/>
      </c>
      <c r="I66" s="39">
        <f>IFERROR(INDEX('Fund Research'!$L$6:$L$505,MATCH(61,'Fund Research'!$V$6:$V$505,0)),"")</f>
        <v/>
      </c>
      <c r="J66" s="37">
        <f>IFERROR(INDEX('Fund Research'!$N$6:$N$505,MATCH(61,'Fund Research'!$V$6:$V$505,0)),"")</f>
        <v/>
      </c>
      <c r="K66" s="37">
        <f>IFERROR(INDEX('Fund Research'!$P$6:$P$505,MATCH(61,'Fund Research'!$V$6:$V$505,0)),"")</f>
        <v/>
      </c>
      <c r="L66" s="35">
        <f>IFERROR(INDEX('Fund Research'!$S$6:$S$505,MATCH(61,'Fund Research'!$V$6:$V$505,0)),"")</f>
        <v/>
      </c>
      <c r="M66" s="35">
        <f>IFERROR(INDEX('Fund Research'!$T$6:$T$505,MATCH(61,'Fund Research'!$V$6:$V$505,0)),"")</f>
        <v/>
      </c>
    </row>
    <row r="67" ht="15" customHeight="1">
      <c r="A67" s="34">
        <f>IFERROR(IF(INDEX('Fund Research'!$B$6:$B$505,MATCH(62,'Fund Research'!$V$6:$V$505,0))="","",62),"")</f>
        <v/>
      </c>
      <c r="B67" s="35">
        <f>IFERROR(INDEX('Fund Research'!$A$6:$A$505,MATCH(62,'Fund Research'!$V$6:$V$505,0)),"")</f>
        <v/>
      </c>
      <c r="C67" s="35">
        <f>IFERROR(INDEX('Fund Research'!$B$6:$B$505,MATCH(62,'Fund Research'!$V$6:$V$505,0)),"")</f>
        <v/>
      </c>
      <c r="D67" s="35">
        <f>IFERROR(INDEX('Fund Research'!$C$6:$C$505,MATCH(62,'Fund Research'!$V$6:$V$505,0)),"")</f>
        <v/>
      </c>
      <c r="E67" s="36">
        <f>IFERROR(INDEX('Fund Research'!$G$6:$G$505,MATCH(62,'Fund Research'!$V$6:$V$505,0)),"")</f>
        <v/>
      </c>
      <c r="F67" s="36">
        <f>IFERROR(INDEX('Fund Research'!$H$6:$H$505,MATCH(62,'Fund Research'!$V$6:$V$505,0)),"")</f>
        <v/>
      </c>
      <c r="G67" s="36">
        <f>IFERROR(INDEX('Fund Research'!$I$6:$I$505,MATCH(62,'Fund Research'!$V$6:$V$505,0)),"")</f>
        <v/>
      </c>
      <c r="H67" s="37">
        <f>IFERROR(INDEX('Fund Research'!$J$6:$J$505,MATCH(62,'Fund Research'!$V$6:$V$505,0)),"")</f>
        <v/>
      </c>
      <c r="I67" s="39">
        <f>IFERROR(INDEX('Fund Research'!$L$6:$L$505,MATCH(62,'Fund Research'!$V$6:$V$505,0)),"")</f>
        <v/>
      </c>
      <c r="J67" s="37">
        <f>IFERROR(INDEX('Fund Research'!$N$6:$N$505,MATCH(62,'Fund Research'!$V$6:$V$505,0)),"")</f>
        <v/>
      </c>
      <c r="K67" s="37">
        <f>IFERROR(INDEX('Fund Research'!$P$6:$P$505,MATCH(62,'Fund Research'!$V$6:$V$505,0)),"")</f>
        <v/>
      </c>
      <c r="L67" s="35">
        <f>IFERROR(INDEX('Fund Research'!$S$6:$S$505,MATCH(62,'Fund Research'!$V$6:$V$505,0)),"")</f>
        <v/>
      </c>
      <c r="M67" s="35">
        <f>IFERROR(INDEX('Fund Research'!$T$6:$T$505,MATCH(62,'Fund Research'!$V$6:$V$505,0)),"")</f>
        <v/>
      </c>
    </row>
    <row r="68" ht="15" customHeight="1">
      <c r="A68" s="34">
        <f>IFERROR(IF(INDEX('Fund Research'!$B$6:$B$505,MATCH(63,'Fund Research'!$V$6:$V$505,0))="","",63),"")</f>
        <v/>
      </c>
      <c r="B68" s="35">
        <f>IFERROR(INDEX('Fund Research'!$A$6:$A$505,MATCH(63,'Fund Research'!$V$6:$V$505,0)),"")</f>
        <v/>
      </c>
      <c r="C68" s="35">
        <f>IFERROR(INDEX('Fund Research'!$B$6:$B$505,MATCH(63,'Fund Research'!$V$6:$V$505,0)),"")</f>
        <v/>
      </c>
      <c r="D68" s="35">
        <f>IFERROR(INDEX('Fund Research'!$C$6:$C$505,MATCH(63,'Fund Research'!$V$6:$V$505,0)),"")</f>
        <v/>
      </c>
      <c r="E68" s="36">
        <f>IFERROR(INDEX('Fund Research'!$G$6:$G$505,MATCH(63,'Fund Research'!$V$6:$V$505,0)),"")</f>
        <v/>
      </c>
      <c r="F68" s="36">
        <f>IFERROR(INDEX('Fund Research'!$H$6:$H$505,MATCH(63,'Fund Research'!$V$6:$V$505,0)),"")</f>
        <v/>
      </c>
      <c r="G68" s="36">
        <f>IFERROR(INDEX('Fund Research'!$I$6:$I$505,MATCH(63,'Fund Research'!$V$6:$V$505,0)),"")</f>
        <v/>
      </c>
      <c r="H68" s="37">
        <f>IFERROR(INDEX('Fund Research'!$J$6:$J$505,MATCH(63,'Fund Research'!$V$6:$V$505,0)),"")</f>
        <v/>
      </c>
      <c r="I68" s="39">
        <f>IFERROR(INDEX('Fund Research'!$L$6:$L$505,MATCH(63,'Fund Research'!$V$6:$V$505,0)),"")</f>
        <v/>
      </c>
      <c r="J68" s="37">
        <f>IFERROR(INDEX('Fund Research'!$N$6:$N$505,MATCH(63,'Fund Research'!$V$6:$V$505,0)),"")</f>
        <v/>
      </c>
      <c r="K68" s="37">
        <f>IFERROR(INDEX('Fund Research'!$P$6:$P$505,MATCH(63,'Fund Research'!$V$6:$V$505,0)),"")</f>
        <v/>
      </c>
      <c r="L68" s="35">
        <f>IFERROR(INDEX('Fund Research'!$S$6:$S$505,MATCH(63,'Fund Research'!$V$6:$V$505,0)),"")</f>
        <v/>
      </c>
      <c r="M68" s="35">
        <f>IFERROR(INDEX('Fund Research'!$T$6:$T$505,MATCH(63,'Fund Research'!$V$6:$V$505,0)),"")</f>
        <v/>
      </c>
    </row>
    <row r="69" ht="15" customHeight="1">
      <c r="A69" s="34">
        <f>IFERROR(IF(INDEX('Fund Research'!$B$6:$B$505,MATCH(64,'Fund Research'!$V$6:$V$505,0))="","",64),"")</f>
        <v/>
      </c>
      <c r="B69" s="35">
        <f>IFERROR(INDEX('Fund Research'!$A$6:$A$505,MATCH(64,'Fund Research'!$V$6:$V$505,0)),"")</f>
        <v/>
      </c>
      <c r="C69" s="35">
        <f>IFERROR(INDEX('Fund Research'!$B$6:$B$505,MATCH(64,'Fund Research'!$V$6:$V$505,0)),"")</f>
        <v/>
      </c>
      <c r="D69" s="35">
        <f>IFERROR(INDEX('Fund Research'!$C$6:$C$505,MATCH(64,'Fund Research'!$V$6:$V$505,0)),"")</f>
        <v/>
      </c>
      <c r="E69" s="36">
        <f>IFERROR(INDEX('Fund Research'!$G$6:$G$505,MATCH(64,'Fund Research'!$V$6:$V$505,0)),"")</f>
        <v/>
      </c>
      <c r="F69" s="36">
        <f>IFERROR(INDEX('Fund Research'!$H$6:$H$505,MATCH(64,'Fund Research'!$V$6:$V$505,0)),"")</f>
        <v/>
      </c>
      <c r="G69" s="36">
        <f>IFERROR(INDEX('Fund Research'!$I$6:$I$505,MATCH(64,'Fund Research'!$V$6:$V$505,0)),"")</f>
        <v/>
      </c>
      <c r="H69" s="37">
        <f>IFERROR(INDEX('Fund Research'!$J$6:$J$505,MATCH(64,'Fund Research'!$V$6:$V$505,0)),"")</f>
        <v/>
      </c>
      <c r="I69" s="39">
        <f>IFERROR(INDEX('Fund Research'!$L$6:$L$505,MATCH(64,'Fund Research'!$V$6:$V$505,0)),"")</f>
        <v/>
      </c>
      <c r="J69" s="37">
        <f>IFERROR(INDEX('Fund Research'!$N$6:$N$505,MATCH(64,'Fund Research'!$V$6:$V$505,0)),"")</f>
        <v/>
      </c>
      <c r="K69" s="37">
        <f>IFERROR(INDEX('Fund Research'!$P$6:$P$505,MATCH(64,'Fund Research'!$V$6:$V$505,0)),"")</f>
        <v/>
      </c>
      <c r="L69" s="35">
        <f>IFERROR(INDEX('Fund Research'!$S$6:$S$505,MATCH(64,'Fund Research'!$V$6:$V$505,0)),"")</f>
        <v/>
      </c>
      <c r="M69" s="35">
        <f>IFERROR(INDEX('Fund Research'!$T$6:$T$505,MATCH(64,'Fund Research'!$V$6:$V$505,0)),"")</f>
        <v/>
      </c>
    </row>
    <row r="70" ht="15" customHeight="1">
      <c r="A70" s="34">
        <f>IFERROR(IF(INDEX('Fund Research'!$B$6:$B$505,MATCH(65,'Fund Research'!$V$6:$V$505,0))="","",65),"")</f>
        <v/>
      </c>
      <c r="B70" s="35">
        <f>IFERROR(INDEX('Fund Research'!$A$6:$A$505,MATCH(65,'Fund Research'!$V$6:$V$505,0)),"")</f>
        <v/>
      </c>
      <c r="C70" s="35">
        <f>IFERROR(INDEX('Fund Research'!$B$6:$B$505,MATCH(65,'Fund Research'!$V$6:$V$505,0)),"")</f>
        <v/>
      </c>
      <c r="D70" s="35">
        <f>IFERROR(INDEX('Fund Research'!$C$6:$C$505,MATCH(65,'Fund Research'!$V$6:$V$505,0)),"")</f>
        <v/>
      </c>
      <c r="E70" s="36">
        <f>IFERROR(INDEX('Fund Research'!$G$6:$G$505,MATCH(65,'Fund Research'!$V$6:$V$505,0)),"")</f>
        <v/>
      </c>
      <c r="F70" s="36">
        <f>IFERROR(INDEX('Fund Research'!$H$6:$H$505,MATCH(65,'Fund Research'!$V$6:$V$505,0)),"")</f>
        <v/>
      </c>
      <c r="G70" s="36">
        <f>IFERROR(INDEX('Fund Research'!$I$6:$I$505,MATCH(65,'Fund Research'!$V$6:$V$505,0)),"")</f>
        <v/>
      </c>
      <c r="H70" s="37">
        <f>IFERROR(INDEX('Fund Research'!$J$6:$J$505,MATCH(65,'Fund Research'!$V$6:$V$505,0)),"")</f>
        <v/>
      </c>
      <c r="I70" s="39">
        <f>IFERROR(INDEX('Fund Research'!$L$6:$L$505,MATCH(65,'Fund Research'!$V$6:$V$505,0)),"")</f>
        <v/>
      </c>
      <c r="J70" s="37">
        <f>IFERROR(INDEX('Fund Research'!$N$6:$N$505,MATCH(65,'Fund Research'!$V$6:$V$505,0)),"")</f>
        <v/>
      </c>
      <c r="K70" s="37">
        <f>IFERROR(INDEX('Fund Research'!$P$6:$P$505,MATCH(65,'Fund Research'!$V$6:$V$505,0)),"")</f>
        <v/>
      </c>
      <c r="L70" s="35">
        <f>IFERROR(INDEX('Fund Research'!$S$6:$S$505,MATCH(65,'Fund Research'!$V$6:$V$505,0)),"")</f>
        <v/>
      </c>
      <c r="M70" s="35">
        <f>IFERROR(INDEX('Fund Research'!$T$6:$T$505,MATCH(65,'Fund Research'!$V$6:$V$505,0)),"")</f>
        <v/>
      </c>
    </row>
    <row r="71" ht="15" customHeight="1">
      <c r="A71" s="34">
        <f>IFERROR(IF(INDEX('Fund Research'!$B$6:$B$505,MATCH(66,'Fund Research'!$V$6:$V$505,0))="","",66),"")</f>
        <v/>
      </c>
      <c r="B71" s="35">
        <f>IFERROR(INDEX('Fund Research'!$A$6:$A$505,MATCH(66,'Fund Research'!$V$6:$V$505,0)),"")</f>
        <v/>
      </c>
      <c r="C71" s="35">
        <f>IFERROR(INDEX('Fund Research'!$B$6:$B$505,MATCH(66,'Fund Research'!$V$6:$V$505,0)),"")</f>
        <v/>
      </c>
      <c r="D71" s="35">
        <f>IFERROR(INDEX('Fund Research'!$C$6:$C$505,MATCH(66,'Fund Research'!$V$6:$V$505,0)),"")</f>
        <v/>
      </c>
      <c r="E71" s="36">
        <f>IFERROR(INDEX('Fund Research'!$G$6:$G$505,MATCH(66,'Fund Research'!$V$6:$V$505,0)),"")</f>
        <v/>
      </c>
      <c r="F71" s="36">
        <f>IFERROR(INDEX('Fund Research'!$H$6:$H$505,MATCH(66,'Fund Research'!$V$6:$V$505,0)),"")</f>
        <v/>
      </c>
      <c r="G71" s="36">
        <f>IFERROR(INDEX('Fund Research'!$I$6:$I$505,MATCH(66,'Fund Research'!$V$6:$V$505,0)),"")</f>
        <v/>
      </c>
      <c r="H71" s="37">
        <f>IFERROR(INDEX('Fund Research'!$J$6:$J$505,MATCH(66,'Fund Research'!$V$6:$V$505,0)),"")</f>
        <v/>
      </c>
      <c r="I71" s="39">
        <f>IFERROR(INDEX('Fund Research'!$L$6:$L$505,MATCH(66,'Fund Research'!$V$6:$V$505,0)),"")</f>
        <v/>
      </c>
      <c r="J71" s="37">
        <f>IFERROR(INDEX('Fund Research'!$N$6:$N$505,MATCH(66,'Fund Research'!$V$6:$V$505,0)),"")</f>
        <v/>
      </c>
      <c r="K71" s="37">
        <f>IFERROR(INDEX('Fund Research'!$P$6:$P$505,MATCH(66,'Fund Research'!$V$6:$V$505,0)),"")</f>
        <v/>
      </c>
      <c r="L71" s="35">
        <f>IFERROR(INDEX('Fund Research'!$S$6:$S$505,MATCH(66,'Fund Research'!$V$6:$V$505,0)),"")</f>
        <v/>
      </c>
      <c r="M71" s="35">
        <f>IFERROR(INDEX('Fund Research'!$T$6:$T$505,MATCH(66,'Fund Research'!$V$6:$V$505,0)),"")</f>
        <v/>
      </c>
    </row>
    <row r="72" ht="15" customHeight="1">
      <c r="A72" s="34">
        <f>IFERROR(IF(INDEX('Fund Research'!$B$6:$B$505,MATCH(67,'Fund Research'!$V$6:$V$505,0))="","",67),"")</f>
        <v/>
      </c>
      <c r="B72" s="35">
        <f>IFERROR(INDEX('Fund Research'!$A$6:$A$505,MATCH(67,'Fund Research'!$V$6:$V$505,0)),"")</f>
        <v/>
      </c>
      <c r="C72" s="35">
        <f>IFERROR(INDEX('Fund Research'!$B$6:$B$505,MATCH(67,'Fund Research'!$V$6:$V$505,0)),"")</f>
        <v/>
      </c>
      <c r="D72" s="35">
        <f>IFERROR(INDEX('Fund Research'!$C$6:$C$505,MATCH(67,'Fund Research'!$V$6:$V$505,0)),"")</f>
        <v/>
      </c>
      <c r="E72" s="36">
        <f>IFERROR(INDEX('Fund Research'!$G$6:$G$505,MATCH(67,'Fund Research'!$V$6:$V$505,0)),"")</f>
        <v/>
      </c>
      <c r="F72" s="36">
        <f>IFERROR(INDEX('Fund Research'!$H$6:$H$505,MATCH(67,'Fund Research'!$V$6:$V$505,0)),"")</f>
        <v/>
      </c>
      <c r="G72" s="36">
        <f>IFERROR(INDEX('Fund Research'!$I$6:$I$505,MATCH(67,'Fund Research'!$V$6:$V$505,0)),"")</f>
        <v/>
      </c>
      <c r="H72" s="37">
        <f>IFERROR(INDEX('Fund Research'!$J$6:$J$505,MATCH(67,'Fund Research'!$V$6:$V$505,0)),"")</f>
        <v/>
      </c>
      <c r="I72" s="39">
        <f>IFERROR(INDEX('Fund Research'!$L$6:$L$505,MATCH(67,'Fund Research'!$V$6:$V$505,0)),"")</f>
        <v/>
      </c>
      <c r="J72" s="37">
        <f>IFERROR(INDEX('Fund Research'!$N$6:$N$505,MATCH(67,'Fund Research'!$V$6:$V$505,0)),"")</f>
        <v/>
      </c>
      <c r="K72" s="37">
        <f>IFERROR(INDEX('Fund Research'!$P$6:$P$505,MATCH(67,'Fund Research'!$V$6:$V$505,0)),"")</f>
        <v/>
      </c>
      <c r="L72" s="35">
        <f>IFERROR(INDEX('Fund Research'!$S$6:$S$505,MATCH(67,'Fund Research'!$V$6:$V$505,0)),"")</f>
        <v/>
      </c>
      <c r="M72" s="35">
        <f>IFERROR(INDEX('Fund Research'!$T$6:$T$505,MATCH(67,'Fund Research'!$V$6:$V$505,0)),"")</f>
        <v/>
      </c>
    </row>
    <row r="73" ht="15" customHeight="1">
      <c r="A73" s="34">
        <f>IFERROR(IF(INDEX('Fund Research'!$B$6:$B$505,MATCH(68,'Fund Research'!$V$6:$V$505,0))="","",68),"")</f>
        <v/>
      </c>
      <c r="B73" s="35">
        <f>IFERROR(INDEX('Fund Research'!$A$6:$A$505,MATCH(68,'Fund Research'!$V$6:$V$505,0)),"")</f>
        <v/>
      </c>
      <c r="C73" s="35">
        <f>IFERROR(INDEX('Fund Research'!$B$6:$B$505,MATCH(68,'Fund Research'!$V$6:$V$505,0)),"")</f>
        <v/>
      </c>
      <c r="D73" s="35">
        <f>IFERROR(INDEX('Fund Research'!$C$6:$C$505,MATCH(68,'Fund Research'!$V$6:$V$505,0)),"")</f>
        <v/>
      </c>
      <c r="E73" s="36">
        <f>IFERROR(INDEX('Fund Research'!$G$6:$G$505,MATCH(68,'Fund Research'!$V$6:$V$505,0)),"")</f>
        <v/>
      </c>
      <c r="F73" s="36">
        <f>IFERROR(INDEX('Fund Research'!$H$6:$H$505,MATCH(68,'Fund Research'!$V$6:$V$505,0)),"")</f>
        <v/>
      </c>
      <c r="G73" s="36">
        <f>IFERROR(INDEX('Fund Research'!$I$6:$I$505,MATCH(68,'Fund Research'!$V$6:$V$505,0)),"")</f>
        <v/>
      </c>
      <c r="H73" s="37">
        <f>IFERROR(INDEX('Fund Research'!$J$6:$J$505,MATCH(68,'Fund Research'!$V$6:$V$505,0)),"")</f>
        <v/>
      </c>
      <c r="I73" s="39">
        <f>IFERROR(INDEX('Fund Research'!$L$6:$L$505,MATCH(68,'Fund Research'!$V$6:$V$505,0)),"")</f>
        <v/>
      </c>
      <c r="J73" s="37">
        <f>IFERROR(INDEX('Fund Research'!$N$6:$N$505,MATCH(68,'Fund Research'!$V$6:$V$505,0)),"")</f>
        <v/>
      </c>
      <c r="K73" s="37">
        <f>IFERROR(INDEX('Fund Research'!$P$6:$P$505,MATCH(68,'Fund Research'!$V$6:$V$505,0)),"")</f>
        <v/>
      </c>
      <c r="L73" s="35">
        <f>IFERROR(INDEX('Fund Research'!$S$6:$S$505,MATCH(68,'Fund Research'!$V$6:$V$505,0)),"")</f>
        <v/>
      </c>
      <c r="M73" s="35">
        <f>IFERROR(INDEX('Fund Research'!$T$6:$T$505,MATCH(68,'Fund Research'!$V$6:$V$505,0)),"")</f>
        <v/>
      </c>
    </row>
    <row r="74" ht="15" customHeight="1">
      <c r="A74" s="34">
        <f>IFERROR(IF(INDEX('Fund Research'!$B$6:$B$505,MATCH(69,'Fund Research'!$V$6:$V$505,0))="","",69),"")</f>
        <v/>
      </c>
      <c r="B74" s="35">
        <f>IFERROR(INDEX('Fund Research'!$A$6:$A$505,MATCH(69,'Fund Research'!$V$6:$V$505,0)),"")</f>
        <v/>
      </c>
      <c r="C74" s="35">
        <f>IFERROR(INDEX('Fund Research'!$B$6:$B$505,MATCH(69,'Fund Research'!$V$6:$V$505,0)),"")</f>
        <v/>
      </c>
      <c r="D74" s="35">
        <f>IFERROR(INDEX('Fund Research'!$C$6:$C$505,MATCH(69,'Fund Research'!$V$6:$V$505,0)),"")</f>
        <v/>
      </c>
      <c r="E74" s="36">
        <f>IFERROR(INDEX('Fund Research'!$G$6:$G$505,MATCH(69,'Fund Research'!$V$6:$V$505,0)),"")</f>
        <v/>
      </c>
      <c r="F74" s="36">
        <f>IFERROR(INDEX('Fund Research'!$H$6:$H$505,MATCH(69,'Fund Research'!$V$6:$V$505,0)),"")</f>
        <v/>
      </c>
      <c r="G74" s="36">
        <f>IFERROR(INDEX('Fund Research'!$I$6:$I$505,MATCH(69,'Fund Research'!$V$6:$V$505,0)),"")</f>
        <v/>
      </c>
      <c r="H74" s="37">
        <f>IFERROR(INDEX('Fund Research'!$J$6:$J$505,MATCH(69,'Fund Research'!$V$6:$V$505,0)),"")</f>
        <v/>
      </c>
      <c r="I74" s="39">
        <f>IFERROR(INDEX('Fund Research'!$L$6:$L$505,MATCH(69,'Fund Research'!$V$6:$V$505,0)),"")</f>
        <v/>
      </c>
      <c r="J74" s="37">
        <f>IFERROR(INDEX('Fund Research'!$N$6:$N$505,MATCH(69,'Fund Research'!$V$6:$V$505,0)),"")</f>
        <v/>
      </c>
      <c r="K74" s="37">
        <f>IFERROR(INDEX('Fund Research'!$P$6:$P$505,MATCH(69,'Fund Research'!$V$6:$V$505,0)),"")</f>
        <v/>
      </c>
      <c r="L74" s="35">
        <f>IFERROR(INDEX('Fund Research'!$S$6:$S$505,MATCH(69,'Fund Research'!$V$6:$V$505,0)),"")</f>
        <v/>
      </c>
      <c r="M74" s="35">
        <f>IFERROR(INDEX('Fund Research'!$T$6:$T$505,MATCH(69,'Fund Research'!$V$6:$V$505,0)),"")</f>
        <v/>
      </c>
    </row>
    <row r="75" ht="15" customHeight="1">
      <c r="A75" s="34">
        <f>IFERROR(IF(INDEX('Fund Research'!$B$6:$B$505,MATCH(70,'Fund Research'!$V$6:$V$505,0))="","",70),"")</f>
        <v/>
      </c>
      <c r="B75" s="35">
        <f>IFERROR(INDEX('Fund Research'!$A$6:$A$505,MATCH(70,'Fund Research'!$V$6:$V$505,0)),"")</f>
        <v/>
      </c>
      <c r="C75" s="35">
        <f>IFERROR(INDEX('Fund Research'!$B$6:$B$505,MATCH(70,'Fund Research'!$V$6:$V$505,0)),"")</f>
        <v/>
      </c>
      <c r="D75" s="35">
        <f>IFERROR(INDEX('Fund Research'!$C$6:$C$505,MATCH(70,'Fund Research'!$V$6:$V$505,0)),"")</f>
        <v/>
      </c>
      <c r="E75" s="36">
        <f>IFERROR(INDEX('Fund Research'!$G$6:$G$505,MATCH(70,'Fund Research'!$V$6:$V$505,0)),"")</f>
        <v/>
      </c>
      <c r="F75" s="36">
        <f>IFERROR(INDEX('Fund Research'!$H$6:$H$505,MATCH(70,'Fund Research'!$V$6:$V$505,0)),"")</f>
        <v/>
      </c>
      <c r="G75" s="36">
        <f>IFERROR(INDEX('Fund Research'!$I$6:$I$505,MATCH(70,'Fund Research'!$V$6:$V$505,0)),"")</f>
        <v/>
      </c>
      <c r="H75" s="37">
        <f>IFERROR(INDEX('Fund Research'!$J$6:$J$505,MATCH(70,'Fund Research'!$V$6:$V$505,0)),"")</f>
        <v/>
      </c>
      <c r="I75" s="39">
        <f>IFERROR(INDEX('Fund Research'!$L$6:$L$505,MATCH(70,'Fund Research'!$V$6:$V$505,0)),"")</f>
        <v/>
      </c>
      <c r="J75" s="37">
        <f>IFERROR(INDEX('Fund Research'!$N$6:$N$505,MATCH(70,'Fund Research'!$V$6:$V$505,0)),"")</f>
        <v/>
      </c>
      <c r="K75" s="37">
        <f>IFERROR(INDEX('Fund Research'!$P$6:$P$505,MATCH(70,'Fund Research'!$V$6:$V$505,0)),"")</f>
        <v/>
      </c>
      <c r="L75" s="35">
        <f>IFERROR(INDEX('Fund Research'!$S$6:$S$505,MATCH(70,'Fund Research'!$V$6:$V$505,0)),"")</f>
        <v/>
      </c>
      <c r="M75" s="35">
        <f>IFERROR(INDEX('Fund Research'!$T$6:$T$505,MATCH(70,'Fund Research'!$V$6:$V$505,0)),"")</f>
        <v/>
      </c>
    </row>
    <row r="76" ht="15" customHeight="1">
      <c r="A76" s="34">
        <f>IFERROR(IF(INDEX('Fund Research'!$B$6:$B$505,MATCH(71,'Fund Research'!$V$6:$V$505,0))="","",71),"")</f>
        <v/>
      </c>
      <c r="B76" s="35">
        <f>IFERROR(INDEX('Fund Research'!$A$6:$A$505,MATCH(71,'Fund Research'!$V$6:$V$505,0)),"")</f>
        <v/>
      </c>
      <c r="C76" s="35">
        <f>IFERROR(INDEX('Fund Research'!$B$6:$B$505,MATCH(71,'Fund Research'!$V$6:$V$505,0)),"")</f>
        <v/>
      </c>
      <c r="D76" s="35">
        <f>IFERROR(INDEX('Fund Research'!$C$6:$C$505,MATCH(71,'Fund Research'!$V$6:$V$505,0)),"")</f>
        <v/>
      </c>
      <c r="E76" s="36">
        <f>IFERROR(INDEX('Fund Research'!$G$6:$G$505,MATCH(71,'Fund Research'!$V$6:$V$505,0)),"")</f>
        <v/>
      </c>
      <c r="F76" s="36">
        <f>IFERROR(INDEX('Fund Research'!$H$6:$H$505,MATCH(71,'Fund Research'!$V$6:$V$505,0)),"")</f>
        <v/>
      </c>
      <c r="G76" s="36">
        <f>IFERROR(INDEX('Fund Research'!$I$6:$I$505,MATCH(71,'Fund Research'!$V$6:$V$505,0)),"")</f>
        <v/>
      </c>
      <c r="H76" s="37">
        <f>IFERROR(INDEX('Fund Research'!$J$6:$J$505,MATCH(71,'Fund Research'!$V$6:$V$505,0)),"")</f>
        <v/>
      </c>
      <c r="I76" s="39">
        <f>IFERROR(INDEX('Fund Research'!$L$6:$L$505,MATCH(71,'Fund Research'!$V$6:$V$505,0)),"")</f>
        <v/>
      </c>
      <c r="J76" s="37">
        <f>IFERROR(INDEX('Fund Research'!$N$6:$N$505,MATCH(71,'Fund Research'!$V$6:$V$505,0)),"")</f>
        <v/>
      </c>
      <c r="K76" s="37">
        <f>IFERROR(INDEX('Fund Research'!$P$6:$P$505,MATCH(71,'Fund Research'!$V$6:$V$505,0)),"")</f>
        <v/>
      </c>
      <c r="L76" s="35">
        <f>IFERROR(INDEX('Fund Research'!$S$6:$S$505,MATCH(71,'Fund Research'!$V$6:$V$505,0)),"")</f>
        <v/>
      </c>
      <c r="M76" s="35">
        <f>IFERROR(INDEX('Fund Research'!$T$6:$T$505,MATCH(71,'Fund Research'!$V$6:$V$505,0)),"")</f>
        <v/>
      </c>
    </row>
    <row r="77" ht="15" customHeight="1">
      <c r="A77" s="34">
        <f>IFERROR(IF(INDEX('Fund Research'!$B$6:$B$505,MATCH(72,'Fund Research'!$V$6:$V$505,0))="","",72),"")</f>
        <v/>
      </c>
      <c r="B77" s="35">
        <f>IFERROR(INDEX('Fund Research'!$A$6:$A$505,MATCH(72,'Fund Research'!$V$6:$V$505,0)),"")</f>
        <v/>
      </c>
      <c r="C77" s="35">
        <f>IFERROR(INDEX('Fund Research'!$B$6:$B$505,MATCH(72,'Fund Research'!$V$6:$V$505,0)),"")</f>
        <v/>
      </c>
      <c r="D77" s="35">
        <f>IFERROR(INDEX('Fund Research'!$C$6:$C$505,MATCH(72,'Fund Research'!$V$6:$V$505,0)),"")</f>
        <v/>
      </c>
      <c r="E77" s="36">
        <f>IFERROR(INDEX('Fund Research'!$G$6:$G$505,MATCH(72,'Fund Research'!$V$6:$V$505,0)),"")</f>
        <v/>
      </c>
      <c r="F77" s="36">
        <f>IFERROR(INDEX('Fund Research'!$H$6:$H$505,MATCH(72,'Fund Research'!$V$6:$V$505,0)),"")</f>
        <v/>
      </c>
      <c r="G77" s="36">
        <f>IFERROR(INDEX('Fund Research'!$I$6:$I$505,MATCH(72,'Fund Research'!$V$6:$V$505,0)),"")</f>
        <v/>
      </c>
      <c r="H77" s="37">
        <f>IFERROR(INDEX('Fund Research'!$J$6:$J$505,MATCH(72,'Fund Research'!$V$6:$V$505,0)),"")</f>
        <v/>
      </c>
      <c r="I77" s="39">
        <f>IFERROR(INDEX('Fund Research'!$L$6:$L$505,MATCH(72,'Fund Research'!$V$6:$V$505,0)),"")</f>
        <v/>
      </c>
      <c r="J77" s="37">
        <f>IFERROR(INDEX('Fund Research'!$N$6:$N$505,MATCH(72,'Fund Research'!$V$6:$V$505,0)),"")</f>
        <v/>
      </c>
      <c r="K77" s="37">
        <f>IFERROR(INDEX('Fund Research'!$P$6:$P$505,MATCH(72,'Fund Research'!$V$6:$V$505,0)),"")</f>
        <v/>
      </c>
      <c r="L77" s="35">
        <f>IFERROR(INDEX('Fund Research'!$S$6:$S$505,MATCH(72,'Fund Research'!$V$6:$V$505,0)),"")</f>
        <v/>
      </c>
      <c r="M77" s="35">
        <f>IFERROR(INDEX('Fund Research'!$T$6:$T$505,MATCH(72,'Fund Research'!$V$6:$V$505,0)),"")</f>
        <v/>
      </c>
    </row>
    <row r="78" ht="15" customHeight="1">
      <c r="A78" s="34">
        <f>IFERROR(IF(INDEX('Fund Research'!$B$6:$B$505,MATCH(73,'Fund Research'!$V$6:$V$505,0))="","",73),"")</f>
        <v/>
      </c>
      <c r="B78" s="35">
        <f>IFERROR(INDEX('Fund Research'!$A$6:$A$505,MATCH(73,'Fund Research'!$V$6:$V$505,0)),"")</f>
        <v/>
      </c>
      <c r="C78" s="35">
        <f>IFERROR(INDEX('Fund Research'!$B$6:$B$505,MATCH(73,'Fund Research'!$V$6:$V$505,0)),"")</f>
        <v/>
      </c>
      <c r="D78" s="35">
        <f>IFERROR(INDEX('Fund Research'!$C$6:$C$505,MATCH(73,'Fund Research'!$V$6:$V$505,0)),"")</f>
        <v/>
      </c>
      <c r="E78" s="36">
        <f>IFERROR(INDEX('Fund Research'!$G$6:$G$505,MATCH(73,'Fund Research'!$V$6:$V$505,0)),"")</f>
        <v/>
      </c>
      <c r="F78" s="36">
        <f>IFERROR(INDEX('Fund Research'!$H$6:$H$505,MATCH(73,'Fund Research'!$V$6:$V$505,0)),"")</f>
        <v/>
      </c>
      <c r="G78" s="36">
        <f>IFERROR(INDEX('Fund Research'!$I$6:$I$505,MATCH(73,'Fund Research'!$V$6:$V$505,0)),"")</f>
        <v/>
      </c>
      <c r="H78" s="37">
        <f>IFERROR(INDEX('Fund Research'!$J$6:$J$505,MATCH(73,'Fund Research'!$V$6:$V$505,0)),"")</f>
        <v/>
      </c>
      <c r="I78" s="39">
        <f>IFERROR(INDEX('Fund Research'!$L$6:$L$505,MATCH(73,'Fund Research'!$V$6:$V$505,0)),"")</f>
        <v/>
      </c>
      <c r="J78" s="37">
        <f>IFERROR(INDEX('Fund Research'!$N$6:$N$505,MATCH(73,'Fund Research'!$V$6:$V$505,0)),"")</f>
        <v/>
      </c>
      <c r="K78" s="37">
        <f>IFERROR(INDEX('Fund Research'!$P$6:$P$505,MATCH(73,'Fund Research'!$V$6:$V$505,0)),"")</f>
        <v/>
      </c>
      <c r="L78" s="35">
        <f>IFERROR(INDEX('Fund Research'!$S$6:$S$505,MATCH(73,'Fund Research'!$V$6:$V$505,0)),"")</f>
        <v/>
      </c>
      <c r="M78" s="35">
        <f>IFERROR(INDEX('Fund Research'!$T$6:$T$505,MATCH(73,'Fund Research'!$V$6:$V$505,0)),"")</f>
        <v/>
      </c>
    </row>
    <row r="79" ht="15" customHeight="1">
      <c r="A79" s="34">
        <f>IFERROR(IF(INDEX('Fund Research'!$B$6:$B$505,MATCH(74,'Fund Research'!$V$6:$V$505,0))="","",74),"")</f>
        <v/>
      </c>
      <c r="B79" s="35">
        <f>IFERROR(INDEX('Fund Research'!$A$6:$A$505,MATCH(74,'Fund Research'!$V$6:$V$505,0)),"")</f>
        <v/>
      </c>
      <c r="C79" s="35">
        <f>IFERROR(INDEX('Fund Research'!$B$6:$B$505,MATCH(74,'Fund Research'!$V$6:$V$505,0)),"")</f>
        <v/>
      </c>
      <c r="D79" s="35">
        <f>IFERROR(INDEX('Fund Research'!$C$6:$C$505,MATCH(74,'Fund Research'!$V$6:$V$505,0)),"")</f>
        <v/>
      </c>
      <c r="E79" s="36">
        <f>IFERROR(INDEX('Fund Research'!$G$6:$G$505,MATCH(74,'Fund Research'!$V$6:$V$505,0)),"")</f>
        <v/>
      </c>
      <c r="F79" s="36">
        <f>IFERROR(INDEX('Fund Research'!$H$6:$H$505,MATCH(74,'Fund Research'!$V$6:$V$505,0)),"")</f>
        <v/>
      </c>
      <c r="G79" s="36">
        <f>IFERROR(INDEX('Fund Research'!$I$6:$I$505,MATCH(74,'Fund Research'!$V$6:$V$505,0)),"")</f>
        <v/>
      </c>
      <c r="H79" s="37">
        <f>IFERROR(INDEX('Fund Research'!$J$6:$J$505,MATCH(74,'Fund Research'!$V$6:$V$505,0)),"")</f>
        <v/>
      </c>
      <c r="I79" s="39">
        <f>IFERROR(INDEX('Fund Research'!$L$6:$L$505,MATCH(74,'Fund Research'!$V$6:$V$505,0)),"")</f>
        <v/>
      </c>
      <c r="J79" s="37">
        <f>IFERROR(INDEX('Fund Research'!$N$6:$N$505,MATCH(74,'Fund Research'!$V$6:$V$505,0)),"")</f>
        <v/>
      </c>
      <c r="K79" s="37">
        <f>IFERROR(INDEX('Fund Research'!$P$6:$P$505,MATCH(74,'Fund Research'!$V$6:$V$505,0)),"")</f>
        <v/>
      </c>
      <c r="L79" s="35">
        <f>IFERROR(INDEX('Fund Research'!$S$6:$S$505,MATCH(74,'Fund Research'!$V$6:$V$505,0)),"")</f>
        <v/>
      </c>
      <c r="M79" s="35">
        <f>IFERROR(INDEX('Fund Research'!$T$6:$T$505,MATCH(74,'Fund Research'!$V$6:$V$505,0)),"")</f>
        <v/>
      </c>
    </row>
    <row r="80" ht="15" customHeight="1">
      <c r="A80" s="34">
        <f>IFERROR(IF(INDEX('Fund Research'!$B$6:$B$505,MATCH(75,'Fund Research'!$V$6:$V$505,0))="","",75),"")</f>
        <v/>
      </c>
      <c r="B80" s="35">
        <f>IFERROR(INDEX('Fund Research'!$A$6:$A$505,MATCH(75,'Fund Research'!$V$6:$V$505,0)),"")</f>
        <v/>
      </c>
      <c r="C80" s="35">
        <f>IFERROR(INDEX('Fund Research'!$B$6:$B$505,MATCH(75,'Fund Research'!$V$6:$V$505,0)),"")</f>
        <v/>
      </c>
      <c r="D80" s="35">
        <f>IFERROR(INDEX('Fund Research'!$C$6:$C$505,MATCH(75,'Fund Research'!$V$6:$V$505,0)),"")</f>
        <v/>
      </c>
      <c r="E80" s="36">
        <f>IFERROR(INDEX('Fund Research'!$G$6:$G$505,MATCH(75,'Fund Research'!$V$6:$V$505,0)),"")</f>
        <v/>
      </c>
      <c r="F80" s="36">
        <f>IFERROR(INDEX('Fund Research'!$H$6:$H$505,MATCH(75,'Fund Research'!$V$6:$V$505,0)),"")</f>
        <v/>
      </c>
      <c r="G80" s="36">
        <f>IFERROR(INDEX('Fund Research'!$I$6:$I$505,MATCH(75,'Fund Research'!$V$6:$V$505,0)),"")</f>
        <v/>
      </c>
      <c r="H80" s="37">
        <f>IFERROR(INDEX('Fund Research'!$J$6:$J$505,MATCH(75,'Fund Research'!$V$6:$V$505,0)),"")</f>
        <v/>
      </c>
      <c r="I80" s="39">
        <f>IFERROR(INDEX('Fund Research'!$L$6:$L$505,MATCH(75,'Fund Research'!$V$6:$V$505,0)),"")</f>
        <v/>
      </c>
      <c r="J80" s="37">
        <f>IFERROR(INDEX('Fund Research'!$N$6:$N$505,MATCH(75,'Fund Research'!$V$6:$V$505,0)),"")</f>
        <v/>
      </c>
      <c r="K80" s="37">
        <f>IFERROR(INDEX('Fund Research'!$P$6:$P$505,MATCH(75,'Fund Research'!$V$6:$V$505,0)),"")</f>
        <v/>
      </c>
      <c r="L80" s="35">
        <f>IFERROR(INDEX('Fund Research'!$S$6:$S$505,MATCH(75,'Fund Research'!$V$6:$V$505,0)),"")</f>
        <v/>
      </c>
      <c r="M80" s="35">
        <f>IFERROR(INDEX('Fund Research'!$T$6:$T$505,MATCH(75,'Fund Research'!$V$6:$V$505,0)),"")</f>
        <v/>
      </c>
    </row>
    <row r="81" ht="15" customHeight="1">
      <c r="A81" s="34">
        <f>IFERROR(IF(INDEX('Fund Research'!$B$6:$B$505,MATCH(76,'Fund Research'!$V$6:$V$505,0))="","",76),"")</f>
        <v/>
      </c>
      <c r="B81" s="35">
        <f>IFERROR(INDEX('Fund Research'!$A$6:$A$505,MATCH(76,'Fund Research'!$V$6:$V$505,0)),"")</f>
        <v/>
      </c>
      <c r="C81" s="35">
        <f>IFERROR(INDEX('Fund Research'!$B$6:$B$505,MATCH(76,'Fund Research'!$V$6:$V$505,0)),"")</f>
        <v/>
      </c>
      <c r="D81" s="35">
        <f>IFERROR(INDEX('Fund Research'!$C$6:$C$505,MATCH(76,'Fund Research'!$V$6:$V$505,0)),"")</f>
        <v/>
      </c>
      <c r="E81" s="36">
        <f>IFERROR(INDEX('Fund Research'!$G$6:$G$505,MATCH(76,'Fund Research'!$V$6:$V$505,0)),"")</f>
        <v/>
      </c>
      <c r="F81" s="36">
        <f>IFERROR(INDEX('Fund Research'!$H$6:$H$505,MATCH(76,'Fund Research'!$V$6:$V$505,0)),"")</f>
        <v/>
      </c>
      <c r="G81" s="36">
        <f>IFERROR(INDEX('Fund Research'!$I$6:$I$505,MATCH(76,'Fund Research'!$V$6:$V$505,0)),"")</f>
        <v/>
      </c>
      <c r="H81" s="37">
        <f>IFERROR(INDEX('Fund Research'!$J$6:$J$505,MATCH(76,'Fund Research'!$V$6:$V$505,0)),"")</f>
        <v/>
      </c>
      <c r="I81" s="39">
        <f>IFERROR(INDEX('Fund Research'!$L$6:$L$505,MATCH(76,'Fund Research'!$V$6:$V$505,0)),"")</f>
        <v/>
      </c>
      <c r="J81" s="37">
        <f>IFERROR(INDEX('Fund Research'!$N$6:$N$505,MATCH(76,'Fund Research'!$V$6:$V$505,0)),"")</f>
        <v/>
      </c>
      <c r="K81" s="37">
        <f>IFERROR(INDEX('Fund Research'!$P$6:$P$505,MATCH(76,'Fund Research'!$V$6:$V$505,0)),"")</f>
        <v/>
      </c>
      <c r="L81" s="35">
        <f>IFERROR(INDEX('Fund Research'!$S$6:$S$505,MATCH(76,'Fund Research'!$V$6:$V$505,0)),"")</f>
        <v/>
      </c>
      <c r="M81" s="35">
        <f>IFERROR(INDEX('Fund Research'!$T$6:$T$505,MATCH(76,'Fund Research'!$V$6:$V$505,0)),"")</f>
        <v/>
      </c>
    </row>
    <row r="82" ht="15" customHeight="1">
      <c r="A82" s="34">
        <f>IFERROR(IF(INDEX('Fund Research'!$B$6:$B$505,MATCH(77,'Fund Research'!$V$6:$V$505,0))="","",77),"")</f>
        <v/>
      </c>
      <c r="B82" s="35">
        <f>IFERROR(INDEX('Fund Research'!$A$6:$A$505,MATCH(77,'Fund Research'!$V$6:$V$505,0)),"")</f>
        <v/>
      </c>
      <c r="C82" s="35">
        <f>IFERROR(INDEX('Fund Research'!$B$6:$B$505,MATCH(77,'Fund Research'!$V$6:$V$505,0)),"")</f>
        <v/>
      </c>
      <c r="D82" s="35">
        <f>IFERROR(INDEX('Fund Research'!$C$6:$C$505,MATCH(77,'Fund Research'!$V$6:$V$505,0)),"")</f>
        <v/>
      </c>
      <c r="E82" s="36">
        <f>IFERROR(INDEX('Fund Research'!$G$6:$G$505,MATCH(77,'Fund Research'!$V$6:$V$505,0)),"")</f>
        <v/>
      </c>
      <c r="F82" s="36">
        <f>IFERROR(INDEX('Fund Research'!$H$6:$H$505,MATCH(77,'Fund Research'!$V$6:$V$505,0)),"")</f>
        <v/>
      </c>
      <c r="G82" s="36">
        <f>IFERROR(INDEX('Fund Research'!$I$6:$I$505,MATCH(77,'Fund Research'!$V$6:$V$505,0)),"")</f>
        <v/>
      </c>
      <c r="H82" s="37">
        <f>IFERROR(INDEX('Fund Research'!$J$6:$J$505,MATCH(77,'Fund Research'!$V$6:$V$505,0)),"")</f>
        <v/>
      </c>
      <c r="I82" s="39">
        <f>IFERROR(INDEX('Fund Research'!$L$6:$L$505,MATCH(77,'Fund Research'!$V$6:$V$505,0)),"")</f>
        <v/>
      </c>
      <c r="J82" s="37">
        <f>IFERROR(INDEX('Fund Research'!$N$6:$N$505,MATCH(77,'Fund Research'!$V$6:$V$505,0)),"")</f>
        <v/>
      </c>
      <c r="K82" s="37">
        <f>IFERROR(INDEX('Fund Research'!$P$6:$P$505,MATCH(77,'Fund Research'!$V$6:$V$505,0)),"")</f>
        <v/>
      </c>
      <c r="L82" s="35">
        <f>IFERROR(INDEX('Fund Research'!$S$6:$S$505,MATCH(77,'Fund Research'!$V$6:$V$505,0)),"")</f>
        <v/>
      </c>
      <c r="M82" s="35">
        <f>IFERROR(INDEX('Fund Research'!$T$6:$T$505,MATCH(77,'Fund Research'!$V$6:$V$505,0)),"")</f>
        <v/>
      </c>
    </row>
    <row r="83" ht="15" customHeight="1">
      <c r="A83" s="34">
        <f>IFERROR(IF(INDEX('Fund Research'!$B$6:$B$505,MATCH(78,'Fund Research'!$V$6:$V$505,0))="","",78),"")</f>
        <v/>
      </c>
      <c r="B83" s="35">
        <f>IFERROR(INDEX('Fund Research'!$A$6:$A$505,MATCH(78,'Fund Research'!$V$6:$V$505,0)),"")</f>
        <v/>
      </c>
      <c r="C83" s="35">
        <f>IFERROR(INDEX('Fund Research'!$B$6:$B$505,MATCH(78,'Fund Research'!$V$6:$V$505,0)),"")</f>
        <v/>
      </c>
      <c r="D83" s="35">
        <f>IFERROR(INDEX('Fund Research'!$C$6:$C$505,MATCH(78,'Fund Research'!$V$6:$V$505,0)),"")</f>
        <v/>
      </c>
      <c r="E83" s="36">
        <f>IFERROR(INDEX('Fund Research'!$G$6:$G$505,MATCH(78,'Fund Research'!$V$6:$V$505,0)),"")</f>
        <v/>
      </c>
      <c r="F83" s="36">
        <f>IFERROR(INDEX('Fund Research'!$H$6:$H$505,MATCH(78,'Fund Research'!$V$6:$V$505,0)),"")</f>
        <v/>
      </c>
      <c r="G83" s="36">
        <f>IFERROR(INDEX('Fund Research'!$I$6:$I$505,MATCH(78,'Fund Research'!$V$6:$V$505,0)),"")</f>
        <v/>
      </c>
      <c r="H83" s="37">
        <f>IFERROR(INDEX('Fund Research'!$J$6:$J$505,MATCH(78,'Fund Research'!$V$6:$V$505,0)),"")</f>
        <v/>
      </c>
      <c r="I83" s="39">
        <f>IFERROR(INDEX('Fund Research'!$L$6:$L$505,MATCH(78,'Fund Research'!$V$6:$V$505,0)),"")</f>
        <v/>
      </c>
      <c r="J83" s="37">
        <f>IFERROR(INDEX('Fund Research'!$N$6:$N$505,MATCH(78,'Fund Research'!$V$6:$V$505,0)),"")</f>
        <v/>
      </c>
      <c r="K83" s="37">
        <f>IFERROR(INDEX('Fund Research'!$P$6:$P$505,MATCH(78,'Fund Research'!$V$6:$V$505,0)),"")</f>
        <v/>
      </c>
      <c r="L83" s="35">
        <f>IFERROR(INDEX('Fund Research'!$S$6:$S$505,MATCH(78,'Fund Research'!$V$6:$V$505,0)),"")</f>
        <v/>
      </c>
      <c r="M83" s="35">
        <f>IFERROR(INDEX('Fund Research'!$T$6:$T$505,MATCH(78,'Fund Research'!$V$6:$V$505,0)),"")</f>
        <v/>
      </c>
    </row>
    <row r="84" ht="15" customHeight="1">
      <c r="A84" s="34">
        <f>IFERROR(IF(INDEX('Fund Research'!$B$6:$B$505,MATCH(79,'Fund Research'!$V$6:$V$505,0))="","",79),"")</f>
        <v/>
      </c>
      <c r="B84" s="35">
        <f>IFERROR(INDEX('Fund Research'!$A$6:$A$505,MATCH(79,'Fund Research'!$V$6:$V$505,0)),"")</f>
        <v/>
      </c>
      <c r="C84" s="35">
        <f>IFERROR(INDEX('Fund Research'!$B$6:$B$505,MATCH(79,'Fund Research'!$V$6:$V$505,0)),"")</f>
        <v/>
      </c>
      <c r="D84" s="35">
        <f>IFERROR(INDEX('Fund Research'!$C$6:$C$505,MATCH(79,'Fund Research'!$V$6:$V$505,0)),"")</f>
        <v/>
      </c>
      <c r="E84" s="36">
        <f>IFERROR(INDEX('Fund Research'!$G$6:$G$505,MATCH(79,'Fund Research'!$V$6:$V$505,0)),"")</f>
        <v/>
      </c>
      <c r="F84" s="36">
        <f>IFERROR(INDEX('Fund Research'!$H$6:$H$505,MATCH(79,'Fund Research'!$V$6:$V$505,0)),"")</f>
        <v/>
      </c>
      <c r="G84" s="36">
        <f>IFERROR(INDEX('Fund Research'!$I$6:$I$505,MATCH(79,'Fund Research'!$V$6:$V$505,0)),"")</f>
        <v/>
      </c>
      <c r="H84" s="37">
        <f>IFERROR(INDEX('Fund Research'!$J$6:$J$505,MATCH(79,'Fund Research'!$V$6:$V$505,0)),"")</f>
        <v/>
      </c>
      <c r="I84" s="39">
        <f>IFERROR(INDEX('Fund Research'!$L$6:$L$505,MATCH(79,'Fund Research'!$V$6:$V$505,0)),"")</f>
        <v/>
      </c>
      <c r="J84" s="37">
        <f>IFERROR(INDEX('Fund Research'!$N$6:$N$505,MATCH(79,'Fund Research'!$V$6:$V$505,0)),"")</f>
        <v/>
      </c>
      <c r="K84" s="37">
        <f>IFERROR(INDEX('Fund Research'!$P$6:$P$505,MATCH(79,'Fund Research'!$V$6:$V$505,0)),"")</f>
        <v/>
      </c>
      <c r="L84" s="35">
        <f>IFERROR(INDEX('Fund Research'!$S$6:$S$505,MATCH(79,'Fund Research'!$V$6:$V$505,0)),"")</f>
        <v/>
      </c>
      <c r="M84" s="35">
        <f>IFERROR(INDEX('Fund Research'!$T$6:$T$505,MATCH(79,'Fund Research'!$V$6:$V$505,0)),"")</f>
        <v/>
      </c>
    </row>
    <row r="85" ht="15" customHeight="1">
      <c r="A85" s="34">
        <f>IFERROR(IF(INDEX('Fund Research'!$B$6:$B$505,MATCH(80,'Fund Research'!$V$6:$V$505,0))="","",80),"")</f>
        <v/>
      </c>
      <c r="B85" s="35">
        <f>IFERROR(INDEX('Fund Research'!$A$6:$A$505,MATCH(80,'Fund Research'!$V$6:$V$505,0)),"")</f>
        <v/>
      </c>
      <c r="C85" s="35">
        <f>IFERROR(INDEX('Fund Research'!$B$6:$B$505,MATCH(80,'Fund Research'!$V$6:$V$505,0)),"")</f>
        <v/>
      </c>
      <c r="D85" s="35">
        <f>IFERROR(INDEX('Fund Research'!$C$6:$C$505,MATCH(80,'Fund Research'!$V$6:$V$505,0)),"")</f>
        <v/>
      </c>
      <c r="E85" s="36">
        <f>IFERROR(INDEX('Fund Research'!$G$6:$G$505,MATCH(80,'Fund Research'!$V$6:$V$505,0)),"")</f>
        <v/>
      </c>
      <c r="F85" s="36">
        <f>IFERROR(INDEX('Fund Research'!$H$6:$H$505,MATCH(80,'Fund Research'!$V$6:$V$505,0)),"")</f>
        <v/>
      </c>
      <c r="G85" s="36">
        <f>IFERROR(INDEX('Fund Research'!$I$6:$I$505,MATCH(80,'Fund Research'!$V$6:$V$505,0)),"")</f>
        <v/>
      </c>
      <c r="H85" s="37">
        <f>IFERROR(INDEX('Fund Research'!$J$6:$J$505,MATCH(80,'Fund Research'!$V$6:$V$505,0)),"")</f>
        <v/>
      </c>
      <c r="I85" s="39">
        <f>IFERROR(INDEX('Fund Research'!$L$6:$L$505,MATCH(80,'Fund Research'!$V$6:$V$505,0)),"")</f>
        <v/>
      </c>
      <c r="J85" s="37">
        <f>IFERROR(INDEX('Fund Research'!$N$6:$N$505,MATCH(80,'Fund Research'!$V$6:$V$505,0)),"")</f>
        <v/>
      </c>
      <c r="K85" s="37">
        <f>IFERROR(INDEX('Fund Research'!$P$6:$P$505,MATCH(80,'Fund Research'!$V$6:$V$505,0)),"")</f>
        <v/>
      </c>
      <c r="L85" s="35">
        <f>IFERROR(INDEX('Fund Research'!$S$6:$S$505,MATCH(80,'Fund Research'!$V$6:$V$505,0)),"")</f>
        <v/>
      </c>
      <c r="M85" s="35">
        <f>IFERROR(INDEX('Fund Research'!$T$6:$T$505,MATCH(80,'Fund Research'!$V$6:$V$505,0)),"")</f>
        <v/>
      </c>
    </row>
    <row r="86" ht="15" customHeight="1">
      <c r="A86" s="34">
        <f>IFERROR(IF(INDEX('Fund Research'!$B$6:$B$505,MATCH(81,'Fund Research'!$V$6:$V$505,0))="","",81),"")</f>
        <v/>
      </c>
      <c r="B86" s="35">
        <f>IFERROR(INDEX('Fund Research'!$A$6:$A$505,MATCH(81,'Fund Research'!$V$6:$V$505,0)),"")</f>
        <v/>
      </c>
      <c r="C86" s="35">
        <f>IFERROR(INDEX('Fund Research'!$B$6:$B$505,MATCH(81,'Fund Research'!$V$6:$V$505,0)),"")</f>
        <v/>
      </c>
      <c r="D86" s="35">
        <f>IFERROR(INDEX('Fund Research'!$C$6:$C$505,MATCH(81,'Fund Research'!$V$6:$V$505,0)),"")</f>
        <v/>
      </c>
      <c r="E86" s="36">
        <f>IFERROR(INDEX('Fund Research'!$G$6:$G$505,MATCH(81,'Fund Research'!$V$6:$V$505,0)),"")</f>
        <v/>
      </c>
      <c r="F86" s="36">
        <f>IFERROR(INDEX('Fund Research'!$H$6:$H$505,MATCH(81,'Fund Research'!$V$6:$V$505,0)),"")</f>
        <v/>
      </c>
      <c r="G86" s="36">
        <f>IFERROR(INDEX('Fund Research'!$I$6:$I$505,MATCH(81,'Fund Research'!$V$6:$V$505,0)),"")</f>
        <v/>
      </c>
      <c r="H86" s="37">
        <f>IFERROR(INDEX('Fund Research'!$J$6:$J$505,MATCH(81,'Fund Research'!$V$6:$V$505,0)),"")</f>
        <v/>
      </c>
      <c r="I86" s="39">
        <f>IFERROR(INDEX('Fund Research'!$L$6:$L$505,MATCH(81,'Fund Research'!$V$6:$V$505,0)),"")</f>
        <v/>
      </c>
      <c r="J86" s="37">
        <f>IFERROR(INDEX('Fund Research'!$N$6:$N$505,MATCH(81,'Fund Research'!$V$6:$V$505,0)),"")</f>
        <v/>
      </c>
      <c r="K86" s="37">
        <f>IFERROR(INDEX('Fund Research'!$P$6:$P$505,MATCH(81,'Fund Research'!$V$6:$V$505,0)),"")</f>
        <v/>
      </c>
      <c r="L86" s="35">
        <f>IFERROR(INDEX('Fund Research'!$S$6:$S$505,MATCH(81,'Fund Research'!$V$6:$V$505,0)),"")</f>
        <v/>
      </c>
      <c r="M86" s="35">
        <f>IFERROR(INDEX('Fund Research'!$T$6:$T$505,MATCH(81,'Fund Research'!$V$6:$V$505,0)),"")</f>
        <v/>
      </c>
    </row>
    <row r="87" ht="15" customHeight="1">
      <c r="A87" s="34">
        <f>IFERROR(IF(INDEX('Fund Research'!$B$6:$B$505,MATCH(82,'Fund Research'!$V$6:$V$505,0))="","",82),"")</f>
        <v/>
      </c>
      <c r="B87" s="35">
        <f>IFERROR(INDEX('Fund Research'!$A$6:$A$505,MATCH(82,'Fund Research'!$V$6:$V$505,0)),"")</f>
        <v/>
      </c>
      <c r="C87" s="35">
        <f>IFERROR(INDEX('Fund Research'!$B$6:$B$505,MATCH(82,'Fund Research'!$V$6:$V$505,0)),"")</f>
        <v/>
      </c>
      <c r="D87" s="35">
        <f>IFERROR(INDEX('Fund Research'!$C$6:$C$505,MATCH(82,'Fund Research'!$V$6:$V$505,0)),"")</f>
        <v/>
      </c>
      <c r="E87" s="36">
        <f>IFERROR(INDEX('Fund Research'!$G$6:$G$505,MATCH(82,'Fund Research'!$V$6:$V$505,0)),"")</f>
        <v/>
      </c>
      <c r="F87" s="36">
        <f>IFERROR(INDEX('Fund Research'!$H$6:$H$505,MATCH(82,'Fund Research'!$V$6:$V$505,0)),"")</f>
        <v/>
      </c>
      <c r="G87" s="36">
        <f>IFERROR(INDEX('Fund Research'!$I$6:$I$505,MATCH(82,'Fund Research'!$V$6:$V$505,0)),"")</f>
        <v/>
      </c>
      <c r="H87" s="37">
        <f>IFERROR(INDEX('Fund Research'!$J$6:$J$505,MATCH(82,'Fund Research'!$V$6:$V$505,0)),"")</f>
        <v/>
      </c>
      <c r="I87" s="39">
        <f>IFERROR(INDEX('Fund Research'!$L$6:$L$505,MATCH(82,'Fund Research'!$V$6:$V$505,0)),"")</f>
        <v/>
      </c>
      <c r="J87" s="37">
        <f>IFERROR(INDEX('Fund Research'!$N$6:$N$505,MATCH(82,'Fund Research'!$V$6:$V$505,0)),"")</f>
        <v/>
      </c>
      <c r="K87" s="37">
        <f>IFERROR(INDEX('Fund Research'!$P$6:$P$505,MATCH(82,'Fund Research'!$V$6:$V$505,0)),"")</f>
        <v/>
      </c>
      <c r="L87" s="35">
        <f>IFERROR(INDEX('Fund Research'!$S$6:$S$505,MATCH(82,'Fund Research'!$V$6:$V$505,0)),"")</f>
        <v/>
      </c>
      <c r="M87" s="35">
        <f>IFERROR(INDEX('Fund Research'!$T$6:$T$505,MATCH(82,'Fund Research'!$V$6:$V$505,0)),"")</f>
        <v/>
      </c>
    </row>
    <row r="88" ht="15" customHeight="1">
      <c r="A88" s="34">
        <f>IFERROR(IF(INDEX('Fund Research'!$B$6:$B$505,MATCH(83,'Fund Research'!$V$6:$V$505,0))="","",83),"")</f>
        <v/>
      </c>
      <c r="B88" s="35">
        <f>IFERROR(INDEX('Fund Research'!$A$6:$A$505,MATCH(83,'Fund Research'!$V$6:$V$505,0)),"")</f>
        <v/>
      </c>
      <c r="C88" s="35">
        <f>IFERROR(INDEX('Fund Research'!$B$6:$B$505,MATCH(83,'Fund Research'!$V$6:$V$505,0)),"")</f>
        <v/>
      </c>
      <c r="D88" s="35">
        <f>IFERROR(INDEX('Fund Research'!$C$6:$C$505,MATCH(83,'Fund Research'!$V$6:$V$505,0)),"")</f>
        <v/>
      </c>
      <c r="E88" s="36">
        <f>IFERROR(INDEX('Fund Research'!$G$6:$G$505,MATCH(83,'Fund Research'!$V$6:$V$505,0)),"")</f>
        <v/>
      </c>
      <c r="F88" s="36">
        <f>IFERROR(INDEX('Fund Research'!$H$6:$H$505,MATCH(83,'Fund Research'!$V$6:$V$505,0)),"")</f>
        <v/>
      </c>
      <c r="G88" s="36">
        <f>IFERROR(INDEX('Fund Research'!$I$6:$I$505,MATCH(83,'Fund Research'!$V$6:$V$505,0)),"")</f>
        <v/>
      </c>
      <c r="H88" s="37">
        <f>IFERROR(INDEX('Fund Research'!$J$6:$J$505,MATCH(83,'Fund Research'!$V$6:$V$505,0)),"")</f>
        <v/>
      </c>
      <c r="I88" s="39">
        <f>IFERROR(INDEX('Fund Research'!$L$6:$L$505,MATCH(83,'Fund Research'!$V$6:$V$505,0)),"")</f>
        <v/>
      </c>
      <c r="J88" s="37">
        <f>IFERROR(INDEX('Fund Research'!$N$6:$N$505,MATCH(83,'Fund Research'!$V$6:$V$505,0)),"")</f>
        <v/>
      </c>
      <c r="K88" s="37">
        <f>IFERROR(INDEX('Fund Research'!$P$6:$P$505,MATCH(83,'Fund Research'!$V$6:$V$505,0)),"")</f>
        <v/>
      </c>
      <c r="L88" s="35">
        <f>IFERROR(INDEX('Fund Research'!$S$6:$S$505,MATCH(83,'Fund Research'!$V$6:$V$505,0)),"")</f>
        <v/>
      </c>
      <c r="M88" s="35">
        <f>IFERROR(INDEX('Fund Research'!$T$6:$T$505,MATCH(83,'Fund Research'!$V$6:$V$505,0)),"")</f>
        <v/>
      </c>
    </row>
    <row r="89" ht="15" customHeight="1">
      <c r="A89" s="34">
        <f>IFERROR(IF(INDEX('Fund Research'!$B$6:$B$505,MATCH(84,'Fund Research'!$V$6:$V$505,0))="","",84),"")</f>
        <v/>
      </c>
      <c r="B89" s="35">
        <f>IFERROR(INDEX('Fund Research'!$A$6:$A$505,MATCH(84,'Fund Research'!$V$6:$V$505,0)),"")</f>
        <v/>
      </c>
      <c r="C89" s="35">
        <f>IFERROR(INDEX('Fund Research'!$B$6:$B$505,MATCH(84,'Fund Research'!$V$6:$V$505,0)),"")</f>
        <v/>
      </c>
      <c r="D89" s="35">
        <f>IFERROR(INDEX('Fund Research'!$C$6:$C$505,MATCH(84,'Fund Research'!$V$6:$V$505,0)),"")</f>
        <v/>
      </c>
      <c r="E89" s="36">
        <f>IFERROR(INDEX('Fund Research'!$G$6:$G$505,MATCH(84,'Fund Research'!$V$6:$V$505,0)),"")</f>
        <v/>
      </c>
      <c r="F89" s="36">
        <f>IFERROR(INDEX('Fund Research'!$H$6:$H$505,MATCH(84,'Fund Research'!$V$6:$V$505,0)),"")</f>
        <v/>
      </c>
      <c r="G89" s="36">
        <f>IFERROR(INDEX('Fund Research'!$I$6:$I$505,MATCH(84,'Fund Research'!$V$6:$V$505,0)),"")</f>
        <v/>
      </c>
      <c r="H89" s="37">
        <f>IFERROR(INDEX('Fund Research'!$J$6:$J$505,MATCH(84,'Fund Research'!$V$6:$V$505,0)),"")</f>
        <v/>
      </c>
      <c r="I89" s="39">
        <f>IFERROR(INDEX('Fund Research'!$L$6:$L$505,MATCH(84,'Fund Research'!$V$6:$V$505,0)),"")</f>
        <v/>
      </c>
      <c r="J89" s="37">
        <f>IFERROR(INDEX('Fund Research'!$N$6:$N$505,MATCH(84,'Fund Research'!$V$6:$V$505,0)),"")</f>
        <v/>
      </c>
      <c r="K89" s="37">
        <f>IFERROR(INDEX('Fund Research'!$P$6:$P$505,MATCH(84,'Fund Research'!$V$6:$V$505,0)),"")</f>
        <v/>
      </c>
      <c r="L89" s="35">
        <f>IFERROR(INDEX('Fund Research'!$S$6:$S$505,MATCH(84,'Fund Research'!$V$6:$V$505,0)),"")</f>
        <v/>
      </c>
      <c r="M89" s="35">
        <f>IFERROR(INDEX('Fund Research'!$T$6:$T$505,MATCH(84,'Fund Research'!$V$6:$V$505,0)),"")</f>
        <v/>
      </c>
    </row>
    <row r="90" ht="15" customHeight="1">
      <c r="A90" s="34">
        <f>IFERROR(IF(INDEX('Fund Research'!$B$6:$B$505,MATCH(85,'Fund Research'!$V$6:$V$505,0))="","",85),"")</f>
        <v/>
      </c>
      <c r="B90" s="35">
        <f>IFERROR(INDEX('Fund Research'!$A$6:$A$505,MATCH(85,'Fund Research'!$V$6:$V$505,0)),"")</f>
        <v/>
      </c>
      <c r="C90" s="35">
        <f>IFERROR(INDEX('Fund Research'!$B$6:$B$505,MATCH(85,'Fund Research'!$V$6:$V$505,0)),"")</f>
        <v/>
      </c>
      <c r="D90" s="35">
        <f>IFERROR(INDEX('Fund Research'!$C$6:$C$505,MATCH(85,'Fund Research'!$V$6:$V$505,0)),"")</f>
        <v/>
      </c>
      <c r="E90" s="36">
        <f>IFERROR(INDEX('Fund Research'!$G$6:$G$505,MATCH(85,'Fund Research'!$V$6:$V$505,0)),"")</f>
        <v/>
      </c>
      <c r="F90" s="36">
        <f>IFERROR(INDEX('Fund Research'!$H$6:$H$505,MATCH(85,'Fund Research'!$V$6:$V$505,0)),"")</f>
        <v/>
      </c>
      <c r="G90" s="36">
        <f>IFERROR(INDEX('Fund Research'!$I$6:$I$505,MATCH(85,'Fund Research'!$V$6:$V$505,0)),"")</f>
        <v/>
      </c>
      <c r="H90" s="37">
        <f>IFERROR(INDEX('Fund Research'!$J$6:$J$505,MATCH(85,'Fund Research'!$V$6:$V$505,0)),"")</f>
        <v/>
      </c>
      <c r="I90" s="39">
        <f>IFERROR(INDEX('Fund Research'!$L$6:$L$505,MATCH(85,'Fund Research'!$V$6:$V$505,0)),"")</f>
        <v/>
      </c>
      <c r="J90" s="37">
        <f>IFERROR(INDEX('Fund Research'!$N$6:$N$505,MATCH(85,'Fund Research'!$V$6:$V$505,0)),"")</f>
        <v/>
      </c>
      <c r="K90" s="37">
        <f>IFERROR(INDEX('Fund Research'!$P$6:$P$505,MATCH(85,'Fund Research'!$V$6:$V$505,0)),"")</f>
        <v/>
      </c>
      <c r="L90" s="35">
        <f>IFERROR(INDEX('Fund Research'!$S$6:$S$505,MATCH(85,'Fund Research'!$V$6:$V$505,0)),"")</f>
        <v/>
      </c>
      <c r="M90" s="35">
        <f>IFERROR(INDEX('Fund Research'!$T$6:$T$505,MATCH(85,'Fund Research'!$V$6:$V$505,0)),"")</f>
        <v/>
      </c>
    </row>
    <row r="91" ht="15" customHeight="1">
      <c r="A91" s="34">
        <f>IFERROR(IF(INDEX('Fund Research'!$B$6:$B$505,MATCH(86,'Fund Research'!$V$6:$V$505,0))="","",86),"")</f>
        <v/>
      </c>
      <c r="B91" s="35">
        <f>IFERROR(INDEX('Fund Research'!$A$6:$A$505,MATCH(86,'Fund Research'!$V$6:$V$505,0)),"")</f>
        <v/>
      </c>
      <c r="C91" s="35">
        <f>IFERROR(INDEX('Fund Research'!$B$6:$B$505,MATCH(86,'Fund Research'!$V$6:$V$505,0)),"")</f>
        <v/>
      </c>
      <c r="D91" s="35">
        <f>IFERROR(INDEX('Fund Research'!$C$6:$C$505,MATCH(86,'Fund Research'!$V$6:$V$505,0)),"")</f>
        <v/>
      </c>
      <c r="E91" s="36">
        <f>IFERROR(INDEX('Fund Research'!$G$6:$G$505,MATCH(86,'Fund Research'!$V$6:$V$505,0)),"")</f>
        <v/>
      </c>
      <c r="F91" s="36">
        <f>IFERROR(INDEX('Fund Research'!$H$6:$H$505,MATCH(86,'Fund Research'!$V$6:$V$505,0)),"")</f>
        <v/>
      </c>
      <c r="G91" s="36">
        <f>IFERROR(INDEX('Fund Research'!$I$6:$I$505,MATCH(86,'Fund Research'!$V$6:$V$505,0)),"")</f>
        <v/>
      </c>
      <c r="H91" s="37">
        <f>IFERROR(INDEX('Fund Research'!$J$6:$J$505,MATCH(86,'Fund Research'!$V$6:$V$505,0)),"")</f>
        <v/>
      </c>
      <c r="I91" s="39">
        <f>IFERROR(INDEX('Fund Research'!$L$6:$L$505,MATCH(86,'Fund Research'!$V$6:$V$505,0)),"")</f>
        <v/>
      </c>
      <c r="J91" s="37">
        <f>IFERROR(INDEX('Fund Research'!$N$6:$N$505,MATCH(86,'Fund Research'!$V$6:$V$505,0)),"")</f>
        <v/>
      </c>
      <c r="K91" s="37">
        <f>IFERROR(INDEX('Fund Research'!$P$6:$P$505,MATCH(86,'Fund Research'!$V$6:$V$505,0)),"")</f>
        <v/>
      </c>
      <c r="L91" s="35">
        <f>IFERROR(INDEX('Fund Research'!$S$6:$S$505,MATCH(86,'Fund Research'!$V$6:$V$505,0)),"")</f>
        <v/>
      </c>
      <c r="M91" s="35">
        <f>IFERROR(INDEX('Fund Research'!$T$6:$T$505,MATCH(86,'Fund Research'!$V$6:$V$505,0)),"")</f>
        <v/>
      </c>
    </row>
    <row r="92" ht="15" customHeight="1">
      <c r="A92" s="34">
        <f>IFERROR(IF(INDEX('Fund Research'!$B$6:$B$505,MATCH(87,'Fund Research'!$V$6:$V$505,0))="","",87),"")</f>
        <v/>
      </c>
      <c r="B92" s="35">
        <f>IFERROR(INDEX('Fund Research'!$A$6:$A$505,MATCH(87,'Fund Research'!$V$6:$V$505,0)),"")</f>
        <v/>
      </c>
      <c r="C92" s="35">
        <f>IFERROR(INDEX('Fund Research'!$B$6:$B$505,MATCH(87,'Fund Research'!$V$6:$V$505,0)),"")</f>
        <v/>
      </c>
      <c r="D92" s="35">
        <f>IFERROR(INDEX('Fund Research'!$C$6:$C$505,MATCH(87,'Fund Research'!$V$6:$V$505,0)),"")</f>
        <v/>
      </c>
      <c r="E92" s="36">
        <f>IFERROR(INDEX('Fund Research'!$G$6:$G$505,MATCH(87,'Fund Research'!$V$6:$V$505,0)),"")</f>
        <v/>
      </c>
      <c r="F92" s="36">
        <f>IFERROR(INDEX('Fund Research'!$H$6:$H$505,MATCH(87,'Fund Research'!$V$6:$V$505,0)),"")</f>
        <v/>
      </c>
      <c r="G92" s="36">
        <f>IFERROR(INDEX('Fund Research'!$I$6:$I$505,MATCH(87,'Fund Research'!$V$6:$V$505,0)),"")</f>
        <v/>
      </c>
      <c r="H92" s="37">
        <f>IFERROR(INDEX('Fund Research'!$J$6:$J$505,MATCH(87,'Fund Research'!$V$6:$V$505,0)),"")</f>
        <v/>
      </c>
      <c r="I92" s="39">
        <f>IFERROR(INDEX('Fund Research'!$L$6:$L$505,MATCH(87,'Fund Research'!$V$6:$V$505,0)),"")</f>
        <v/>
      </c>
      <c r="J92" s="37">
        <f>IFERROR(INDEX('Fund Research'!$N$6:$N$505,MATCH(87,'Fund Research'!$V$6:$V$505,0)),"")</f>
        <v/>
      </c>
      <c r="K92" s="37">
        <f>IFERROR(INDEX('Fund Research'!$P$6:$P$505,MATCH(87,'Fund Research'!$V$6:$V$505,0)),"")</f>
        <v/>
      </c>
      <c r="L92" s="35">
        <f>IFERROR(INDEX('Fund Research'!$S$6:$S$505,MATCH(87,'Fund Research'!$V$6:$V$505,0)),"")</f>
        <v/>
      </c>
      <c r="M92" s="35">
        <f>IFERROR(INDEX('Fund Research'!$T$6:$T$505,MATCH(87,'Fund Research'!$V$6:$V$505,0)),"")</f>
        <v/>
      </c>
    </row>
    <row r="93" ht="15" customHeight="1">
      <c r="A93" s="34">
        <f>IFERROR(IF(INDEX('Fund Research'!$B$6:$B$505,MATCH(88,'Fund Research'!$V$6:$V$505,0))="","",88),"")</f>
        <v/>
      </c>
      <c r="B93" s="35">
        <f>IFERROR(INDEX('Fund Research'!$A$6:$A$505,MATCH(88,'Fund Research'!$V$6:$V$505,0)),"")</f>
        <v/>
      </c>
      <c r="C93" s="35">
        <f>IFERROR(INDEX('Fund Research'!$B$6:$B$505,MATCH(88,'Fund Research'!$V$6:$V$505,0)),"")</f>
        <v/>
      </c>
      <c r="D93" s="35">
        <f>IFERROR(INDEX('Fund Research'!$C$6:$C$505,MATCH(88,'Fund Research'!$V$6:$V$505,0)),"")</f>
        <v/>
      </c>
      <c r="E93" s="36">
        <f>IFERROR(INDEX('Fund Research'!$G$6:$G$505,MATCH(88,'Fund Research'!$V$6:$V$505,0)),"")</f>
        <v/>
      </c>
      <c r="F93" s="36">
        <f>IFERROR(INDEX('Fund Research'!$H$6:$H$505,MATCH(88,'Fund Research'!$V$6:$V$505,0)),"")</f>
        <v/>
      </c>
      <c r="G93" s="36">
        <f>IFERROR(INDEX('Fund Research'!$I$6:$I$505,MATCH(88,'Fund Research'!$V$6:$V$505,0)),"")</f>
        <v/>
      </c>
      <c r="H93" s="37">
        <f>IFERROR(INDEX('Fund Research'!$J$6:$J$505,MATCH(88,'Fund Research'!$V$6:$V$505,0)),"")</f>
        <v/>
      </c>
      <c r="I93" s="39">
        <f>IFERROR(INDEX('Fund Research'!$L$6:$L$505,MATCH(88,'Fund Research'!$V$6:$V$505,0)),"")</f>
        <v/>
      </c>
      <c r="J93" s="37">
        <f>IFERROR(INDEX('Fund Research'!$N$6:$N$505,MATCH(88,'Fund Research'!$V$6:$V$505,0)),"")</f>
        <v/>
      </c>
      <c r="K93" s="37">
        <f>IFERROR(INDEX('Fund Research'!$P$6:$P$505,MATCH(88,'Fund Research'!$V$6:$V$505,0)),"")</f>
        <v/>
      </c>
      <c r="L93" s="35">
        <f>IFERROR(INDEX('Fund Research'!$S$6:$S$505,MATCH(88,'Fund Research'!$V$6:$V$505,0)),"")</f>
        <v/>
      </c>
      <c r="M93" s="35">
        <f>IFERROR(INDEX('Fund Research'!$T$6:$T$505,MATCH(88,'Fund Research'!$V$6:$V$505,0)),"")</f>
        <v/>
      </c>
    </row>
    <row r="94" ht="15" customHeight="1">
      <c r="A94" s="34">
        <f>IFERROR(IF(INDEX('Fund Research'!$B$6:$B$505,MATCH(89,'Fund Research'!$V$6:$V$505,0))="","",89),"")</f>
        <v/>
      </c>
      <c r="B94" s="35">
        <f>IFERROR(INDEX('Fund Research'!$A$6:$A$505,MATCH(89,'Fund Research'!$V$6:$V$505,0)),"")</f>
        <v/>
      </c>
      <c r="C94" s="35">
        <f>IFERROR(INDEX('Fund Research'!$B$6:$B$505,MATCH(89,'Fund Research'!$V$6:$V$505,0)),"")</f>
        <v/>
      </c>
      <c r="D94" s="35">
        <f>IFERROR(INDEX('Fund Research'!$C$6:$C$505,MATCH(89,'Fund Research'!$V$6:$V$505,0)),"")</f>
        <v/>
      </c>
      <c r="E94" s="36">
        <f>IFERROR(INDEX('Fund Research'!$G$6:$G$505,MATCH(89,'Fund Research'!$V$6:$V$505,0)),"")</f>
        <v/>
      </c>
      <c r="F94" s="36">
        <f>IFERROR(INDEX('Fund Research'!$H$6:$H$505,MATCH(89,'Fund Research'!$V$6:$V$505,0)),"")</f>
        <v/>
      </c>
      <c r="G94" s="36">
        <f>IFERROR(INDEX('Fund Research'!$I$6:$I$505,MATCH(89,'Fund Research'!$V$6:$V$505,0)),"")</f>
        <v/>
      </c>
      <c r="H94" s="37">
        <f>IFERROR(INDEX('Fund Research'!$J$6:$J$505,MATCH(89,'Fund Research'!$V$6:$V$505,0)),"")</f>
        <v/>
      </c>
      <c r="I94" s="39">
        <f>IFERROR(INDEX('Fund Research'!$L$6:$L$505,MATCH(89,'Fund Research'!$V$6:$V$505,0)),"")</f>
        <v/>
      </c>
      <c r="J94" s="37">
        <f>IFERROR(INDEX('Fund Research'!$N$6:$N$505,MATCH(89,'Fund Research'!$V$6:$V$505,0)),"")</f>
        <v/>
      </c>
      <c r="K94" s="37">
        <f>IFERROR(INDEX('Fund Research'!$P$6:$P$505,MATCH(89,'Fund Research'!$V$6:$V$505,0)),"")</f>
        <v/>
      </c>
      <c r="L94" s="35">
        <f>IFERROR(INDEX('Fund Research'!$S$6:$S$505,MATCH(89,'Fund Research'!$V$6:$V$505,0)),"")</f>
        <v/>
      </c>
      <c r="M94" s="35">
        <f>IFERROR(INDEX('Fund Research'!$T$6:$T$505,MATCH(89,'Fund Research'!$V$6:$V$505,0)),"")</f>
        <v/>
      </c>
    </row>
    <row r="95" ht="15" customHeight="1">
      <c r="A95" s="34">
        <f>IFERROR(IF(INDEX('Fund Research'!$B$6:$B$505,MATCH(90,'Fund Research'!$V$6:$V$505,0))="","",90),"")</f>
        <v/>
      </c>
      <c r="B95" s="35">
        <f>IFERROR(INDEX('Fund Research'!$A$6:$A$505,MATCH(90,'Fund Research'!$V$6:$V$505,0)),"")</f>
        <v/>
      </c>
      <c r="C95" s="35">
        <f>IFERROR(INDEX('Fund Research'!$B$6:$B$505,MATCH(90,'Fund Research'!$V$6:$V$505,0)),"")</f>
        <v/>
      </c>
      <c r="D95" s="35">
        <f>IFERROR(INDEX('Fund Research'!$C$6:$C$505,MATCH(90,'Fund Research'!$V$6:$V$505,0)),"")</f>
        <v/>
      </c>
      <c r="E95" s="36">
        <f>IFERROR(INDEX('Fund Research'!$G$6:$G$505,MATCH(90,'Fund Research'!$V$6:$V$505,0)),"")</f>
        <v/>
      </c>
      <c r="F95" s="36">
        <f>IFERROR(INDEX('Fund Research'!$H$6:$H$505,MATCH(90,'Fund Research'!$V$6:$V$505,0)),"")</f>
        <v/>
      </c>
      <c r="G95" s="36">
        <f>IFERROR(INDEX('Fund Research'!$I$6:$I$505,MATCH(90,'Fund Research'!$V$6:$V$505,0)),"")</f>
        <v/>
      </c>
      <c r="H95" s="37">
        <f>IFERROR(INDEX('Fund Research'!$J$6:$J$505,MATCH(90,'Fund Research'!$V$6:$V$505,0)),"")</f>
        <v/>
      </c>
      <c r="I95" s="39">
        <f>IFERROR(INDEX('Fund Research'!$L$6:$L$505,MATCH(90,'Fund Research'!$V$6:$V$505,0)),"")</f>
        <v/>
      </c>
      <c r="J95" s="37">
        <f>IFERROR(INDEX('Fund Research'!$N$6:$N$505,MATCH(90,'Fund Research'!$V$6:$V$505,0)),"")</f>
        <v/>
      </c>
      <c r="K95" s="37">
        <f>IFERROR(INDEX('Fund Research'!$P$6:$P$505,MATCH(90,'Fund Research'!$V$6:$V$505,0)),"")</f>
        <v/>
      </c>
      <c r="L95" s="35">
        <f>IFERROR(INDEX('Fund Research'!$S$6:$S$505,MATCH(90,'Fund Research'!$V$6:$V$505,0)),"")</f>
        <v/>
      </c>
      <c r="M95" s="35">
        <f>IFERROR(INDEX('Fund Research'!$T$6:$T$505,MATCH(90,'Fund Research'!$V$6:$V$505,0)),"")</f>
        <v/>
      </c>
    </row>
    <row r="96" ht="15" customHeight="1">
      <c r="A96" s="34">
        <f>IFERROR(IF(INDEX('Fund Research'!$B$6:$B$505,MATCH(91,'Fund Research'!$V$6:$V$505,0))="","",91),"")</f>
        <v/>
      </c>
      <c r="B96" s="35">
        <f>IFERROR(INDEX('Fund Research'!$A$6:$A$505,MATCH(91,'Fund Research'!$V$6:$V$505,0)),"")</f>
        <v/>
      </c>
      <c r="C96" s="35">
        <f>IFERROR(INDEX('Fund Research'!$B$6:$B$505,MATCH(91,'Fund Research'!$V$6:$V$505,0)),"")</f>
        <v/>
      </c>
      <c r="D96" s="35">
        <f>IFERROR(INDEX('Fund Research'!$C$6:$C$505,MATCH(91,'Fund Research'!$V$6:$V$505,0)),"")</f>
        <v/>
      </c>
      <c r="E96" s="36">
        <f>IFERROR(INDEX('Fund Research'!$G$6:$G$505,MATCH(91,'Fund Research'!$V$6:$V$505,0)),"")</f>
        <v/>
      </c>
      <c r="F96" s="36">
        <f>IFERROR(INDEX('Fund Research'!$H$6:$H$505,MATCH(91,'Fund Research'!$V$6:$V$505,0)),"")</f>
        <v/>
      </c>
      <c r="G96" s="36">
        <f>IFERROR(INDEX('Fund Research'!$I$6:$I$505,MATCH(91,'Fund Research'!$V$6:$V$505,0)),"")</f>
        <v/>
      </c>
      <c r="H96" s="37">
        <f>IFERROR(INDEX('Fund Research'!$J$6:$J$505,MATCH(91,'Fund Research'!$V$6:$V$505,0)),"")</f>
        <v/>
      </c>
      <c r="I96" s="39">
        <f>IFERROR(INDEX('Fund Research'!$L$6:$L$505,MATCH(91,'Fund Research'!$V$6:$V$505,0)),"")</f>
        <v/>
      </c>
      <c r="J96" s="37">
        <f>IFERROR(INDEX('Fund Research'!$N$6:$N$505,MATCH(91,'Fund Research'!$V$6:$V$505,0)),"")</f>
        <v/>
      </c>
      <c r="K96" s="37">
        <f>IFERROR(INDEX('Fund Research'!$P$6:$P$505,MATCH(91,'Fund Research'!$V$6:$V$505,0)),"")</f>
        <v/>
      </c>
      <c r="L96" s="35">
        <f>IFERROR(INDEX('Fund Research'!$S$6:$S$505,MATCH(91,'Fund Research'!$V$6:$V$505,0)),"")</f>
        <v/>
      </c>
      <c r="M96" s="35">
        <f>IFERROR(INDEX('Fund Research'!$T$6:$T$505,MATCH(91,'Fund Research'!$V$6:$V$505,0)),"")</f>
        <v/>
      </c>
    </row>
    <row r="97" ht="15" customHeight="1">
      <c r="A97" s="34">
        <f>IFERROR(IF(INDEX('Fund Research'!$B$6:$B$505,MATCH(92,'Fund Research'!$V$6:$V$505,0))="","",92),"")</f>
        <v/>
      </c>
      <c r="B97" s="35">
        <f>IFERROR(INDEX('Fund Research'!$A$6:$A$505,MATCH(92,'Fund Research'!$V$6:$V$505,0)),"")</f>
        <v/>
      </c>
      <c r="C97" s="35">
        <f>IFERROR(INDEX('Fund Research'!$B$6:$B$505,MATCH(92,'Fund Research'!$V$6:$V$505,0)),"")</f>
        <v/>
      </c>
      <c r="D97" s="35">
        <f>IFERROR(INDEX('Fund Research'!$C$6:$C$505,MATCH(92,'Fund Research'!$V$6:$V$505,0)),"")</f>
        <v/>
      </c>
      <c r="E97" s="36">
        <f>IFERROR(INDEX('Fund Research'!$G$6:$G$505,MATCH(92,'Fund Research'!$V$6:$V$505,0)),"")</f>
        <v/>
      </c>
      <c r="F97" s="36">
        <f>IFERROR(INDEX('Fund Research'!$H$6:$H$505,MATCH(92,'Fund Research'!$V$6:$V$505,0)),"")</f>
        <v/>
      </c>
      <c r="G97" s="36">
        <f>IFERROR(INDEX('Fund Research'!$I$6:$I$505,MATCH(92,'Fund Research'!$V$6:$V$505,0)),"")</f>
        <v/>
      </c>
      <c r="H97" s="37">
        <f>IFERROR(INDEX('Fund Research'!$J$6:$J$505,MATCH(92,'Fund Research'!$V$6:$V$505,0)),"")</f>
        <v/>
      </c>
      <c r="I97" s="39">
        <f>IFERROR(INDEX('Fund Research'!$L$6:$L$505,MATCH(92,'Fund Research'!$V$6:$V$505,0)),"")</f>
        <v/>
      </c>
      <c r="J97" s="37">
        <f>IFERROR(INDEX('Fund Research'!$N$6:$N$505,MATCH(92,'Fund Research'!$V$6:$V$505,0)),"")</f>
        <v/>
      </c>
      <c r="K97" s="37">
        <f>IFERROR(INDEX('Fund Research'!$P$6:$P$505,MATCH(92,'Fund Research'!$V$6:$V$505,0)),"")</f>
        <v/>
      </c>
      <c r="L97" s="35">
        <f>IFERROR(INDEX('Fund Research'!$S$6:$S$505,MATCH(92,'Fund Research'!$V$6:$V$505,0)),"")</f>
        <v/>
      </c>
      <c r="M97" s="35">
        <f>IFERROR(INDEX('Fund Research'!$T$6:$T$505,MATCH(92,'Fund Research'!$V$6:$V$505,0)),"")</f>
        <v/>
      </c>
    </row>
    <row r="98" ht="15" customHeight="1">
      <c r="A98" s="34">
        <f>IFERROR(IF(INDEX('Fund Research'!$B$6:$B$505,MATCH(93,'Fund Research'!$V$6:$V$505,0))="","",93),"")</f>
        <v/>
      </c>
      <c r="B98" s="35">
        <f>IFERROR(INDEX('Fund Research'!$A$6:$A$505,MATCH(93,'Fund Research'!$V$6:$V$505,0)),"")</f>
        <v/>
      </c>
      <c r="C98" s="35">
        <f>IFERROR(INDEX('Fund Research'!$B$6:$B$505,MATCH(93,'Fund Research'!$V$6:$V$505,0)),"")</f>
        <v/>
      </c>
      <c r="D98" s="35">
        <f>IFERROR(INDEX('Fund Research'!$C$6:$C$505,MATCH(93,'Fund Research'!$V$6:$V$505,0)),"")</f>
        <v/>
      </c>
      <c r="E98" s="36">
        <f>IFERROR(INDEX('Fund Research'!$G$6:$G$505,MATCH(93,'Fund Research'!$V$6:$V$505,0)),"")</f>
        <v/>
      </c>
      <c r="F98" s="36">
        <f>IFERROR(INDEX('Fund Research'!$H$6:$H$505,MATCH(93,'Fund Research'!$V$6:$V$505,0)),"")</f>
        <v/>
      </c>
      <c r="G98" s="36">
        <f>IFERROR(INDEX('Fund Research'!$I$6:$I$505,MATCH(93,'Fund Research'!$V$6:$V$505,0)),"")</f>
        <v/>
      </c>
      <c r="H98" s="37">
        <f>IFERROR(INDEX('Fund Research'!$J$6:$J$505,MATCH(93,'Fund Research'!$V$6:$V$505,0)),"")</f>
        <v/>
      </c>
      <c r="I98" s="39">
        <f>IFERROR(INDEX('Fund Research'!$L$6:$L$505,MATCH(93,'Fund Research'!$V$6:$V$505,0)),"")</f>
        <v/>
      </c>
      <c r="J98" s="37">
        <f>IFERROR(INDEX('Fund Research'!$N$6:$N$505,MATCH(93,'Fund Research'!$V$6:$V$505,0)),"")</f>
        <v/>
      </c>
      <c r="K98" s="37">
        <f>IFERROR(INDEX('Fund Research'!$P$6:$P$505,MATCH(93,'Fund Research'!$V$6:$V$505,0)),"")</f>
        <v/>
      </c>
      <c r="L98" s="35">
        <f>IFERROR(INDEX('Fund Research'!$S$6:$S$505,MATCH(93,'Fund Research'!$V$6:$V$505,0)),"")</f>
        <v/>
      </c>
      <c r="M98" s="35">
        <f>IFERROR(INDEX('Fund Research'!$T$6:$T$505,MATCH(93,'Fund Research'!$V$6:$V$505,0)),"")</f>
        <v/>
      </c>
    </row>
    <row r="99" ht="15" customHeight="1">
      <c r="A99" s="34">
        <f>IFERROR(IF(INDEX('Fund Research'!$B$6:$B$505,MATCH(94,'Fund Research'!$V$6:$V$505,0))="","",94),"")</f>
        <v/>
      </c>
      <c r="B99" s="35">
        <f>IFERROR(INDEX('Fund Research'!$A$6:$A$505,MATCH(94,'Fund Research'!$V$6:$V$505,0)),"")</f>
        <v/>
      </c>
      <c r="C99" s="35">
        <f>IFERROR(INDEX('Fund Research'!$B$6:$B$505,MATCH(94,'Fund Research'!$V$6:$V$505,0)),"")</f>
        <v/>
      </c>
      <c r="D99" s="35">
        <f>IFERROR(INDEX('Fund Research'!$C$6:$C$505,MATCH(94,'Fund Research'!$V$6:$V$505,0)),"")</f>
        <v/>
      </c>
      <c r="E99" s="36">
        <f>IFERROR(INDEX('Fund Research'!$G$6:$G$505,MATCH(94,'Fund Research'!$V$6:$V$505,0)),"")</f>
        <v/>
      </c>
      <c r="F99" s="36">
        <f>IFERROR(INDEX('Fund Research'!$H$6:$H$505,MATCH(94,'Fund Research'!$V$6:$V$505,0)),"")</f>
        <v/>
      </c>
      <c r="G99" s="36">
        <f>IFERROR(INDEX('Fund Research'!$I$6:$I$505,MATCH(94,'Fund Research'!$V$6:$V$505,0)),"")</f>
        <v/>
      </c>
      <c r="H99" s="37">
        <f>IFERROR(INDEX('Fund Research'!$J$6:$J$505,MATCH(94,'Fund Research'!$V$6:$V$505,0)),"")</f>
        <v/>
      </c>
      <c r="I99" s="39">
        <f>IFERROR(INDEX('Fund Research'!$L$6:$L$505,MATCH(94,'Fund Research'!$V$6:$V$505,0)),"")</f>
        <v/>
      </c>
      <c r="J99" s="37">
        <f>IFERROR(INDEX('Fund Research'!$N$6:$N$505,MATCH(94,'Fund Research'!$V$6:$V$505,0)),"")</f>
        <v/>
      </c>
      <c r="K99" s="37">
        <f>IFERROR(INDEX('Fund Research'!$P$6:$P$505,MATCH(94,'Fund Research'!$V$6:$V$505,0)),"")</f>
        <v/>
      </c>
      <c r="L99" s="35">
        <f>IFERROR(INDEX('Fund Research'!$S$6:$S$505,MATCH(94,'Fund Research'!$V$6:$V$505,0)),"")</f>
        <v/>
      </c>
      <c r="M99" s="35">
        <f>IFERROR(INDEX('Fund Research'!$T$6:$T$505,MATCH(94,'Fund Research'!$V$6:$V$505,0)),"")</f>
        <v/>
      </c>
    </row>
    <row r="100" ht="15" customHeight="1">
      <c r="A100" s="34">
        <f>IFERROR(IF(INDEX('Fund Research'!$B$6:$B$505,MATCH(95,'Fund Research'!$V$6:$V$505,0))="","",95),"")</f>
        <v/>
      </c>
      <c r="B100" s="35">
        <f>IFERROR(INDEX('Fund Research'!$A$6:$A$505,MATCH(95,'Fund Research'!$V$6:$V$505,0)),"")</f>
        <v/>
      </c>
      <c r="C100" s="35">
        <f>IFERROR(INDEX('Fund Research'!$B$6:$B$505,MATCH(95,'Fund Research'!$V$6:$V$505,0)),"")</f>
        <v/>
      </c>
      <c r="D100" s="35">
        <f>IFERROR(INDEX('Fund Research'!$C$6:$C$505,MATCH(95,'Fund Research'!$V$6:$V$505,0)),"")</f>
        <v/>
      </c>
      <c r="E100" s="36">
        <f>IFERROR(INDEX('Fund Research'!$G$6:$G$505,MATCH(95,'Fund Research'!$V$6:$V$505,0)),"")</f>
        <v/>
      </c>
      <c r="F100" s="36">
        <f>IFERROR(INDEX('Fund Research'!$H$6:$H$505,MATCH(95,'Fund Research'!$V$6:$V$505,0)),"")</f>
        <v/>
      </c>
      <c r="G100" s="36">
        <f>IFERROR(INDEX('Fund Research'!$I$6:$I$505,MATCH(95,'Fund Research'!$V$6:$V$505,0)),"")</f>
        <v/>
      </c>
      <c r="H100" s="37">
        <f>IFERROR(INDEX('Fund Research'!$J$6:$J$505,MATCH(95,'Fund Research'!$V$6:$V$505,0)),"")</f>
        <v/>
      </c>
      <c r="I100" s="39">
        <f>IFERROR(INDEX('Fund Research'!$L$6:$L$505,MATCH(95,'Fund Research'!$V$6:$V$505,0)),"")</f>
        <v/>
      </c>
      <c r="J100" s="37">
        <f>IFERROR(INDEX('Fund Research'!$N$6:$N$505,MATCH(95,'Fund Research'!$V$6:$V$505,0)),"")</f>
        <v/>
      </c>
      <c r="K100" s="37">
        <f>IFERROR(INDEX('Fund Research'!$P$6:$P$505,MATCH(95,'Fund Research'!$V$6:$V$505,0)),"")</f>
        <v/>
      </c>
      <c r="L100" s="35">
        <f>IFERROR(INDEX('Fund Research'!$S$6:$S$505,MATCH(95,'Fund Research'!$V$6:$V$505,0)),"")</f>
        <v/>
      </c>
      <c r="M100" s="35">
        <f>IFERROR(INDEX('Fund Research'!$T$6:$T$505,MATCH(95,'Fund Research'!$V$6:$V$505,0)),"")</f>
        <v/>
      </c>
    </row>
    <row r="101" ht="15" customHeight="1">
      <c r="A101" s="34">
        <f>IFERROR(IF(INDEX('Fund Research'!$B$6:$B$505,MATCH(96,'Fund Research'!$V$6:$V$505,0))="","",96),"")</f>
        <v/>
      </c>
      <c r="B101" s="35">
        <f>IFERROR(INDEX('Fund Research'!$A$6:$A$505,MATCH(96,'Fund Research'!$V$6:$V$505,0)),"")</f>
        <v/>
      </c>
      <c r="C101" s="35">
        <f>IFERROR(INDEX('Fund Research'!$B$6:$B$505,MATCH(96,'Fund Research'!$V$6:$V$505,0)),"")</f>
        <v/>
      </c>
      <c r="D101" s="35">
        <f>IFERROR(INDEX('Fund Research'!$C$6:$C$505,MATCH(96,'Fund Research'!$V$6:$V$505,0)),"")</f>
        <v/>
      </c>
      <c r="E101" s="36">
        <f>IFERROR(INDEX('Fund Research'!$G$6:$G$505,MATCH(96,'Fund Research'!$V$6:$V$505,0)),"")</f>
        <v/>
      </c>
      <c r="F101" s="36">
        <f>IFERROR(INDEX('Fund Research'!$H$6:$H$505,MATCH(96,'Fund Research'!$V$6:$V$505,0)),"")</f>
        <v/>
      </c>
      <c r="G101" s="36">
        <f>IFERROR(INDEX('Fund Research'!$I$6:$I$505,MATCH(96,'Fund Research'!$V$6:$V$505,0)),"")</f>
        <v/>
      </c>
      <c r="H101" s="37">
        <f>IFERROR(INDEX('Fund Research'!$J$6:$J$505,MATCH(96,'Fund Research'!$V$6:$V$505,0)),"")</f>
        <v/>
      </c>
      <c r="I101" s="39">
        <f>IFERROR(INDEX('Fund Research'!$L$6:$L$505,MATCH(96,'Fund Research'!$V$6:$V$505,0)),"")</f>
        <v/>
      </c>
      <c r="J101" s="37">
        <f>IFERROR(INDEX('Fund Research'!$N$6:$N$505,MATCH(96,'Fund Research'!$V$6:$V$505,0)),"")</f>
        <v/>
      </c>
      <c r="K101" s="37">
        <f>IFERROR(INDEX('Fund Research'!$P$6:$P$505,MATCH(96,'Fund Research'!$V$6:$V$505,0)),"")</f>
        <v/>
      </c>
      <c r="L101" s="35">
        <f>IFERROR(INDEX('Fund Research'!$S$6:$S$505,MATCH(96,'Fund Research'!$V$6:$V$505,0)),"")</f>
        <v/>
      </c>
      <c r="M101" s="35">
        <f>IFERROR(INDEX('Fund Research'!$T$6:$T$505,MATCH(96,'Fund Research'!$V$6:$V$505,0)),"")</f>
        <v/>
      </c>
    </row>
    <row r="102" ht="15" customHeight="1">
      <c r="A102" s="34">
        <f>IFERROR(IF(INDEX('Fund Research'!$B$6:$B$505,MATCH(97,'Fund Research'!$V$6:$V$505,0))="","",97),"")</f>
        <v/>
      </c>
      <c r="B102" s="35">
        <f>IFERROR(INDEX('Fund Research'!$A$6:$A$505,MATCH(97,'Fund Research'!$V$6:$V$505,0)),"")</f>
        <v/>
      </c>
      <c r="C102" s="35">
        <f>IFERROR(INDEX('Fund Research'!$B$6:$B$505,MATCH(97,'Fund Research'!$V$6:$V$505,0)),"")</f>
        <v/>
      </c>
      <c r="D102" s="35">
        <f>IFERROR(INDEX('Fund Research'!$C$6:$C$505,MATCH(97,'Fund Research'!$V$6:$V$505,0)),"")</f>
        <v/>
      </c>
      <c r="E102" s="36">
        <f>IFERROR(INDEX('Fund Research'!$G$6:$G$505,MATCH(97,'Fund Research'!$V$6:$V$505,0)),"")</f>
        <v/>
      </c>
      <c r="F102" s="36">
        <f>IFERROR(INDEX('Fund Research'!$H$6:$H$505,MATCH(97,'Fund Research'!$V$6:$V$505,0)),"")</f>
        <v/>
      </c>
      <c r="G102" s="36">
        <f>IFERROR(INDEX('Fund Research'!$I$6:$I$505,MATCH(97,'Fund Research'!$V$6:$V$505,0)),"")</f>
        <v/>
      </c>
      <c r="H102" s="37">
        <f>IFERROR(INDEX('Fund Research'!$J$6:$J$505,MATCH(97,'Fund Research'!$V$6:$V$505,0)),"")</f>
        <v/>
      </c>
      <c r="I102" s="39">
        <f>IFERROR(INDEX('Fund Research'!$L$6:$L$505,MATCH(97,'Fund Research'!$V$6:$V$505,0)),"")</f>
        <v/>
      </c>
      <c r="J102" s="37">
        <f>IFERROR(INDEX('Fund Research'!$N$6:$N$505,MATCH(97,'Fund Research'!$V$6:$V$505,0)),"")</f>
        <v/>
      </c>
      <c r="K102" s="37">
        <f>IFERROR(INDEX('Fund Research'!$P$6:$P$505,MATCH(97,'Fund Research'!$V$6:$V$505,0)),"")</f>
        <v/>
      </c>
      <c r="L102" s="35">
        <f>IFERROR(INDEX('Fund Research'!$S$6:$S$505,MATCH(97,'Fund Research'!$V$6:$V$505,0)),"")</f>
        <v/>
      </c>
      <c r="M102" s="35">
        <f>IFERROR(INDEX('Fund Research'!$T$6:$T$505,MATCH(97,'Fund Research'!$V$6:$V$505,0)),"")</f>
        <v/>
      </c>
    </row>
    <row r="103" ht="15" customHeight="1">
      <c r="A103" s="34">
        <f>IFERROR(IF(INDEX('Fund Research'!$B$6:$B$505,MATCH(98,'Fund Research'!$V$6:$V$505,0))="","",98),"")</f>
        <v/>
      </c>
      <c r="B103" s="35">
        <f>IFERROR(INDEX('Fund Research'!$A$6:$A$505,MATCH(98,'Fund Research'!$V$6:$V$505,0)),"")</f>
        <v/>
      </c>
      <c r="C103" s="35">
        <f>IFERROR(INDEX('Fund Research'!$B$6:$B$505,MATCH(98,'Fund Research'!$V$6:$V$505,0)),"")</f>
        <v/>
      </c>
      <c r="D103" s="35">
        <f>IFERROR(INDEX('Fund Research'!$C$6:$C$505,MATCH(98,'Fund Research'!$V$6:$V$505,0)),"")</f>
        <v/>
      </c>
      <c r="E103" s="36">
        <f>IFERROR(INDEX('Fund Research'!$G$6:$G$505,MATCH(98,'Fund Research'!$V$6:$V$505,0)),"")</f>
        <v/>
      </c>
      <c r="F103" s="36">
        <f>IFERROR(INDEX('Fund Research'!$H$6:$H$505,MATCH(98,'Fund Research'!$V$6:$V$505,0)),"")</f>
        <v/>
      </c>
      <c r="G103" s="36">
        <f>IFERROR(INDEX('Fund Research'!$I$6:$I$505,MATCH(98,'Fund Research'!$V$6:$V$505,0)),"")</f>
        <v/>
      </c>
      <c r="H103" s="37">
        <f>IFERROR(INDEX('Fund Research'!$J$6:$J$505,MATCH(98,'Fund Research'!$V$6:$V$505,0)),"")</f>
        <v/>
      </c>
      <c r="I103" s="39">
        <f>IFERROR(INDEX('Fund Research'!$L$6:$L$505,MATCH(98,'Fund Research'!$V$6:$V$505,0)),"")</f>
        <v/>
      </c>
      <c r="J103" s="37">
        <f>IFERROR(INDEX('Fund Research'!$N$6:$N$505,MATCH(98,'Fund Research'!$V$6:$V$505,0)),"")</f>
        <v/>
      </c>
      <c r="K103" s="37">
        <f>IFERROR(INDEX('Fund Research'!$P$6:$P$505,MATCH(98,'Fund Research'!$V$6:$V$505,0)),"")</f>
        <v/>
      </c>
      <c r="L103" s="35">
        <f>IFERROR(INDEX('Fund Research'!$S$6:$S$505,MATCH(98,'Fund Research'!$V$6:$V$505,0)),"")</f>
        <v/>
      </c>
      <c r="M103" s="35">
        <f>IFERROR(INDEX('Fund Research'!$T$6:$T$505,MATCH(98,'Fund Research'!$V$6:$V$505,0)),"")</f>
        <v/>
      </c>
    </row>
    <row r="104" ht="15" customHeight="1">
      <c r="A104" s="34">
        <f>IFERROR(IF(INDEX('Fund Research'!$B$6:$B$505,MATCH(99,'Fund Research'!$V$6:$V$505,0))="","",99),"")</f>
        <v/>
      </c>
      <c r="B104" s="35">
        <f>IFERROR(INDEX('Fund Research'!$A$6:$A$505,MATCH(99,'Fund Research'!$V$6:$V$505,0)),"")</f>
        <v/>
      </c>
      <c r="C104" s="35">
        <f>IFERROR(INDEX('Fund Research'!$B$6:$B$505,MATCH(99,'Fund Research'!$V$6:$V$505,0)),"")</f>
        <v/>
      </c>
      <c r="D104" s="35">
        <f>IFERROR(INDEX('Fund Research'!$C$6:$C$505,MATCH(99,'Fund Research'!$V$6:$V$505,0)),"")</f>
        <v/>
      </c>
      <c r="E104" s="36">
        <f>IFERROR(INDEX('Fund Research'!$G$6:$G$505,MATCH(99,'Fund Research'!$V$6:$V$505,0)),"")</f>
        <v/>
      </c>
      <c r="F104" s="36">
        <f>IFERROR(INDEX('Fund Research'!$H$6:$H$505,MATCH(99,'Fund Research'!$V$6:$V$505,0)),"")</f>
        <v/>
      </c>
      <c r="G104" s="36">
        <f>IFERROR(INDEX('Fund Research'!$I$6:$I$505,MATCH(99,'Fund Research'!$V$6:$V$505,0)),"")</f>
        <v/>
      </c>
      <c r="H104" s="37">
        <f>IFERROR(INDEX('Fund Research'!$J$6:$J$505,MATCH(99,'Fund Research'!$V$6:$V$505,0)),"")</f>
        <v/>
      </c>
      <c r="I104" s="39">
        <f>IFERROR(INDEX('Fund Research'!$L$6:$L$505,MATCH(99,'Fund Research'!$V$6:$V$505,0)),"")</f>
        <v/>
      </c>
      <c r="J104" s="37">
        <f>IFERROR(INDEX('Fund Research'!$N$6:$N$505,MATCH(99,'Fund Research'!$V$6:$V$505,0)),"")</f>
        <v/>
      </c>
      <c r="K104" s="37">
        <f>IFERROR(INDEX('Fund Research'!$P$6:$P$505,MATCH(99,'Fund Research'!$V$6:$V$505,0)),"")</f>
        <v/>
      </c>
      <c r="L104" s="35">
        <f>IFERROR(INDEX('Fund Research'!$S$6:$S$505,MATCH(99,'Fund Research'!$V$6:$V$505,0)),"")</f>
        <v/>
      </c>
      <c r="M104" s="35">
        <f>IFERROR(INDEX('Fund Research'!$T$6:$T$505,MATCH(99,'Fund Research'!$V$6:$V$505,0)),"")</f>
        <v/>
      </c>
    </row>
    <row r="105" ht="15" customHeight="1">
      <c r="A105" s="34">
        <f>IFERROR(IF(INDEX('Fund Research'!$B$6:$B$505,MATCH(100,'Fund Research'!$V$6:$V$505,0))="","",100),"")</f>
        <v/>
      </c>
      <c r="B105" s="35">
        <f>IFERROR(INDEX('Fund Research'!$A$6:$A$505,MATCH(100,'Fund Research'!$V$6:$V$505,0)),"")</f>
        <v/>
      </c>
      <c r="C105" s="35">
        <f>IFERROR(INDEX('Fund Research'!$B$6:$B$505,MATCH(100,'Fund Research'!$V$6:$V$505,0)),"")</f>
        <v/>
      </c>
      <c r="D105" s="35">
        <f>IFERROR(INDEX('Fund Research'!$C$6:$C$505,MATCH(100,'Fund Research'!$V$6:$V$505,0)),"")</f>
        <v/>
      </c>
      <c r="E105" s="36">
        <f>IFERROR(INDEX('Fund Research'!$G$6:$G$505,MATCH(100,'Fund Research'!$V$6:$V$505,0)),"")</f>
        <v/>
      </c>
      <c r="F105" s="36">
        <f>IFERROR(INDEX('Fund Research'!$H$6:$H$505,MATCH(100,'Fund Research'!$V$6:$V$505,0)),"")</f>
        <v/>
      </c>
      <c r="G105" s="36">
        <f>IFERROR(INDEX('Fund Research'!$I$6:$I$505,MATCH(100,'Fund Research'!$V$6:$V$505,0)),"")</f>
        <v/>
      </c>
      <c r="H105" s="37">
        <f>IFERROR(INDEX('Fund Research'!$J$6:$J$505,MATCH(100,'Fund Research'!$V$6:$V$505,0)),"")</f>
        <v/>
      </c>
      <c r="I105" s="39">
        <f>IFERROR(INDEX('Fund Research'!$L$6:$L$505,MATCH(100,'Fund Research'!$V$6:$V$505,0)),"")</f>
        <v/>
      </c>
      <c r="J105" s="37">
        <f>IFERROR(INDEX('Fund Research'!$N$6:$N$505,MATCH(100,'Fund Research'!$V$6:$V$505,0)),"")</f>
        <v/>
      </c>
      <c r="K105" s="37">
        <f>IFERROR(INDEX('Fund Research'!$P$6:$P$505,MATCH(100,'Fund Research'!$V$6:$V$505,0)),"")</f>
        <v/>
      </c>
      <c r="L105" s="35">
        <f>IFERROR(INDEX('Fund Research'!$S$6:$S$505,MATCH(100,'Fund Research'!$V$6:$V$505,0)),"")</f>
        <v/>
      </c>
      <c r="M105" s="35">
        <f>IFERROR(INDEX('Fund Research'!$T$6:$T$505,MATCH(100,'Fund Research'!$V$6:$V$505,0)),"")</f>
        <v/>
      </c>
    </row>
    <row r="106" ht="15" customHeight="1">
      <c r="A106" s="34">
        <f>IFERROR(IF(INDEX('Fund Research'!$B$6:$B$505,MATCH(101,'Fund Research'!$V$6:$V$505,0))="","",101),"")</f>
        <v/>
      </c>
      <c r="B106" s="35">
        <f>IFERROR(INDEX('Fund Research'!$A$6:$A$505,MATCH(101,'Fund Research'!$V$6:$V$505,0)),"")</f>
        <v/>
      </c>
      <c r="C106" s="35">
        <f>IFERROR(INDEX('Fund Research'!$B$6:$B$505,MATCH(101,'Fund Research'!$V$6:$V$505,0)),"")</f>
        <v/>
      </c>
      <c r="D106" s="35">
        <f>IFERROR(INDEX('Fund Research'!$C$6:$C$505,MATCH(101,'Fund Research'!$V$6:$V$505,0)),"")</f>
        <v/>
      </c>
      <c r="E106" s="36">
        <f>IFERROR(INDEX('Fund Research'!$G$6:$G$505,MATCH(101,'Fund Research'!$V$6:$V$505,0)),"")</f>
        <v/>
      </c>
      <c r="F106" s="36">
        <f>IFERROR(INDEX('Fund Research'!$H$6:$H$505,MATCH(101,'Fund Research'!$V$6:$V$505,0)),"")</f>
        <v/>
      </c>
      <c r="G106" s="36">
        <f>IFERROR(INDEX('Fund Research'!$I$6:$I$505,MATCH(101,'Fund Research'!$V$6:$V$505,0)),"")</f>
        <v/>
      </c>
      <c r="H106" s="37">
        <f>IFERROR(INDEX('Fund Research'!$J$6:$J$505,MATCH(101,'Fund Research'!$V$6:$V$505,0)),"")</f>
        <v/>
      </c>
      <c r="I106" s="39">
        <f>IFERROR(INDEX('Fund Research'!$L$6:$L$505,MATCH(101,'Fund Research'!$V$6:$V$505,0)),"")</f>
        <v/>
      </c>
      <c r="J106" s="37">
        <f>IFERROR(INDEX('Fund Research'!$N$6:$N$505,MATCH(101,'Fund Research'!$V$6:$V$505,0)),"")</f>
        <v/>
      </c>
      <c r="K106" s="37">
        <f>IFERROR(INDEX('Fund Research'!$P$6:$P$505,MATCH(101,'Fund Research'!$V$6:$V$505,0)),"")</f>
        <v/>
      </c>
      <c r="L106" s="35">
        <f>IFERROR(INDEX('Fund Research'!$S$6:$S$505,MATCH(101,'Fund Research'!$V$6:$V$505,0)),"")</f>
        <v/>
      </c>
      <c r="M106" s="35">
        <f>IFERROR(INDEX('Fund Research'!$T$6:$T$505,MATCH(101,'Fund Research'!$V$6:$V$505,0)),"")</f>
        <v/>
      </c>
    </row>
    <row r="107" ht="15" customHeight="1">
      <c r="A107" s="34">
        <f>IFERROR(IF(INDEX('Fund Research'!$B$6:$B$505,MATCH(102,'Fund Research'!$V$6:$V$505,0))="","",102),"")</f>
        <v/>
      </c>
      <c r="B107" s="35">
        <f>IFERROR(INDEX('Fund Research'!$A$6:$A$505,MATCH(102,'Fund Research'!$V$6:$V$505,0)),"")</f>
        <v/>
      </c>
      <c r="C107" s="35">
        <f>IFERROR(INDEX('Fund Research'!$B$6:$B$505,MATCH(102,'Fund Research'!$V$6:$V$505,0)),"")</f>
        <v/>
      </c>
      <c r="D107" s="35">
        <f>IFERROR(INDEX('Fund Research'!$C$6:$C$505,MATCH(102,'Fund Research'!$V$6:$V$505,0)),"")</f>
        <v/>
      </c>
      <c r="E107" s="36">
        <f>IFERROR(INDEX('Fund Research'!$G$6:$G$505,MATCH(102,'Fund Research'!$V$6:$V$505,0)),"")</f>
        <v/>
      </c>
      <c r="F107" s="36">
        <f>IFERROR(INDEX('Fund Research'!$H$6:$H$505,MATCH(102,'Fund Research'!$V$6:$V$505,0)),"")</f>
        <v/>
      </c>
      <c r="G107" s="36">
        <f>IFERROR(INDEX('Fund Research'!$I$6:$I$505,MATCH(102,'Fund Research'!$V$6:$V$505,0)),"")</f>
        <v/>
      </c>
      <c r="H107" s="37">
        <f>IFERROR(INDEX('Fund Research'!$J$6:$J$505,MATCH(102,'Fund Research'!$V$6:$V$505,0)),"")</f>
        <v/>
      </c>
      <c r="I107" s="39">
        <f>IFERROR(INDEX('Fund Research'!$L$6:$L$505,MATCH(102,'Fund Research'!$V$6:$V$505,0)),"")</f>
        <v/>
      </c>
      <c r="J107" s="37">
        <f>IFERROR(INDEX('Fund Research'!$N$6:$N$505,MATCH(102,'Fund Research'!$V$6:$V$505,0)),"")</f>
        <v/>
      </c>
      <c r="K107" s="37">
        <f>IFERROR(INDEX('Fund Research'!$P$6:$P$505,MATCH(102,'Fund Research'!$V$6:$V$505,0)),"")</f>
        <v/>
      </c>
      <c r="L107" s="35">
        <f>IFERROR(INDEX('Fund Research'!$S$6:$S$505,MATCH(102,'Fund Research'!$V$6:$V$505,0)),"")</f>
        <v/>
      </c>
      <c r="M107" s="35">
        <f>IFERROR(INDEX('Fund Research'!$T$6:$T$505,MATCH(102,'Fund Research'!$V$6:$V$505,0)),"")</f>
        <v/>
      </c>
    </row>
    <row r="108" ht="15" customHeight="1">
      <c r="A108" s="34">
        <f>IFERROR(IF(INDEX('Fund Research'!$B$6:$B$505,MATCH(103,'Fund Research'!$V$6:$V$505,0))="","",103),"")</f>
        <v/>
      </c>
      <c r="B108" s="35">
        <f>IFERROR(INDEX('Fund Research'!$A$6:$A$505,MATCH(103,'Fund Research'!$V$6:$V$505,0)),"")</f>
        <v/>
      </c>
      <c r="C108" s="35">
        <f>IFERROR(INDEX('Fund Research'!$B$6:$B$505,MATCH(103,'Fund Research'!$V$6:$V$505,0)),"")</f>
        <v/>
      </c>
      <c r="D108" s="35">
        <f>IFERROR(INDEX('Fund Research'!$C$6:$C$505,MATCH(103,'Fund Research'!$V$6:$V$505,0)),"")</f>
        <v/>
      </c>
      <c r="E108" s="36">
        <f>IFERROR(INDEX('Fund Research'!$G$6:$G$505,MATCH(103,'Fund Research'!$V$6:$V$505,0)),"")</f>
        <v/>
      </c>
      <c r="F108" s="36">
        <f>IFERROR(INDEX('Fund Research'!$H$6:$H$505,MATCH(103,'Fund Research'!$V$6:$V$505,0)),"")</f>
        <v/>
      </c>
      <c r="G108" s="36">
        <f>IFERROR(INDEX('Fund Research'!$I$6:$I$505,MATCH(103,'Fund Research'!$V$6:$V$505,0)),"")</f>
        <v/>
      </c>
      <c r="H108" s="37">
        <f>IFERROR(INDEX('Fund Research'!$J$6:$J$505,MATCH(103,'Fund Research'!$V$6:$V$505,0)),"")</f>
        <v/>
      </c>
      <c r="I108" s="39">
        <f>IFERROR(INDEX('Fund Research'!$L$6:$L$505,MATCH(103,'Fund Research'!$V$6:$V$505,0)),"")</f>
        <v/>
      </c>
      <c r="J108" s="37">
        <f>IFERROR(INDEX('Fund Research'!$N$6:$N$505,MATCH(103,'Fund Research'!$V$6:$V$505,0)),"")</f>
        <v/>
      </c>
      <c r="K108" s="37">
        <f>IFERROR(INDEX('Fund Research'!$P$6:$P$505,MATCH(103,'Fund Research'!$V$6:$V$505,0)),"")</f>
        <v/>
      </c>
      <c r="L108" s="35">
        <f>IFERROR(INDEX('Fund Research'!$S$6:$S$505,MATCH(103,'Fund Research'!$V$6:$V$505,0)),"")</f>
        <v/>
      </c>
      <c r="M108" s="35">
        <f>IFERROR(INDEX('Fund Research'!$T$6:$T$505,MATCH(103,'Fund Research'!$V$6:$V$505,0)),"")</f>
        <v/>
      </c>
    </row>
    <row r="109" ht="15" customHeight="1">
      <c r="A109" s="34">
        <f>IFERROR(IF(INDEX('Fund Research'!$B$6:$B$505,MATCH(104,'Fund Research'!$V$6:$V$505,0))="","",104),"")</f>
        <v/>
      </c>
      <c r="B109" s="35">
        <f>IFERROR(INDEX('Fund Research'!$A$6:$A$505,MATCH(104,'Fund Research'!$V$6:$V$505,0)),"")</f>
        <v/>
      </c>
      <c r="C109" s="35">
        <f>IFERROR(INDEX('Fund Research'!$B$6:$B$505,MATCH(104,'Fund Research'!$V$6:$V$505,0)),"")</f>
        <v/>
      </c>
      <c r="D109" s="35">
        <f>IFERROR(INDEX('Fund Research'!$C$6:$C$505,MATCH(104,'Fund Research'!$V$6:$V$505,0)),"")</f>
        <v/>
      </c>
      <c r="E109" s="36">
        <f>IFERROR(INDEX('Fund Research'!$G$6:$G$505,MATCH(104,'Fund Research'!$V$6:$V$505,0)),"")</f>
        <v/>
      </c>
      <c r="F109" s="36">
        <f>IFERROR(INDEX('Fund Research'!$H$6:$H$505,MATCH(104,'Fund Research'!$V$6:$V$505,0)),"")</f>
        <v/>
      </c>
      <c r="G109" s="36">
        <f>IFERROR(INDEX('Fund Research'!$I$6:$I$505,MATCH(104,'Fund Research'!$V$6:$V$505,0)),"")</f>
        <v/>
      </c>
      <c r="H109" s="37">
        <f>IFERROR(INDEX('Fund Research'!$J$6:$J$505,MATCH(104,'Fund Research'!$V$6:$V$505,0)),"")</f>
        <v/>
      </c>
      <c r="I109" s="39">
        <f>IFERROR(INDEX('Fund Research'!$L$6:$L$505,MATCH(104,'Fund Research'!$V$6:$V$505,0)),"")</f>
        <v/>
      </c>
      <c r="J109" s="37">
        <f>IFERROR(INDEX('Fund Research'!$N$6:$N$505,MATCH(104,'Fund Research'!$V$6:$V$505,0)),"")</f>
        <v/>
      </c>
      <c r="K109" s="37">
        <f>IFERROR(INDEX('Fund Research'!$P$6:$P$505,MATCH(104,'Fund Research'!$V$6:$V$505,0)),"")</f>
        <v/>
      </c>
      <c r="L109" s="35">
        <f>IFERROR(INDEX('Fund Research'!$S$6:$S$505,MATCH(104,'Fund Research'!$V$6:$V$505,0)),"")</f>
        <v/>
      </c>
      <c r="M109" s="35">
        <f>IFERROR(INDEX('Fund Research'!$T$6:$T$505,MATCH(104,'Fund Research'!$V$6:$V$505,0)),"")</f>
        <v/>
      </c>
    </row>
    <row r="110" ht="15" customHeight="1">
      <c r="A110" s="34">
        <f>IFERROR(IF(INDEX('Fund Research'!$B$6:$B$505,MATCH(105,'Fund Research'!$V$6:$V$505,0))="","",105),"")</f>
        <v/>
      </c>
      <c r="B110" s="35">
        <f>IFERROR(INDEX('Fund Research'!$A$6:$A$505,MATCH(105,'Fund Research'!$V$6:$V$505,0)),"")</f>
        <v/>
      </c>
      <c r="C110" s="35">
        <f>IFERROR(INDEX('Fund Research'!$B$6:$B$505,MATCH(105,'Fund Research'!$V$6:$V$505,0)),"")</f>
        <v/>
      </c>
      <c r="D110" s="35">
        <f>IFERROR(INDEX('Fund Research'!$C$6:$C$505,MATCH(105,'Fund Research'!$V$6:$V$505,0)),"")</f>
        <v/>
      </c>
      <c r="E110" s="36">
        <f>IFERROR(INDEX('Fund Research'!$G$6:$G$505,MATCH(105,'Fund Research'!$V$6:$V$505,0)),"")</f>
        <v/>
      </c>
      <c r="F110" s="36">
        <f>IFERROR(INDEX('Fund Research'!$H$6:$H$505,MATCH(105,'Fund Research'!$V$6:$V$505,0)),"")</f>
        <v/>
      </c>
      <c r="G110" s="36">
        <f>IFERROR(INDEX('Fund Research'!$I$6:$I$505,MATCH(105,'Fund Research'!$V$6:$V$505,0)),"")</f>
        <v/>
      </c>
      <c r="H110" s="37">
        <f>IFERROR(INDEX('Fund Research'!$J$6:$J$505,MATCH(105,'Fund Research'!$V$6:$V$505,0)),"")</f>
        <v/>
      </c>
      <c r="I110" s="39">
        <f>IFERROR(INDEX('Fund Research'!$L$6:$L$505,MATCH(105,'Fund Research'!$V$6:$V$505,0)),"")</f>
        <v/>
      </c>
      <c r="J110" s="37">
        <f>IFERROR(INDEX('Fund Research'!$N$6:$N$505,MATCH(105,'Fund Research'!$V$6:$V$505,0)),"")</f>
        <v/>
      </c>
      <c r="K110" s="37">
        <f>IFERROR(INDEX('Fund Research'!$P$6:$P$505,MATCH(105,'Fund Research'!$V$6:$V$505,0)),"")</f>
        <v/>
      </c>
      <c r="L110" s="35">
        <f>IFERROR(INDEX('Fund Research'!$S$6:$S$505,MATCH(105,'Fund Research'!$V$6:$V$505,0)),"")</f>
        <v/>
      </c>
      <c r="M110" s="35">
        <f>IFERROR(INDEX('Fund Research'!$T$6:$T$505,MATCH(105,'Fund Research'!$V$6:$V$505,0)),"")</f>
        <v/>
      </c>
    </row>
    <row r="111" ht="15" customHeight="1">
      <c r="A111" s="34">
        <f>IFERROR(IF(INDEX('Fund Research'!$B$6:$B$505,MATCH(106,'Fund Research'!$V$6:$V$505,0))="","",106),"")</f>
        <v/>
      </c>
      <c r="B111" s="35">
        <f>IFERROR(INDEX('Fund Research'!$A$6:$A$505,MATCH(106,'Fund Research'!$V$6:$V$505,0)),"")</f>
        <v/>
      </c>
      <c r="C111" s="35">
        <f>IFERROR(INDEX('Fund Research'!$B$6:$B$505,MATCH(106,'Fund Research'!$V$6:$V$505,0)),"")</f>
        <v/>
      </c>
      <c r="D111" s="35">
        <f>IFERROR(INDEX('Fund Research'!$C$6:$C$505,MATCH(106,'Fund Research'!$V$6:$V$505,0)),"")</f>
        <v/>
      </c>
      <c r="E111" s="36">
        <f>IFERROR(INDEX('Fund Research'!$G$6:$G$505,MATCH(106,'Fund Research'!$V$6:$V$505,0)),"")</f>
        <v/>
      </c>
      <c r="F111" s="36">
        <f>IFERROR(INDEX('Fund Research'!$H$6:$H$505,MATCH(106,'Fund Research'!$V$6:$V$505,0)),"")</f>
        <v/>
      </c>
      <c r="G111" s="36">
        <f>IFERROR(INDEX('Fund Research'!$I$6:$I$505,MATCH(106,'Fund Research'!$V$6:$V$505,0)),"")</f>
        <v/>
      </c>
      <c r="H111" s="37">
        <f>IFERROR(INDEX('Fund Research'!$J$6:$J$505,MATCH(106,'Fund Research'!$V$6:$V$505,0)),"")</f>
        <v/>
      </c>
      <c r="I111" s="39">
        <f>IFERROR(INDEX('Fund Research'!$L$6:$L$505,MATCH(106,'Fund Research'!$V$6:$V$505,0)),"")</f>
        <v/>
      </c>
      <c r="J111" s="37">
        <f>IFERROR(INDEX('Fund Research'!$N$6:$N$505,MATCH(106,'Fund Research'!$V$6:$V$505,0)),"")</f>
        <v/>
      </c>
      <c r="K111" s="37">
        <f>IFERROR(INDEX('Fund Research'!$P$6:$P$505,MATCH(106,'Fund Research'!$V$6:$V$505,0)),"")</f>
        <v/>
      </c>
      <c r="L111" s="35">
        <f>IFERROR(INDEX('Fund Research'!$S$6:$S$505,MATCH(106,'Fund Research'!$V$6:$V$505,0)),"")</f>
        <v/>
      </c>
      <c r="M111" s="35">
        <f>IFERROR(INDEX('Fund Research'!$T$6:$T$505,MATCH(106,'Fund Research'!$V$6:$V$505,0)),"")</f>
        <v/>
      </c>
    </row>
    <row r="112" ht="15" customHeight="1">
      <c r="A112" s="34">
        <f>IFERROR(IF(INDEX('Fund Research'!$B$6:$B$505,MATCH(107,'Fund Research'!$V$6:$V$505,0))="","",107),"")</f>
        <v/>
      </c>
      <c r="B112" s="35">
        <f>IFERROR(INDEX('Fund Research'!$A$6:$A$505,MATCH(107,'Fund Research'!$V$6:$V$505,0)),"")</f>
        <v/>
      </c>
      <c r="C112" s="35">
        <f>IFERROR(INDEX('Fund Research'!$B$6:$B$505,MATCH(107,'Fund Research'!$V$6:$V$505,0)),"")</f>
        <v/>
      </c>
      <c r="D112" s="35">
        <f>IFERROR(INDEX('Fund Research'!$C$6:$C$505,MATCH(107,'Fund Research'!$V$6:$V$505,0)),"")</f>
        <v/>
      </c>
      <c r="E112" s="36">
        <f>IFERROR(INDEX('Fund Research'!$G$6:$G$505,MATCH(107,'Fund Research'!$V$6:$V$505,0)),"")</f>
        <v/>
      </c>
      <c r="F112" s="36">
        <f>IFERROR(INDEX('Fund Research'!$H$6:$H$505,MATCH(107,'Fund Research'!$V$6:$V$505,0)),"")</f>
        <v/>
      </c>
      <c r="G112" s="36">
        <f>IFERROR(INDEX('Fund Research'!$I$6:$I$505,MATCH(107,'Fund Research'!$V$6:$V$505,0)),"")</f>
        <v/>
      </c>
      <c r="H112" s="37">
        <f>IFERROR(INDEX('Fund Research'!$J$6:$J$505,MATCH(107,'Fund Research'!$V$6:$V$505,0)),"")</f>
        <v/>
      </c>
      <c r="I112" s="39">
        <f>IFERROR(INDEX('Fund Research'!$L$6:$L$505,MATCH(107,'Fund Research'!$V$6:$V$505,0)),"")</f>
        <v/>
      </c>
      <c r="J112" s="37">
        <f>IFERROR(INDEX('Fund Research'!$N$6:$N$505,MATCH(107,'Fund Research'!$V$6:$V$505,0)),"")</f>
        <v/>
      </c>
      <c r="K112" s="37">
        <f>IFERROR(INDEX('Fund Research'!$P$6:$P$505,MATCH(107,'Fund Research'!$V$6:$V$505,0)),"")</f>
        <v/>
      </c>
      <c r="L112" s="35">
        <f>IFERROR(INDEX('Fund Research'!$S$6:$S$505,MATCH(107,'Fund Research'!$V$6:$V$505,0)),"")</f>
        <v/>
      </c>
      <c r="M112" s="35">
        <f>IFERROR(INDEX('Fund Research'!$T$6:$T$505,MATCH(107,'Fund Research'!$V$6:$V$505,0)),"")</f>
        <v/>
      </c>
    </row>
    <row r="113" ht="15" customHeight="1">
      <c r="A113" s="34">
        <f>IFERROR(IF(INDEX('Fund Research'!$B$6:$B$505,MATCH(108,'Fund Research'!$V$6:$V$505,0))="","",108),"")</f>
        <v/>
      </c>
      <c r="B113" s="35">
        <f>IFERROR(INDEX('Fund Research'!$A$6:$A$505,MATCH(108,'Fund Research'!$V$6:$V$505,0)),"")</f>
        <v/>
      </c>
      <c r="C113" s="35">
        <f>IFERROR(INDEX('Fund Research'!$B$6:$B$505,MATCH(108,'Fund Research'!$V$6:$V$505,0)),"")</f>
        <v/>
      </c>
      <c r="D113" s="35">
        <f>IFERROR(INDEX('Fund Research'!$C$6:$C$505,MATCH(108,'Fund Research'!$V$6:$V$505,0)),"")</f>
        <v/>
      </c>
      <c r="E113" s="36">
        <f>IFERROR(INDEX('Fund Research'!$G$6:$G$505,MATCH(108,'Fund Research'!$V$6:$V$505,0)),"")</f>
        <v/>
      </c>
      <c r="F113" s="36">
        <f>IFERROR(INDEX('Fund Research'!$H$6:$H$505,MATCH(108,'Fund Research'!$V$6:$V$505,0)),"")</f>
        <v/>
      </c>
      <c r="G113" s="36">
        <f>IFERROR(INDEX('Fund Research'!$I$6:$I$505,MATCH(108,'Fund Research'!$V$6:$V$505,0)),"")</f>
        <v/>
      </c>
      <c r="H113" s="37">
        <f>IFERROR(INDEX('Fund Research'!$J$6:$J$505,MATCH(108,'Fund Research'!$V$6:$V$505,0)),"")</f>
        <v/>
      </c>
      <c r="I113" s="39">
        <f>IFERROR(INDEX('Fund Research'!$L$6:$L$505,MATCH(108,'Fund Research'!$V$6:$V$505,0)),"")</f>
        <v/>
      </c>
      <c r="J113" s="37">
        <f>IFERROR(INDEX('Fund Research'!$N$6:$N$505,MATCH(108,'Fund Research'!$V$6:$V$505,0)),"")</f>
        <v/>
      </c>
      <c r="K113" s="37">
        <f>IFERROR(INDEX('Fund Research'!$P$6:$P$505,MATCH(108,'Fund Research'!$V$6:$V$505,0)),"")</f>
        <v/>
      </c>
      <c r="L113" s="35">
        <f>IFERROR(INDEX('Fund Research'!$S$6:$S$505,MATCH(108,'Fund Research'!$V$6:$V$505,0)),"")</f>
        <v/>
      </c>
      <c r="M113" s="35">
        <f>IFERROR(INDEX('Fund Research'!$T$6:$T$505,MATCH(108,'Fund Research'!$V$6:$V$505,0)),"")</f>
        <v/>
      </c>
    </row>
    <row r="114" ht="15" customHeight="1">
      <c r="A114" s="34">
        <f>IFERROR(IF(INDEX('Fund Research'!$B$6:$B$505,MATCH(109,'Fund Research'!$V$6:$V$505,0))="","",109),"")</f>
        <v/>
      </c>
      <c r="B114" s="35">
        <f>IFERROR(INDEX('Fund Research'!$A$6:$A$505,MATCH(109,'Fund Research'!$V$6:$V$505,0)),"")</f>
        <v/>
      </c>
      <c r="C114" s="35">
        <f>IFERROR(INDEX('Fund Research'!$B$6:$B$505,MATCH(109,'Fund Research'!$V$6:$V$505,0)),"")</f>
        <v/>
      </c>
      <c r="D114" s="35">
        <f>IFERROR(INDEX('Fund Research'!$C$6:$C$505,MATCH(109,'Fund Research'!$V$6:$V$505,0)),"")</f>
        <v/>
      </c>
      <c r="E114" s="36">
        <f>IFERROR(INDEX('Fund Research'!$G$6:$G$505,MATCH(109,'Fund Research'!$V$6:$V$505,0)),"")</f>
        <v/>
      </c>
      <c r="F114" s="36">
        <f>IFERROR(INDEX('Fund Research'!$H$6:$H$505,MATCH(109,'Fund Research'!$V$6:$V$505,0)),"")</f>
        <v/>
      </c>
      <c r="G114" s="36">
        <f>IFERROR(INDEX('Fund Research'!$I$6:$I$505,MATCH(109,'Fund Research'!$V$6:$V$505,0)),"")</f>
        <v/>
      </c>
      <c r="H114" s="37">
        <f>IFERROR(INDEX('Fund Research'!$J$6:$J$505,MATCH(109,'Fund Research'!$V$6:$V$505,0)),"")</f>
        <v/>
      </c>
      <c r="I114" s="39">
        <f>IFERROR(INDEX('Fund Research'!$L$6:$L$505,MATCH(109,'Fund Research'!$V$6:$V$505,0)),"")</f>
        <v/>
      </c>
      <c r="J114" s="37">
        <f>IFERROR(INDEX('Fund Research'!$N$6:$N$505,MATCH(109,'Fund Research'!$V$6:$V$505,0)),"")</f>
        <v/>
      </c>
      <c r="K114" s="37">
        <f>IFERROR(INDEX('Fund Research'!$P$6:$P$505,MATCH(109,'Fund Research'!$V$6:$V$505,0)),"")</f>
        <v/>
      </c>
      <c r="L114" s="35">
        <f>IFERROR(INDEX('Fund Research'!$S$6:$S$505,MATCH(109,'Fund Research'!$V$6:$V$505,0)),"")</f>
        <v/>
      </c>
      <c r="M114" s="35">
        <f>IFERROR(INDEX('Fund Research'!$T$6:$T$505,MATCH(109,'Fund Research'!$V$6:$V$505,0)),"")</f>
        <v/>
      </c>
    </row>
    <row r="115" ht="15" customHeight="1">
      <c r="A115" s="34">
        <f>IFERROR(IF(INDEX('Fund Research'!$B$6:$B$505,MATCH(110,'Fund Research'!$V$6:$V$505,0))="","",110),"")</f>
        <v/>
      </c>
      <c r="B115" s="35">
        <f>IFERROR(INDEX('Fund Research'!$A$6:$A$505,MATCH(110,'Fund Research'!$V$6:$V$505,0)),"")</f>
        <v/>
      </c>
      <c r="C115" s="35">
        <f>IFERROR(INDEX('Fund Research'!$B$6:$B$505,MATCH(110,'Fund Research'!$V$6:$V$505,0)),"")</f>
        <v/>
      </c>
      <c r="D115" s="35">
        <f>IFERROR(INDEX('Fund Research'!$C$6:$C$505,MATCH(110,'Fund Research'!$V$6:$V$505,0)),"")</f>
        <v/>
      </c>
      <c r="E115" s="36">
        <f>IFERROR(INDEX('Fund Research'!$G$6:$G$505,MATCH(110,'Fund Research'!$V$6:$V$505,0)),"")</f>
        <v/>
      </c>
      <c r="F115" s="36">
        <f>IFERROR(INDEX('Fund Research'!$H$6:$H$505,MATCH(110,'Fund Research'!$V$6:$V$505,0)),"")</f>
        <v/>
      </c>
      <c r="G115" s="36">
        <f>IFERROR(INDEX('Fund Research'!$I$6:$I$505,MATCH(110,'Fund Research'!$V$6:$V$505,0)),"")</f>
        <v/>
      </c>
      <c r="H115" s="37">
        <f>IFERROR(INDEX('Fund Research'!$J$6:$J$505,MATCH(110,'Fund Research'!$V$6:$V$505,0)),"")</f>
        <v/>
      </c>
      <c r="I115" s="39">
        <f>IFERROR(INDEX('Fund Research'!$L$6:$L$505,MATCH(110,'Fund Research'!$V$6:$V$505,0)),"")</f>
        <v/>
      </c>
      <c r="J115" s="37">
        <f>IFERROR(INDEX('Fund Research'!$N$6:$N$505,MATCH(110,'Fund Research'!$V$6:$V$505,0)),"")</f>
        <v/>
      </c>
      <c r="K115" s="37">
        <f>IFERROR(INDEX('Fund Research'!$P$6:$P$505,MATCH(110,'Fund Research'!$V$6:$V$505,0)),"")</f>
        <v/>
      </c>
      <c r="L115" s="35">
        <f>IFERROR(INDEX('Fund Research'!$S$6:$S$505,MATCH(110,'Fund Research'!$V$6:$V$505,0)),"")</f>
        <v/>
      </c>
      <c r="M115" s="35">
        <f>IFERROR(INDEX('Fund Research'!$T$6:$T$505,MATCH(110,'Fund Research'!$V$6:$V$505,0)),"")</f>
        <v/>
      </c>
    </row>
    <row r="116" ht="15" customHeight="1">
      <c r="A116" s="34">
        <f>IFERROR(IF(INDEX('Fund Research'!$B$6:$B$505,MATCH(111,'Fund Research'!$V$6:$V$505,0))="","",111),"")</f>
        <v/>
      </c>
      <c r="B116" s="35">
        <f>IFERROR(INDEX('Fund Research'!$A$6:$A$505,MATCH(111,'Fund Research'!$V$6:$V$505,0)),"")</f>
        <v/>
      </c>
      <c r="C116" s="35">
        <f>IFERROR(INDEX('Fund Research'!$B$6:$B$505,MATCH(111,'Fund Research'!$V$6:$V$505,0)),"")</f>
        <v/>
      </c>
      <c r="D116" s="35">
        <f>IFERROR(INDEX('Fund Research'!$C$6:$C$505,MATCH(111,'Fund Research'!$V$6:$V$505,0)),"")</f>
        <v/>
      </c>
      <c r="E116" s="36">
        <f>IFERROR(INDEX('Fund Research'!$G$6:$G$505,MATCH(111,'Fund Research'!$V$6:$V$505,0)),"")</f>
        <v/>
      </c>
      <c r="F116" s="36">
        <f>IFERROR(INDEX('Fund Research'!$H$6:$H$505,MATCH(111,'Fund Research'!$V$6:$V$505,0)),"")</f>
        <v/>
      </c>
      <c r="G116" s="36">
        <f>IFERROR(INDEX('Fund Research'!$I$6:$I$505,MATCH(111,'Fund Research'!$V$6:$V$505,0)),"")</f>
        <v/>
      </c>
      <c r="H116" s="37">
        <f>IFERROR(INDEX('Fund Research'!$J$6:$J$505,MATCH(111,'Fund Research'!$V$6:$V$505,0)),"")</f>
        <v/>
      </c>
      <c r="I116" s="39">
        <f>IFERROR(INDEX('Fund Research'!$L$6:$L$505,MATCH(111,'Fund Research'!$V$6:$V$505,0)),"")</f>
        <v/>
      </c>
      <c r="J116" s="37">
        <f>IFERROR(INDEX('Fund Research'!$N$6:$N$505,MATCH(111,'Fund Research'!$V$6:$V$505,0)),"")</f>
        <v/>
      </c>
      <c r="K116" s="37">
        <f>IFERROR(INDEX('Fund Research'!$P$6:$P$505,MATCH(111,'Fund Research'!$V$6:$V$505,0)),"")</f>
        <v/>
      </c>
      <c r="L116" s="35">
        <f>IFERROR(INDEX('Fund Research'!$S$6:$S$505,MATCH(111,'Fund Research'!$V$6:$V$505,0)),"")</f>
        <v/>
      </c>
      <c r="M116" s="35">
        <f>IFERROR(INDEX('Fund Research'!$T$6:$T$505,MATCH(111,'Fund Research'!$V$6:$V$505,0)),"")</f>
        <v/>
      </c>
    </row>
    <row r="117" ht="15" customHeight="1">
      <c r="A117" s="34">
        <f>IFERROR(IF(INDEX('Fund Research'!$B$6:$B$505,MATCH(112,'Fund Research'!$V$6:$V$505,0))="","",112),"")</f>
        <v/>
      </c>
      <c r="B117" s="35">
        <f>IFERROR(INDEX('Fund Research'!$A$6:$A$505,MATCH(112,'Fund Research'!$V$6:$V$505,0)),"")</f>
        <v/>
      </c>
      <c r="C117" s="35">
        <f>IFERROR(INDEX('Fund Research'!$B$6:$B$505,MATCH(112,'Fund Research'!$V$6:$V$505,0)),"")</f>
        <v/>
      </c>
      <c r="D117" s="35">
        <f>IFERROR(INDEX('Fund Research'!$C$6:$C$505,MATCH(112,'Fund Research'!$V$6:$V$505,0)),"")</f>
        <v/>
      </c>
      <c r="E117" s="36">
        <f>IFERROR(INDEX('Fund Research'!$G$6:$G$505,MATCH(112,'Fund Research'!$V$6:$V$505,0)),"")</f>
        <v/>
      </c>
      <c r="F117" s="36">
        <f>IFERROR(INDEX('Fund Research'!$H$6:$H$505,MATCH(112,'Fund Research'!$V$6:$V$505,0)),"")</f>
        <v/>
      </c>
      <c r="G117" s="36">
        <f>IFERROR(INDEX('Fund Research'!$I$6:$I$505,MATCH(112,'Fund Research'!$V$6:$V$505,0)),"")</f>
        <v/>
      </c>
      <c r="H117" s="37">
        <f>IFERROR(INDEX('Fund Research'!$J$6:$J$505,MATCH(112,'Fund Research'!$V$6:$V$505,0)),"")</f>
        <v/>
      </c>
      <c r="I117" s="39">
        <f>IFERROR(INDEX('Fund Research'!$L$6:$L$505,MATCH(112,'Fund Research'!$V$6:$V$505,0)),"")</f>
        <v/>
      </c>
      <c r="J117" s="37">
        <f>IFERROR(INDEX('Fund Research'!$N$6:$N$505,MATCH(112,'Fund Research'!$V$6:$V$505,0)),"")</f>
        <v/>
      </c>
      <c r="K117" s="37">
        <f>IFERROR(INDEX('Fund Research'!$P$6:$P$505,MATCH(112,'Fund Research'!$V$6:$V$505,0)),"")</f>
        <v/>
      </c>
      <c r="L117" s="35">
        <f>IFERROR(INDEX('Fund Research'!$S$6:$S$505,MATCH(112,'Fund Research'!$V$6:$V$505,0)),"")</f>
        <v/>
      </c>
      <c r="M117" s="35">
        <f>IFERROR(INDEX('Fund Research'!$T$6:$T$505,MATCH(112,'Fund Research'!$V$6:$V$505,0)),"")</f>
        <v/>
      </c>
    </row>
    <row r="118" ht="15" customHeight="1">
      <c r="A118" s="34">
        <f>IFERROR(IF(INDEX('Fund Research'!$B$6:$B$505,MATCH(113,'Fund Research'!$V$6:$V$505,0))="","",113),"")</f>
        <v/>
      </c>
      <c r="B118" s="35">
        <f>IFERROR(INDEX('Fund Research'!$A$6:$A$505,MATCH(113,'Fund Research'!$V$6:$V$505,0)),"")</f>
        <v/>
      </c>
      <c r="C118" s="35">
        <f>IFERROR(INDEX('Fund Research'!$B$6:$B$505,MATCH(113,'Fund Research'!$V$6:$V$505,0)),"")</f>
        <v/>
      </c>
      <c r="D118" s="35">
        <f>IFERROR(INDEX('Fund Research'!$C$6:$C$505,MATCH(113,'Fund Research'!$V$6:$V$505,0)),"")</f>
        <v/>
      </c>
      <c r="E118" s="36">
        <f>IFERROR(INDEX('Fund Research'!$G$6:$G$505,MATCH(113,'Fund Research'!$V$6:$V$505,0)),"")</f>
        <v/>
      </c>
      <c r="F118" s="36">
        <f>IFERROR(INDEX('Fund Research'!$H$6:$H$505,MATCH(113,'Fund Research'!$V$6:$V$505,0)),"")</f>
        <v/>
      </c>
      <c r="G118" s="36">
        <f>IFERROR(INDEX('Fund Research'!$I$6:$I$505,MATCH(113,'Fund Research'!$V$6:$V$505,0)),"")</f>
        <v/>
      </c>
      <c r="H118" s="37">
        <f>IFERROR(INDEX('Fund Research'!$J$6:$J$505,MATCH(113,'Fund Research'!$V$6:$V$505,0)),"")</f>
        <v/>
      </c>
      <c r="I118" s="39">
        <f>IFERROR(INDEX('Fund Research'!$L$6:$L$505,MATCH(113,'Fund Research'!$V$6:$V$505,0)),"")</f>
        <v/>
      </c>
      <c r="J118" s="37">
        <f>IFERROR(INDEX('Fund Research'!$N$6:$N$505,MATCH(113,'Fund Research'!$V$6:$V$505,0)),"")</f>
        <v/>
      </c>
      <c r="K118" s="37">
        <f>IFERROR(INDEX('Fund Research'!$P$6:$P$505,MATCH(113,'Fund Research'!$V$6:$V$505,0)),"")</f>
        <v/>
      </c>
      <c r="L118" s="35">
        <f>IFERROR(INDEX('Fund Research'!$S$6:$S$505,MATCH(113,'Fund Research'!$V$6:$V$505,0)),"")</f>
        <v/>
      </c>
      <c r="M118" s="35">
        <f>IFERROR(INDEX('Fund Research'!$T$6:$T$505,MATCH(113,'Fund Research'!$V$6:$V$505,0)),"")</f>
        <v/>
      </c>
    </row>
    <row r="119" ht="15" customHeight="1">
      <c r="A119" s="34">
        <f>IFERROR(IF(INDEX('Fund Research'!$B$6:$B$505,MATCH(114,'Fund Research'!$V$6:$V$505,0))="","",114),"")</f>
        <v/>
      </c>
      <c r="B119" s="35">
        <f>IFERROR(INDEX('Fund Research'!$A$6:$A$505,MATCH(114,'Fund Research'!$V$6:$V$505,0)),"")</f>
        <v/>
      </c>
      <c r="C119" s="35">
        <f>IFERROR(INDEX('Fund Research'!$B$6:$B$505,MATCH(114,'Fund Research'!$V$6:$V$505,0)),"")</f>
        <v/>
      </c>
      <c r="D119" s="35">
        <f>IFERROR(INDEX('Fund Research'!$C$6:$C$505,MATCH(114,'Fund Research'!$V$6:$V$505,0)),"")</f>
        <v/>
      </c>
      <c r="E119" s="36">
        <f>IFERROR(INDEX('Fund Research'!$G$6:$G$505,MATCH(114,'Fund Research'!$V$6:$V$505,0)),"")</f>
        <v/>
      </c>
      <c r="F119" s="36">
        <f>IFERROR(INDEX('Fund Research'!$H$6:$H$505,MATCH(114,'Fund Research'!$V$6:$V$505,0)),"")</f>
        <v/>
      </c>
      <c r="G119" s="36">
        <f>IFERROR(INDEX('Fund Research'!$I$6:$I$505,MATCH(114,'Fund Research'!$V$6:$V$505,0)),"")</f>
        <v/>
      </c>
      <c r="H119" s="37">
        <f>IFERROR(INDEX('Fund Research'!$J$6:$J$505,MATCH(114,'Fund Research'!$V$6:$V$505,0)),"")</f>
        <v/>
      </c>
      <c r="I119" s="39">
        <f>IFERROR(INDEX('Fund Research'!$L$6:$L$505,MATCH(114,'Fund Research'!$V$6:$V$505,0)),"")</f>
        <v/>
      </c>
      <c r="J119" s="37">
        <f>IFERROR(INDEX('Fund Research'!$N$6:$N$505,MATCH(114,'Fund Research'!$V$6:$V$505,0)),"")</f>
        <v/>
      </c>
      <c r="K119" s="37">
        <f>IFERROR(INDEX('Fund Research'!$P$6:$P$505,MATCH(114,'Fund Research'!$V$6:$V$505,0)),"")</f>
        <v/>
      </c>
      <c r="L119" s="35">
        <f>IFERROR(INDEX('Fund Research'!$S$6:$S$505,MATCH(114,'Fund Research'!$V$6:$V$505,0)),"")</f>
        <v/>
      </c>
      <c r="M119" s="35">
        <f>IFERROR(INDEX('Fund Research'!$T$6:$T$505,MATCH(114,'Fund Research'!$V$6:$V$505,0)),"")</f>
        <v/>
      </c>
    </row>
    <row r="120" ht="15" customHeight="1">
      <c r="A120" s="34">
        <f>IFERROR(IF(INDEX('Fund Research'!$B$6:$B$505,MATCH(115,'Fund Research'!$V$6:$V$505,0))="","",115),"")</f>
        <v/>
      </c>
      <c r="B120" s="35">
        <f>IFERROR(INDEX('Fund Research'!$A$6:$A$505,MATCH(115,'Fund Research'!$V$6:$V$505,0)),"")</f>
        <v/>
      </c>
      <c r="C120" s="35">
        <f>IFERROR(INDEX('Fund Research'!$B$6:$B$505,MATCH(115,'Fund Research'!$V$6:$V$505,0)),"")</f>
        <v/>
      </c>
      <c r="D120" s="35">
        <f>IFERROR(INDEX('Fund Research'!$C$6:$C$505,MATCH(115,'Fund Research'!$V$6:$V$505,0)),"")</f>
        <v/>
      </c>
      <c r="E120" s="36">
        <f>IFERROR(INDEX('Fund Research'!$G$6:$G$505,MATCH(115,'Fund Research'!$V$6:$V$505,0)),"")</f>
        <v/>
      </c>
      <c r="F120" s="36">
        <f>IFERROR(INDEX('Fund Research'!$H$6:$H$505,MATCH(115,'Fund Research'!$V$6:$V$505,0)),"")</f>
        <v/>
      </c>
      <c r="G120" s="36">
        <f>IFERROR(INDEX('Fund Research'!$I$6:$I$505,MATCH(115,'Fund Research'!$V$6:$V$505,0)),"")</f>
        <v/>
      </c>
      <c r="H120" s="37">
        <f>IFERROR(INDEX('Fund Research'!$J$6:$J$505,MATCH(115,'Fund Research'!$V$6:$V$505,0)),"")</f>
        <v/>
      </c>
      <c r="I120" s="39">
        <f>IFERROR(INDEX('Fund Research'!$L$6:$L$505,MATCH(115,'Fund Research'!$V$6:$V$505,0)),"")</f>
        <v/>
      </c>
      <c r="J120" s="37">
        <f>IFERROR(INDEX('Fund Research'!$N$6:$N$505,MATCH(115,'Fund Research'!$V$6:$V$505,0)),"")</f>
        <v/>
      </c>
      <c r="K120" s="37">
        <f>IFERROR(INDEX('Fund Research'!$P$6:$P$505,MATCH(115,'Fund Research'!$V$6:$V$505,0)),"")</f>
        <v/>
      </c>
      <c r="L120" s="35">
        <f>IFERROR(INDEX('Fund Research'!$S$6:$S$505,MATCH(115,'Fund Research'!$V$6:$V$505,0)),"")</f>
        <v/>
      </c>
      <c r="M120" s="35">
        <f>IFERROR(INDEX('Fund Research'!$T$6:$T$505,MATCH(115,'Fund Research'!$V$6:$V$505,0)),"")</f>
        <v/>
      </c>
    </row>
    <row r="121" ht="15" customHeight="1">
      <c r="A121" s="34">
        <f>IFERROR(IF(INDEX('Fund Research'!$B$6:$B$505,MATCH(116,'Fund Research'!$V$6:$V$505,0))="","",116),"")</f>
        <v/>
      </c>
      <c r="B121" s="35">
        <f>IFERROR(INDEX('Fund Research'!$A$6:$A$505,MATCH(116,'Fund Research'!$V$6:$V$505,0)),"")</f>
        <v/>
      </c>
      <c r="C121" s="35">
        <f>IFERROR(INDEX('Fund Research'!$B$6:$B$505,MATCH(116,'Fund Research'!$V$6:$V$505,0)),"")</f>
        <v/>
      </c>
      <c r="D121" s="35">
        <f>IFERROR(INDEX('Fund Research'!$C$6:$C$505,MATCH(116,'Fund Research'!$V$6:$V$505,0)),"")</f>
        <v/>
      </c>
      <c r="E121" s="36">
        <f>IFERROR(INDEX('Fund Research'!$G$6:$G$505,MATCH(116,'Fund Research'!$V$6:$V$505,0)),"")</f>
        <v/>
      </c>
      <c r="F121" s="36">
        <f>IFERROR(INDEX('Fund Research'!$H$6:$H$505,MATCH(116,'Fund Research'!$V$6:$V$505,0)),"")</f>
        <v/>
      </c>
      <c r="G121" s="36">
        <f>IFERROR(INDEX('Fund Research'!$I$6:$I$505,MATCH(116,'Fund Research'!$V$6:$V$505,0)),"")</f>
        <v/>
      </c>
      <c r="H121" s="37">
        <f>IFERROR(INDEX('Fund Research'!$J$6:$J$505,MATCH(116,'Fund Research'!$V$6:$V$505,0)),"")</f>
        <v/>
      </c>
      <c r="I121" s="39">
        <f>IFERROR(INDEX('Fund Research'!$L$6:$L$505,MATCH(116,'Fund Research'!$V$6:$V$505,0)),"")</f>
        <v/>
      </c>
      <c r="J121" s="37">
        <f>IFERROR(INDEX('Fund Research'!$N$6:$N$505,MATCH(116,'Fund Research'!$V$6:$V$505,0)),"")</f>
        <v/>
      </c>
      <c r="K121" s="37">
        <f>IFERROR(INDEX('Fund Research'!$P$6:$P$505,MATCH(116,'Fund Research'!$V$6:$V$505,0)),"")</f>
        <v/>
      </c>
      <c r="L121" s="35">
        <f>IFERROR(INDEX('Fund Research'!$S$6:$S$505,MATCH(116,'Fund Research'!$V$6:$V$505,0)),"")</f>
        <v/>
      </c>
      <c r="M121" s="35">
        <f>IFERROR(INDEX('Fund Research'!$T$6:$T$505,MATCH(116,'Fund Research'!$V$6:$V$505,0)),"")</f>
        <v/>
      </c>
    </row>
    <row r="122" ht="15" customHeight="1">
      <c r="A122" s="34">
        <f>IFERROR(IF(INDEX('Fund Research'!$B$6:$B$505,MATCH(117,'Fund Research'!$V$6:$V$505,0))="","",117),"")</f>
        <v/>
      </c>
      <c r="B122" s="35">
        <f>IFERROR(INDEX('Fund Research'!$A$6:$A$505,MATCH(117,'Fund Research'!$V$6:$V$505,0)),"")</f>
        <v/>
      </c>
      <c r="C122" s="35">
        <f>IFERROR(INDEX('Fund Research'!$B$6:$B$505,MATCH(117,'Fund Research'!$V$6:$V$505,0)),"")</f>
        <v/>
      </c>
      <c r="D122" s="35">
        <f>IFERROR(INDEX('Fund Research'!$C$6:$C$505,MATCH(117,'Fund Research'!$V$6:$V$505,0)),"")</f>
        <v/>
      </c>
      <c r="E122" s="36">
        <f>IFERROR(INDEX('Fund Research'!$G$6:$G$505,MATCH(117,'Fund Research'!$V$6:$V$505,0)),"")</f>
        <v/>
      </c>
      <c r="F122" s="36">
        <f>IFERROR(INDEX('Fund Research'!$H$6:$H$505,MATCH(117,'Fund Research'!$V$6:$V$505,0)),"")</f>
        <v/>
      </c>
      <c r="G122" s="36">
        <f>IFERROR(INDEX('Fund Research'!$I$6:$I$505,MATCH(117,'Fund Research'!$V$6:$V$505,0)),"")</f>
        <v/>
      </c>
      <c r="H122" s="37">
        <f>IFERROR(INDEX('Fund Research'!$J$6:$J$505,MATCH(117,'Fund Research'!$V$6:$V$505,0)),"")</f>
        <v/>
      </c>
      <c r="I122" s="39">
        <f>IFERROR(INDEX('Fund Research'!$L$6:$L$505,MATCH(117,'Fund Research'!$V$6:$V$505,0)),"")</f>
        <v/>
      </c>
      <c r="J122" s="37">
        <f>IFERROR(INDEX('Fund Research'!$N$6:$N$505,MATCH(117,'Fund Research'!$V$6:$V$505,0)),"")</f>
        <v/>
      </c>
      <c r="K122" s="37">
        <f>IFERROR(INDEX('Fund Research'!$P$6:$P$505,MATCH(117,'Fund Research'!$V$6:$V$505,0)),"")</f>
        <v/>
      </c>
      <c r="L122" s="35">
        <f>IFERROR(INDEX('Fund Research'!$S$6:$S$505,MATCH(117,'Fund Research'!$V$6:$V$505,0)),"")</f>
        <v/>
      </c>
      <c r="M122" s="35">
        <f>IFERROR(INDEX('Fund Research'!$T$6:$T$505,MATCH(117,'Fund Research'!$V$6:$V$505,0)),"")</f>
        <v/>
      </c>
    </row>
    <row r="123" ht="15" customHeight="1">
      <c r="A123" s="34">
        <f>IFERROR(IF(INDEX('Fund Research'!$B$6:$B$505,MATCH(118,'Fund Research'!$V$6:$V$505,0))="","",118),"")</f>
        <v/>
      </c>
      <c r="B123" s="35">
        <f>IFERROR(INDEX('Fund Research'!$A$6:$A$505,MATCH(118,'Fund Research'!$V$6:$V$505,0)),"")</f>
        <v/>
      </c>
      <c r="C123" s="35">
        <f>IFERROR(INDEX('Fund Research'!$B$6:$B$505,MATCH(118,'Fund Research'!$V$6:$V$505,0)),"")</f>
        <v/>
      </c>
      <c r="D123" s="35">
        <f>IFERROR(INDEX('Fund Research'!$C$6:$C$505,MATCH(118,'Fund Research'!$V$6:$V$505,0)),"")</f>
        <v/>
      </c>
      <c r="E123" s="36">
        <f>IFERROR(INDEX('Fund Research'!$G$6:$G$505,MATCH(118,'Fund Research'!$V$6:$V$505,0)),"")</f>
        <v/>
      </c>
      <c r="F123" s="36">
        <f>IFERROR(INDEX('Fund Research'!$H$6:$H$505,MATCH(118,'Fund Research'!$V$6:$V$505,0)),"")</f>
        <v/>
      </c>
      <c r="G123" s="36">
        <f>IFERROR(INDEX('Fund Research'!$I$6:$I$505,MATCH(118,'Fund Research'!$V$6:$V$505,0)),"")</f>
        <v/>
      </c>
      <c r="H123" s="37">
        <f>IFERROR(INDEX('Fund Research'!$J$6:$J$505,MATCH(118,'Fund Research'!$V$6:$V$505,0)),"")</f>
        <v/>
      </c>
      <c r="I123" s="39">
        <f>IFERROR(INDEX('Fund Research'!$L$6:$L$505,MATCH(118,'Fund Research'!$V$6:$V$505,0)),"")</f>
        <v/>
      </c>
      <c r="J123" s="37">
        <f>IFERROR(INDEX('Fund Research'!$N$6:$N$505,MATCH(118,'Fund Research'!$V$6:$V$505,0)),"")</f>
        <v/>
      </c>
      <c r="K123" s="37">
        <f>IFERROR(INDEX('Fund Research'!$P$6:$P$505,MATCH(118,'Fund Research'!$V$6:$V$505,0)),"")</f>
        <v/>
      </c>
      <c r="L123" s="35">
        <f>IFERROR(INDEX('Fund Research'!$S$6:$S$505,MATCH(118,'Fund Research'!$V$6:$V$505,0)),"")</f>
        <v/>
      </c>
      <c r="M123" s="35">
        <f>IFERROR(INDEX('Fund Research'!$T$6:$T$505,MATCH(118,'Fund Research'!$V$6:$V$505,0)),"")</f>
        <v/>
      </c>
    </row>
    <row r="124" ht="15" customHeight="1">
      <c r="A124" s="34">
        <f>IFERROR(IF(INDEX('Fund Research'!$B$6:$B$505,MATCH(119,'Fund Research'!$V$6:$V$505,0))="","",119),"")</f>
        <v/>
      </c>
      <c r="B124" s="35">
        <f>IFERROR(INDEX('Fund Research'!$A$6:$A$505,MATCH(119,'Fund Research'!$V$6:$V$505,0)),"")</f>
        <v/>
      </c>
      <c r="C124" s="35">
        <f>IFERROR(INDEX('Fund Research'!$B$6:$B$505,MATCH(119,'Fund Research'!$V$6:$V$505,0)),"")</f>
        <v/>
      </c>
      <c r="D124" s="35">
        <f>IFERROR(INDEX('Fund Research'!$C$6:$C$505,MATCH(119,'Fund Research'!$V$6:$V$505,0)),"")</f>
        <v/>
      </c>
      <c r="E124" s="36">
        <f>IFERROR(INDEX('Fund Research'!$G$6:$G$505,MATCH(119,'Fund Research'!$V$6:$V$505,0)),"")</f>
        <v/>
      </c>
      <c r="F124" s="36">
        <f>IFERROR(INDEX('Fund Research'!$H$6:$H$505,MATCH(119,'Fund Research'!$V$6:$V$505,0)),"")</f>
        <v/>
      </c>
      <c r="G124" s="36">
        <f>IFERROR(INDEX('Fund Research'!$I$6:$I$505,MATCH(119,'Fund Research'!$V$6:$V$505,0)),"")</f>
        <v/>
      </c>
      <c r="H124" s="37">
        <f>IFERROR(INDEX('Fund Research'!$J$6:$J$505,MATCH(119,'Fund Research'!$V$6:$V$505,0)),"")</f>
        <v/>
      </c>
      <c r="I124" s="39">
        <f>IFERROR(INDEX('Fund Research'!$L$6:$L$505,MATCH(119,'Fund Research'!$V$6:$V$505,0)),"")</f>
        <v/>
      </c>
      <c r="J124" s="37">
        <f>IFERROR(INDEX('Fund Research'!$N$6:$N$505,MATCH(119,'Fund Research'!$V$6:$V$505,0)),"")</f>
        <v/>
      </c>
      <c r="K124" s="37">
        <f>IFERROR(INDEX('Fund Research'!$P$6:$P$505,MATCH(119,'Fund Research'!$V$6:$V$505,0)),"")</f>
        <v/>
      </c>
      <c r="L124" s="35">
        <f>IFERROR(INDEX('Fund Research'!$S$6:$S$505,MATCH(119,'Fund Research'!$V$6:$V$505,0)),"")</f>
        <v/>
      </c>
      <c r="M124" s="35">
        <f>IFERROR(INDEX('Fund Research'!$T$6:$T$505,MATCH(119,'Fund Research'!$V$6:$V$505,0)),"")</f>
        <v/>
      </c>
    </row>
    <row r="125" ht="15" customHeight="1">
      <c r="A125" s="34">
        <f>IFERROR(IF(INDEX('Fund Research'!$B$6:$B$505,MATCH(120,'Fund Research'!$V$6:$V$505,0))="","",120),"")</f>
        <v/>
      </c>
      <c r="B125" s="35">
        <f>IFERROR(INDEX('Fund Research'!$A$6:$A$505,MATCH(120,'Fund Research'!$V$6:$V$505,0)),"")</f>
        <v/>
      </c>
      <c r="C125" s="35">
        <f>IFERROR(INDEX('Fund Research'!$B$6:$B$505,MATCH(120,'Fund Research'!$V$6:$V$505,0)),"")</f>
        <v/>
      </c>
      <c r="D125" s="35">
        <f>IFERROR(INDEX('Fund Research'!$C$6:$C$505,MATCH(120,'Fund Research'!$V$6:$V$505,0)),"")</f>
        <v/>
      </c>
      <c r="E125" s="36">
        <f>IFERROR(INDEX('Fund Research'!$G$6:$G$505,MATCH(120,'Fund Research'!$V$6:$V$505,0)),"")</f>
        <v/>
      </c>
      <c r="F125" s="36">
        <f>IFERROR(INDEX('Fund Research'!$H$6:$H$505,MATCH(120,'Fund Research'!$V$6:$V$505,0)),"")</f>
        <v/>
      </c>
      <c r="G125" s="36">
        <f>IFERROR(INDEX('Fund Research'!$I$6:$I$505,MATCH(120,'Fund Research'!$V$6:$V$505,0)),"")</f>
        <v/>
      </c>
      <c r="H125" s="37">
        <f>IFERROR(INDEX('Fund Research'!$J$6:$J$505,MATCH(120,'Fund Research'!$V$6:$V$505,0)),"")</f>
        <v/>
      </c>
      <c r="I125" s="39">
        <f>IFERROR(INDEX('Fund Research'!$L$6:$L$505,MATCH(120,'Fund Research'!$V$6:$V$505,0)),"")</f>
        <v/>
      </c>
      <c r="J125" s="37">
        <f>IFERROR(INDEX('Fund Research'!$N$6:$N$505,MATCH(120,'Fund Research'!$V$6:$V$505,0)),"")</f>
        <v/>
      </c>
      <c r="K125" s="37">
        <f>IFERROR(INDEX('Fund Research'!$P$6:$P$505,MATCH(120,'Fund Research'!$V$6:$V$505,0)),"")</f>
        <v/>
      </c>
      <c r="L125" s="35">
        <f>IFERROR(INDEX('Fund Research'!$S$6:$S$505,MATCH(120,'Fund Research'!$V$6:$V$505,0)),"")</f>
        <v/>
      </c>
      <c r="M125" s="35">
        <f>IFERROR(INDEX('Fund Research'!$T$6:$T$505,MATCH(120,'Fund Research'!$V$6:$V$505,0)),"")</f>
        <v/>
      </c>
    </row>
    <row r="126" ht="15" customHeight="1">
      <c r="A126" s="34">
        <f>IFERROR(IF(INDEX('Fund Research'!$B$6:$B$505,MATCH(121,'Fund Research'!$V$6:$V$505,0))="","",121),"")</f>
        <v/>
      </c>
      <c r="B126" s="35">
        <f>IFERROR(INDEX('Fund Research'!$A$6:$A$505,MATCH(121,'Fund Research'!$V$6:$V$505,0)),"")</f>
        <v/>
      </c>
      <c r="C126" s="35">
        <f>IFERROR(INDEX('Fund Research'!$B$6:$B$505,MATCH(121,'Fund Research'!$V$6:$V$505,0)),"")</f>
        <v/>
      </c>
      <c r="D126" s="35">
        <f>IFERROR(INDEX('Fund Research'!$C$6:$C$505,MATCH(121,'Fund Research'!$V$6:$V$505,0)),"")</f>
        <v/>
      </c>
      <c r="E126" s="36">
        <f>IFERROR(INDEX('Fund Research'!$G$6:$G$505,MATCH(121,'Fund Research'!$V$6:$V$505,0)),"")</f>
        <v/>
      </c>
      <c r="F126" s="36">
        <f>IFERROR(INDEX('Fund Research'!$H$6:$H$505,MATCH(121,'Fund Research'!$V$6:$V$505,0)),"")</f>
        <v/>
      </c>
      <c r="G126" s="36">
        <f>IFERROR(INDEX('Fund Research'!$I$6:$I$505,MATCH(121,'Fund Research'!$V$6:$V$505,0)),"")</f>
        <v/>
      </c>
      <c r="H126" s="37">
        <f>IFERROR(INDEX('Fund Research'!$J$6:$J$505,MATCH(121,'Fund Research'!$V$6:$V$505,0)),"")</f>
        <v/>
      </c>
      <c r="I126" s="39">
        <f>IFERROR(INDEX('Fund Research'!$L$6:$L$505,MATCH(121,'Fund Research'!$V$6:$V$505,0)),"")</f>
        <v/>
      </c>
      <c r="J126" s="37">
        <f>IFERROR(INDEX('Fund Research'!$N$6:$N$505,MATCH(121,'Fund Research'!$V$6:$V$505,0)),"")</f>
        <v/>
      </c>
      <c r="K126" s="37">
        <f>IFERROR(INDEX('Fund Research'!$P$6:$P$505,MATCH(121,'Fund Research'!$V$6:$V$505,0)),"")</f>
        <v/>
      </c>
      <c r="L126" s="35">
        <f>IFERROR(INDEX('Fund Research'!$S$6:$S$505,MATCH(121,'Fund Research'!$V$6:$V$505,0)),"")</f>
        <v/>
      </c>
      <c r="M126" s="35">
        <f>IFERROR(INDEX('Fund Research'!$T$6:$T$505,MATCH(121,'Fund Research'!$V$6:$V$505,0)),"")</f>
        <v/>
      </c>
    </row>
    <row r="127" ht="15" customHeight="1">
      <c r="A127" s="34">
        <f>IFERROR(IF(INDEX('Fund Research'!$B$6:$B$505,MATCH(122,'Fund Research'!$V$6:$V$505,0))="","",122),"")</f>
        <v/>
      </c>
      <c r="B127" s="35">
        <f>IFERROR(INDEX('Fund Research'!$A$6:$A$505,MATCH(122,'Fund Research'!$V$6:$V$505,0)),"")</f>
        <v/>
      </c>
      <c r="C127" s="35">
        <f>IFERROR(INDEX('Fund Research'!$B$6:$B$505,MATCH(122,'Fund Research'!$V$6:$V$505,0)),"")</f>
        <v/>
      </c>
      <c r="D127" s="35">
        <f>IFERROR(INDEX('Fund Research'!$C$6:$C$505,MATCH(122,'Fund Research'!$V$6:$V$505,0)),"")</f>
        <v/>
      </c>
      <c r="E127" s="36">
        <f>IFERROR(INDEX('Fund Research'!$G$6:$G$505,MATCH(122,'Fund Research'!$V$6:$V$505,0)),"")</f>
        <v/>
      </c>
      <c r="F127" s="36">
        <f>IFERROR(INDEX('Fund Research'!$H$6:$H$505,MATCH(122,'Fund Research'!$V$6:$V$505,0)),"")</f>
        <v/>
      </c>
      <c r="G127" s="36">
        <f>IFERROR(INDEX('Fund Research'!$I$6:$I$505,MATCH(122,'Fund Research'!$V$6:$V$505,0)),"")</f>
        <v/>
      </c>
      <c r="H127" s="37">
        <f>IFERROR(INDEX('Fund Research'!$J$6:$J$505,MATCH(122,'Fund Research'!$V$6:$V$505,0)),"")</f>
        <v/>
      </c>
      <c r="I127" s="39">
        <f>IFERROR(INDEX('Fund Research'!$L$6:$L$505,MATCH(122,'Fund Research'!$V$6:$V$505,0)),"")</f>
        <v/>
      </c>
      <c r="J127" s="37">
        <f>IFERROR(INDEX('Fund Research'!$N$6:$N$505,MATCH(122,'Fund Research'!$V$6:$V$505,0)),"")</f>
        <v/>
      </c>
      <c r="K127" s="37">
        <f>IFERROR(INDEX('Fund Research'!$P$6:$P$505,MATCH(122,'Fund Research'!$V$6:$V$505,0)),"")</f>
        <v/>
      </c>
      <c r="L127" s="35">
        <f>IFERROR(INDEX('Fund Research'!$S$6:$S$505,MATCH(122,'Fund Research'!$V$6:$V$505,0)),"")</f>
        <v/>
      </c>
      <c r="M127" s="35">
        <f>IFERROR(INDEX('Fund Research'!$T$6:$T$505,MATCH(122,'Fund Research'!$V$6:$V$505,0)),"")</f>
        <v/>
      </c>
    </row>
    <row r="128" ht="15" customHeight="1">
      <c r="A128" s="34">
        <f>IFERROR(IF(INDEX('Fund Research'!$B$6:$B$505,MATCH(123,'Fund Research'!$V$6:$V$505,0))="","",123),"")</f>
        <v/>
      </c>
      <c r="B128" s="35">
        <f>IFERROR(INDEX('Fund Research'!$A$6:$A$505,MATCH(123,'Fund Research'!$V$6:$V$505,0)),"")</f>
        <v/>
      </c>
      <c r="C128" s="35">
        <f>IFERROR(INDEX('Fund Research'!$B$6:$B$505,MATCH(123,'Fund Research'!$V$6:$V$505,0)),"")</f>
        <v/>
      </c>
      <c r="D128" s="35">
        <f>IFERROR(INDEX('Fund Research'!$C$6:$C$505,MATCH(123,'Fund Research'!$V$6:$V$505,0)),"")</f>
        <v/>
      </c>
      <c r="E128" s="36">
        <f>IFERROR(INDEX('Fund Research'!$G$6:$G$505,MATCH(123,'Fund Research'!$V$6:$V$505,0)),"")</f>
        <v/>
      </c>
      <c r="F128" s="36">
        <f>IFERROR(INDEX('Fund Research'!$H$6:$H$505,MATCH(123,'Fund Research'!$V$6:$V$505,0)),"")</f>
        <v/>
      </c>
      <c r="G128" s="36">
        <f>IFERROR(INDEX('Fund Research'!$I$6:$I$505,MATCH(123,'Fund Research'!$V$6:$V$505,0)),"")</f>
        <v/>
      </c>
      <c r="H128" s="37">
        <f>IFERROR(INDEX('Fund Research'!$J$6:$J$505,MATCH(123,'Fund Research'!$V$6:$V$505,0)),"")</f>
        <v/>
      </c>
      <c r="I128" s="39">
        <f>IFERROR(INDEX('Fund Research'!$L$6:$L$505,MATCH(123,'Fund Research'!$V$6:$V$505,0)),"")</f>
        <v/>
      </c>
      <c r="J128" s="37">
        <f>IFERROR(INDEX('Fund Research'!$N$6:$N$505,MATCH(123,'Fund Research'!$V$6:$V$505,0)),"")</f>
        <v/>
      </c>
      <c r="K128" s="37">
        <f>IFERROR(INDEX('Fund Research'!$P$6:$P$505,MATCH(123,'Fund Research'!$V$6:$V$505,0)),"")</f>
        <v/>
      </c>
      <c r="L128" s="35">
        <f>IFERROR(INDEX('Fund Research'!$S$6:$S$505,MATCH(123,'Fund Research'!$V$6:$V$505,0)),"")</f>
        <v/>
      </c>
      <c r="M128" s="35">
        <f>IFERROR(INDEX('Fund Research'!$T$6:$T$505,MATCH(123,'Fund Research'!$V$6:$V$505,0)),"")</f>
        <v/>
      </c>
    </row>
    <row r="129" ht="15" customHeight="1">
      <c r="A129" s="34">
        <f>IFERROR(IF(INDEX('Fund Research'!$B$6:$B$505,MATCH(124,'Fund Research'!$V$6:$V$505,0))="","",124),"")</f>
        <v/>
      </c>
      <c r="B129" s="35">
        <f>IFERROR(INDEX('Fund Research'!$A$6:$A$505,MATCH(124,'Fund Research'!$V$6:$V$505,0)),"")</f>
        <v/>
      </c>
      <c r="C129" s="35">
        <f>IFERROR(INDEX('Fund Research'!$B$6:$B$505,MATCH(124,'Fund Research'!$V$6:$V$505,0)),"")</f>
        <v/>
      </c>
      <c r="D129" s="35">
        <f>IFERROR(INDEX('Fund Research'!$C$6:$C$505,MATCH(124,'Fund Research'!$V$6:$V$505,0)),"")</f>
        <v/>
      </c>
      <c r="E129" s="36">
        <f>IFERROR(INDEX('Fund Research'!$G$6:$G$505,MATCH(124,'Fund Research'!$V$6:$V$505,0)),"")</f>
        <v/>
      </c>
      <c r="F129" s="36">
        <f>IFERROR(INDEX('Fund Research'!$H$6:$H$505,MATCH(124,'Fund Research'!$V$6:$V$505,0)),"")</f>
        <v/>
      </c>
      <c r="G129" s="36">
        <f>IFERROR(INDEX('Fund Research'!$I$6:$I$505,MATCH(124,'Fund Research'!$V$6:$V$505,0)),"")</f>
        <v/>
      </c>
      <c r="H129" s="37">
        <f>IFERROR(INDEX('Fund Research'!$J$6:$J$505,MATCH(124,'Fund Research'!$V$6:$V$505,0)),"")</f>
        <v/>
      </c>
      <c r="I129" s="39">
        <f>IFERROR(INDEX('Fund Research'!$L$6:$L$505,MATCH(124,'Fund Research'!$V$6:$V$505,0)),"")</f>
        <v/>
      </c>
      <c r="J129" s="37">
        <f>IFERROR(INDEX('Fund Research'!$N$6:$N$505,MATCH(124,'Fund Research'!$V$6:$V$505,0)),"")</f>
        <v/>
      </c>
      <c r="K129" s="37">
        <f>IFERROR(INDEX('Fund Research'!$P$6:$P$505,MATCH(124,'Fund Research'!$V$6:$V$505,0)),"")</f>
        <v/>
      </c>
      <c r="L129" s="35">
        <f>IFERROR(INDEX('Fund Research'!$S$6:$S$505,MATCH(124,'Fund Research'!$V$6:$V$505,0)),"")</f>
        <v/>
      </c>
      <c r="M129" s="35">
        <f>IFERROR(INDEX('Fund Research'!$T$6:$T$505,MATCH(124,'Fund Research'!$V$6:$V$505,0)),"")</f>
        <v/>
      </c>
    </row>
    <row r="130" ht="15" customHeight="1">
      <c r="A130" s="34">
        <f>IFERROR(IF(INDEX('Fund Research'!$B$6:$B$505,MATCH(125,'Fund Research'!$V$6:$V$505,0))="","",125),"")</f>
        <v/>
      </c>
      <c r="B130" s="35">
        <f>IFERROR(INDEX('Fund Research'!$A$6:$A$505,MATCH(125,'Fund Research'!$V$6:$V$505,0)),"")</f>
        <v/>
      </c>
      <c r="C130" s="35">
        <f>IFERROR(INDEX('Fund Research'!$B$6:$B$505,MATCH(125,'Fund Research'!$V$6:$V$505,0)),"")</f>
        <v/>
      </c>
      <c r="D130" s="35">
        <f>IFERROR(INDEX('Fund Research'!$C$6:$C$505,MATCH(125,'Fund Research'!$V$6:$V$505,0)),"")</f>
        <v/>
      </c>
      <c r="E130" s="36">
        <f>IFERROR(INDEX('Fund Research'!$G$6:$G$505,MATCH(125,'Fund Research'!$V$6:$V$505,0)),"")</f>
        <v/>
      </c>
      <c r="F130" s="36">
        <f>IFERROR(INDEX('Fund Research'!$H$6:$H$505,MATCH(125,'Fund Research'!$V$6:$V$505,0)),"")</f>
        <v/>
      </c>
      <c r="G130" s="36">
        <f>IFERROR(INDEX('Fund Research'!$I$6:$I$505,MATCH(125,'Fund Research'!$V$6:$V$505,0)),"")</f>
        <v/>
      </c>
      <c r="H130" s="37">
        <f>IFERROR(INDEX('Fund Research'!$J$6:$J$505,MATCH(125,'Fund Research'!$V$6:$V$505,0)),"")</f>
        <v/>
      </c>
      <c r="I130" s="39">
        <f>IFERROR(INDEX('Fund Research'!$L$6:$L$505,MATCH(125,'Fund Research'!$V$6:$V$505,0)),"")</f>
        <v/>
      </c>
      <c r="J130" s="37">
        <f>IFERROR(INDEX('Fund Research'!$N$6:$N$505,MATCH(125,'Fund Research'!$V$6:$V$505,0)),"")</f>
        <v/>
      </c>
      <c r="K130" s="37">
        <f>IFERROR(INDEX('Fund Research'!$P$6:$P$505,MATCH(125,'Fund Research'!$V$6:$V$505,0)),"")</f>
        <v/>
      </c>
      <c r="L130" s="35">
        <f>IFERROR(INDEX('Fund Research'!$S$6:$S$505,MATCH(125,'Fund Research'!$V$6:$V$505,0)),"")</f>
        <v/>
      </c>
      <c r="M130" s="35">
        <f>IFERROR(INDEX('Fund Research'!$T$6:$T$505,MATCH(125,'Fund Research'!$V$6:$V$505,0)),"")</f>
        <v/>
      </c>
    </row>
    <row r="131" ht="15" customHeight="1">
      <c r="A131" s="34">
        <f>IFERROR(IF(INDEX('Fund Research'!$B$6:$B$505,MATCH(126,'Fund Research'!$V$6:$V$505,0))="","",126),"")</f>
        <v/>
      </c>
      <c r="B131" s="35">
        <f>IFERROR(INDEX('Fund Research'!$A$6:$A$505,MATCH(126,'Fund Research'!$V$6:$V$505,0)),"")</f>
        <v/>
      </c>
      <c r="C131" s="35">
        <f>IFERROR(INDEX('Fund Research'!$B$6:$B$505,MATCH(126,'Fund Research'!$V$6:$V$505,0)),"")</f>
        <v/>
      </c>
      <c r="D131" s="35">
        <f>IFERROR(INDEX('Fund Research'!$C$6:$C$505,MATCH(126,'Fund Research'!$V$6:$V$505,0)),"")</f>
        <v/>
      </c>
      <c r="E131" s="36">
        <f>IFERROR(INDEX('Fund Research'!$G$6:$G$505,MATCH(126,'Fund Research'!$V$6:$V$505,0)),"")</f>
        <v/>
      </c>
      <c r="F131" s="36">
        <f>IFERROR(INDEX('Fund Research'!$H$6:$H$505,MATCH(126,'Fund Research'!$V$6:$V$505,0)),"")</f>
        <v/>
      </c>
      <c r="G131" s="36">
        <f>IFERROR(INDEX('Fund Research'!$I$6:$I$505,MATCH(126,'Fund Research'!$V$6:$V$505,0)),"")</f>
        <v/>
      </c>
      <c r="H131" s="37">
        <f>IFERROR(INDEX('Fund Research'!$J$6:$J$505,MATCH(126,'Fund Research'!$V$6:$V$505,0)),"")</f>
        <v/>
      </c>
      <c r="I131" s="39">
        <f>IFERROR(INDEX('Fund Research'!$L$6:$L$505,MATCH(126,'Fund Research'!$V$6:$V$505,0)),"")</f>
        <v/>
      </c>
      <c r="J131" s="37">
        <f>IFERROR(INDEX('Fund Research'!$N$6:$N$505,MATCH(126,'Fund Research'!$V$6:$V$505,0)),"")</f>
        <v/>
      </c>
      <c r="K131" s="37">
        <f>IFERROR(INDEX('Fund Research'!$P$6:$P$505,MATCH(126,'Fund Research'!$V$6:$V$505,0)),"")</f>
        <v/>
      </c>
      <c r="L131" s="35">
        <f>IFERROR(INDEX('Fund Research'!$S$6:$S$505,MATCH(126,'Fund Research'!$V$6:$V$505,0)),"")</f>
        <v/>
      </c>
      <c r="M131" s="35">
        <f>IFERROR(INDEX('Fund Research'!$T$6:$T$505,MATCH(126,'Fund Research'!$V$6:$V$505,0)),"")</f>
        <v/>
      </c>
    </row>
    <row r="132" ht="15" customHeight="1">
      <c r="A132" s="34">
        <f>IFERROR(IF(INDEX('Fund Research'!$B$6:$B$505,MATCH(127,'Fund Research'!$V$6:$V$505,0))="","",127),"")</f>
        <v/>
      </c>
      <c r="B132" s="35">
        <f>IFERROR(INDEX('Fund Research'!$A$6:$A$505,MATCH(127,'Fund Research'!$V$6:$V$505,0)),"")</f>
        <v/>
      </c>
      <c r="C132" s="35">
        <f>IFERROR(INDEX('Fund Research'!$B$6:$B$505,MATCH(127,'Fund Research'!$V$6:$V$505,0)),"")</f>
        <v/>
      </c>
      <c r="D132" s="35">
        <f>IFERROR(INDEX('Fund Research'!$C$6:$C$505,MATCH(127,'Fund Research'!$V$6:$V$505,0)),"")</f>
        <v/>
      </c>
      <c r="E132" s="36">
        <f>IFERROR(INDEX('Fund Research'!$G$6:$G$505,MATCH(127,'Fund Research'!$V$6:$V$505,0)),"")</f>
        <v/>
      </c>
      <c r="F132" s="36">
        <f>IFERROR(INDEX('Fund Research'!$H$6:$H$505,MATCH(127,'Fund Research'!$V$6:$V$505,0)),"")</f>
        <v/>
      </c>
      <c r="G132" s="36">
        <f>IFERROR(INDEX('Fund Research'!$I$6:$I$505,MATCH(127,'Fund Research'!$V$6:$V$505,0)),"")</f>
        <v/>
      </c>
      <c r="H132" s="37">
        <f>IFERROR(INDEX('Fund Research'!$J$6:$J$505,MATCH(127,'Fund Research'!$V$6:$V$505,0)),"")</f>
        <v/>
      </c>
      <c r="I132" s="39">
        <f>IFERROR(INDEX('Fund Research'!$L$6:$L$505,MATCH(127,'Fund Research'!$V$6:$V$505,0)),"")</f>
        <v/>
      </c>
      <c r="J132" s="37">
        <f>IFERROR(INDEX('Fund Research'!$N$6:$N$505,MATCH(127,'Fund Research'!$V$6:$V$505,0)),"")</f>
        <v/>
      </c>
      <c r="K132" s="37">
        <f>IFERROR(INDEX('Fund Research'!$P$6:$P$505,MATCH(127,'Fund Research'!$V$6:$V$505,0)),"")</f>
        <v/>
      </c>
      <c r="L132" s="35">
        <f>IFERROR(INDEX('Fund Research'!$S$6:$S$505,MATCH(127,'Fund Research'!$V$6:$V$505,0)),"")</f>
        <v/>
      </c>
      <c r="M132" s="35">
        <f>IFERROR(INDEX('Fund Research'!$T$6:$T$505,MATCH(127,'Fund Research'!$V$6:$V$505,0)),"")</f>
        <v/>
      </c>
    </row>
    <row r="133" ht="15" customHeight="1">
      <c r="A133" s="34">
        <f>IFERROR(IF(INDEX('Fund Research'!$B$6:$B$505,MATCH(128,'Fund Research'!$V$6:$V$505,0))="","",128),"")</f>
        <v/>
      </c>
      <c r="B133" s="35">
        <f>IFERROR(INDEX('Fund Research'!$A$6:$A$505,MATCH(128,'Fund Research'!$V$6:$V$505,0)),"")</f>
        <v/>
      </c>
      <c r="C133" s="35">
        <f>IFERROR(INDEX('Fund Research'!$B$6:$B$505,MATCH(128,'Fund Research'!$V$6:$V$505,0)),"")</f>
        <v/>
      </c>
      <c r="D133" s="35">
        <f>IFERROR(INDEX('Fund Research'!$C$6:$C$505,MATCH(128,'Fund Research'!$V$6:$V$505,0)),"")</f>
        <v/>
      </c>
      <c r="E133" s="36">
        <f>IFERROR(INDEX('Fund Research'!$G$6:$G$505,MATCH(128,'Fund Research'!$V$6:$V$505,0)),"")</f>
        <v/>
      </c>
      <c r="F133" s="36">
        <f>IFERROR(INDEX('Fund Research'!$H$6:$H$505,MATCH(128,'Fund Research'!$V$6:$V$505,0)),"")</f>
        <v/>
      </c>
      <c r="G133" s="36">
        <f>IFERROR(INDEX('Fund Research'!$I$6:$I$505,MATCH(128,'Fund Research'!$V$6:$V$505,0)),"")</f>
        <v/>
      </c>
      <c r="H133" s="37">
        <f>IFERROR(INDEX('Fund Research'!$J$6:$J$505,MATCH(128,'Fund Research'!$V$6:$V$505,0)),"")</f>
        <v/>
      </c>
      <c r="I133" s="39">
        <f>IFERROR(INDEX('Fund Research'!$L$6:$L$505,MATCH(128,'Fund Research'!$V$6:$V$505,0)),"")</f>
        <v/>
      </c>
      <c r="J133" s="37">
        <f>IFERROR(INDEX('Fund Research'!$N$6:$N$505,MATCH(128,'Fund Research'!$V$6:$V$505,0)),"")</f>
        <v/>
      </c>
      <c r="K133" s="37">
        <f>IFERROR(INDEX('Fund Research'!$P$6:$P$505,MATCH(128,'Fund Research'!$V$6:$V$505,0)),"")</f>
        <v/>
      </c>
      <c r="L133" s="35">
        <f>IFERROR(INDEX('Fund Research'!$S$6:$S$505,MATCH(128,'Fund Research'!$V$6:$V$505,0)),"")</f>
        <v/>
      </c>
      <c r="M133" s="35">
        <f>IFERROR(INDEX('Fund Research'!$T$6:$T$505,MATCH(128,'Fund Research'!$V$6:$V$505,0)),"")</f>
        <v/>
      </c>
    </row>
    <row r="134" ht="15" customHeight="1">
      <c r="A134" s="34">
        <f>IFERROR(IF(INDEX('Fund Research'!$B$6:$B$505,MATCH(129,'Fund Research'!$V$6:$V$505,0))="","",129),"")</f>
        <v/>
      </c>
      <c r="B134" s="35">
        <f>IFERROR(INDEX('Fund Research'!$A$6:$A$505,MATCH(129,'Fund Research'!$V$6:$V$505,0)),"")</f>
        <v/>
      </c>
      <c r="C134" s="35">
        <f>IFERROR(INDEX('Fund Research'!$B$6:$B$505,MATCH(129,'Fund Research'!$V$6:$V$505,0)),"")</f>
        <v/>
      </c>
      <c r="D134" s="35">
        <f>IFERROR(INDEX('Fund Research'!$C$6:$C$505,MATCH(129,'Fund Research'!$V$6:$V$505,0)),"")</f>
        <v/>
      </c>
      <c r="E134" s="36">
        <f>IFERROR(INDEX('Fund Research'!$G$6:$G$505,MATCH(129,'Fund Research'!$V$6:$V$505,0)),"")</f>
        <v/>
      </c>
      <c r="F134" s="36">
        <f>IFERROR(INDEX('Fund Research'!$H$6:$H$505,MATCH(129,'Fund Research'!$V$6:$V$505,0)),"")</f>
        <v/>
      </c>
      <c r="G134" s="36">
        <f>IFERROR(INDEX('Fund Research'!$I$6:$I$505,MATCH(129,'Fund Research'!$V$6:$V$505,0)),"")</f>
        <v/>
      </c>
      <c r="H134" s="37">
        <f>IFERROR(INDEX('Fund Research'!$J$6:$J$505,MATCH(129,'Fund Research'!$V$6:$V$505,0)),"")</f>
        <v/>
      </c>
      <c r="I134" s="39">
        <f>IFERROR(INDEX('Fund Research'!$L$6:$L$505,MATCH(129,'Fund Research'!$V$6:$V$505,0)),"")</f>
        <v/>
      </c>
      <c r="J134" s="37">
        <f>IFERROR(INDEX('Fund Research'!$N$6:$N$505,MATCH(129,'Fund Research'!$V$6:$V$505,0)),"")</f>
        <v/>
      </c>
      <c r="K134" s="37">
        <f>IFERROR(INDEX('Fund Research'!$P$6:$P$505,MATCH(129,'Fund Research'!$V$6:$V$505,0)),"")</f>
        <v/>
      </c>
      <c r="L134" s="35">
        <f>IFERROR(INDEX('Fund Research'!$S$6:$S$505,MATCH(129,'Fund Research'!$V$6:$V$505,0)),"")</f>
        <v/>
      </c>
      <c r="M134" s="35">
        <f>IFERROR(INDEX('Fund Research'!$T$6:$T$505,MATCH(129,'Fund Research'!$V$6:$V$505,0)),"")</f>
        <v/>
      </c>
    </row>
    <row r="135" ht="15" customHeight="1">
      <c r="A135" s="34">
        <f>IFERROR(IF(INDEX('Fund Research'!$B$6:$B$505,MATCH(130,'Fund Research'!$V$6:$V$505,0))="","",130),"")</f>
        <v/>
      </c>
      <c r="B135" s="35">
        <f>IFERROR(INDEX('Fund Research'!$A$6:$A$505,MATCH(130,'Fund Research'!$V$6:$V$505,0)),"")</f>
        <v/>
      </c>
      <c r="C135" s="35">
        <f>IFERROR(INDEX('Fund Research'!$B$6:$B$505,MATCH(130,'Fund Research'!$V$6:$V$505,0)),"")</f>
        <v/>
      </c>
      <c r="D135" s="35">
        <f>IFERROR(INDEX('Fund Research'!$C$6:$C$505,MATCH(130,'Fund Research'!$V$6:$V$505,0)),"")</f>
        <v/>
      </c>
      <c r="E135" s="36">
        <f>IFERROR(INDEX('Fund Research'!$G$6:$G$505,MATCH(130,'Fund Research'!$V$6:$V$505,0)),"")</f>
        <v/>
      </c>
      <c r="F135" s="36">
        <f>IFERROR(INDEX('Fund Research'!$H$6:$H$505,MATCH(130,'Fund Research'!$V$6:$V$505,0)),"")</f>
        <v/>
      </c>
      <c r="G135" s="36">
        <f>IFERROR(INDEX('Fund Research'!$I$6:$I$505,MATCH(130,'Fund Research'!$V$6:$V$505,0)),"")</f>
        <v/>
      </c>
      <c r="H135" s="37">
        <f>IFERROR(INDEX('Fund Research'!$J$6:$J$505,MATCH(130,'Fund Research'!$V$6:$V$505,0)),"")</f>
        <v/>
      </c>
      <c r="I135" s="39">
        <f>IFERROR(INDEX('Fund Research'!$L$6:$L$505,MATCH(130,'Fund Research'!$V$6:$V$505,0)),"")</f>
        <v/>
      </c>
      <c r="J135" s="37">
        <f>IFERROR(INDEX('Fund Research'!$N$6:$N$505,MATCH(130,'Fund Research'!$V$6:$V$505,0)),"")</f>
        <v/>
      </c>
      <c r="K135" s="37">
        <f>IFERROR(INDEX('Fund Research'!$P$6:$P$505,MATCH(130,'Fund Research'!$V$6:$V$505,0)),"")</f>
        <v/>
      </c>
      <c r="L135" s="35">
        <f>IFERROR(INDEX('Fund Research'!$S$6:$S$505,MATCH(130,'Fund Research'!$V$6:$V$505,0)),"")</f>
        <v/>
      </c>
      <c r="M135" s="35">
        <f>IFERROR(INDEX('Fund Research'!$T$6:$T$505,MATCH(130,'Fund Research'!$V$6:$V$505,0)),"")</f>
        <v/>
      </c>
    </row>
    <row r="136" ht="15" customHeight="1">
      <c r="A136" s="34">
        <f>IFERROR(IF(INDEX('Fund Research'!$B$6:$B$505,MATCH(131,'Fund Research'!$V$6:$V$505,0))="","",131),"")</f>
        <v/>
      </c>
      <c r="B136" s="35">
        <f>IFERROR(INDEX('Fund Research'!$A$6:$A$505,MATCH(131,'Fund Research'!$V$6:$V$505,0)),"")</f>
        <v/>
      </c>
      <c r="C136" s="35">
        <f>IFERROR(INDEX('Fund Research'!$B$6:$B$505,MATCH(131,'Fund Research'!$V$6:$V$505,0)),"")</f>
        <v/>
      </c>
      <c r="D136" s="35">
        <f>IFERROR(INDEX('Fund Research'!$C$6:$C$505,MATCH(131,'Fund Research'!$V$6:$V$505,0)),"")</f>
        <v/>
      </c>
      <c r="E136" s="36">
        <f>IFERROR(INDEX('Fund Research'!$G$6:$G$505,MATCH(131,'Fund Research'!$V$6:$V$505,0)),"")</f>
        <v/>
      </c>
      <c r="F136" s="36">
        <f>IFERROR(INDEX('Fund Research'!$H$6:$H$505,MATCH(131,'Fund Research'!$V$6:$V$505,0)),"")</f>
        <v/>
      </c>
      <c r="G136" s="36">
        <f>IFERROR(INDEX('Fund Research'!$I$6:$I$505,MATCH(131,'Fund Research'!$V$6:$V$505,0)),"")</f>
        <v/>
      </c>
      <c r="H136" s="37">
        <f>IFERROR(INDEX('Fund Research'!$J$6:$J$505,MATCH(131,'Fund Research'!$V$6:$V$505,0)),"")</f>
        <v/>
      </c>
      <c r="I136" s="39">
        <f>IFERROR(INDEX('Fund Research'!$L$6:$L$505,MATCH(131,'Fund Research'!$V$6:$V$505,0)),"")</f>
        <v/>
      </c>
      <c r="J136" s="37">
        <f>IFERROR(INDEX('Fund Research'!$N$6:$N$505,MATCH(131,'Fund Research'!$V$6:$V$505,0)),"")</f>
        <v/>
      </c>
      <c r="K136" s="37">
        <f>IFERROR(INDEX('Fund Research'!$P$6:$P$505,MATCH(131,'Fund Research'!$V$6:$V$505,0)),"")</f>
        <v/>
      </c>
      <c r="L136" s="35">
        <f>IFERROR(INDEX('Fund Research'!$S$6:$S$505,MATCH(131,'Fund Research'!$V$6:$V$505,0)),"")</f>
        <v/>
      </c>
      <c r="M136" s="35">
        <f>IFERROR(INDEX('Fund Research'!$T$6:$T$505,MATCH(131,'Fund Research'!$V$6:$V$505,0)),"")</f>
        <v/>
      </c>
    </row>
    <row r="137" ht="15" customHeight="1">
      <c r="A137" s="34">
        <f>IFERROR(IF(INDEX('Fund Research'!$B$6:$B$505,MATCH(132,'Fund Research'!$V$6:$V$505,0))="","",132),"")</f>
        <v/>
      </c>
      <c r="B137" s="35">
        <f>IFERROR(INDEX('Fund Research'!$A$6:$A$505,MATCH(132,'Fund Research'!$V$6:$V$505,0)),"")</f>
        <v/>
      </c>
      <c r="C137" s="35">
        <f>IFERROR(INDEX('Fund Research'!$B$6:$B$505,MATCH(132,'Fund Research'!$V$6:$V$505,0)),"")</f>
        <v/>
      </c>
      <c r="D137" s="35">
        <f>IFERROR(INDEX('Fund Research'!$C$6:$C$505,MATCH(132,'Fund Research'!$V$6:$V$505,0)),"")</f>
        <v/>
      </c>
      <c r="E137" s="36">
        <f>IFERROR(INDEX('Fund Research'!$G$6:$G$505,MATCH(132,'Fund Research'!$V$6:$V$505,0)),"")</f>
        <v/>
      </c>
      <c r="F137" s="36">
        <f>IFERROR(INDEX('Fund Research'!$H$6:$H$505,MATCH(132,'Fund Research'!$V$6:$V$505,0)),"")</f>
        <v/>
      </c>
      <c r="G137" s="36">
        <f>IFERROR(INDEX('Fund Research'!$I$6:$I$505,MATCH(132,'Fund Research'!$V$6:$V$505,0)),"")</f>
        <v/>
      </c>
      <c r="H137" s="37">
        <f>IFERROR(INDEX('Fund Research'!$J$6:$J$505,MATCH(132,'Fund Research'!$V$6:$V$505,0)),"")</f>
        <v/>
      </c>
      <c r="I137" s="39">
        <f>IFERROR(INDEX('Fund Research'!$L$6:$L$505,MATCH(132,'Fund Research'!$V$6:$V$505,0)),"")</f>
        <v/>
      </c>
      <c r="J137" s="37">
        <f>IFERROR(INDEX('Fund Research'!$N$6:$N$505,MATCH(132,'Fund Research'!$V$6:$V$505,0)),"")</f>
        <v/>
      </c>
      <c r="K137" s="37">
        <f>IFERROR(INDEX('Fund Research'!$P$6:$P$505,MATCH(132,'Fund Research'!$V$6:$V$505,0)),"")</f>
        <v/>
      </c>
      <c r="L137" s="35">
        <f>IFERROR(INDEX('Fund Research'!$S$6:$S$505,MATCH(132,'Fund Research'!$V$6:$V$505,0)),"")</f>
        <v/>
      </c>
      <c r="M137" s="35">
        <f>IFERROR(INDEX('Fund Research'!$T$6:$T$505,MATCH(132,'Fund Research'!$V$6:$V$505,0)),"")</f>
        <v/>
      </c>
    </row>
    <row r="138" ht="15" customHeight="1">
      <c r="A138" s="34">
        <f>IFERROR(IF(INDEX('Fund Research'!$B$6:$B$505,MATCH(133,'Fund Research'!$V$6:$V$505,0))="","",133),"")</f>
        <v/>
      </c>
      <c r="B138" s="35">
        <f>IFERROR(INDEX('Fund Research'!$A$6:$A$505,MATCH(133,'Fund Research'!$V$6:$V$505,0)),"")</f>
        <v/>
      </c>
      <c r="C138" s="35">
        <f>IFERROR(INDEX('Fund Research'!$B$6:$B$505,MATCH(133,'Fund Research'!$V$6:$V$505,0)),"")</f>
        <v/>
      </c>
      <c r="D138" s="35">
        <f>IFERROR(INDEX('Fund Research'!$C$6:$C$505,MATCH(133,'Fund Research'!$V$6:$V$505,0)),"")</f>
        <v/>
      </c>
      <c r="E138" s="36">
        <f>IFERROR(INDEX('Fund Research'!$G$6:$G$505,MATCH(133,'Fund Research'!$V$6:$V$505,0)),"")</f>
        <v/>
      </c>
      <c r="F138" s="36">
        <f>IFERROR(INDEX('Fund Research'!$H$6:$H$505,MATCH(133,'Fund Research'!$V$6:$V$505,0)),"")</f>
        <v/>
      </c>
      <c r="G138" s="36">
        <f>IFERROR(INDEX('Fund Research'!$I$6:$I$505,MATCH(133,'Fund Research'!$V$6:$V$505,0)),"")</f>
        <v/>
      </c>
      <c r="H138" s="37">
        <f>IFERROR(INDEX('Fund Research'!$J$6:$J$505,MATCH(133,'Fund Research'!$V$6:$V$505,0)),"")</f>
        <v/>
      </c>
      <c r="I138" s="39">
        <f>IFERROR(INDEX('Fund Research'!$L$6:$L$505,MATCH(133,'Fund Research'!$V$6:$V$505,0)),"")</f>
        <v/>
      </c>
      <c r="J138" s="37">
        <f>IFERROR(INDEX('Fund Research'!$N$6:$N$505,MATCH(133,'Fund Research'!$V$6:$V$505,0)),"")</f>
        <v/>
      </c>
      <c r="K138" s="37">
        <f>IFERROR(INDEX('Fund Research'!$P$6:$P$505,MATCH(133,'Fund Research'!$V$6:$V$505,0)),"")</f>
        <v/>
      </c>
      <c r="L138" s="35">
        <f>IFERROR(INDEX('Fund Research'!$S$6:$S$505,MATCH(133,'Fund Research'!$V$6:$V$505,0)),"")</f>
        <v/>
      </c>
      <c r="M138" s="35">
        <f>IFERROR(INDEX('Fund Research'!$T$6:$T$505,MATCH(133,'Fund Research'!$V$6:$V$505,0)),"")</f>
        <v/>
      </c>
    </row>
    <row r="139" ht="15" customHeight="1">
      <c r="A139" s="34">
        <f>IFERROR(IF(INDEX('Fund Research'!$B$6:$B$505,MATCH(134,'Fund Research'!$V$6:$V$505,0))="","",134),"")</f>
        <v/>
      </c>
      <c r="B139" s="35">
        <f>IFERROR(INDEX('Fund Research'!$A$6:$A$505,MATCH(134,'Fund Research'!$V$6:$V$505,0)),"")</f>
        <v/>
      </c>
      <c r="C139" s="35">
        <f>IFERROR(INDEX('Fund Research'!$B$6:$B$505,MATCH(134,'Fund Research'!$V$6:$V$505,0)),"")</f>
        <v/>
      </c>
      <c r="D139" s="35">
        <f>IFERROR(INDEX('Fund Research'!$C$6:$C$505,MATCH(134,'Fund Research'!$V$6:$V$505,0)),"")</f>
        <v/>
      </c>
      <c r="E139" s="36">
        <f>IFERROR(INDEX('Fund Research'!$G$6:$G$505,MATCH(134,'Fund Research'!$V$6:$V$505,0)),"")</f>
        <v/>
      </c>
      <c r="F139" s="36">
        <f>IFERROR(INDEX('Fund Research'!$H$6:$H$505,MATCH(134,'Fund Research'!$V$6:$V$505,0)),"")</f>
        <v/>
      </c>
      <c r="G139" s="36">
        <f>IFERROR(INDEX('Fund Research'!$I$6:$I$505,MATCH(134,'Fund Research'!$V$6:$V$505,0)),"")</f>
        <v/>
      </c>
      <c r="H139" s="37">
        <f>IFERROR(INDEX('Fund Research'!$J$6:$J$505,MATCH(134,'Fund Research'!$V$6:$V$505,0)),"")</f>
        <v/>
      </c>
      <c r="I139" s="39">
        <f>IFERROR(INDEX('Fund Research'!$L$6:$L$505,MATCH(134,'Fund Research'!$V$6:$V$505,0)),"")</f>
        <v/>
      </c>
      <c r="J139" s="37">
        <f>IFERROR(INDEX('Fund Research'!$N$6:$N$505,MATCH(134,'Fund Research'!$V$6:$V$505,0)),"")</f>
        <v/>
      </c>
      <c r="K139" s="37">
        <f>IFERROR(INDEX('Fund Research'!$P$6:$P$505,MATCH(134,'Fund Research'!$V$6:$V$505,0)),"")</f>
        <v/>
      </c>
      <c r="L139" s="35">
        <f>IFERROR(INDEX('Fund Research'!$S$6:$S$505,MATCH(134,'Fund Research'!$V$6:$V$505,0)),"")</f>
        <v/>
      </c>
      <c r="M139" s="35">
        <f>IFERROR(INDEX('Fund Research'!$T$6:$T$505,MATCH(134,'Fund Research'!$V$6:$V$505,0)),"")</f>
        <v/>
      </c>
    </row>
    <row r="140" ht="15" customHeight="1">
      <c r="A140" s="34">
        <f>IFERROR(IF(INDEX('Fund Research'!$B$6:$B$505,MATCH(135,'Fund Research'!$V$6:$V$505,0))="","",135),"")</f>
        <v/>
      </c>
      <c r="B140" s="35">
        <f>IFERROR(INDEX('Fund Research'!$A$6:$A$505,MATCH(135,'Fund Research'!$V$6:$V$505,0)),"")</f>
        <v/>
      </c>
      <c r="C140" s="35">
        <f>IFERROR(INDEX('Fund Research'!$B$6:$B$505,MATCH(135,'Fund Research'!$V$6:$V$505,0)),"")</f>
        <v/>
      </c>
      <c r="D140" s="35">
        <f>IFERROR(INDEX('Fund Research'!$C$6:$C$505,MATCH(135,'Fund Research'!$V$6:$V$505,0)),"")</f>
        <v/>
      </c>
      <c r="E140" s="36">
        <f>IFERROR(INDEX('Fund Research'!$G$6:$G$505,MATCH(135,'Fund Research'!$V$6:$V$505,0)),"")</f>
        <v/>
      </c>
      <c r="F140" s="36">
        <f>IFERROR(INDEX('Fund Research'!$H$6:$H$505,MATCH(135,'Fund Research'!$V$6:$V$505,0)),"")</f>
        <v/>
      </c>
      <c r="G140" s="36">
        <f>IFERROR(INDEX('Fund Research'!$I$6:$I$505,MATCH(135,'Fund Research'!$V$6:$V$505,0)),"")</f>
        <v/>
      </c>
      <c r="H140" s="37">
        <f>IFERROR(INDEX('Fund Research'!$J$6:$J$505,MATCH(135,'Fund Research'!$V$6:$V$505,0)),"")</f>
        <v/>
      </c>
      <c r="I140" s="39">
        <f>IFERROR(INDEX('Fund Research'!$L$6:$L$505,MATCH(135,'Fund Research'!$V$6:$V$505,0)),"")</f>
        <v/>
      </c>
      <c r="J140" s="37">
        <f>IFERROR(INDEX('Fund Research'!$N$6:$N$505,MATCH(135,'Fund Research'!$V$6:$V$505,0)),"")</f>
        <v/>
      </c>
      <c r="K140" s="37">
        <f>IFERROR(INDEX('Fund Research'!$P$6:$P$505,MATCH(135,'Fund Research'!$V$6:$V$505,0)),"")</f>
        <v/>
      </c>
      <c r="L140" s="35">
        <f>IFERROR(INDEX('Fund Research'!$S$6:$S$505,MATCH(135,'Fund Research'!$V$6:$V$505,0)),"")</f>
        <v/>
      </c>
      <c r="M140" s="35">
        <f>IFERROR(INDEX('Fund Research'!$T$6:$T$505,MATCH(135,'Fund Research'!$V$6:$V$505,0)),"")</f>
        <v/>
      </c>
    </row>
    <row r="141" ht="15" customHeight="1">
      <c r="A141" s="34">
        <f>IFERROR(IF(INDEX('Fund Research'!$B$6:$B$505,MATCH(136,'Fund Research'!$V$6:$V$505,0))="","",136),"")</f>
        <v/>
      </c>
      <c r="B141" s="35">
        <f>IFERROR(INDEX('Fund Research'!$A$6:$A$505,MATCH(136,'Fund Research'!$V$6:$V$505,0)),"")</f>
        <v/>
      </c>
      <c r="C141" s="35">
        <f>IFERROR(INDEX('Fund Research'!$B$6:$B$505,MATCH(136,'Fund Research'!$V$6:$V$505,0)),"")</f>
        <v/>
      </c>
      <c r="D141" s="35">
        <f>IFERROR(INDEX('Fund Research'!$C$6:$C$505,MATCH(136,'Fund Research'!$V$6:$V$505,0)),"")</f>
        <v/>
      </c>
      <c r="E141" s="36">
        <f>IFERROR(INDEX('Fund Research'!$G$6:$G$505,MATCH(136,'Fund Research'!$V$6:$V$505,0)),"")</f>
        <v/>
      </c>
      <c r="F141" s="36">
        <f>IFERROR(INDEX('Fund Research'!$H$6:$H$505,MATCH(136,'Fund Research'!$V$6:$V$505,0)),"")</f>
        <v/>
      </c>
      <c r="G141" s="36">
        <f>IFERROR(INDEX('Fund Research'!$I$6:$I$505,MATCH(136,'Fund Research'!$V$6:$V$505,0)),"")</f>
        <v/>
      </c>
      <c r="H141" s="37">
        <f>IFERROR(INDEX('Fund Research'!$J$6:$J$505,MATCH(136,'Fund Research'!$V$6:$V$505,0)),"")</f>
        <v/>
      </c>
      <c r="I141" s="39">
        <f>IFERROR(INDEX('Fund Research'!$L$6:$L$505,MATCH(136,'Fund Research'!$V$6:$V$505,0)),"")</f>
        <v/>
      </c>
      <c r="J141" s="37">
        <f>IFERROR(INDEX('Fund Research'!$N$6:$N$505,MATCH(136,'Fund Research'!$V$6:$V$505,0)),"")</f>
        <v/>
      </c>
      <c r="K141" s="37">
        <f>IFERROR(INDEX('Fund Research'!$P$6:$P$505,MATCH(136,'Fund Research'!$V$6:$V$505,0)),"")</f>
        <v/>
      </c>
      <c r="L141" s="35">
        <f>IFERROR(INDEX('Fund Research'!$S$6:$S$505,MATCH(136,'Fund Research'!$V$6:$V$505,0)),"")</f>
        <v/>
      </c>
      <c r="M141" s="35">
        <f>IFERROR(INDEX('Fund Research'!$T$6:$T$505,MATCH(136,'Fund Research'!$V$6:$V$505,0)),"")</f>
        <v/>
      </c>
    </row>
    <row r="142" ht="15" customHeight="1">
      <c r="A142" s="34">
        <f>IFERROR(IF(INDEX('Fund Research'!$B$6:$B$505,MATCH(137,'Fund Research'!$V$6:$V$505,0))="","",137),"")</f>
        <v/>
      </c>
      <c r="B142" s="35">
        <f>IFERROR(INDEX('Fund Research'!$A$6:$A$505,MATCH(137,'Fund Research'!$V$6:$V$505,0)),"")</f>
        <v/>
      </c>
      <c r="C142" s="35">
        <f>IFERROR(INDEX('Fund Research'!$B$6:$B$505,MATCH(137,'Fund Research'!$V$6:$V$505,0)),"")</f>
        <v/>
      </c>
      <c r="D142" s="35">
        <f>IFERROR(INDEX('Fund Research'!$C$6:$C$505,MATCH(137,'Fund Research'!$V$6:$V$505,0)),"")</f>
        <v/>
      </c>
      <c r="E142" s="36">
        <f>IFERROR(INDEX('Fund Research'!$G$6:$G$505,MATCH(137,'Fund Research'!$V$6:$V$505,0)),"")</f>
        <v/>
      </c>
      <c r="F142" s="36">
        <f>IFERROR(INDEX('Fund Research'!$H$6:$H$505,MATCH(137,'Fund Research'!$V$6:$V$505,0)),"")</f>
        <v/>
      </c>
      <c r="G142" s="36">
        <f>IFERROR(INDEX('Fund Research'!$I$6:$I$505,MATCH(137,'Fund Research'!$V$6:$V$505,0)),"")</f>
        <v/>
      </c>
      <c r="H142" s="37">
        <f>IFERROR(INDEX('Fund Research'!$J$6:$J$505,MATCH(137,'Fund Research'!$V$6:$V$505,0)),"")</f>
        <v/>
      </c>
      <c r="I142" s="39">
        <f>IFERROR(INDEX('Fund Research'!$L$6:$L$505,MATCH(137,'Fund Research'!$V$6:$V$505,0)),"")</f>
        <v/>
      </c>
      <c r="J142" s="37">
        <f>IFERROR(INDEX('Fund Research'!$N$6:$N$505,MATCH(137,'Fund Research'!$V$6:$V$505,0)),"")</f>
        <v/>
      </c>
      <c r="K142" s="37">
        <f>IFERROR(INDEX('Fund Research'!$P$6:$P$505,MATCH(137,'Fund Research'!$V$6:$V$505,0)),"")</f>
        <v/>
      </c>
      <c r="L142" s="35">
        <f>IFERROR(INDEX('Fund Research'!$S$6:$S$505,MATCH(137,'Fund Research'!$V$6:$V$505,0)),"")</f>
        <v/>
      </c>
      <c r="M142" s="35">
        <f>IFERROR(INDEX('Fund Research'!$T$6:$T$505,MATCH(137,'Fund Research'!$V$6:$V$505,0)),"")</f>
        <v/>
      </c>
    </row>
    <row r="143" ht="15" customHeight="1">
      <c r="A143" s="34">
        <f>IFERROR(IF(INDEX('Fund Research'!$B$6:$B$505,MATCH(138,'Fund Research'!$V$6:$V$505,0))="","",138),"")</f>
        <v/>
      </c>
      <c r="B143" s="35">
        <f>IFERROR(INDEX('Fund Research'!$A$6:$A$505,MATCH(138,'Fund Research'!$V$6:$V$505,0)),"")</f>
        <v/>
      </c>
      <c r="C143" s="35">
        <f>IFERROR(INDEX('Fund Research'!$B$6:$B$505,MATCH(138,'Fund Research'!$V$6:$V$505,0)),"")</f>
        <v/>
      </c>
      <c r="D143" s="35">
        <f>IFERROR(INDEX('Fund Research'!$C$6:$C$505,MATCH(138,'Fund Research'!$V$6:$V$505,0)),"")</f>
        <v/>
      </c>
      <c r="E143" s="36">
        <f>IFERROR(INDEX('Fund Research'!$G$6:$G$505,MATCH(138,'Fund Research'!$V$6:$V$505,0)),"")</f>
        <v/>
      </c>
      <c r="F143" s="36">
        <f>IFERROR(INDEX('Fund Research'!$H$6:$H$505,MATCH(138,'Fund Research'!$V$6:$V$505,0)),"")</f>
        <v/>
      </c>
      <c r="G143" s="36">
        <f>IFERROR(INDEX('Fund Research'!$I$6:$I$505,MATCH(138,'Fund Research'!$V$6:$V$505,0)),"")</f>
        <v/>
      </c>
      <c r="H143" s="37">
        <f>IFERROR(INDEX('Fund Research'!$J$6:$J$505,MATCH(138,'Fund Research'!$V$6:$V$505,0)),"")</f>
        <v/>
      </c>
      <c r="I143" s="39">
        <f>IFERROR(INDEX('Fund Research'!$L$6:$L$505,MATCH(138,'Fund Research'!$V$6:$V$505,0)),"")</f>
        <v/>
      </c>
      <c r="J143" s="37">
        <f>IFERROR(INDEX('Fund Research'!$N$6:$N$505,MATCH(138,'Fund Research'!$V$6:$V$505,0)),"")</f>
        <v/>
      </c>
      <c r="K143" s="37">
        <f>IFERROR(INDEX('Fund Research'!$P$6:$P$505,MATCH(138,'Fund Research'!$V$6:$V$505,0)),"")</f>
        <v/>
      </c>
      <c r="L143" s="35">
        <f>IFERROR(INDEX('Fund Research'!$S$6:$S$505,MATCH(138,'Fund Research'!$V$6:$V$505,0)),"")</f>
        <v/>
      </c>
      <c r="M143" s="35">
        <f>IFERROR(INDEX('Fund Research'!$T$6:$T$505,MATCH(138,'Fund Research'!$V$6:$V$505,0)),"")</f>
        <v/>
      </c>
    </row>
    <row r="144" ht="15" customHeight="1">
      <c r="A144" s="34">
        <f>IFERROR(IF(INDEX('Fund Research'!$B$6:$B$505,MATCH(139,'Fund Research'!$V$6:$V$505,0))="","",139),"")</f>
        <v/>
      </c>
      <c r="B144" s="35">
        <f>IFERROR(INDEX('Fund Research'!$A$6:$A$505,MATCH(139,'Fund Research'!$V$6:$V$505,0)),"")</f>
        <v/>
      </c>
      <c r="C144" s="35">
        <f>IFERROR(INDEX('Fund Research'!$B$6:$B$505,MATCH(139,'Fund Research'!$V$6:$V$505,0)),"")</f>
        <v/>
      </c>
      <c r="D144" s="35">
        <f>IFERROR(INDEX('Fund Research'!$C$6:$C$505,MATCH(139,'Fund Research'!$V$6:$V$505,0)),"")</f>
        <v/>
      </c>
      <c r="E144" s="36">
        <f>IFERROR(INDEX('Fund Research'!$G$6:$G$505,MATCH(139,'Fund Research'!$V$6:$V$505,0)),"")</f>
        <v/>
      </c>
      <c r="F144" s="36">
        <f>IFERROR(INDEX('Fund Research'!$H$6:$H$505,MATCH(139,'Fund Research'!$V$6:$V$505,0)),"")</f>
        <v/>
      </c>
      <c r="G144" s="36">
        <f>IFERROR(INDEX('Fund Research'!$I$6:$I$505,MATCH(139,'Fund Research'!$V$6:$V$505,0)),"")</f>
        <v/>
      </c>
      <c r="H144" s="37">
        <f>IFERROR(INDEX('Fund Research'!$J$6:$J$505,MATCH(139,'Fund Research'!$V$6:$V$505,0)),"")</f>
        <v/>
      </c>
      <c r="I144" s="39">
        <f>IFERROR(INDEX('Fund Research'!$L$6:$L$505,MATCH(139,'Fund Research'!$V$6:$V$505,0)),"")</f>
        <v/>
      </c>
      <c r="J144" s="37">
        <f>IFERROR(INDEX('Fund Research'!$N$6:$N$505,MATCH(139,'Fund Research'!$V$6:$V$505,0)),"")</f>
        <v/>
      </c>
      <c r="K144" s="37">
        <f>IFERROR(INDEX('Fund Research'!$P$6:$P$505,MATCH(139,'Fund Research'!$V$6:$V$505,0)),"")</f>
        <v/>
      </c>
      <c r="L144" s="35">
        <f>IFERROR(INDEX('Fund Research'!$S$6:$S$505,MATCH(139,'Fund Research'!$V$6:$V$505,0)),"")</f>
        <v/>
      </c>
      <c r="M144" s="35">
        <f>IFERROR(INDEX('Fund Research'!$T$6:$T$505,MATCH(139,'Fund Research'!$V$6:$V$505,0)),"")</f>
        <v/>
      </c>
    </row>
    <row r="145" ht="15" customHeight="1">
      <c r="A145" s="34">
        <f>IFERROR(IF(INDEX('Fund Research'!$B$6:$B$505,MATCH(140,'Fund Research'!$V$6:$V$505,0))="","",140),"")</f>
        <v/>
      </c>
      <c r="B145" s="35">
        <f>IFERROR(INDEX('Fund Research'!$A$6:$A$505,MATCH(140,'Fund Research'!$V$6:$V$505,0)),"")</f>
        <v/>
      </c>
      <c r="C145" s="35">
        <f>IFERROR(INDEX('Fund Research'!$B$6:$B$505,MATCH(140,'Fund Research'!$V$6:$V$505,0)),"")</f>
        <v/>
      </c>
      <c r="D145" s="35">
        <f>IFERROR(INDEX('Fund Research'!$C$6:$C$505,MATCH(140,'Fund Research'!$V$6:$V$505,0)),"")</f>
        <v/>
      </c>
      <c r="E145" s="36">
        <f>IFERROR(INDEX('Fund Research'!$G$6:$G$505,MATCH(140,'Fund Research'!$V$6:$V$505,0)),"")</f>
        <v/>
      </c>
      <c r="F145" s="36">
        <f>IFERROR(INDEX('Fund Research'!$H$6:$H$505,MATCH(140,'Fund Research'!$V$6:$V$505,0)),"")</f>
        <v/>
      </c>
      <c r="G145" s="36">
        <f>IFERROR(INDEX('Fund Research'!$I$6:$I$505,MATCH(140,'Fund Research'!$V$6:$V$505,0)),"")</f>
        <v/>
      </c>
      <c r="H145" s="37">
        <f>IFERROR(INDEX('Fund Research'!$J$6:$J$505,MATCH(140,'Fund Research'!$V$6:$V$505,0)),"")</f>
        <v/>
      </c>
      <c r="I145" s="39">
        <f>IFERROR(INDEX('Fund Research'!$L$6:$L$505,MATCH(140,'Fund Research'!$V$6:$V$505,0)),"")</f>
        <v/>
      </c>
      <c r="J145" s="37">
        <f>IFERROR(INDEX('Fund Research'!$N$6:$N$505,MATCH(140,'Fund Research'!$V$6:$V$505,0)),"")</f>
        <v/>
      </c>
      <c r="K145" s="37">
        <f>IFERROR(INDEX('Fund Research'!$P$6:$P$505,MATCH(140,'Fund Research'!$V$6:$V$505,0)),"")</f>
        <v/>
      </c>
      <c r="L145" s="35">
        <f>IFERROR(INDEX('Fund Research'!$S$6:$S$505,MATCH(140,'Fund Research'!$V$6:$V$505,0)),"")</f>
        <v/>
      </c>
      <c r="M145" s="35">
        <f>IFERROR(INDEX('Fund Research'!$T$6:$T$505,MATCH(140,'Fund Research'!$V$6:$V$505,0)),"")</f>
        <v/>
      </c>
    </row>
    <row r="146" ht="15" customHeight="1">
      <c r="A146" s="34">
        <f>IFERROR(IF(INDEX('Fund Research'!$B$6:$B$505,MATCH(141,'Fund Research'!$V$6:$V$505,0))="","",141),"")</f>
        <v/>
      </c>
      <c r="B146" s="35">
        <f>IFERROR(INDEX('Fund Research'!$A$6:$A$505,MATCH(141,'Fund Research'!$V$6:$V$505,0)),"")</f>
        <v/>
      </c>
      <c r="C146" s="35">
        <f>IFERROR(INDEX('Fund Research'!$B$6:$B$505,MATCH(141,'Fund Research'!$V$6:$V$505,0)),"")</f>
        <v/>
      </c>
      <c r="D146" s="35">
        <f>IFERROR(INDEX('Fund Research'!$C$6:$C$505,MATCH(141,'Fund Research'!$V$6:$V$505,0)),"")</f>
        <v/>
      </c>
      <c r="E146" s="36">
        <f>IFERROR(INDEX('Fund Research'!$G$6:$G$505,MATCH(141,'Fund Research'!$V$6:$V$505,0)),"")</f>
        <v/>
      </c>
      <c r="F146" s="36">
        <f>IFERROR(INDEX('Fund Research'!$H$6:$H$505,MATCH(141,'Fund Research'!$V$6:$V$505,0)),"")</f>
        <v/>
      </c>
      <c r="G146" s="36">
        <f>IFERROR(INDEX('Fund Research'!$I$6:$I$505,MATCH(141,'Fund Research'!$V$6:$V$505,0)),"")</f>
        <v/>
      </c>
      <c r="H146" s="37">
        <f>IFERROR(INDEX('Fund Research'!$J$6:$J$505,MATCH(141,'Fund Research'!$V$6:$V$505,0)),"")</f>
        <v/>
      </c>
      <c r="I146" s="39">
        <f>IFERROR(INDEX('Fund Research'!$L$6:$L$505,MATCH(141,'Fund Research'!$V$6:$V$505,0)),"")</f>
        <v/>
      </c>
      <c r="J146" s="37">
        <f>IFERROR(INDEX('Fund Research'!$N$6:$N$505,MATCH(141,'Fund Research'!$V$6:$V$505,0)),"")</f>
        <v/>
      </c>
      <c r="K146" s="37">
        <f>IFERROR(INDEX('Fund Research'!$P$6:$P$505,MATCH(141,'Fund Research'!$V$6:$V$505,0)),"")</f>
        <v/>
      </c>
      <c r="L146" s="35">
        <f>IFERROR(INDEX('Fund Research'!$S$6:$S$505,MATCH(141,'Fund Research'!$V$6:$V$505,0)),"")</f>
        <v/>
      </c>
      <c r="M146" s="35">
        <f>IFERROR(INDEX('Fund Research'!$T$6:$T$505,MATCH(141,'Fund Research'!$V$6:$V$505,0)),"")</f>
        <v/>
      </c>
    </row>
    <row r="147" ht="15" customHeight="1">
      <c r="A147" s="34">
        <f>IFERROR(IF(INDEX('Fund Research'!$B$6:$B$505,MATCH(142,'Fund Research'!$V$6:$V$505,0))="","",142),"")</f>
        <v/>
      </c>
      <c r="B147" s="35">
        <f>IFERROR(INDEX('Fund Research'!$A$6:$A$505,MATCH(142,'Fund Research'!$V$6:$V$505,0)),"")</f>
        <v/>
      </c>
      <c r="C147" s="35">
        <f>IFERROR(INDEX('Fund Research'!$B$6:$B$505,MATCH(142,'Fund Research'!$V$6:$V$505,0)),"")</f>
        <v/>
      </c>
      <c r="D147" s="35">
        <f>IFERROR(INDEX('Fund Research'!$C$6:$C$505,MATCH(142,'Fund Research'!$V$6:$V$505,0)),"")</f>
        <v/>
      </c>
      <c r="E147" s="36">
        <f>IFERROR(INDEX('Fund Research'!$G$6:$G$505,MATCH(142,'Fund Research'!$V$6:$V$505,0)),"")</f>
        <v/>
      </c>
      <c r="F147" s="36">
        <f>IFERROR(INDEX('Fund Research'!$H$6:$H$505,MATCH(142,'Fund Research'!$V$6:$V$505,0)),"")</f>
        <v/>
      </c>
      <c r="G147" s="36">
        <f>IFERROR(INDEX('Fund Research'!$I$6:$I$505,MATCH(142,'Fund Research'!$V$6:$V$505,0)),"")</f>
        <v/>
      </c>
      <c r="H147" s="37">
        <f>IFERROR(INDEX('Fund Research'!$J$6:$J$505,MATCH(142,'Fund Research'!$V$6:$V$505,0)),"")</f>
        <v/>
      </c>
      <c r="I147" s="39">
        <f>IFERROR(INDEX('Fund Research'!$L$6:$L$505,MATCH(142,'Fund Research'!$V$6:$V$505,0)),"")</f>
        <v/>
      </c>
      <c r="J147" s="37">
        <f>IFERROR(INDEX('Fund Research'!$N$6:$N$505,MATCH(142,'Fund Research'!$V$6:$V$505,0)),"")</f>
        <v/>
      </c>
      <c r="K147" s="37">
        <f>IFERROR(INDEX('Fund Research'!$P$6:$P$505,MATCH(142,'Fund Research'!$V$6:$V$505,0)),"")</f>
        <v/>
      </c>
      <c r="L147" s="35">
        <f>IFERROR(INDEX('Fund Research'!$S$6:$S$505,MATCH(142,'Fund Research'!$V$6:$V$505,0)),"")</f>
        <v/>
      </c>
      <c r="M147" s="35">
        <f>IFERROR(INDEX('Fund Research'!$T$6:$T$505,MATCH(142,'Fund Research'!$V$6:$V$505,0)),"")</f>
        <v/>
      </c>
    </row>
    <row r="148" ht="15" customHeight="1">
      <c r="A148" s="34">
        <f>IFERROR(IF(INDEX('Fund Research'!$B$6:$B$505,MATCH(143,'Fund Research'!$V$6:$V$505,0))="","",143),"")</f>
        <v/>
      </c>
      <c r="B148" s="35">
        <f>IFERROR(INDEX('Fund Research'!$A$6:$A$505,MATCH(143,'Fund Research'!$V$6:$V$505,0)),"")</f>
        <v/>
      </c>
      <c r="C148" s="35">
        <f>IFERROR(INDEX('Fund Research'!$B$6:$B$505,MATCH(143,'Fund Research'!$V$6:$V$505,0)),"")</f>
        <v/>
      </c>
      <c r="D148" s="35">
        <f>IFERROR(INDEX('Fund Research'!$C$6:$C$505,MATCH(143,'Fund Research'!$V$6:$V$505,0)),"")</f>
        <v/>
      </c>
      <c r="E148" s="36">
        <f>IFERROR(INDEX('Fund Research'!$G$6:$G$505,MATCH(143,'Fund Research'!$V$6:$V$505,0)),"")</f>
        <v/>
      </c>
      <c r="F148" s="36">
        <f>IFERROR(INDEX('Fund Research'!$H$6:$H$505,MATCH(143,'Fund Research'!$V$6:$V$505,0)),"")</f>
        <v/>
      </c>
      <c r="G148" s="36">
        <f>IFERROR(INDEX('Fund Research'!$I$6:$I$505,MATCH(143,'Fund Research'!$V$6:$V$505,0)),"")</f>
        <v/>
      </c>
      <c r="H148" s="37">
        <f>IFERROR(INDEX('Fund Research'!$J$6:$J$505,MATCH(143,'Fund Research'!$V$6:$V$505,0)),"")</f>
        <v/>
      </c>
      <c r="I148" s="39">
        <f>IFERROR(INDEX('Fund Research'!$L$6:$L$505,MATCH(143,'Fund Research'!$V$6:$V$505,0)),"")</f>
        <v/>
      </c>
      <c r="J148" s="37">
        <f>IFERROR(INDEX('Fund Research'!$N$6:$N$505,MATCH(143,'Fund Research'!$V$6:$V$505,0)),"")</f>
        <v/>
      </c>
      <c r="K148" s="37">
        <f>IFERROR(INDEX('Fund Research'!$P$6:$P$505,MATCH(143,'Fund Research'!$V$6:$V$505,0)),"")</f>
        <v/>
      </c>
      <c r="L148" s="35">
        <f>IFERROR(INDEX('Fund Research'!$S$6:$S$505,MATCH(143,'Fund Research'!$V$6:$V$505,0)),"")</f>
        <v/>
      </c>
      <c r="M148" s="35">
        <f>IFERROR(INDEX('Fund Research'!$T$6:$T$505,MATCH(143,'Fund Research'!$V$6:$V$505,0)),"")</f>
        <v/>
      </c>
    </row>
    <row r="149" ht="15" customHeight="1">
      <c r="A149" s="34">
        <f>IFERROR(IF(INDEX('Fund Research'!$B$6:$B$505,MATCH(144,'Fund Research'!$V$6:$V$505,0))="","",144),"")</f>
        <v/>
      </c>
      <c r="B149" s="35">
        <f>IFERROR(INDEX('Fund Research'!$A$6:$A$505,MATCH(144,'Fund Research'!$V$6:$V$505,0)),"")</f>
        <v/>
      </c>
      <c r="C149" s="35">
        <f>IFERROR(INDEX('Fund Research'!$B$6:$B$505,MATCH(144,'Fund Research'!$V$6:$V$505,0)),"")</f>
        <v/>
      </c>
      <c r="D149" s="35">
        <f>IFERROR(INDEX('Fund Research'!$C$6:$C$505,MATCH(144,'Fund Research'!$V$6:$V$505,0)),"")</f>
        <v/>
      </c>
      <c r="E149" s="36">
        <f>IFERROR(INDEX('Fund Research'!$G$6:$G$505,MATCH(144,'Fund Research'!$V$6:$V$505,0)),"")</f>
        <v/>
      </c>
      <c r="F149" s="36">
        <f>IFERROR(INDEX('Fund Research'!$H$6:$H$505,MATCH(144,'Fund Research'!$V$6:$V$505,0)),"")</f>
        <v/>
      </c>
      <c r="G149" s="36">
        <f>IFERROR(INDEX('Fund Research'!$I$6:$I$505,MATCH(144,'Fund Research'!$V$6:$V$505,0)),"")</f>
        <v/>
      </c>
      <c r="H149" s="37">
        <f>IFERROR(INDEX('Fund Research'!$J$6:$J$505,MATCH(144,'Fund Research'!$V$6:$V$505,0)),"")</f>
        <v/>
      </c>
      <c r="I149" s="39">
        <f>IFERROR(INDEX('Fund Research'!$L$6:$L$505,MATCH(144,'Fund Research'!$V$6:$V$505,0)),"")</f>
        <v/>
      </c>
      <c r="J149" s="37">
        <f>IFERROR(INDEX('Fund Research'!$N$6:$N$505,MATCH(144,'Fund Research'!$V$6:$V$505,0)),"")</f>
        <v/>
      </c>
      <c r="K149" s="37">
        <f>IFERROR(INDEX('Fund Research'!$P$6:$P$505,MATCH(144,'Fund Research'!$V$6:$V$505,0)),"")</f>
        <v/>
      </c>
      <c r="L149" s="35">
        <f>IFERROR(INDEX('Fund Research'!$S$6:$S$505,MATCH(144,'Fund Research'!$V$6:$V$505,0)),"")</f>
        <v/>
      </c>
      <c r="M149" s="35">
        <f>IFERROR(INDEX('Fund Research'!$T$6:$T$505,MATCH(144,'Fund Research'!$V$6:$V$505,0)),"")</f>
        <v/>
      </c>
    </row>
    <row r="150" ht="15" customHeight="1">
      <c r="A150" s="34">
        <f>IFERROR(IF(INDEX('Fund Research'!$B$6:$B$505,MATCH(145,'Fund Research'!$V$6:$V$505,0))="","",145),"")</f>
        <v/>
      </c>
      <c r="B150" s="35">
        <f>IFERROR(INDEX('Fund Research'!$A$6:$A$505,MATCH(145,'Fund Research'!$V$6:$V$505,0)),"")</f>
        <v/>
      </c>
      <c r="C150" s="35">
        <f>IFERROR(INDEX('Fund Research'!$B$6:$B$505,MATCH(145,'Fund Research'!$V$6:$V$505,0)),"")</f>
        <v/>
      </c>
      <c r="D150" s="35">
        <f>IFERROR(INDEX('Fund Research'!$C$6:$C$505,MATCH(145,'Fund Research'!$V$6:$V$505,0)),"")</f>
        <v/>
      </c>
      <c r="E150" s="36">
        <f>IFERROR(INDEX('Fund Research'!$G$6:$G$505,MATCH(145,'Fund Research'!$V$6:$V$505,0)),"")</f>
        <v/>
      </c>
      <c r="F150" s="36">
        <f>IFERROR(INDEX('Fund Research'!$H$6:$H$505,MATCH(145,'Fund Research'!$V$6:$V$505,0)),"")</f>
        <v/>
      </c>
      <c r="G150" s="36">
        <f>IFERROR(INDEX('Fund Research'!$I$6:$I$505,MATCH(145,'Fund Research'!$V$6:$V$505,0)),"")</f>
        <v/>
      </c>
      <c r="H150" s="37">
        <f>IFERROR(INDEX('Fund Research'!$J$6:$J$505,MATCH(145,'Fund Research'!$V$6:$V$505,0)),"")</f>
        <v/>
      </c>
      <c r="I150" s="39">
        <f>IFERROR(INDEX('Fund Research'!$L$6:$L$505,MATCH(145,'Fund Research'!$V$6:$V$505,0)),"")</f>
        <v/>
      </c>
      <c r="J150" s="37">
        <f>IFERROR(INDEX('Fund Research'!$N$6:$N$505,MATCH(145,'Fund Research'!$V$6:$V$505,0)),"")</f>
        <v/>
      </c>
      <c r="K150" s="37">
        <f>IFERROR(INDEX('Fund Research'!$P$6:$P$505,MATCH(145,'Fund Research'!$V$6:$V$505,0)),"")</f>
        <v/>
      </c>
      <c r="L150" s="35">
        <f>IFERROR(INDEX('Fund Research'!$S$6:$S$505,MATCH(145,'Fund Research'!$V$6:$V$505,0)),"")</f>
        <v/>
      </c>
      <c r="M150" s="35">
        <f>IFERROR(INDEX('Fund Research'!$T$6:$T$505,MATCH(145,'Fund Research'!$V$6:$V$505,0)),"")</f>
        <v/>
      </c>
    </row>
    <row r="151" ht="15" customHeight="1">
      <c r="A151" s="34">
        <f>IFERROR(IF(INDEX('Fund Research'!$B$6:$B$505,MATCH(146,'Fund Research'!$V$6:$V$505,0))="","",146),"")</f>
        <v/>
      </c>
      <c r="B151" s="35">
        <f>IFERROR(INDEX('Fund Research'!$A$6:$A$505,MATCH(146,'Fund Research'!$V$6:$V$505,0)),"")</f>
        <v/>
      </c>
      <c r="C151" s="35">
        <f>IFERROR(INDEX('Fund Research'!$B$6:$B$505,MATCH(146,'Fund Research'!$V$6:$V$505,0)),"")</f>
        <v/>
      </c>
      <c r="D151" s="35">
        <f>IFERROR(INDEX('Fund Research'!$C$6:$C$505,MATCH(146,'Fund Research'!$V$6:$V$505,0)),"")</f>
        <v/>
      </c>
      <c r="E151" s="36">
        <f>IFERROR(INDEX('Fund Research'!$G$6:$G$505,MATCH(146,'Fund Research'!$V$6:$V$505,0)),"")</f>
        <v/>
      </c>
      <c r="F151" s="36">
        <f>IFERROR(INDEX('Fund Research'!$H$6:$H$505,MATCH(146,'Fund Research'!$V$6:$V$505,0)),"")</f>
        <v/>
      </c>
      <c r="G151" s="36">
        <f>IFERROR(INDEX('Fund Research'!$I$6:$I$505,MATCH(146,'Fund Research'!$V$6:$V$505,0)),"")</f>
        <v/>
      </c>
      <c r="H151" s="37">
        <f>IFERROR(INDEX('Fund Research'!$J$6:$J$505,MATCH(146,'Fund Research'!$V$6:$V$505,0)),"")</f>
        <v/>
      </c>
      <c r="I151" s="39">
        <f>IFERROR(INDEX('Fund Research'!$L$6:$L$505,MATCH(146,'Fund Research'!$V$6:$V$505,0)),"")</f>
        <v/>
      </c>
      <c r="J151" s="37">
        <f>IFERROR(INDEX('Fund Research'!$N$6:$N$505,MATCH(146,'Fund Research'!$V$6:$V$505,0)),"")</f>
        <v/>
      </c>
      <c r="K151" s="37">
        <f>IFERROR(INDEX('Fund Research'!$P$6:$P$505,MATCH(146,'Fund Research'!$V$6:$V$505,0)),"")</f>
        <v/>
      </c>
      <c r="L151" s="35">
        <f>IFERROR(INDEX('Fund Research'!$S$6:$S$505,MATCH(146,'Fund Research'!$V$6:$V$505,0)),"")</f>
        <v/>
      </c>
      <c r="M151" s="35">
        <f>IFERROR(INDEX('Fund Research'!$T$6:$T$505,MATCH(146,'Fund Research'!$V$6:$V$505,0)),"")</f>
        <v/>
      </c>
    </row>
    <row r="152" ht="15" customHeight="1">
      <c r="A152" s="34">
        <f>IFERROR(IF(INDEX('Fund Research'!$B$6:$B$505,MATCH(147,'Fund Research'!$V$6:$V$505,0))="","",147),"")</f>
        <v/>
      </c>
      <c r="B152" s="35">
        <f>IFERROR(INDEX('Fund Research'!$A$6:$A$505,MATCH(147,'Fund Research'!$V$6:$V$505,0)),"")</f>
        <v/>
      </c>
      <c r="C152" s="35">
        <f>IFERROR(INDEX('Fund Research'!$B$6:$B$505,MATCH(147,'Fund Research'!$V$6:$V$505,0)),"")</f>
        <v/>
      </c>
      <c r="D152" s="35">
        <f>IFERROR(INDEX('Fund Research'!$C$6:$C$505,MATCH(147,'Fund Research'!$V$6:$V$505,0)),"")</f>
        <v/>
      </c>
      <c r="E152" s="36">
        <f>IFERROR(INDEX('Fund Research'!$G$6:$G$505,MATCH(147,'Fund Research'!$V$6:$V$505,0)),"")</f>
        <v/>
      </c>
      <c r="F152" s="36">
        <f>IFERROR(INDEX('Fund Research'!$H$6:$H$505,MATCH(147,'Fund Research'!$V$6:$V$505,0)),"")</f>
        <v/>
      </c>
      <c r="G152" s="36">
        <f>IFERROR(INDEX('Fund Research'!$I$6:$I$505,MATCH(147,'Fund Research'!$V$6:$V$505,0)),"")</f>
        <v/>
      </c>
      <c r="H152" s="37">
        <f>IFERROR(INDEX('Fund Research'!$J$6:$J$505,MATCH(147,'Fund Research'!$V$6:$V$505,0)),"")</f>
        <v/>
      </c>
      <c r="I152" s="39">
        <f>IFERROR(INDEX('Fund Research'!$L$6:$L$505,MATCH(147,'Fund Research'!$V$6:$V$505,0)),"")</f>
        <v/>
      </c>
      <c r="J152" s="37">
        <f>IFERROR(INDEX('Fund Research'!$N$6:$N$505,MATCH(147,'Fund Research'!$V$6:$V$505,0)),"")</f>
        <v/>
      </c>
      <c r="K152" s="37">
        <f>IFERROR(INDEX('Fund Research'!$P$6:$P$505,MATCH(147,'Fund Research'!$V$6:$V$505,0)),"")</f>
        <v/>
      </c>
      <c r="L152" s="35">
        <f>IFERROR(INDEX('Fund Research'!$S$6:$S$505,MATCH(147,'Fund Research'!$V$6:$V$505,0)),"")</f>
        <v/>
      </c>
      <c r="M152" s="35">
        <f>IFERROR(INDEX('Fund Research'!$T$6:$T$505,MATCH(147,'Fund Research'!$V$6:$V$505,0)),"")</f>
        <v/>
      </c>
    </row>
    <row r="153" ht="15" customHeight="1">
      <c r="A153" s="34">
        <f>IFERROR(IF(INDEX('Fund Research'!$B$6:$B$505,MATCH(148,'Fund Research'!$V$6:$V$505,0))="","",148),"")</f>
        <v/>
      </c>
      <c r="B153" s="35">
        <f>IFERROR(INDEX('Fund Research'!$A$6:$A$505,MATCH(148,'Fund Research'!$V$6:$V$505,0)),"")</f>
        <v/>
      </c>
      <c r="C153" s="35">
        <f>IFERROR(INDEX('Fund Research'!$B$6:$B$505,MATCH(148,'Fund Research'!$V$6:$V$505,0)),"")</f>
        <v/>
      </c>
      <c r="D153" s="35">
        <f>IFERROR(INDEX('Fund Research'!$C$6:$C$505,MATCH(148,'Fund Research'!$V$6:$V$505,0)),"")</f>
        <v/>
      </c>
      <c r="E153" s="36">
        <f>IFERROR(INDEX('Fund Research'!$G$6:$G$505,MATCH(148,'Fund Research'!$V$6:$V$505,0)),"")</f>
        <v/>
      </c>
      <c r="F153" s="36">
        <f>IFERROR(INDEX('Fund Research'!$H$6:$H$505,MATCH(148,'Fund Research'!$V$6:$V$505,0)),"")</f>
        <v/>
      </c>
      <c r="G153" s="36">
        <f>IFERROR(INDEX('Fund Research'!$I$6:$I$505,MATCH(148,'Fund Research'!$V$6:$V$505,0)),"")</f>
        <v/>
      </c>
      <c r="H153" s="37">
        <f>IFERROR(INDEX('Fund Research'!$J$6:$J$505,MATCH(148,'Fund Research'!$V$6:$V$505,0)),"")</f>
        <v/>
      </c>
      <c r="I153" s="39">
        <f>IFERROR(INDEX('Fund Research'!$L$6:$L$505,MATCH(148,'Fund Research'!$V$6:$V$505,0)),"")</f>
        <v/>
      </c>
      <c r="J153" s="37">
        <f>IFERROR(INDEX('Fund Research'!$N$6:$N$505,MATCH(148,'Fund Research'!$V$6:$V$505,0)),"")</f>
        <v/>
      </c>
      <c r="K153" s="37">
        <f>IFERROR(INDEX('Fund Research'!$P$6:$P$505,MATCH(148,'Fund Research'!$V$6:$V$505,0)),"")</f>
        <v/>
      </c>
      <c r="L153" s="35">
        <f>IFERROR(INDEX('Fund Research'!$S$6:$S$505,MATCH(148,'Fund Research'!$V$6:$V$505,0)),"")</f>
        <v/>
      </c>
      <c r="M153" s="35">
        <f>IFERROR(INDEX('Fund Research'!$T$6:$T$505,MATCH(148,'Fund Research'!$V$6:$V$505,0)),"")</f>
        <v/>
      </c>
    </row>
    <row r="154" ht="15" customHeight="1">
      <c r="A154" s="34">
        <f>IFERROR(IF(INDEX('Fund Research'!$B$6:$B$505,MATCH(149,'Fund Research'!$V$6:$V$505,0))="","",149),"")</f>
        <v/>
      </c>
      <c r="B154" s="35">
        <f>IFERROR(INDEX('Fund Research'!$A$6:$A$505,MATCH(149,'Fund Research'!$V$6:$V$505,0)),"")</f>
        <v/>
      </c>
      <c r="C154" s="35">
        <f>IFERROR(INDEX('Fund Research'!$B$6:$B$505,MATCH(149,'Fund Research'!$V$6:$V$505,0)),"")</f>
        <v/>
      </c>
      <c r="D154" s="35">
        <f>IFERROR(INDEX('Fund Research'!$C$6:$C$505,MATCH(149,'Fund Research'!$V$6:$V$505,0)),"")</f>
        <v/>
      </c>
      <c r="E154" s="36">
        <f>IFERROR(INDEX('Fund Research'!$G$6:$G$505,MATCH(149,'Fund Research'!$V$6:$V$505,0)),"")</f>
        <v/>
      </c>
      <c r="F154" s="36">
        <f>IFERROR(INDEX('Fund Research'!$H$6:$H$505,MATCH(149,'Fund Research'!$V$6:$V$505,0)),"")</f>
        <v/>
      </c>
      <c r="G154" s="36">
        <f>IFERROR(INDEX('Fund Research'!$I$6:$I$505,MATCH(149,'Fund Research'!$V$6:$V$505,0)),"")</f>
        <v/>
      </c>
      <c r="H154" s="37">
        <f>IFERROR(INDEX('Fund Research'!$J$6:$J$505,MATCH(149,'Fund Research'!$V$6:$V$505,0)),"")</f>
        <v/>
      </c>
      <c r="I154" s="39">
        <f>IFERROR(INDEX('Fund Research'!$L$6:$L$505,MATCH(149,'Fund Research'!$V$6:$V$505,0)),"")</f>
        <v/>
      </c>
      <c r="J154" s="37">
        <f>IFERROR(INDEX('Fund Research'!$N$6:$N$505,MATCH(149,'Fund Research'!$V$6:$V$505,0)),"")</f>
        <v/>
      </c>
      <c r="K154" s="37">
        <f>IFERROR(INDEX('Fund Research'!$P$6:$P$505,MATCH(149,'Fund Research'!$V$6:$V$505,0)),"")</f>
        <v/>
      </c>
      <c r="L154" s="35">
        <f>IFERROR(INDEX('Fund Research'!$S$6:$S$505,MATCH(149,'Fund Research'!$V$6:$V$505,0)),"")</f>
        <v/>
      </c>
      <c r="M154" s="35">
        <f>IFERROR(INDEX('Fund Research'!$T$6:$T$505,MATCH(149,'Fund Research'!$V$6:$V$505,0)),"")</f>
        <v/>
      </c>
    </row>
    <row r="155" ht="15" customHeight="1">
      <c r="A155" s="34">
        <f>IFERROR(IF(INDEX('Fund Research'!$B$6:$B$505,MATCH(150,'Fund Research'!$V$6:$V$505,0))="","",150),"")</f>
        <v/>
      </c>
      <c r="B155" s="35">
        <f>IFERROR(INDEX('Fund Research'!$A$6:$A$505,MATCH(150,'Fund Research'!$V$6:$V$505,0)),"")</f>
        <v/>
      </c>
      <c r="C155" s="35">
        <f>IFERROR(INDEX('Fund Research'!$B$6:$B$505,MATCH(150,'Fund Research'!$V$6:$V$505,0)),"")</f>
        <v/>
      </c>
      <c r="D155" s="35">
        <f>IFERROR(INDEX('Fund Research'!$C$6:$C$505,MATCH(150,'Fund Research'!$V$6:$V$505,0)),"")</f>
        <v/>
      </c>
      <c r="E155" s="36">
        <f>IFERROR(INDEX('Fund Research'!$G$6:$G$505,MATCH(150,'Fund Research'!$V$6:$V$505,0)),"")</f>
        <v/>
      </c>
      <c r="F155" s="36">
        <f>IFERROR(INDEX('Fund Research'!$H$6:$H$505,MATCH(150,'Fund Research'!$V$6:$V$505,0)),"")</f>
        <v/>
      </c>
      <c r="G155" s="36">
        <f>IFERROR(INDEX('Fund Research'!$I$6:$I$505,MATCH(150,'Fund Research'!$V$6:$V$505,0)),"")</f>
        <v/>
      </c>
      <c r="H155" s="37">
        <f>IFERROR(INDEX('Fund Research'!$J$6:$J$505,MATCH(150,'Fund Research'!$V$6:$V$505,0)),"")</f>
        <v/>
      </c>
      <c r="I155" s="39">
        <f>IFERROR(INDEX('Fund Research'!$L$6:$L$505,MATCH(150,'Fund Research'!$V$6:$V$505,0)),"")</f>
        <v/>
      </c>
      <c r="J155" s="37">
        <f>IFERROR(INDEX('Fund Research'!$N$6:$N$505,MATCH(150,'Fund Research'!$V$6:$V$505,0)),"")</f>
        <v/>
      </c>
      <c r="K155" s="37">
        <f>IFERROR(INDEX('Fund Research'!$P$6:$P$505,MATCH(150,'Fund Research'!$V$6:$V$505,0)),"")</f>
        <v/>
      </c>
      <c r="L155" s="35">
        <f>IFERROR(INDEX('Fund Research'!$S$6:$S$505,MATCH(150,'Fund Research'!$V$6:$V$505,0)),"")</f>
        <v/>
      </c>
      <c r="M155" s="35">
        <f>IFERROR(INDEX('Fund Research'!$T$6:$T$505,MATCH(150,'Fund Research'!$V$6:$V$505,0)),"")</f>
        <v/>
      </c>
    </row>
    <row r="156" ht="15" customHeight="1">
      <c r="A156" s="34">
        <f>IFERROR(IF(INDEX('Fund Research'!$B$6:$B$505,MATCH(151,'Fund Research'!$V$6:$V$505,0))="","",151),"")</f>
        <v/>
      </c>
      <c r="B156" s="35">
        <f>IFERROR(INDEX('Fund Research'!$A$6:$A$505,MATCH(151,'Fund Research'!$V$6:$V$505,0)),"")</f>
        <v/>
      </c>
      <c r="C156" s="35">
        <f>IFERROR(INDEX('Fund Research'!$B$6:$B$505,MATCH(151,'Fund Research'!$V$6:$V$505,0)),"")</f>
        <v/>
      </c>
      <c r="D156" s="35">
        <f>IFERROR(INDEX('Fund Research'!$C$6:$C$505,MATCH(151,'Fund Research'!$V$6:$V$505,0)),"")</f>
        <v/>
      </c>
      <c r="E156" s="36">
        <f>IFERROR(INDEX('Fund Research'!$G$6:$G$505,MATCH(151,'Fund Research'!$V$6:$V$505,0)),"")</f>
        <v/>
      </c>
      <c r="F156" s="36">
        <f>IFERROR(INDEX('Fund Research'!$H$6:$H$505,MATCH(151,'Fund Research'!$V$6:$V$505,0)),"")</f>
        <v/>
      </c>
      <c r="G156" s="36">
        <f>IFERROR(INDEX('Fund Research'!$I$6:$I$505,MATCH(151,'Fund Research'!$V$6:$V$505,0)),"")</f>
        <v/>
      </c>
      <c r="H156" s="37">
        <f>IFERROR(INDEX('Fund Research'!$J$6:$J$505,MATCH(151,'Fund Research'!$V$6:$V$505,0)),"")</f>
        <v/>
      </c>
      <c r="I156" s="39">
        <f>IFERROR(INDEX('Fund Research'!$L$6:$L$505,MATCH(151,'Fund Research'!$V$6:$V$505,0)),"")</f>
        <v/>
      </c>
      <c r="J156" s="37">
        <f>IFERROR(INDEX('Fund Research'!$N$6:$N$505,MATCH(151,'Fund Research'!$V$6:$V$505,0)),"")</f>
        <v/>
      </c>
      <c r="K156" s="37">
        <f>IFERROR(INDEX('Fund Research'!$P$6:$P$505,MATCH(151,'Fund Research'!$V$6:$V$505,0)),"")</f>
        <v/>
      </c>
      <c r="L156" s="35">
        <f>IFERROR(INDEX('Fund Research'!$S$6:$S$505,MATCH(151,'Fund Research'!$V$6:$V$505,0)),"")</f>
        <v/>
      </c>
      <c r="M156" s="35">
        <f>IFERROR(INDEX('Fund Research'!$T$6:$T$505,MATCH(151,'Fund Research'!$V$6:$V$505,0)),"")</f>
        <v/>
      </c>
    </row>
    <row r="157" ht="15" customHeight="1">
      <c r="A157" s="34">
        <f>IFERROR(IF(INDEX('Fund Research'!$B$6:$B$505,MATCH(152,'Fund Research'!$V$6:$V$505,0))="","",152),"")</f>
        <v/>
      </c>
      <c r="B157" s="35">
        <f>IFERROR(INDEX('Fund Research'!$A$6:$A$505,MATCH(152,'Fund Research'!$V$6:$V$505,0)),"")</f>
        <v/>
      </c>
      <c r="C157" s="35">
        <f>IFERROR(INDEX('Fund Research'!$B$6:$B$505,MATCH(152,'Fund Research'!$V$6:$V$505,0)),"")</f>
        <v/>
      </c>
      <c r="D157" s="35">
        <f>IFERROR(INDEX('Fund Research'!$C$6:$C$505,MATCH(152,'Fund Research'!$V$6:$V$505,0)),"")</f>
        <v/>
      </c>
      <c r="E157" s="36">
        <f>IFERROR(INDEX('Fund Research'!$G$6:$G$505,MATCH(152,'Fund Research'!$V$6:$V$505,0)),"")</f>
        <v/>
      </c>
      <c r="F157" s="36">
        <f>IFERROR(INDEX('Fund Research'!$H$6:$H$505,MATCH(152,'Fund Research'!$V$6:$V$505,0)),"")</f>
        <v/>
      </c>
      <c r="G157" s="36">
        <f>IFERROR(INDEX('Fund Research'!$I$6:$I$505,MATCH(152,'Fund Research'!$V$6:$V$505,0)),"")</f>
        <v/>
      </c>
      <c r="H157" s="37">
        <f>IFERROR(INDEX('Fund Research'!$J$6:$J$505,MATCH(152,'Fund Research'!$V$6:$V$505,0)),"")</f>
        <v/>
      </c>
      <c r="I157" s="39">
        <f>IFERROR(INDEX('Fund Research'!$L$6:$L$505,MATCH(152,'Fund Research'!$V$6:$V$505,0)),"")</f>
        <v/>
      </c>
      <c r="J157" s="37">
        <f>IFERROR(INDEX('Fund Research'!$N$6:$N$505,MATCH(152,'Fund Research'!$V$6:$V$505,0)),"")</f>
        <v/>
      </c>
      <c r="K157" s="37">
        <f>IFERROR(INDEX('Fund Research'!$P$6:$P$505,MATCH(152,'Fund Research'!$V$6:$V$505,0)),"")</f>
        <v/>
      </c>
      <c r="L157" s="35">
        <f>IFERROR(INDEX('Fund Research'!$S$6:$S$505,MATCH(152,'Fund Research'!$V$6:$V$505,0)),"")</f>
        <v/>
      </c>
      <c r="M157" s="35">
        <f>IFERROR(INDEX('Fund Research'!$T$6:$T$505,MATCH(152,'Fund Research'!$V$6:$V$505,0)),"")</f>
        <v/>
      </c>
    </row>
    <row r="158" ht="15" customHeight="1">
      <c r="A158" s="34">
        <f>IFERROR(IF(INDEX('Fund Research'!$B$6:$B$505,MATCH(153,'Fund Research'!$V$6:$V$505,0))="","",153),"")</f>
        <v/>
      </c>
      <c r="B158" s="35">
        <f>IFERROR(INDEX('Fund Research'!$A$6:$A$505,MATCH(153,'Fund Research'!$V$6:$V$505,0)),"")</f>
        <v/>
      </c>
      <c r="C158" s="35">
        <f>IFERROR(INDEX('Fund Research'!$B$6:$B$505,MATCH(153,'Fund Research'!$V$6:$V$505,0)),"")</f>
        <v/>
      </c>
      <c r="D158" s="35">
        <f>IFERROR(INDEX('Fund Research'!$C$6:$C$505,MATCH(153,'Fund Research'!$V$6:$V$505,0)),"")</f>
        <v/>
      </c>
      <c r="E158" s="36">
        <f>IFERROR(INDEX('Fund Research'!$G$6:$G$505,MATCH(153,'Fund Research'!$V$6:$V$505,0)),"")</f>
        <v/>
      </c>
      <c r="F158" s="36">
        <f>IFERROR(INDEX('Fund Research'!$H$6:$H$505,MATCH(153,'Fund Research'!$V$6:$V$505,0)),"")</f>
        <v/>
      </c>
      <c r="G158" s="36">
        <f>IFERROR(INDEX('Fund Research'!$I$6:$I$505,MATCH(153,'Fund Research'!$V$6:$V$505,0)),"")</f>
        <v/>
      </c>
      <c r="H158" s="37">
        <f>IFERROR(INDEX('Fund Research'!$J$6:$J$505,MATCH(153,'Fund Research'!$V$6:$V$505,0)),"")</f>
        <v/>
      </c>
      <c r="I158" s="39">
        <f>IFERROR(INDEX('Fund Research'!$L$6:$L$505,MATCH(153,'Fund Research'!$V$6:$V$505,0)),"")</f>
        <v/>
      </c>
      <c r="J158" s="37">
        <f>IFERROR(INDEX('Fund Research'!$N$6:$N$505,MATCH(153,'Fund Research'!$V$6:$V$505,0)),"")</f>
        <v/>
      </c>
      <c r="K158" s="37">
        <f>IFERROR(INDEX('Fund Research'!$P$6:$P$505,MATCH(153,'Fund Research'!$V$6:$V$505,0)),"")</f>
        <v/>
      </c>
      <c r="L158" s="35">
        <f>IFERROR(INDEX('Fund Research'!$S$6:$S$505,MATCH(153,'Fund Research'!$V$6:$V$505,0)),"")</f>
        <v/>
      </c>
      <c r="M158" s="35">
        <f>IFERROR(INDEX('Fund Research'!$T$6:$T$505,MATCH(153,'Fund Research'!$V$6:$V$505,0)),"")</f>
        <v/>
      </c>
    </row>
    <row r="159" ht="15" customHeight="1">
      <c r="A159" s="34">
        <f>IFERROR(IF(INDEX('Fund Research'!$B$6:$B$505,MATCH(154,'Fund Research'!$V$6:$V$505,0))="","",154),"")</f>
        <v/>
      </c>
      <c r="B159" s="35">
        <f>IFERROR(INDEX('Fund Research'!$A$6:$A$505,MATCH(154,'Fund Research'!$V$6:$V$505,0)),"")</f>
        <v/>
      </c>
      <c r="C159" s="35">
        <f>IFERROR(INDEX('Fund Research'!$B$6:$B$505,MATCH(154,'Fund Research'!$V$6:$V$505,0)),"")</f>
        <v/>
      </c>
      <c r="D159" s="35">
        <f>IFERROR(INDEX('Fund Research'!$C$6:$C$505,MATCH(154,'Fund Research'!$V$6:$V$505,0)),"")</f>
        <v/>
      </c>
      <c r="E159" s="36">
        <f>IFERROR(INDEX('Fund Research'!$G$6:$G$505,MATCH(154,'Fund Research'!$V$6:$V$505,0)),"")</f>
        <v/>
      </c>
      <c r="F159" s="36">
        <f>IFERROR(INDEX('Fund Research'!$H$6:$H$505,MATCH(154,'Fund Research'!$V$6:$V$505,0)),"")</f>
        <v/>
      </c>
      <c r="G159" s="36">
        <f>IFERROR(INDEX('Fund Research'!$I$6:$I$505,MATCH(154,'Fund Research'!$V$6:$V$505,0)),"")</f>
        <v/>
      </c>
      <c r="H159" s="37">
        <f>IFERROR(INDEX('Fund Research'!$J$6:$J$505,MATCH(154,'Fund Research'!$V$6:$V$505,0)),"")</f>
        <v/>
      </c>
      <c r="I159" s="39">
        <f>IFERROR(INDEX('Fund Research'!$L$6:$L$505,MATCH(154,'Fund Research'!$V$6:$V$505,0)),"")</f>
        <v/>
      </c>
      <c r="J159" s="37">
        <f>IFERROR(INDEX('Fund Research'!$N$6:$N$505,MATCH(154,'Fund Research'!$V$6:$V$505,0)),"")</f>
        <v/>
      </c>
      <c r="K159" s="37">
        <f>IFERROR(INDEX('Fund Research'!$P$6:$P$505,MATCH(154,'Fund Research'!$V$6:$V$505,0)),"")</f>
        <v/>
      </c>
      <c r="L159" s="35">
        <f>IFERROR(INDEX('Fund Research'!$S$6:$S$505,MATCH(154,'Fund Research'!$V$6:$V$505,0)),"")</f>
        <v/>
      </c>
      <c r="M159" s="35">
        <f>IFERROR(INDEX('Fund Research'!$T$6:$T$505,MATCH(154,'Fund Research'!$V$6:$V$505,0)),"")</f>
        <v/>
      </c>
    </row>
    <row r="160" ht="15" customHeight="1">
      <c r="A160" s="34">
        <f>IFERROR(IF(INDEX('Fund Research'!$B$6:$B$505,MATCH(155,'Fund Research'!$V$6:$V$505,0))="","",155),"")</f>
        <v/>
      </c>
      <c r="B160" s="35">
        <f>IFERROR(INDEX('Fund Research'!$A$6:$A$505,MATCH(155,'Fund Research'!$V$6:$V$505,0)),"")</f>
        <v/>
      </c>
      <c r="C160" s="35">
        <f>IFERROR(INDEX('Fund Research'!$B$6:$B$505,MATCH(155,'Fund Research'!$V$6:$V$505,0)),"")</f>
        <v/>
      </c>
      <c r="D160" s="35">
        <f>IFERROR(INDEX('Fund Research'!$C$6:$C$505,MATCH(155,'Fund Research'!$V$6:$V$505,0)),"")</f>
        <v/>
      </c>
      <c r="E160" s="36">
        <f>IFERROR(INDEX('Fund Research'!$G$6:$G$505,MATCH(155,'Fund Research'!$V$6:$V$505,0)),"")</f>
        <v/>
      </c>
      <c r="F160" s="36">
        <f>IFERROR(INDEX('Fund Research'!$H$6:$H$505,MATCH(155,'Fund Research'!$V$6:$V$505,0)),"")</f>
        <v/>
      </c>
      <c r="G160" s="36">
        <f>IFERROR(INDEX('Fund Research'!$I$6:$I$505,MATCH(155,'Fund Research'!$V$6:$V$505,0)),"")</f>
        <v/>
      </c>
      <c r="H160" s="37">
        <f>IFERROR(INDEX('Fund Research'!$J$6:$J$505,MATCH(155,'Fund Research'!$V$6:$V$505,0)),"")</f>
        <v/>
      </c>
      <c r="I160" s="39">
        <f>IFERROR(INDEX('Fund Research'!$L$6:$L$505,MATCH(155,'Fund Research'!$V$6:$V$505,0)),"")</f>
        <v/>
      </c>
      <c r="J160" s="37">
        <f>IFERROR(INDEX('Fund Research'!$N$6:$N$505,MATCH(155,'Fund Research'!$V$6:$V$505,0)),"")</f>
        <v/>
      </c>
      <c r="K160" s="37">
        <f>IFERROR(INDEX('Fund Research'!$P$6:$P$505,MATCH(155,'Fund Research'!$V$6:$V$505,0)),"")</f>
        <v/>
      </c>
      <c r="L160" s="35">
        <f>IFERROR(INDEX('Fund Research'!$S$6:$S$505,MATCH(155,'Fund Research'!$V$6:$V$505,0)),"")</f>
        <v/>
      </c>
      <c r="M160" s="35">
        <f>IFERROR(INDEX('Fund Research'!$T$6:$T$505,MATCH(155,'Fund Research'!$V$6:$V$505,0)),"")</f>
        <v/>
      </c>
    </row>
    <row r="161" ht="15" customHeight="1">
      <c r="A161" s="34">
        <f>IFERROR(IF(INDEX('Fund Research'!$B$6:$B$505,MATCH(156,'Fund Research'!$V$6:$V$505,0))="","",156),"")</f>
        <v/>
      </c>
      <c r="B161" s="35">
        <f>IFERROR(INDEX('Fund Research'!$A$6:$A$505,MATCH(156,'Fund Research'!$V$6:$V$505,0)),"")</f>
        <v/>
      </c>
      <c r="C161" s="35">
        <f>IFERROR(INDEX('Fund Research'!$B$6:$B$505,MATCH(156,'Fund Research'!$V$6:$V$505,0)),"")</f>
        <v/>
      </c>
      <c r="D161" s="35">
        <f>IFERROR(INDEX('Fund Research'!$C$6:$C$505,MATCH(156,'Fund Research'!$V$6:$V$505,0)),"")</f>
        <v/>
      </c>
      <c r="E161" s="36">
        <f>IFERROR(INDEX('Fund Research'!$G$6:$G$505,MATCH(156,'Fund Research'!$V$6:$V$505,0)),"")</f>
        <v/>
      </c>
      <c r="F161" s="36">
        <f>IFERROR(INDEX('Fund Research'!$H$6:$H$505,MATCH(156,'Fund Research'!$V$6:$V$505,0)),"")</f>
        <v/>
      </c>
      <c r="G161" s="36">
        <f>IFERROR(INDEX('Fund Research'!$I$6:$I$505,MATCH(156,'Fund Research'!$V$6:$V$505,0)),"")</f>
        <v/>
      </c>
      <c r="H161" s="37">
        <f>IFERROR(INDEX('Fund Research'!$J$6:$J$505,MATCH(156,'Fund Research'!$V$6:$V$505,0)),"")</f>
        <v/>
      </c>
      <c r="I161" s="39">
        <f>IFERROR(INDEX('Fund Research'!$L$6:$L$505,MATCH(156,'Fund Research'!$V$6:$V$505,0)),"")</f>
        <v/>
      </c>
      <c r="J161" s="37">
        <f>IFERROR(INDEX('Fund Research'!$N$6:$N$505,MATCH(156,'Fund Research'!$V$6:$V$505,0)),"")</f>
        <v/>
      </c>
      <c r="K161" s="37">
        <f>IFERROR(INDEX('Fund Research'!$P$6:$P$505,MATCH(156,'Fund Research'!$V$6:$V$505,0)),"")</f>
        <v/>
      </c>
      <c r="L161" s="35">
        <f>IFERROR(INDEX('Fund Research'!$S$6:$S$505,MATCH(156,'Fund Research'!$V$6:$V$505,0)),"")</f>
        <v/>
      </c>
      <c r="M161" s="35">
        <f>IFERROR(INDEX('Fund Research'!$T$6:$T$505,MATCH(156,'Fund Research'!$V$6:$V$505,0)),"")</f>
        <v/>
      </c>
    </row>
    <row r="162" ht="15" customHeight="1">
      <c r="A162" s="34">
        <f>IFERROR(IF(INDEX('Fund Research'!$B$6:$B$505,MATCH(157,'Fund Research'!$V$6:$V$505,0))="","",157),"")</f>
        <v/>
      </c>
      <c r="B162" s="35">
        <f>IFERROR(INDEX('Fund Research'!$A$6:$A$505,MATCH(157,'Fund Research'!$V$6:$V$505,0)),"")</f>
        <v/>
      </c>
      <c r="C162" s="35">
        <f>IFERROR(INDEX('Fund Research'!$B$6:$B$505,MATCH(157,'Fund Research'!$V$6:$V$505,0)),"")</f>
        <v/>
      </c>
      <c r="D162" s="35">
        <f>IFERROR(INDEX('Fund Research'!$C$6:$C$505,MATCH(157,'Fund Research'!$V$6:$V$505,0)),"")</f>
        <v/>
      </c>
      <c r="E162" s="36">
        <f>IFERROR(INDEX('Fund Research'!$G$6:$G$505,MATCH(157,'Fund Research'!$V$6:$V$505,0)),"")</f>
        <v/>
      </c>
      <c r="F162" s="36">
        <f>IFERROR(INDEX('Fund Research'!$H$6:$H$505,MATCH(157,'Fund Research'!$V$6:$V$505,0)),"")</f>
        <v/>
      </c>
      <c r="G162" s="36">
        <f>IFERROR(INDEX('Fund Research'!$I$6:$I$505,MATCH(157,'Fund Research'!$V$6:$V$505,0)),"")</f>
        <v/>
      </c>
      <c r="H162" s="37">
        <f>IFERROR(INDEX('Fund Research'!$J$6:$J$505,MATCH(157,'Fund Research'!$V$6:$V$505,0)),"")</f>
        <v/>
      </c>
      <c r="I162" s="39">
        <f>IFERROR(INDEX('Fund Research'!$L$6:$L$505,MATCH(157,'Fund Research'!$V$6:$V$505,0)),"")</f>
        <v/>
      </c>
      <c r="J162" s="37">
        <f>IFERROR(INDEX('Fund Research'!$N$6:$N$505,MATCH(157,'Fund Research'!$V$6:$V$505,0)),"")</f>
        <v/>
      </c>
      <c r="K162" s="37">
        <f>IFERROR(INDEX('Fund Research'!$P$6:$P$505,MATCH(157,'Fund Research'!$V$6:$V$505,0)),"")</f>
        <v/>
      </c>
      <c r="L162" s="35">
        <f>IFERROR(INDEX('Fund Research'!$S$6:$S$505,MATCH(157,'Fund Research'!$V$6:$V$505,0)),"")</f>
        <v/>
      </c>
      <c r="M162" s="35">
        <f>IFERROR(INDEX('Fund Research'!$T$6:$T$505,MATCH(157,'Fund Research'!$V$6:$V$505,0)),"")</f>
        <v/>
      </c>
    </row>
    <row r="163" ht="15" customHeight="1">
      <c r="A163" s="34">
        <f>IFERROR(IF(INDEX('Fund Research'!$B$6:$B$505,MATCH(158,'Fund Research'!$V$6:$V$505,0))="","",158),"")</f>
        <v/>
      </c>
      <c r="B163" s="35">
        <f>IFERROR(INDEX('Fund Research'!$A$6:$A$505,MATCH(158,'Fund Research'!$V$6:$V$505,0)),"")</f>
        <v/>
      </c>
      <c r="C163" s="35">
        <f>IFERROR(INDEX('Fund Research'!$B$6:$B$505,MATCH(158,'Fund Research'!$V$6:$V$505,0)),"")</f>
        <v/>
      </c>
      <c r="D163" s="35">
        <f>IFERROR(INDEX('Fund Research'!$C$6:$C$505,MATCH(158,'Fund Research'!$V$6:$V$505,0)),"")</f>
        <v/>
      </c>
      <c r="E163" s="36">
        <f>IFERROR(INDEX('Fund Research'!$G$6:$G$505,MATCH(158,'Fund Research'!$V$6:$V$505,0)),"")</f>
        <v/>
      </c>
      <c r="F163" s="36">
        <f>IFERROR(INDEX('Fund Research'!$H$6:$H$505,MATCH(158,'Fund Research'!$V$6:$V$505,0)),"")</f>
        <v/>
      </c>
      <c r="G163" s="36">
        <f>IFERROR(INDEX('Fund Research'!$I$6:$I$505,MATCH(158,'Fund Research'!$V$6:$V$505,0)),"")</f>
        <v/>
      </c>
      <c r="H163" s="37">
        <f>IFERROR(INDEX('Fund Research'!$J$6:$J$505,MATCH(158,'Fund Research'!$V$6:$V$505,0)),"")</f>
        <v/>
      </c>
      <c r="I163" s="39">
        <f>IFERROR(INDEX('Fund Research'!$L$6:$L$505,MATCH(158,'Fund Research'!$V$6:$V$505,0)),"")</f>
        <v/>
      </c>
      <c r="J163" s="37">
        <f>IFERROR(INDEX('Fund Research'!$N$6:$N$505,MATCH(158,'Fund Research'!$V$6:$V$505,0)),"")</f>
        <v/>
      </c>
      <c r="K163" s="37">
        <f>IFERROR(INDEX('Fund Research'!$P$6:$P$505,MATCH(158,'Fund Research'!$V$6:$V$505,0)),"")</f>
        <v/>
      </c>
      <c r="L163" s="35">
        <f>IFERROR(INDEX('Fund Research'!$S$6:$S$505,MATCH(158,'Fund Research'!$V$6:$V$505,0)),"")</f>
        <v/>
      </c>
      <c r="M163" s="35">
        <f>IFERROR(INDEX('Fund Research'!$T$6:$T$505,MATCH(158,'Fund Research'!$V$6:$V$505,0)),"")</f>
        <v/>
      </c>
    </row>
    <row r="164" ht="15" customHeight="1">
      <c r="A164" s="34">
        <f>IFERROR(IF(INDEX('Fund Research'!$B$6:$B$505,MATCH(159,'Fund Research'!$V$6:$V$505,0))="","",159),"")</f>
        <v/>
      </c>
      <c r="B164" s="35">
        <f>IFERROR(INDEX('Fund Research'!$A$6:$A$505,MATCH(159,'Fund Research'!$V$6:$V$505,0)),"")</f>
        <v/>
      </c>
      <c r="C164" s="35">
        <f>IFERROR(INDEX('Fund Research'!$B$6:$B$505,MATCH(159,'Fund Research'!$V$6:$V$505,0)),"")</f>
        <v/>
      </c>
      <c r="D164" s="35">
        <f>IFERROR(INDEX('Fund Research'!$C$6:$C$505,MATCH(159,'Fund Research'!$V$6:$V$505,0)),"")</f>
        <v/>
      </c>
      <c r="E164" s="36">
        <f>IFERROR(INDEX('Fund Research'!$G$6:$G$505,MATCH(159,'Fund Research'!$V$6:$V$505,0)),"")</f>
        <v/>
      </c>
      <c r="F164" s="36">
        <f>IFERROR(INDEX('Fund Research'!$H$6:$H$505,MATCH(159,'Fund Research'!$V$6:$V$505,0)),"")</f>
        <v/>
      </c>
      <c r="G164" s="36">
        <f>IFERROR(INDEX('Fund Research'!$I$6:$I$505,MATCH(159,'Fund Research'!$V$6:$V$505,0)),"")</f>
        <v/>
      </c>
      <c r="H164" s="37">
        <f>IFERROR(INDEX('Fund Research'!$J$6:$J$505,MATCH(159,'Fund Research'!$V$6:$V$505,0)),"")</f>
        <v/>
      </c>
      <c r="I164" s="39">
        <f>IFERROR(INDEX('Fund Research'!$L$6:$L$505,MATCH(159,'Fund Research'!$V$6:$V$505,0)),"")</f>
        <v/>
      </c>
      <c r="J164" s="37">
        <f>IFERROR(INDEX('Fund Research'!$N$6:$N$505,MATCH(159,'Fund Research'!$V$6:$V$505,0)),"")</f>
        <v/>
      </c>
      <c r="K164" s="37">
        <f>IFERROR(INDEX('Fund Research'!$P$6:$P$505,MATCH(159,'Fund Research'!$V$6:$V$505,0)),"")</f>
        <v/>
      </c>
      <c r="L164" s="35">
        <f>IFERROR(INDEX('Fund Research'!$S$6:$S$505,MATCH(159,'Fund Research'!$V$6:$V$505,0)),"")</f>
        <v/>
      </c>
      <c r="M164" s="35">
        <f>IFERROR(INDEX('Fund Research'!$T$6:$T$505,MATCH(159,'Fund Research'!$V$6:$V$505,0)),"")</f>
        <v/>
      </c>
    </row>
    <row r="165" ht="15" customHeight="1">
      <c r="A165" s="34">
        <f>IFERROR(IF(INDEX('Fund Research'!$B$6:$B$505,MATCH(160,'Fund Research'!$V$6:$V$505,0))="","",160),"")</f>
        <v/>
      </c>
      <c r="B165" s="35">
        <f>IFERROR(INDEX('Fund Research'!$A$6:$A$505,MATCH(160,'Fund Research'!$V$6:$V$505,0)),"")</f>
        <v/>
      </c>
      <c r="C165" s="35">
        <f>IFERROR(INDEX('Fund Research'!$B$6:$B$505,MATCH(160,'Fund Research'!$V$6:$V$505,0)),"")</f>
        <v/>
      </c>
      <c r="D165" s="35">
        <f>IFERROR(INDEX('Fund Research'!$C$6:$C$505,MATCH(160,'Fund Research'!$V$6:$V$505,0)),"")</f>
        <v/>
      </c>
      <c r="E165" s="36">
        <f>IFERROR(INDEX('Fund Research'!$G$6:$G$505,MATCH(160,'Fund Research'!$V$6:$V$505,0)),"")</f>
        <v/>
      </c>
      <c r="F165" s="36">
        <f>IFERROR(INDEX('Fund Research'!$H$6:$H$505,MATCH(160,'Fund Research'!$V$6:$V$505,0)),"")</f>
        <v/>
      </c>
      <c r="G165" s="36">
        <f>IFERROR(INDEX('Fund Research'!$I$6:$I$505,MATCH(160,'Fund Research'!$V$6:$V$505,0)),"")</f>
        <v/>
      </c>
      <c r="H165" s="37">
        <f>IFERROR(INDEX('Fund Research'!$J$6:$J$505,MATCH(160,'Fund Research'!$V$6:$V$505,0)),"")</f>
        <v/>
      </c>
      <c r="I165" s="39">
        <f>IFERROR(INDEX('Fund Research'!$L$6:$L$505,MATCH(160,'Fund Research'!$V$6:$V$505,0)),"")</f>
        <v/>
      </c>
      <c r="J165" s="37">
        <f>IFERROR(INDEX('Fund Research'!$N$6:$N$505,MATCH(160,'Fund Research'!$V$6:$V$505,0)),"")</f>
        <v/>
      </c>
      <c r="K165" s="37">
        <f>IFERROR(INDEX('Fund Research'!$P$6:$P$505,MATCH(160,'Fund Research'!$V$6:$V$505,0)),"")</f>
        <v/>
      </c>
      <c r="L165" s="35">
        <f>IFERROR(INDEX('Fund Research'!$S$6:$S$505,MATCH(160,'Fund Research'!$V$6:$V$505,0)),"")</f>
        <v/>
      </c>
      <c r="M165" s="35">
        <f>IFERROR(INDEX('Fund Research'!$T$6:$T$505,MATCH(160,'Fund Research'!$V$6:$V$505,0)),"")</f>
        <v/>
      </c>
    </row>
    <row r="166" ht="15" customHeight="1">
      <c r="A166" s="34">
        <f>IFERROR(IF(INDEX('Fund Research'!$B$6:$B$505,MATCH(161,'Fund Research'!$V$6:$V$505,0))="","",161),"")</f>
        <v/>
      </c>
      <c r="B166" s="35">
        <f>IFERROR(INDEX('Fund Research'!$A$6:$A$505,MATCH(161,'Fund Research'!$V$6:$V$505,0)),"")</f>
        <v/>
      </c>
      <c r="C166" s="35">
        <f>IFERROR(INDEX('Fund Research'!$B$6:$B$505,MATCH(161,'Fund Research'!$V$6:$V$505,0)),"")</f>
        <v/>
      </c>
      <c r="D166" s="35">
        <f>IFERROR(INDEX('Fund Research'!$C$6:$C$505,MATCH(161,'Fund Research'!$V$6:$V$505,0)),"")</f>
        <v/>
      </c>
      <c r="E166" s="36">
        <f>IFERROR(INDEX('Fund Research'!$G$6:$G$505,MATCH(161,'Fund Research'!$V$6:$V$505,0)),"")</f>
        <v/>
      </c>
      <c r="F166" s="36">
        <f>IFERROR(INDEX('Fund Research'!$H$6:$H$505,MATCH(161,'Fund Research'!$V$6:$V$505,0)),"")</f>
        <v/>
      </c>
      <c r="G166" s="36">
        <f>IFERROR(INDEX('Fund Research'!$I$6:$I$505,MATCH(161,'Fund Research'!$V$6:$V$505,0)),"")</f>
        <v/>
      </c>
      <c r="H166" s="37">
        <f>IFERROR(INDEX('Fund Research'!$J$6:$J$505,MATCH(161,'Fund Research'!$V$6:$V$505,0)),"")</f>
        <v/>
      </c>
      <c r="I166" s="39">
        <f>IFERROR(INDEX('Fund Research'!$L$6:$L$505,MATCH(161,'Fund Research'!$V$6:$V$505,0)),"")</f>
        <v/>
      </c>
      <c r="J166" s="37">
        <f>IFERROR(INDEX('Fund Research'!$N$6:$N$505,MATCH(161,'Fund Research'!$V$6:$V$505,0)),"")</f>
        <v/>
      </c>
      <c r="K166" s="37">
        <f>IFERROR(INDEX('Fund Research'!$P$6:$P$505,MATCH(161,'Fund Research'!$V$6:$V$505,0)),"")</f>
        <v/>
      </c>
      <c r="L166" s="35">
        <f>IFERROR(INDEX('Fund Research'!$S$6:$S$505,MATCH(161,'Fund Research'!$V$6:$V$505,0)),"")</f>
        <v/>
      </c>
      <c r="M166" s="35">
        <f>IFERROR(INDEX('Fund Research'!$T$6:$T$505,MATCH(161,'Fund Research'!$V$6:$V$505,0)),"")</f>
        <v/>
      </c>
    </row>
    <row r="167" ht="15" customHeight="1">
      <c r="A167" s="34">
        <f>IFERROR(IF(INDEX('Fund Research'!$B$6:$B$505,MATCH(162,'Fund Research'!$V$6:$V$505,0))="","",162),"")</f>
        <v/>
      </c>
      <c r="B167" s="35">
        <f>IFERROR(INDEX('Fund Research'!$A$6:$A$505,MATCH(162,'Fund Research'!$V$6:$V$505,0)),"")</f>
        <v/>
      </c>
      <c r="C167" s="35">
        <f>IFERROR(INDEX('Fund Research'!$B$6:$B$505,MATCH(162,'Fund Research'!$V$6:$V$505,0)),"")</f>
        <v/>
      </c>
      <c r="D167" s="35">
        <f>IFERROR(INDEX('Fund Research'!$C$6:$C$505,MATCH(162,'Fund Research'!$V$6:$V$505,0)),"")</f>
        <v/>
      </c>
      <c r="E167" s="36">
        <f>IFERROR(INDEX('Fund Research'!$G$6:$G$505,MATCH(162,'Fund Research'!$V$6:$V$505,0)),"")</f>
        <v/>
      </c>
      <c r="F167" s="36">
        <f>IFERROR(INDEX('Fund Research'!$H$6:$H$505,MATCH(162,'Fund Research'!$V$6:$V$505,0)),"")</f>
        <v/>
      </c>
      <c r="G167" s="36">
        <f>IFERROR(INDEX('Fund Research'!$I$6:$I$505,MATCH(162,'Fund Research'!$V$6:$V$505,0)),"")</f>
        <v/>
      </c>
      <c r="H167" s="37">
        <f>IFERROR(INDEX('Fund Research'!$J$6:$J$505,MATCH(162,'Fund Research'!$V$6:$V$505,0)),"")</f>
        <v/>
      </c>
      <c r="I167" s="39">
        <f>IFERROR(INDEX('Fund Research'!$L$6:$L$505,MATCH(162,'Fund Research'!$V$6:$V$505,0)),"")</f>
        <v/>
      </c>
      <c r="J167" s="37">
        <f>IFERROR(INDEX('Fund Research'!$N$6:$N$505,MATCH(162,'Fund Research'!$V$6:$V$505,0)),"")</f>
        <v/>
      </c>
      <c r="K167" s="37">
        <f>IFERROR(INDEX('Fund Research'!$P$6:$P$505,MATCH(162,'Fund Research'!$V$6:$V$505,0)),"")</f>
        <v/>
      </c>
      <c r="L167" s="35">
        <f>IFERROR(INDEX('Fund Research'!$S$6:$S$505,MATCH(162,'Fund Research'!$V$6:$V$505,0)),"")</f>
        <v/>
      </c>
      <c r="M167" s="35">
        <f>IFERROR(INDEX('Fund Research'!$T$6:$T$505,MATCH(162,'Fund Research'!$V$6:$V$505,0)),"")</f>
        <v/>
      </c>
    </row>
    <row r="168" ht="15" customHeight="1">
      <c r="A168" s="34">
        <f>IFERROR(IF(INDEX('Fund Research'!$B$6:$B$505,MATCH(163,'Fund Research'!$V$6:$V$505,0))="","",163),"")</f>
        <v/>
      </c>
      <c r="B168" s="35">
        <f>IFERROR(INDEX('Fund Research'!$A$6:$A$505,MATCH(163,'Fund Research'!$V$6:$V$505,0)),"")</f>
        <v/>
      </c>
      <c r="C168" s="35">
        <f>IFERROR(INDEX('Fund Research'!$B$6:$B$505,MATCH(163,'Fund Research'!$V$6:$V$505,0)),"")</f>
        <v/>
      </c>
      <c r="D168" s="35">
        <f>IFERROR(INDEX('Fund Research'!$C$6:$C$505,MATCH(163,'Fund Research'!$V$6:$V$505,0)),"")</f>
        <v/>
      </c>
      <c r="E168" s="36">
        <f>IFERROR(INDEX('Fund Research'!$G$6:$G$505,MATCH(163,'Fund Research'!$V$6:$V$505,0)),"")</f>
        <v/>
      </c>
      <c r="F168" s="36">
        <f>IFERROR(INDEX('Fund Research'!$H$6:$H$505,MATCH(163,'Fund Research'!$V$6:$V$505,0)),"")</f>
        <v/>
      </c>
      <c r="G168" s="36">
        <f>IFERROR(INDEX('Fund Research'!$I$6:$I$505,MATCH(163,'Fund Research'!$V$6:$V$505,0)),"")</f>
        <v/>
      </c>
      <c r="H168" s="37">
        <f>IFERROR(INDEX('Fund Research'!$J$6:$J$505,MATCH(163,'Fund Research'!$V$6:$V$505,0)),"")</f>
        <v/>
      </c>
      <c r="I168" s="39">
        <f>IFERROR(INDEX('Fund Research'!$L$6:$L$505,MATCH(163,'Fund Research'!$V$6:$V$505,0)),"")</f>
        <v/>
      </c>
      <c r="J168" s="37">
        <f>IFERROR(INDEX('Fund Research'!$N$6:$N$505,MATCH(163,'Fund Research'!$V$6:$V$505,0)),"")</f>
        <v/>
      </c>
      <c r="K168" s="37">
        <f>IFERROR(INDEX('Fund Research'!$P$6:$P$505,MATCH(163,'Fund Research'!$V$6:$V$505,0)),"")</f>
        <v/>
      </c>
      <c r="L168" s="35">
        <f>IFERROR(INDEX('Fund Research'!$S$6:$S$505,MATCH(163,'Fund Research'!$V$6:$V$505,0)),"")</f>
        <v/>
      </c>
      <c r="M168" s="35">
        <f>IFERROR(INDEX('Fund Research'!$T$6:$T$505,MATCH(163,'Fund Research'!$V$6:$V$505,0)),"")</f>
        <v/>
      </c>
    </row>
    <row r="169" ht="15" customHeight="1">
      <c r="A169" s="34">
        <f>IFERROR(IF(INDEX('Fund Research'!$B$6:$B$505,MATCH(164,'Fund Research'!$V$6:$V$505,0))="","",164),"")</f>
        <v/>
      </c>
      <c r="B169" s="35">
        <f>IFERROR(INDEX('Fund Research'!$A$6:$A$505,MATCH(164,'Fund Research'!$V$6:$V$505,0)),"")</f>
        <v/>
      </c>
      <c r="C169" s="35">
        <f>IFERROR(INDEX('Fund Research'!$B$6:$B$505,MATCH(164,'Fund Research'!$V$6:$V$505,0)),"")</f>
        <v/>
      </c>
      <c r="D169" s="35">
        <f>IFERROR(INDEX('Fund Research'!$C$6:$C$505,MATCH(164,'Fund Research'!$V$6:$V$505,0)),"")</f>
        <v/>
      </c>
      <c r="E169" s="36">
        <f>IFERROR(INDEX('Fund Research'!$G$6:$G$505,MATCH(164,'Fund Research'!$V$6:$V$505,0)),"")</f>
        <v/>
      </c>
      <c r="F169" s="36">
        <f>IFERROR(INDEX('Fund Research'!$H$6:$H$505,MATCH(164,'Fund Research'!$V$6:$V$505,0)),"")</f>
        <v/>
      </c>
      <c r="G169" s="36">
        <f>IFERROR(INDEX('Fund Research'!$I$6:$I$505,MATCH(164,'Fund Research'!$V$6:$V$505,0)),"")</f>
        <v/>
      </c>
      <c r="H169" s="37">
        <f>IFERROR(INDEX('Fund Research'!$J$6:$J$505,MATCH(164,'Fund Research'!$V$6:$V$505,0)),"")</f>
        <v/>
      </c>
      <c r="I169" s="39">
        <f>IFERROR(INDEX('Fund Research'!$L$6:$L$505,MATCH(164,'Fund Research'!$V$6:$V$505,0)),"")</f>
        <v/>
      </c>
      <c r="J169" s="37">
        <f>IFERROR(INDEX('Fund Research'!$N$6:$N$505,MATCH(164,'Fund Research'!$V$6:$V$505,0)),"")</f>
        <v/>
      </c>
      <c r="K169" s="37">
        <f>IFERROR(INDEX('Fund Research'!$P$6:$P$505,MATCH(164,'Fund Research'!$V$6:$V$505,0)),"")</f>
        <v/>
      </c>
      <c r="L169" s="35">
        <f>IFERROR(INDEX('Fund Research'!$S$6:$S$505,MATCH(164,'Fund Research'!$V$6:$V$505,0)),"")</f>
        <v/>
      </c>
      <c r="M169" s="35">
        <f>IFERROR(INDEX('Fund Research'!$T$6:$T$505,MATCH(164,'Fund Research'!$V$6:$V$505,0)),"")</f>
        <v/>
      </c>
    </row>
    <row r="170" ht="15" customHeight="1">
      <c r="A170" s="34">
        <f>IFERROR(IF(INDEX('Fund Research'!$B$6:$B$505,MATCH(165,'Fund Research'!$V$6:$V$505,0))="","",165),"")</f>
        <v/>
      </c>
      <c r="B170" s="35">
        <f>IFERROR(INDEX('Fund Research'!$A$6:$A$505,MATCH(165,'Fund Research'!$V$6:$V$505,0)),"")</f>
        <v/>
      </c>
      <c r="C170" s="35">
        <f>IFERROR(INDEX('Fund Research'!$B$6:$B$505,MATCH(165,'Fund Research'!$V$6:$V$505,0)),"")</f>
        <v/>
      </c>
      <c r="D170" s="35">
        <f>IFERROR(INDEX('Fund Research'!$C$6:$C$505,MATCH(165,'Fund Research'!$V$6:$V$505,0)),"")</f>
        <v/>
      </c>
      <c r="E170" s="36">
        <f>IFERROR(INDEX('Fund Research'!$G$6:$G$505,MATCH(165,'Fund Research'!$V$6:$V$505,0)),"")</f>
        <v/>
      </c>
      <c r="F170" s="36">
        <f>IFERROR(INDEX('Fund Research'!$H$6:$H$505,MATCH(165,'Fund Research'!$V$6:$V$505,0)),"")</f>
        <v/>
      </c>
      <c r="G170" s="36">
        <f>IFERROR(INDEX('Fund Research'!$I$6:$I$505,MATCH(165,'Fund Research'!$V$6:$V$505,0)),"")</f>
        <v/>
      </c>
      <c r="H170" s="37">
        <f>IFERROR(INDEX('Fund Research'!$J$6:$J$505,MATCH(165,'Fund Research'!$V$6:$V$505,0)),"")</f>
        <v/>
      </c>
      <c r="I170" s="39">
        <f>IFERROR(INDEX('Fund Research'!$L$6:$L$505,MATCH(165,'Fund Research'!$V$6:$V$505,0)),"")</f>
        <v/>
      </c>
      <c r="J170" s="37">
        <f>IFERROR(INDEX('Fund Research'!$N$6:$N$505,MATCH(165,'Fund Research'!$V$6:$V$505,0)),"")</f>
        <v/>
      </c>
      <c r="K170" s="37">
        <f>IFERROR(INDEX('Fund Research'!$P$6:$P$505,MATCH(165,'Fund Research'!$V$6:$V$505,0)),"")</f>
        <v/>
      </c>
      <c r="L170" s="35">
        <f>IFERROR(INDEX('Fund Research'!$S$6:$S$505,MATCH(165,'Fund Research'!$V$6:$V$505,0)),"")</f>
        <v/>
      </c>
      <c r="M170" s="35">
        <f>IFERROR(INDEX('Fund Research'!$T$6:$T$505,MATCH(165,'Fund Research'!$V$6:$V$505,0)),"")</f>
        <v/>
      </c>
    </row>
    <row r="171" ht="15" customHeight="1">
      <c r="A171" s="34">
        <f>IFERROR(IF(INDEX('Fund Research'!$B$6:$B$505,MATCH(166,'Fund Research'!$V$6:$V$505,0))="","",166),"")</f>
        <v/>
      </c>
      <c r="B171" s="35">
        <f>IFERROR(INDEX('Fund Research'!$A$6:$A$505,MATCH(166,'Fund Research'!$V$6:$V$505,0)),"")</f>
        <v/>
      </c>
      <c r="C171" s="35">
        <f>IFERROR(INDEX('Fund Research'!$B$6:$B$505,MATCH(166,'Fund Research'!$V$6:$V$505,0)),"")</f>
        <v/>
      </c>
      <c r="D171" s="35">
        <f>IFERROR(INDEX('Fund Research'!$C$6:$C$505,MATCH(166,'Fund Research'!$V$6:$V$505,0)),"")</f>
        <v/>
      </c>
      <c r="E171" s="36">
        <f>IFERROR(INDEX('Fund Research'!$G$6:$G$505,MATCH(166,'Fund Research'!$V$6:$V$505,0)),"")</f>
        <v/>
      </c>
      <c r="F171" s="36">
        <f>IFERROR(INDEX('Fund Research'!$H$6:$H$505,MATCH(166,'Fund Research'!$V$6:$V$505,0)),"")</f>
        <v/>
      </c>
      <c r="G171" s="36">
        <f>IFERROR(INDEX('Fund Research'!$I$6:$I$505,MATCH(166,'Fund Research'!$V$6:$V$505,0)),"")</f>
        <v/>
      </c>
      <c r="H171" s="37">
        <f>IFERROR(INDEX('Fund Research'!$J$6:$J$505,MATCH(166,'Fund Research'!$V$6:$V$505,0)),"")</f>
        <v/>
      </c>
      <c r="I171" s="39">
        <f>IFERROR(INDEX('Fund Research'!$L$6:$L$505,MATCH(166,'Fund Research'!$V$6:$V$505,0)),"")</f>
        <v/>
      </c>
      <c r="J171" s="37">
        <f>IFERROR(INDEX('Fund Research'!$N$6:$N$505,MATCH(166,'Fund Research'!$V$6:$V$505,0)),"")</f>
        <v/>
      </c>
      <c r="K171" s="37">
        <f>IFERROR(INDEX('Fund Research'!$P$6:$P$505,MATCH(166,'Fund Research'!$V$6:$V$505,0)),"")</f>
        <v/>
      </c>
      <c r="L171" s="35">
        <f>IFERROR(INDEX('Fund Research'!$S$6:$S$505,MATCH(166,'Fund Research'!$V$6:$V$505,0)),"")</f>
        <v/>
      </c>
      <c r="M171" s="35">
        <f>IFERROR(INDEX('Fund Research'!$T$6:$T$505,MATCH(166,'Fund Research'!$V$6:$V$505,0)),"")</f>
        <v/>
      </c>
    </row>
    <row r="172" ht="15" customHeight="1">
      <c r="A172" s="34">
        <f>IFERROR(IF(INDEX('Fund Research'!$B$6:$B$505,MATCH(167,'Fund Research'!$V$6:$V$505,0))="","",167),"")</f>
        <v/>
      </c>
      <c r="B172" s="35">
        <f>IFERROR(INDEX('Fund Research'!$A$6:$A$505,MATCH(167,'Fund Research'!$V$6:$V$505,0)),"")</f>
        <v/>
      </c>
      <c r="C172" s="35">
        <f>IFERROR(INDEX('Fund Research'!$B$6:$B$505,MATCH(167,'Fund Research'!$V$6:$V$505,0)),"")</f>
        <v/>
      </c>
      <c r="D172" s="35">
        <f>IFERROR(INDEX('Fund Research'!$C$6:$C$505,MATCH(167,'Fund Research'!$V$6:$V$505,0)),"")</f>
        <v/>
      </c>
      <c r="E172" s="36">
        <f>IFERROR(INDEX('Fund Research'!$G$6:$G$505,MATCH(167,'Fund Research'!$V$6:$V$505,0)),"")</f>
        <v/>
      </c>
      <c r="F172" s="36">
        <f>IFERROR(INDEX('Fund Research'!$H$6:$H$505,MATCH(167,'Fund Research'!$V$6:$V$505,0)),"")</f>
        <v/>
      </c>
      <c r="G172" s="36">
        <f>IFERROR(INDEX('Fund Research'!$I$6:$I$505,MATCH(167,'Fund Research'!$V$6:$V$505,0)),"")</f>
        <v/>
      </c>
      <c r="H172" s="37">
        <f>IFERROR(INDEX('Fund Research'!$J$6:$J$505,MATCH(167,'Fund Research'!$V$6:$V$505,0)),"")</f>
        <v/>
      </c>
      <c r="I172" s="39">
        <f>IFERROR(INDEX('Fund Research'!$L$6:$L$505,MATCH(167,'Fund Research'!$V$6:$V$505,0)),"")</f>
        <v/>
      </c>
      <c r="J172" s="37">
        <f>IFERROR(INDEX('Fund Research'!$N$6:$N$505,MATCH(167,'Fund Research'!$V$6:$V$505,0)),"")</f>
        <v/>
      </c>
      <c r="K172" s="37">
        <f>IFERROR(INDEX('Fund Research'!$P$6:$P$505,MATCH(167,'Fund Research'!$V$6:$V$505,0)),"")</f>
        <v/>
      </c>
      <c r="L172" s="35">
        <f>IFERROR(INDEX('Fund Research'!$S$6:$S$505,MATCH(167,'Fund Research'!$V$6:$V$505,0)),"")</f>
        <v/>
      </c>
      <c r="M172" s="35">
        <f>IFERROR(INDEX('Fund Research'!$T$6:$T$505,MATCH(167,'Fund Research'!$V$6:$V$505,0)),"")</f>
        <v/>
      </c>
    </row>
    <row r="173" ht="15" customHeight="1">
      <c r="A173" s="34">
        <f>IFERROR(IF(INDEX('Fund Research'!$B$6:$B$505,MATCH(168,'Fund Research'!$V$6:$V$505,0))="","",168),"")</f>
        <v/>
      </c>
      <c r="B173" s="35">
        <f>IFERROR(INDEX('Fund Research'!$A$6:$A$505,MATCH(168,'Fund Research'!$V$6:$V$505,0)),"")</f>
        <v/>
      </c>
      <c r="C173" s="35">
        <f>IFERROR(INDEX('Fund Research'!$B$6:$B$505,MATCH(168,'Fund Research'!$V$6:$V$505,0)),"")</f>
        <v/>
      </c>
      <c r="D173" s="35">
        <f>IFERROR(INDEX('Fund Research'!$C$6:$C$505,MATCH(168,'Fund Research'!$V$6:$V$505,0)),"")</f>
        <v/>
      </c>
      <c r="E173" s="36">
        <f>IFERROR(INDEX('Fund Research'!$G$6:$G$505,MATCH(168,'Fund Research'!$V$6:$V$505,0)),"")</f>
        <v/>
      </c>
      <c r="F173" s="36">
        <f>IFERROR(INDEX('Fund Research'!$H$6:$H$505,MATCH(168,'Fund Research'!$V$6:$V$505,0)),"")</f>
        <v/>
      </c>
      <c r="G173" s="36">
        <f>IFERROR(INDEX('Fund Research'!$I$6:$I$505,MATCH(168,'Fund Research'!$V$6:$V$505,0)),"")</f>
        <v/>
      </c>
      <c r="H173" s="37">
        <f>IFERROR(INDEX('Fund Research'!$J$6:$J$505,MATCH(168,'Fund Research'!$V$6:$V$505,0)),"")</f>
        <v/>
      </c>
      <c r="I173" s="39">
        <f>IFERROR(INDEX('Fund Research'!$L$6:$L$505,MATCH(168,'Fund Research'!$V$6:$V$505,0)),"")</f>
        <v/>
      </c>
      <c r="J173" s="37">
        <f>IFERROR(INDEX('Fund Research'!$N$6:$N$505,MATCH(168,'Fund Research'!$V$6:$V$505,0)),"")</f>
        <v/>
      </c>
      <c r="K173" s="37">
        <f>IFERROR(INDEX('Fund Research'!$P$6:$P$505,MATCH(168,'Fund Research'!$V$6:$V$505,0)),"")</f>
        <v/>
      </c>
      <c r="L173" s="35">
        <f>IFERROR(INDEX('Fund Research'!$S$6:$S$505,MATCH(168,'Fund Research'!$V$6:$V$505,0)),"")</f>
        <v/>
      </c>
      <c r="M173" s="35">
        <f>IFERROR(INDEX('Fund Research'!$T$6:$T$505,MATCH(168,'Fund Research'!$V$6:$V$505,0)),"")</f>
        <v/>
      </c>
    </row>
    <row r="174" ht="15" customHeight="1">
      <c r="A174" s="34">
        <f>IFERROR(IF(INDEX('Fund Research'!$B$6:$B$505,MATCH(169,'Fund Research'!$V$6:$V$505,0))="","",169),"")</f>
        <v/>
      </c>
      <c r="B174" s="35">
        <f>IFERROR(INDEX('Fund Research'!$A$6:$A$505,MATCH(169,'Fund Research'!$V$6:$V$505,0)),"")</f>
        <v/>
      </c>
      <c r="C174" s="35">
        <f>IFERROR(INDEX('Fund Research'!$B$6:$B$505,MATCH(169,'Fund Research'!$V$6:$V$505,0)),"")</f>
        <v/>
      </c>
      <c r="D174" s="35">
        <f>IFERROR(INDEX('Fund Research'!$C$6:$C$505,MATCH(169,'Fund Research'!$V$6:$V$505,0)),"")</f>
        <v/>
      </c>
      <c r="E174" s="36">
        <f>IFERROR(INDEX('Fund Research'!$G$6:$G$505,MATCH(169,'Fund Research'!$V$6:$V$505,0)),"")</f>
        <v/>
      </c>
      <c r="F174" s="36">
        <f>IFERROR(INDEX('Fund Research'!$H$6:$H$505,MATCH(169,'Fund Research'!$V$6:$V$505,0)),"")</f>
        <v/>
      </c>
      <c r="G174" s="36">
        <f>IFERROR(INDEX('Fund Research'!$I$6:$I$505,MATCH(169,'Fund Research'!$V$6:$V$505,0)),"")</f>
        <v/>
      </c>
      <c r="H174" s="37">
        <f>IFERROR(INDEX('Fund Research'!$J$6:$J$505,MATCH(169,'Fund Research'!$V$6:$V$505,0)),"")</f>
        <v/>
      </c>
      <c r="I174" s="39">
        <f>IFERROR(INDEX('Fund Research'!$L$6:$L$505,MATCH(169,'Fund Research'!$V$6:$V$505,0)),"")</f>
        <v/>
      </c>
      <c r="J174" s="37">
        <f>IFERROR(INDEX('Fund Research'!$N$6:$N$505,MATCH(169,'Fund Research'!$V$6:$V$505,0)),"")</f>
        <v/>
      </c>
      <c r="K174" s="37">
        <f>IFERROR(INDEX('Fund Research'!$P$6:$P$505,MATCH(169,'Fund Research'!$V$6:$V$505,0)),"")</f>
        <v/>
      </c>
      <c r="L174" s="35">
        <f>IFERROR(INDEX('Fund Research'!$S$6:$S$505,MATCH(169,'Fund Research'!$V$6:$V$505,0)),"")</f>
        <v/>
      </c>
      <c r="M174" s="35">
        <f>IFERROR(INDEX('Fund Research'!$T$6:$T$505,MATCH(169,'Fund Research'!$V$6:$V$505,0)),"")</f>
        <v/>
      </c>
    </row>
    <row r="175" ht="15" customHeight="1">
      <c r="A175" s="34">
        <f>IFERROR(IF(INDEX('Fund Research'!$B$6:$B$505,MATCH(170,'Fund Research'!$V$6:$V$505,0))="","",170),"")</f>
        <v/>
      </c>
      <c r="B175" s="35">
        <f>IFERROR(INDEX('Fund Research'!$A$6:$A$505,MATCH(170,'Fund Research'!$V$6:$V$505,0)),"")</f>
        <v/>
      </c>
      <c r="C175" s="35">
        <f>IFERROR(INDEX('Fund Research'!$B$6:$B$505,MATCH(170,'Fund Research'!$V$6:$V$505,0)),"")</f>
        <v/>
      </c>
      <c r="D175" s="35">
        <f>IFERROR(INDEX('Fund Research'!$C$6:$C$505,MATCH(170,'Fund Research'!$V$6:$V$505,0)),"")</f>
        <v/>
      </c>
      <c r="E175" s="36">
        <f>IFERROR(INDEX('Fund Research'!$G$6:$G$505,MATCH(170,'Fund Research'!$V$6:$V$505,0)),"")</f>
        <v/>
      </c>
      <c r="F175" s="36">
        <f>IFERROR(INDEX('Fund Research'!$H$6:$H$505,MATCH(170,'Fund Research'!$V$6:$V$505,0)),"")</f>
        <v/>
      </c>
      <c r="G175" s="36">
        <f>IFERROR(INDEX('Fund Research'!$I$6:$I$505,MATCH(170,'Fund Research'!$V$6:$V$505,0)),"")</f>
        <v/>
      </c>
      <c r="H175" s="37">
        <f>IFERROR(INDEX('Fund Research'!$J$6:$J$505,MATCH(170,'Fund Research'!$V$6:$V$505,0)),"")</f>
        <v/>
      </c>
      <c r="I175" s="39">
        <f>IFERROR(INDEX('Fund Research'!$L$6:$L$505,MATCH(170,'Fund Research'!$V$6:$V$505,0)),"")</f>
        <v/>
      </c>
      <c r="J175" s="37">
        <f>IFERROR(INDEX('Fund Research'!$N$6:$N$505,MATCH(170,'Fund Research'!$V$6:$V$505,0)),"")</f>
        <v/>
      </c>
      <c r="K175" s="37">
        <f>IFERROR(INDEX('Fund Research'!$P$6:$P$505,MATCH(170,'Fund Research'!$V$6:$V$505,0)),"")</f>
        <v/>
      </c>
      <c r="L175" s="35">
        <f>IFERROR(INDEX('Fund Research'!$S$6:$S$505,MATCH(170,'Fund Research'!$V$6:$V$505,0)),"")</f>
        <v/>
      </c>
      <c r="M175" s="35">
        <f>IFERROR(INDEX('Fund Research'!$T$6:$T$505,MATCH(170,'Fund Research'!$V$6:$V$505,0)),"")</f>
        <v/>
      </c>
    </row>
    <row r="176" ht="15" customHeight="1">
      <c r="A176" s="34">
        <f>IFERROR(IF(INDEX('Fund Research'!$B$6:$B$505,MATCH(171,'Fund Research'!$V$6:$V$505,0))="","",171),"")</f>
        <v/>
      </c>
      <c r="B176" s="35">
        <f>IFERROR(INDEX('Fund Research'!$A$6:$A$505,MATCH(171,'Fund Research'!$V$6:$V$505,0)),"")</f>
        <v/>
      </c>
      <c r="C176" s="35">
        <f>IFERROR(INDEX('Fund Research'!$B$6:$B$505,MATCH(171,'Fund Research'!$V$6:$V$505,0)),"")</f>
        <v/>
      </c>
      <c r="D176" s="35">
        <f>IFERROR(INDEX('Fund Research'!$C$6:$C$505,MATCH(171,'Fund Research'!$V$6:$V$505,0)),"")</f>
        <v/>
      </c>
      <c r="E176" s="36">
        <f>IFERROR(INDEX('Fund Research'!$G$6:$G$505,MATCH(171,'Fund Research'!$V$6:$V$505,0)),"")</f>
        <v/>
      </c>
      <c r="F176" s="36">
        <f>IFERROR(INDEX('Fund Research'!$H$6:$H$505,MATCH(171,'Fund Research'!$V$6:$V$505,0)),"")</f>
        <v/>
      </c>
      <c r="G176" s="36">
        <f>IFERROR(INDEX('Fund Research'!$I$6:$I$505,MATCH(171,'Fund Research'!$V$6:$V$505,0)),"")</f>
        <v/>
      </c>
      <c r="H176" s="37">
        <f>IFERROR(INDEX('Fund Research'!$J$6:$J$505,MATCH(171,'Fund Research'!$V$6:$V$505,0)),"")</f>
        <v/>
      </c>
      <c r="I176" s="39">
        <f>IFERROR(INDEX('Fund Research'!$L$6:$L$505,MATCH(171,'Fund Research'!$V$6:$V$505,0)),"")</f>
        <v/>
      </c>
      <c r="J176" s="37">
        <f>IFERROR(INDEX('Fund Research'!$N$6:$N$505,MATCH(171,'Fund Research'!$V$6:$V$505,0)),"")</f>
        <v/>
      </c>
      <c r="K176" s="37">
        <f>IFERROR(INDEX('Fund Research'!$P$6:$P$505,MATCH(171,'Fund Research'!$V$6:$V$505,0)),"")</f>
        <v/>
      </c>
      <c r="L176" s="35">
        <f>IFERROR(INDEX('Fund Research'!$S$6:$S$505,MATCH(171,'Fund Research'!$V$6:$V$505,0)),"")</f>
        <v/>
      </c>
      <c r="M176" s="35">
        <f>IFERROR(INDEX('Fund Research'!$T$6:$T$505,MATCH(171,'Fund Research'!$V$6:$V$505,0)),"")</f>
        <v/>
      </c>
    </row>
    <row r="177" ht="15" customHeight="1">
      <c r="A177" s="34">
        <f>IFERROR(IF(INDEX('Fund Research'!$B$6:$B$505,MATCH(172,'Fund Research'!$V$6:$V$505,0))="","",172),"")</f>
        <v/>
      </c>
      <c r="B177" s="35">
        <f>IFERROR(INDEX('Fund Research'!$A$6:$A$505,MATCH(172,'Fund Research'!$V$6:$V$505,0)),"")</f>
        <v/>
      </c>
      <c r="C177" s="35">
        <f>IFERROR(INDEX('Fund Research'!$B$6:$B$505,MATCH(172,'Fund Research'!$V$6:$V$505,0)),"")</f>
        <v/>
      </c>
      <c r="D177" s="35">
        <f>IFERROR(INDEX('Fund Research'!$C$6:$C$505,MATCH(172,'Fund Research'!$V$6:$V$505,0)),"")</f>
        <v/>
      </c>
      <c r="E177" s="36">
        <f>IFERROR(INDEX('Fund Research'!$G$6:$G$505,MATCH(172,'Fund Research'!$V$6:$V$505,0)),"")</f>
        <v/>
      </c>
      <c r="F177" s="36">
        <f>IFERROR(INDEX('Fund Research'!$H$6:$H$505,MATCH(172,'Fund Research'!$V$6:$V$505,0)),"")</f>
        <v/>
      </c>
      <c r="G177" s="36">
        <f>IFERROR(INDEX('Fund Research'!$I$6:$I$505,MATCH(172,'Fund Research'!$V$6:$V$505,0)),"")</f>
        <v/>
      </c>
      <c r="H177" s="37">
        <f>IFERROR(INDEX('Fund Research'!$J$6:$J$505,MATCH(172,'Fund Research'!$V$6:$V$505,0)),"")</f>
        <v/>
      </c>
      <c r="I177" s="39">
        <f>IFERROR(INDEX('Fund Research'!$L$6:$L$505,MATCH(172,'Fund Research'!$V$6:$V$505,0)),"")</f>
        <v/>
      </c>
      <c r="J177" s="37">
        <f>IFERROR(INDEX('Fund Research'!$N$6:$N$505,MATCH(172,'Fund Research'!$V$6:$V$505,0)),"")</f>
        <v/>
      </c>
      <c r="K177" s="37">
        <f>IFERROR(INDEX('Fund Research'!$P$6:$P$505,MATCH(172,'Fund Research'!$V$6:$V$505,0)),"")</f>
        <v/>
      </c>
      <c r="L177" s="35">
        <f>IFERROR(INDEX('Fund Research'!$S$6:$S$505,MATCH(172,'Fund Research'!$V$6:$V$505,0)),"")</f>
        <v/>
      </c>
      <c r="M177" s="35">
        <f>IFERROR(INDEX('Fund Research'!$T$6:$T$505,MATCH(172,'Fund Research'!$V$6:$V$505,0)),"")</f>
        <v/>
      </c>
    </row>
    <row r="178" ht="15" customHeight="1">
      <c r="A178" s="34">
        <f>IFERROR(IF(INDEX('Fund Research'!$B$6:$B$505,MATCH(173,'Fund Research'!$V$6:$V$505,0))="","",173),"")</f>
        <v/>
      </c>
      <c r="B178" s="35">
        <f>IFERROR(INDEX('Fund Research'!$A$6:$A$505,MATCH(173,'Fund Research'!$V$6:$V$505,0)),"")</f>
        <v/>
      </c>
      <c r="C178" s="35">
        <f>IFERROR(INDEX('Fund Research'!$B$6:$B$505,MATCH(173,'Fund Research'!$V$6:$V$505,0)),"")</f>
        <v/>
      </c>
      <c r="D178" s="35">
        <f>IFERROR(INDEX('Fund Research'!$C$6:$C$505,MATCH(173,'Fund Research'!$V$6:$V$505,0)),"")</f>
        <v/>
      </c>
      <c r="E178" s="36">
        <f>IFERROR(INDEX('Fund Research'!$G$6:$G$505,MATCH(173,'Fund Research'!$V$6:$V$505,0)),"")</f>
        <v/>
      </c>
      <c r="F178" s="36">
        <f>IFERROR(INDEX('Fund Research'!$H$6:$H$505,MATCH(173,'Fund Research'!$V$6:$V$505,0)),"")</f>
        <v/>
      </c>
      <c r="G178" s="36">
        <f>IFERROR(INDEX('Fund Research'!$I$6:$I$505,MATCH(173,'Fund Research'!$V$6:$V$505,0)),"")</f>
        <v/>
      </c>
      <c r="H178" s="37">
        <f>IFERROR(INDEX('Fund Research'!$J$6:$J$505,MATCH(173,'Fund Research'!$V$6:$V$505,0)),"")</f>
        <v/>
      </c>
      <c r="I178" s="39">
        <f>IFERROR(INDEX('Fund Research'!$L$6:$L$505,MATCH(173,'Fund Research'!$V$6:$V$505,0)),"")</f>
        <v/>
      </c>
      <c r="J178" s="37">
        <f>IFERROR(INDEX('Fund Research'!$N$6:$N$505,MATCH(173,'Fund Research'!$V$6:$V$505,0)),"")</f>
        <v/>
      </c>
      <c r="K178" s="37">
        <f>IFERROR(INDEX('Fund Research'!$P$6:$P$505,MATCH(173,'Fund Research'!$V$6:$V$505,0)),"")</f>
        <v/>
      </c>
      <c r="L178" s="35">
        <f>IFERROR(INDEX('Fund Research'!$S$6:$S$505,MATCH(173,'Fund Research'!$V$6:$V$505,0)),"")</f>
        <v/>
      </c>
      <c r="M178" s="35">
        <f>IFERROR(INDEX('Fund Research'!$T$6:$T$505,MATCH(173,'Fund Research'!$V$6:$V$505,0)),"")</f>
        <v/>
      </c>
    </row>
    <row r="179" ht="15" customHeight="1">
      <c r="A179" s="34">
        <f>IFERROR(IF(INDEX('Fund Research'!$B$6:$B$505,MATCH(174,'Fund Research'!$V$6:$V$505,0))="","",174),"")</f>
        <v/>
      </c>
      <c r="B179" s="35">
        <f>IFERROR(INDEX('Fund Research'!$A$6:$A$505,MATCH(174,'Fund Research'!$V$6:$V$505,0)),"")</f>
        <v/>
      </c>
      <c r="C179" s="35">
        <f>IFERROR(INDEX('Fund Research'!$B$6:$B$505,MATCH(174,'Fund Research'!$V$6:$V$505,0)),"")</f>
        <v/>
      </c>
      <c r="D179" s="35">
        <f>IFERROR(INDEX('Fund Research'!$C$6:$C$505,MATCH(174,'Fund Research'!$V$6:$V$505,0)),"")</f>
        <v/>
      </c>
      <c r="E179" s="36">
        <f>IFERROR(INDEX('Fund Research'!$G$6:$G$505,MATCH(174,'Fund Research'!$V$6:$V$505,0)),"")</f>
        <v/>
      </c>
      <c r="F179" s="36">
        <f>IFERROR(INDEX('Fund Research'!$H$6:$H$505,MATCH(174,'Fund Research'!$V$6:$V$505,0)),"")</f>
        <v/>
      </c>
      <c r="G179" s="36">
        <f>IFERROR(INDEX('Fund Research'!$I$6:$I$505,MATCH(174,'Fund Research'!$V$6:$V$505,0)),"")</f>
        <v/>
      </c>
      <c r="H179" s="37">
        <f>IFERROR(INDEX('Fund Research'!$J$6:$J$505,MATCH(174,'Fund Research'!$V$6:$V$505,0)),"")</f>
        <v/>
      </c>
      <c r="I179" s="39">
        <f>IFERROR(INDEX('Fund Research'!$L$6:$L$505,MATCH(174,'Fund Research'!$V$6:$V$505,0)),"")</f>
        <v/>
      </c>
      <c r="J179" s="37">
        <f>IFERROR(INDEX('Fund Research'!$N$6:$N$505,MATCH(174,'Fund Research'!$V$6:$V$505,0)),"")</f>
        <v/>
      </c>
      <c r="K179" s="37">
        <f>IFERROR(INDEX('Fund Research'!$P$6:$P$505,MATCH(174,'Fund Research'!$V$6:$V$505,0)),"")</f>
        <v/>
      </c>
      <c r="L179" s="35">
        <f>IFERROR(INDEX('Fund Research'!$S$6:$S$505,MATCH(174,'Fund Research'!$V$6:$V$505,0)),"")</f>
        <v/>
      </c>
      <c r="M179" s="35">
        <f>IFERROR(INDEX('Fund Research'!$T$6:$T$505,MATCH(174,'Fund Research'!$V$6:$V$505,0)),"")</f>
        <v/>
      </c>
    </row>
    <row r="180" ht="15" customHeight="1">
      <c r="A180" s="34">
        <f>IFERROR(IF(INDEX('Fund Research'!$B$6:$B$505,MATCH(175,'Fund Research'!$V$6:$V$505,0))="","",175),"")</f>
        <v/>
      </c>
      <c r="B180" s="35">
        <f>IFERROR(INDEX('Fund Research'!$A$6:$A$505,MATCH(175,'Fund Research'!$V$6:$V$505,0)),"")</f>
        <v/>
      </c>
      <c r="C180" s="35">
        <f>IFERROR(INDEX('Fund Research'!$B$6:$B$505,MATCH(175,'Fund Research'!$V$6:$V$505,0)),"")</f>
        <v/>
      </c>
      <c r="D180" s="35">
        <f>IFERROR(INDEX('Fund Research'!$C$6:$C$505,MATCH(175,'Fund Research'!$V$6:$V$505,0)),"")</f>
        <v/>
      </c>
      <c r="E180" s="36">
        <f>IFERROR(INDEX('Fund Research'!$G$6:$G$505,MATCH(175,'Fund Research'!$V$6:$V$505,0)),"")</f>
        <v/>
      </c>
      <c r="F180" s="36">
        <f>IFERROR(INDEX('Fund Research'!$H$6:$H$505,MATCH(175,'Fund Research'!$V$6:$V$505,0)),"")</f>
        <v/>
      </c>
      <c r="G180" s="36">
        <f>IFERROR(INDEX('Fund Research'!$I$6:$I$505,MATCH(175,'Fund Research'!$V$6:$V$505,0)),"")</f>
        <v/>
      </c>
      <c r="H180" s="37">
        <f>IFERROR(INDEX('Fund Research'!$J$6:$J$505,MATCH(175,'Fund Research'!$V$6:$V$505,0)),"")</f>
        <v/>
      </c>
      <c r="I180" s="39">
        <f>IFERROR(INDEX('Fund Research'!$L$6:$L$505,MATCH(175,'Fund Research'!$V$6:$V$505,0)),"")</f>
        <v/>
      </c>
      <c r="J180" s="37">
        <f>IFERROR(INDEX('Fund Research'!$N$6:$N$505,MATCH(175,'Fund Research'!$V$6:$V$505,0)),"")</f>
        <v/>
      </c>
      <c r="K180" s="37">
        <f>IFERROR(INDEX('Fund Research'!$P$6:$P$505,MATCH(175,'Fund Research'!$V$6:$V$505,0)),"")</f>
        <v/>
      </c>
      <c r="L180" s="35">
        <f>IFERROR(INDEX('Fund Research'!$S$6:$S$505,MATCH(175,'Fund Research'!$V$6:$V$505,0)),"")</f>
        <v/>
      </c>
      <c r="M180" s="35">
        <f>IFERROR(INDEX('Fund Research'!$T$6:$T$505,MATCH(175,'Fund Research'!$V$6:$V$505,0)),"")</f>
        <v/>
      </c>
    </row>
    <row r="181" ht="15" customHeight="1">
      <c r="A181" s="34">
        <f>IFERROR(IF(INDEX('Fund Research'!$B$6:$B$505,MATCH(176,'Fund Research'!$V$6:$V$505,0))="","",176),"")</f>
        <v/>
      </c>
      <c r="B181" s="35">
        <f>IFERROR(INDEX('Fund Research'!$A$6:$A$505,MATCH(176,'Fund Research'!$V$6:$V$505,0)),"")</f>
        <v/>
      </c>
      <c r="C181" s="35">
        <f>IFERROR(INDEX('Fund Research'!$B$6:$B$505,MATCH(176,'Fund Research'!$V$6:$V$505,0)),"")</f>
        <v/>
      </c>
      <c r="D181" s="35">
        <f>IFERROR(INDEX('Fund Research'!$C$6:$C$505,MATCH(176,'Fund Research'!$V$6:$V$505,0)),"")</f>
        <v/>
      </c>
      <c r="E181" s="36">
        <f>IFERROR(INDEX('Fund Research'!$G$6:$G$505,MATCH(176,'Fund Research'!$V$6:$V$505,0)),"")</f>
        <v/>
      </c>
      <c r="F181" s="36">
        <f>IFERROR(INDEX('Fund Research'!$H$6:$H$505,MATCH(176,'Fund Research'!$V$6:$V$505,0)),"")</f>
        <v/>
      </c>
      <c r="G181" s="36">
        <f>IFERROR(INDEX('Fund Research'!$I$6:$I$505,MATCH(176,'Fund Research'!$V$6:$V$505,0)),"")</f>
        <v/>
      </c>
      <c r="H181" s="37">
        <f>IFERROR(INDEX('Fund Research'!$J$6:$J$505,MATCH(176,'Fund Research'!$V$6:$V$505,0)),"")</f>
        <v/>
      </c>
      <c r="I181" s="39">
        <f>IFERROR(INDEX('Fund Research'!$L$6:$L$505,MATCH(176,'Fund Research'!$V$6:$V$505,0)),"")</f>
        <v/>
      </c>
      <c r="J181" s="37">
        <f>IFERROR(INDEX('Fund Research'!$N$6:$N$505,MATCH(176,'Fund Research'!$V$6:$V$505,0)),"")</f>
        <v/>
      </c>
      <c r="K181" s="37">
        <f>IFERROR(INDEX('Fund Research'!$P$6:$P$505,MATCH(176,'Fund Research'!$V$6:$V$505,0)),"")</f>
        <v/>
      </c>
      <c r="L181" s="35">
        <f>IFERROR(INDEX('Fund Research'!$S$6:$S$505,MATCH(176,'Fund Research'!$V$6:$V$505,0)),"")</f>
        <v/>
      </c>
      <c r="M181" s="35">
        <f>IFERROR(INDEX('Fund Research'!$T$6:$T$505,MATCH(176,'Fund Research'!$V$6:$V$505,0)),"")</f>
        <v/>
      </c>
    </row>
    <row r="182" ht="15" customHeight="1">
      <c r="A182" s="34">
        <f>IFERROR(IF(INDEX('Fund Research'!$B$6:$B$505,MATCH(177,'Fund Research'!$V$6:$V$505,0))="","",177),"")</f>
        <v/>
      </c>
      <c r="B182" s="35">
        <f>IFERROR(INDEX('Fund Research'!$A$6:$A$505,MATCH(177,'Fund Research'!$V$6:$V$505,0)),"")</f>
        <v/>
      </c>
      <c r="C182" s="35">
        <f>IFERROR(INDEX('Fund Research'!$B$6:$B$505,MATCH(177,'Fund Research'!$V$6:$V$505,0)),"")</f>
        <v/>
      </c>
      <c r="D182" s="35">
        <f>IFERROR(INDEX('Fund Research'!$C$6:$C$505,MATCH(177,'Fund Research'!$V$6:$V$505,0)),"")</f>
        <v/>
      </c>
      <c r="E182" s="36">
        <f>IFERROR(INDEX('Fund Research'!$G$6:$G$505,MATCH(177,'Fund Research'!$V$6:$V$505,0)),"")</f>
        <v/>
      </c>
      <c r="F182" s="36">
        <f>IFERROR(INDEX('Fund Research'!$H$6:$H$505,MATCH(177,'Fund Research'!$V$6:$V$505,0)),"")</f>
        <v/>
      </c>
      <c r="G182" s="36">
        <f>IFERROR(INDEX('Fund Research'!$I$6:$I$505,MATCH(177,'Fund Research'!$V$6:$V$505,0)),"")</f>
        <v/>
      </c>
      <c r="H182" s="37">
        <f>IFERROR(INDEX('Fund Research'!$J$6:$J$505,MATCH(177,'Fund Research'!$V$6:$V$505,0)),"")</f>
        <v/>
      </c>
      <c r="I182" s="39">
        <f>IFERROR(INDEX('Fund Research'!$L$6:$L$505,MATCH(177,'Fund Research'!$V$6:$V$505,0)),"")</f>
        <v/>
      </c>
      <c r="J182" s="37">
        <f>IFERROR(INDEX('Fund Research'!$N$6:$N$505,MATCH(177,'Fund Research'!$V$6:$V$505,0)),"")</f>
        <v/>
      </c>
      <c r="K182" s="37">
        <f>IFERROR(INDEX('Fund Research'!$P$6:$P$505,MATCH(177,'Fund Research'!$V$6:$V$505,0)),"")</f>
        <v/>
      </c>
      <c r="L182" s="35">
        <f>IFERROR(INDEX('Fund Research'!$S$6:$S$505,MATCH(177,'Fund Research'!$V$6:$V$505,0)),"")</f>
        <v/>
      </c>
      <c r="M182" s="35">
        <f>IFERROR(INDEX('Fund Research'!$T$6:$T$505,MATCH(177,'Fund Research'!$V$6:$V$505,0)),"")</f>
        <v/>
      </c>
    </row>
    <row r="183" ht="15" customHeight="1">
      <c r="A183" s="34">
        <f>IFERROR(IF(INDEX('Fund Research'!$B$6:$B$505,MATCH(178,'Fund Research'!$V$6:$V$505,0))="","",178),"")</f>
        <v/>
      </c>
      <c r="B183" s="35">
        <f>IFERROR(INDEX('Fund Research'!$A$6:$A$505,MATCH(178,'Fund Research'!$V$6:$V$505,0)),"")</f>
        <v/>
      </c>
      <c r="C183" s="35">
        <f>IFERROR(INDEX('Fund Research'!$B$6:$B$505,MATCH(178,'Fund Research'!$V$6:$V$505,0)),"")</f>
        <v/>
      </c>
      <c r="D183" s="35">
        <f>IFERROR(INDEX('Fund Research'!$C$6:$C$505,MATCH(178,'Fund Research'!$V$6:$V$505,0)),"")</f>
        <v/>
      </c>
      <c r="E183" s="36">
        <f>IFERROR(INDEX('Fund Research'!$G$6:$G$505,MATCH(178,'Fund Research'!$V$6:$V$505,0)),"")</f>
        <v/>
      </c>
      <c r="F183" s="36">
        <f>IFERROR(INDEX('Fund Research'!$H$6:$H$505,MATCH(178,'Fund Research'!$V$6:$V$505,0)),"")</f>
        <v/>
      </c>
      <c r="G183" s="36">
        <f>IFERROR(INDEX('Fund Research'!$I$6:$I$505,MATCH(178,'Fund Research'!$V$6:$V$505,0)),"")</f>
        <v/>
      </c>
      <c r="H183" s="37">
        <f>IFERROR(INDEX('Fund Research'!$J$6:$J$505,MATCH(178,'Fund Research'!$V$6:$V$505,0)),"")</f>
        <v/>
      </c>
      <c r="I183" s="39">
        <f>IFERROR(INDEX('Fund Research'!$L$6:$L$505,MATCH(178,'Fund Research'!$V$6:$V$505,0)),"")</f>
        <v/>
      </c>
      <c r="J183" s="37">
        <f>IFERROR(INDEX('Fund Research'!$N$6:$N$505,MATCH(178,'Fund Research'!$V$6:$V$505,0)),"")</f>
        <v/>
      </c>
      <c r="K183" s="37">
        <f>IFERROR(INDEX('Fund Research'!$P$6:$P$505,MATCH(178,'Fund Research'!$V$6:$V$505,0)),"")</f>
        <v/>
      </c>
      <c r="L183" s="35">
        <f>IFERROR(INDEX('Fund Research'!$S$6:$S$505,MATCH(178,'Fund Research'!$V$6:$V$505,0)),"")</f>
        <v/>
      </c>
      <c r="M183" s="35">
        <f>IFERROR(INDEX('Fund Research'!$T$6:$T$505,MATCH(178,'Fund Research'!$V$6:$V$505,0)),"")</f>
        <v/>
      </c>
    </row>
    <row r="184" ht="15" customHeight="1">
      <c r="A184" s="34">
        <f>IFERROR(IF(INDEX('Fund Research'!$B$6:$B$505,MATCH(179,'Fund Research'!$V$6:$V$505,0))="","",179),"")</f>
        <v/>
      </c>
      <c r="B184" s="35">
        <f>IFERROR(INDEX('Fund Research'!$A$6:$A$505,MATCH(179,'Fund Research'!$V$6:$V$505,0)),"")</f>
        <v/>
      </c>
      <c r="C184" s="35">
        <f>IFERROR(INDEX('Fund Research'!$B$6:$B$505,MATCH(179,'Fund Research'!$V$6:$V$505,0)),"")</f>
        <v/>
      </c>
      <c r="D184" s="35">
        <f>IFERROR(INDEX('Fund Research'!$C$6:$C$505,MATCH(179,'Fund Research'!$V$6:$V$505,0)),"")</f>
        <v/>
      </c>
      <c r="E184" s="36">
        <f>IFERROR(INDEX('Fund Research'!$G$6:$G$505,MATCH(179,'Fund Research'!$V$6:$V$505,0)),"")</f>
        <v/>
      </c>
      <c r="F184" s="36">
        <f>IFERROR(INDEX('Fund Research'!$H$6:$H$505,MATCH(179,'Fund Research'!$V$6:$V$505,0)),"")</f>
        <v/>
      </c>
      <c r="G184" s="36">
        <f>IFERROR(INDEX('Fund Research'!$I$6:$I$505,MATCH(179,'Fund Research'!$V$6:$V$505,0)),"")</f>
        <v/>
      </c>
      <c r="H184" s="37">
        <f>IFERROR(INDEX('Fund Research'!$J$6:$J$505,MATCH(179,'Fund Research'!$V$6:$V$505,0)),"")</f>
        <v/>
      </c>
      <c r="I184" s="39">
        <f>IFERROR(INDEX('Fund Research'!$L$6:$L$505,MATCH(179,'Fund Research'!$V$6:$V$505,0)),"")</f>
        <v/>
      </c>
      <c r="J184" s="37">
        <f>IFERROR(INDEX('Fund Research'!$N$6:$N$505,MATCH(179,'Fund Research'!$V$6:$V$505,0)),"")</f>
        <v/>
      </c>
      <c r="K184" s="37">
        <f>IFERROR(INDEX('Fund Research'!$P$6:$P$505,MATCH(179,'Fund Research'!$V$6:$V$505,0)),"")</f>
        <v/>
      </c>
      <c r="L184" s="35">
        <f>IFERROR(INDEX('Fund Research'!$S$6:$S$505,MATCH(179,'Fund Research'!$V$6:$V$505,0)),"")</f>
        <v/>
      </c>
      <c r="M184" s="35">
        <f>IFERROR(INDEX('Fund Research'!$T$6:$T$505,MATCH(179,'Fund Research'!$V$6:$V$505,0)),"")</f>
        <v/>
      </c>
    </row>
    <row r="185" ht="15" customHeight="1">
      <c r="A185" s="34">
        <f>IFERROR(IF(INDEX('Fund Research'!$B$6:$B$505,MATCH(180,'Fund Research'!$V$6:$V$505,0))="","",180),"")</f>
        <v/>
      </c>
      <c r="B185" s="35">
        <f>IFERROR(INDEX('Fund Research'!$A$6:$A$505,MATCH(180,'Fund Research'!$V$6:$V$505,0)),"")</f>
        <v/>
      </c>
      <c r="C185" s="35">
        <f>IFERROR(INDEX('Fund Research'!$B$6:$B$505,MATCH(180,'Fund Research'!$V$6:$V$505,0)),"")</f>
        <v/>
      </c>
      <c r="D185" s="35">
        <f>IFERROR(INDEX('Fund Research'!$C$6:$C$505,MATCH(180,'Fund Research'!$V$6:$V$505,0)),"")</f>
        <v/>
      </c>
      <c r="E185" s="36">
        <f>IFERROR(INDEX('Fund Research'!$G$6:$G$505,MATCH(180,'Fund Research'!$V$6:$V$505,0)),"")</f>
        <v/>
      </c>
      <c r="F185" s="36">
        <f>IFERROR(INDEX('Fund Research'!$H$6:$H$505,MATCH(180,'Fund Research'!$V$6:$V$505,0)),"")</f>
        <v/>
      </c>
      <c r="G185" s="36">
        <f>IFERROR(INDEX('Fund Research'!$I$6:$I$505,MATCH(180,'Fund Research'!$V$6:$V$505,0)),"")</f>
        <v/>
      </c>
      <c r="H185" s="37">
        <f>IFERROR(INDEX('Fund Research'!$J$6:$J$505,MATCH(180,'Fund Research'!$V$6:$V$505,0)),"")</f>
        <v/>
      </c>
      <c r="I185" s="39">
        <f>IFERROR(INDEX('Fund Research'!$L$6:$L$505,MATCH(180,'Fund Research'!$V$6:$V$505,0)),"")</f>
        <v/>
      </c>
      <c r="J185" s="37">
        <f>IFERROR(INDEX('Fund Research'!$N$6:$N$505,MATCH(180,'Fund Research'!$V$6:$V$505,0)),"")</f>
        <v/>
      </c>
      <c r="K185" s="37">
        <f>IFERROR(INDEX('Fund Research'!$P$6:$P$505,MATCH(180,'Fund Research'!$V$6:$V$505,0)),"")</f>
        <v/>
      </c>
      <c r="L185" s="35">
        <f>IFERROR(INDEX('Fund Research'!$S$6:$S$505,MATCH(180,'Fund Research'!$V$6:$V$505,0)),"")</f>
        <v/>
      </c>
      <c r="M185" s="35">
        <f>IFERROR(INDEX('Fund Research'!$T$6:$T$505,MATCH(180,'Fund Research'!$V$6:$V$505,0)),"")</f>
        <v/>
      </c>
    </row>
    <row r="186" ht="15" customHeight="1">
      <c r="A186" s="34">
        <f>IFERROR(IF(INDEX('Fund Research'!$B$6:$B$505,MATCH(181,'Fund Research'!$V$6:$V$505,0))="","",181),"")</f>
        <v/>
      </c>
      <c r="B186" s="35">
        <f>IFERROR(INDEX('Fund Research'!$A$6:$A$505,MATCH(181,'Fund Research'!$V$6:$V$505,0)),"")</f>
        <v/>
      </c>
      <c r="C186" s="35">
        <f>IFERROR(INDEX('Fund Research'!$B$6:$B$505,MATCH(181,'Fund Research'!$V$6:$V$505,0)),"")</f>
        <v/>
      </c>
      <c r="D186" s="35">
        <f>IFERROR(INDEX('Fund Research'!$C$6:$C$505,MATCH(181,'Fund Research'!$V$6:$V$505,0)),"")</f>
        <v/>
      </c>
      <c r="E186" s="36">
        <f>IFERROR(INDEX('Fund Research'!$G$6:$G$505,MATCH(181,'Fund Research'!$V$6:$V$505,0)),"")</f>
        <v/>
      </c>
      <c r="F186" s="36">
        <f>IFERROR(INDEX('Fund Research'!$H$6:$H$505,MATCH(181,'Fund Research'!$V$6:$V$505,0)),"")</f>
        <v/>
      </c>
      <c r="G186" s="36">
        <f>IFERROR(INDEX('Fund Research'!$I$6:$I$505,MATCH(181,'Fund Research'!$V$6:$V$505,0)),"")</f>
        <v/>
      </c>
      <c r="H186" s="37">
        <f>IFERROR(INDEX('Fund Research'!$J$6:$J$505,MATCH(181,'Fund Research'!$V$6:$V$505,0)),"")</f>
        <v/>
      </c>
      <c r="I186" s="39">
        <f>IFERROR(INDEX('Fund Research'!$L$6:$L$505,MATCH(181,'Fund Research'!$V$6:$V$505,0)),"")</f>
        <v/>
      </c>
      <c r="J186" s="37">
        <f>IFERROR(INDEX('Fund Research'!$N$6:$N$505,MATCH(181,'Fund Research'!$V$6:$V$505,0)),"")</f>
        <v/>
      </c>
      <c r="K186" s="37">
        <f>IFERROR(INDEX('Fund Research'!$P$6:$P$505,MATCH(181,'Fund Research'!$V$6:$V$505,0)),"")</f>
        <v/>
      </c>
      <c r="L186" s="35">
        <f>IFERROR(INDEX('Fund Research'!$S$6:$S$505,MATCH(181,'Fund Research'!$V$6:$V$505,0)),"")</f>
        <v/>
      </c>
      <c r="M186" s="35">
        <f>IFERROR(INDEX('Fund Research'!$T$6:$T$505,MATCH(181,'Fund Research'!$V$6:$V$505,0)),"")</f>
        <v/>
      </c>
    </row>
    <row r="187" ht="15" customHeight="1">
      <c r="A187" s="34">
        <f>IFERROR(IF(INDEX('Fund Research'!$B$6:$B$505,MATCH(182,'Fund Research'!$V$6:$V$505,0))="","",182),"")</f>
        <v/>
      </c>
      <c r="B187" s="35">
        <f>IFERROR(INDEX('Fund Research'!$A$6:$A$505,MATCH(182,'Fund Research'!$V$6:$V$505,0)),"")</f>
        <v/>
      </c>
      <c r="C187" s="35">
        <f>IFERROR(INDEX('Fund Research'!$B$6:$B$505,MATCH(182,'Fund Research'!$V$6:$V$505,0)),"")</f>
        <v/>
      </c>
      <c r="D187" s="35">
        <f>IFERROR(INDEX('Fund Research'!$C$6:$C$505,MATCH(182,'Fund Research'!$V$6:$V$505,0)),"")</f>
        <v/>
      </c>
      <c r="E187" s="36">
        <f>IFERROR(INDEX('Fund Research'!$G$6:$G$505,MATCH(182,'Fund Research'!$V$6:$V$505,0)),"")</f>
        <v/>
      </c>
      <c r="F187" s="36">
        <f>IFERROR(INDEX('Fund Research'!$H$6:$H$505,MATCH(182,'Fund Research'!$V$6:$V$505,0)),"")</f>
        <v/>
      </c>
      <c r="G187" s="36">
        <f>IFERROR(INDEX('Fund Research'!$I$6:$I$505,MATCH(182,'Fund Research'!$V$6:$V$505,0)),"")</f>
        <v/>
      </c>
      <c r="H187" s="37">
        <f>IFERROR(INDEX('Fund Research'!$J$6:$J$505,MATCH(182,'Fund Research'!$V$6:$V$505,0)),"")</f>
        <v/>
      </c>
      <c r="I187" s="39">
        <f>IFERROR(INDEX('Fund Research'!$L$6:$L$505,MATCH(182,'Fund Research'!$V$6:$V$505,0)),"")</f>
        <v/>
      </c>
      <c r="J187" s="37">
        <f>IFERROR(INDEX('Fund Research'!$N$6:$N$505,MATCH(182,'Fund Research'!$V$6:$V$505,0)),"")</f>
        <v/>
      </c>
      <c r="K187" s="37">
        <f>IFERROR(INDEX('Fund Research'!$P$6:$P$505,MATCH(182,'Fund Research'!$V$6:$V$505,0)),"")</f>
        <v/>
      </c>
      <c r="L187" s="35">
        <f>IFERROR(INDEX('Fund Research'!$S$6:$S$505,MATCH(182,'Fund Research'!$V$6:$V$505,0)),"")</f>
        <v/>
      </c>
      <c r="M187" s="35">
        <f>IFERROR(INDEX('Fund Research'!$T$6:$T$505,MATCH(182,'Fund Research'!$V$6:$V$505,0)),"")</f>
        <v/>
      </c>
    </row>
    <row r="188" ht="15" customHeight="1">
      <c r="A188" s="34">
        <f>IFERROR(IF(INDEX('Fund Research'!$B$6:$B$505,MATCH(183,'Fund Research'!$V$6:$V$505,0))="","",183),"")</f>
        <v/>
      </c>
      <c r="B188" s="35">
        <f>IFERROR(INDEX('Fund Research'!$A$6:$A$505,MATCH(183,'Fund Research'!$V$6:$V$505,0)),"")</f>
        <v/>
      </c>
      <c r="C188" s="35">
        <f>IFERROR(INDEX('Fund Research'!$B$6:$B$505,MATCH(183,'Fund Research'!$V$6:$V$505,0)),"")</f>
        <v/>
      </c>
      <c r="D188" s="35">
        <f>IFERROR(INDEX('Fund Research'!$C$6:$C$505,MATCH(183,'Fund Research'!$V$6:$V$505,0)),"")</f>
        <v/>
      </c>
      <c r="E188" s="36">
        <f>IFERROR(INDEX('Fund Research'!$G$6:$G$505,MATCH(183,'Fund Research'!$V$6:$V$505,0)),"")</f>
        <v/>
      </c>
      <c r="F188" s="36">
        <f>IFERROR(INDEX('Fund Research'!$H$6:$H$505,MATCH(183,'Fund Research'!$V$6:$V$505,0)),"")</f>
        <v/>
      </c>
      <c r="G188" s="36">
        <f>IFERROR(INDEX('Fund Research'!$I$6:$I$505,MATCH(183,'Fund Research'!$V$6:$V$505,0)),"")</f>
        <v/>
      </c>
      <c r="H188" s="37">
        <f>IFERROR(INDEX('Fund Research'!$J$6:$J$505,MATCH(183,'Fund Research'!$V$6:$V$505,0)),"")</f>
        <v/>
      </c>
      <c r="I188" s="39">
        <f>IFERROR(INDEX('Fund Research'!$L$6:$L$505,MATCH(183,'Fund Research'!$V$6:$V$505,0)),"")</f>
        <v/>
      </c>
      <c r="J188" s="37">
        <f>IFERROR(INDEX('Fund Research'!$N$6:$N$505,MATCH(183,'Fund Research'!$V$6:$V$505,0)),"")</f>
        <v/>
      </c>
      <c r="K188" s="37">
        <f>IFERROR(INDEX('Fund Research'!$P$6:$P$505,MATCH(183,'Fund Research'!$V$6:$V$505,0)),"")</f>
        <v/>
      </c>
      <c r="L188" s="35">
        <f>IFERROR(INDEX('Fund Research'!$S$6:$S$505,MATCH(183,'Fund Research'!$V$6:$V$505,0)),"")</f>
        <v/>
      </c>
      <c r="M188" s="35">
        <f>IFERROR(INDEX('Fund Research'!$T$6:$T$505,MATCH(183,'Fund Research'!$V$6:$V$505,0)),"")</f>
        <v/>
      </c>
    </row>
    <row r="189" ht="15" customHeight="1">
      <c r="A189" s="34">
        <f>IFERROR(IF(INDEX('Fund Research'!$B$6:$B$505,MATCH(184,'Fund Research'!$V$6:$V$505,0))="","",184),"")</f>
        <v/>
      </c>
      <c r="B189" s="35">
        <f>IFERROR(INDEX('Fund Research'!$A$6:$A$505,MATCH(184,'Fund Research'!$V$6:$V$505,0)),"")</f>
        <v/>
      </c>
      <c r="C189" s="35">
        <f>IFERROR(INDEX('Fund Research'!$B$6:$B$505,MATCH(184,'Fund Research'!$V$6:$V$505,0)),"")</f>
        <v/>
      </c>
      <c r="D189" s="35">
        <f>IFERROR(INDEX('Fund Research'!$C$6:$C$505,MATCH(184,'Fund Research'!$V$6:$V$505,0)),"")</f>
        <v/>
      </c>
      <c r="E189" s="36">
        <f>IFERROR(INDEX('Fund Research'!$G$6:$G$505,MATCH(184,'Fund Research'!$V$6:$V$505,0)),"")</f>
        <v/>
      </c>
      <c r="F189" s="36">
        <f>IFERROR(INDEX('Fund Research'!$H$6:$H$505,MATCH(184,'Fund Research'!$V$6:$V$505,0)),"")</f>
        <v/>
      </c>
      <c r="G189" s="36">
        <f>IFERROR(INDEX('Fund Research'!$I$6:$I$505,MATCH(184,'Fund Research'!$V$6:$V$505,0)),"")</f>
        <v/>
      </c>
      <c r="H189" s="37">
        <f>IFERROR(INDEX('Fund Research'!$J$6:$J$505,MATCH(184,'Fund Research'!$V$6:$V$505,0)),"")</f>
        <v/>
      </c>
      <c r="I189" s="39">
        <f>IFERROR(INDEX('Fund Research'!$L$6:$L$505,MATCH(184,'Fund Research'!$V$6:$V$505,0)),"")</f>
        <v/>
      </c>
      <c r="J189" s="37">
        <f>IFERROR(INDEX('Fund Research'!$N$6:$N$505,MATCH(184,'Fund Research'!$V$6:$V$505,0)),"")</f>
        <v/>
      </c>
      <c r="K189" s="37">
        <f>IFERROR(INDEX('Fund Research'!$P$6:$P$505,MATCH(184,'Fund Research'!$V$6:$V$505,0)),"")</f>
        <v/>
      </c>
      <c r="L189" s="35">
        <f>IFERROR(INDEX('Fund Research'!$S$6:$S$505,MATCH(184,'Fund Research'!$V$6:$V$505,0)),"")</f>
        <v/>
      </c>
      <c r="M189" s="35">
        <f>IFERROR(INDEX('Fund Research'!$T$6:$T$505,MATCH(184,'Fund Research'!$V$6:$V$505,0)),"")</f>
        <v/>
      </c>
    </row>
    <row r="190" ht="15" customHeight="1">
      <c r="A190" s="34">
        <f>IFERROR(IF(INDEX('Fund Research'!$B$6:$B$505,MATCH(185,'Fund Research'!$V$6:$V$505,0))="","",185),"")</f>
        <v/>
      </c>
      <c r="B190" s="35">
        <f>IFERROR(INDEX('Fund Research'!$A$6:$A$505,MATCH(185,'Fund Research'!$V$6:$V$505,0)),"")</f>
        <v/>
      </c>
      <c r="C190" s="35">
        <f>IFERROR(INDEX('Fund Research'!$B$6:$B$505,MATCH(185,'Fund Research'!$V$6:$V$505,0)),"")</f>
        <v/>
      </c>
      <c r="D190" s="35">
        <f>IFERROR(INDEX('Fund Research'!$C$6:$C$505,MATCH(185,'Fund Research'!$V$6:$V$505,0)),"")</f>
        <v/>
      </c>
      <c r="E190" s="36">
        <f>IFERROR(INDEX('Fund Research'!$G$6:$G$505,MATCH(185,'Fund Research'!$V$6:$V$505,0)),"")</f>
        <v/>
      </c>
      <c r="F190" s="36">
        <f>IFERROR(INDEX('Fund Research'!$H$6:$H$505,MATCH(185,'Fund Research'!$V$6:$V$505,0)),"")</f>
        <v/>
      </c>
      <c r="G190" s="36">
        <f>IFERROR(INDEX('Fund Research'!$I$6:$I$505,MATCH(185,'Fund Research'!$V$6:$V$505,0)),"")</f>
        <v/>
      </c>
      <c r="H190" s="37">
        <f>IFERROR(INDEX('Fund Research'!$J$6:$J$505,MATCH(185,'Fund Research'!$V$6:$V$505,0)),"")</f>
        <v/>
      </c>
      <c r="I190" s="39">
        <f>IFERROR(INDEX('Fund Research'!$L$6:$L$505,MATCH(185,'Fund Research'!$V$6:$V$505,0)),"")</f>
        <v/>
      </c>
      <c r="J190" s="37">
        <f>IFERROR(INDEX('Fund Research'!$N$6:$N$505,MATCH(185,'Fund Research'!$V$6:$V$505,0)),"")</f>
        <v/>
      </c>
      <c r="K190" s="37">
        <f>IFERROR(INDEX('Fund Research'!$P$6:$P$505,MATCH(185,'Fund Research'!$V$6:$V$505,0)),"")</f>
        <v/>
      </c>
      <c r="L190" s="35">
        <f>IFERROR(INDEX('Fund Research'!$S$6:$S$505,MATCH(185,'Fund Research'!$V$6:$V$505,0)),"")</f>
        <v/>
      </c>
      <c r="M190" s="35">
        <f>IFERROR(INDEX('Fund Research'!$T$6:$T$505,MATCH(185,'Fund Research'!$V$6:$V$505,0)),"")</f>
        <v/>
      </c>
    </row>
    <row r="191" ht="15" customHeight="1">
      <c r="A191" s="34">
        <f>IFERROR(IF(INDEX('Fund Research'!$B$6:$B$505,MATCH(186,'Fund Research'!$V$6:$V$505,0))="","",186),"")</f>
        <v/>
      </c>
      <c r="B191" s="35">
        <f>IFERROR(INDEX('Fund Research'!$A$6:$A$505,MATCH(186,'Fund Research'!$V$6:$V$505,0)),"")</f>
        <v/>
      </c>
      <c r="C191" s="35">
        <f>IFERROR(INDEX('Fund Research'!$B$6:$B$505,MATCH(186,'Fund Research'!$V$6:$V$505,0)),"")</f>
        <v/>
      </c>
      <c r="D191" s="35">
        <f>IFERROR(INDEX('Fund Research'!$C$6:$C$505,MATCH(186,'Fund Research'!$V$6:$V$505,0)),"")</f>
        <v/>
      </c>
      <c r="E191" s="36">
        <f>IFERROR(INDEX('Fund Research'!$G$6:$G$505,MATCH(186,'Fund Research'!$V$6:$V$505,0)),"")</f>
        <v/>
      </c>
      <c r="F191" s="36">
        <f>IFERROR(INDEX('Fund Research'!$H$6:$H$505,MATCH(186,'Fund Research'!$V$6:$V$505,0)),"")</f>
        <v/>
      </c>
      <c r="G191" s="36">
        <f>IFERROR(INDEX('Fund Research'!$I$6:$I$505,MATCH(186,'Fund Research'!$V$6:$V$505,0)),"")</f>
        <v/>
      </c>
      <c r="H191" s="37">
        <f>IFERROR(INDEX('Fund Research'!$J$6:$J$505,MATCH(186,'Fund Research'!$V$6:$V$505,0)),"")</f>
        <v/>
      </c>
      <c r="I191" s="39">
        <f>IFERROR(INDEX('Fund Research'!$L$6:$L$505,MATCH(186,'Fund Research'!$V$6:$V$505,0)),"")</f>
        <v/>
      </c>
      <c r="J191" s="37">
        <f>IFERROR(INDEX('Fund Research'!$N$6:$N$505,MATCH(186,'Fund Research'!$V$6:$V$505,0)),"")</f>
        <v/>
      </c>
      <c r="K191" s="37">
        <f>IFERROR(INDEX('Fund Research'!$P$6:$P$505,MATCH(186,'Fund Research'!$V$6:$V$505,0)),"")</f>
        <v/>
      </c>
      <c r="L191" s="35">
        <f>IFERROR(INDEX('Fund Research'!$S$6:$S$505,MATCH(186,'Fund Research'!$V$6:$V$505,0)),"")</f>
        <v/>
      </c>
      <c r="M191" s="35">
        <f>IFERROR(INDEX('Fund Research'!$T$6:$T$505,MATCH(186,'Fund Research'!$V$6:$V$505,0)),"")</f>
        <v/>
      </c>
    </row>
    <row r="192" ht="15" customHeight="1">
      <c r="A192" s="34">
        <f>IFERROR(IF(INDEX('Fund Research'!$B$6:$B$505,MATCH(187,'Fund Research'!$V$6:$V$505,0))="","",187),"")</f>
        <v/>
      </c>
      <c r="B192" s="35">
        <f>IFERROR(INDEX('Fund Research'!$A$6:$A$505,MATCH(187,'Fund Research'!$V$6:$V$505,0)),"")</f>
        <v/>
      </c>
      <c r="C192" s="35">
        <f>IFERROR(INDEX('Fund Research'!$B$6:$B$505,MATCH(187,'Fund Research'!$V$6:$V$505,0)),"")</f>
        <v/>
      </c>
      <c r="D192" s="35">
        <f>IFERROR(INDEX('Fund Research'!$C$6:$C$505,MATCH(187,'Fund Research'!$V$6:$V$505,0)),"")</f>
        <v/>
      </c>
      <c r="E192" s="36">
        <f>IFERROR(INDEX('Fund Research'!$G$6:$G$505,MATCH(187,'Fund Research'!$V$6:$V$505,0)),"")</f>
        <v/>
      </c>
      <c r="F192" s="36">
        <f>IFERROR(INDEX('Fund Research'!$H$6:$H$505,MATCH(187,'Fund Research'!$V$6:$V$505,0)),"")</f>
        <v/>
      </c>
      <c r="G192" s="36">
        <f>IFERROR(INDEX('Fund Research'!$I$6:$I$505,MATCH(187,'Fund Research'!$V$6:$V$505,0)),"")</f>
        <v/>
      </c>
      <c r="H192" s="37">
        <f>IFERROR(INDEX('Fund Research'!$J$6:$J$505,MATCH(187,'Fund Research'!$V$6:$V$505,0)),"")</f>
        <v/>
      </c>
      <c r="I192" s="39">
        <f>IFERROR(INDEX('Fund Research'!$L$6:$L$505,MATCH(187,'Fund Research'!$V$6:$V$505,0)),"")</f>
        <v/>
      </c>
      <c r="J192" s="37">
        <f>IFERROR(INDEX('Fund Research'!$N$6:$N$505,MATCH(187,'Fund Research'!$V$6:$V$505,0)),"")</f>
        <v/>
      </c>
      <c r="K192" s="37">
        <f>IFERROR(INDEX('Fund Research'!$P$6:$P$505,MATCH(187,'Fund Research'!$V$6:$V$505,0)),"")</f>
        <v/>
      </c>
      <c r="L192" s="35">
        <f>IFERROR(INDEX('Fund Research'!$S$6:$S$505,MATCH(187,'Fund Research'!$V$6:$V$505,0)),"")</f>
        <v/>
      </c>
      <c r="M192" s="35">
        <f>IFERROR(INDEX('Fund Research'!$T$6:$T$505,MATCH(187,'Fund Research'!$V$6:$V$505,0)),"")</f>
        <v/>
      </c>
    </row>
    <row r="193" ht="15" customHeight="1">
      <c r="A193" s="34">
        <f>IFERROR(IF(INDEX('Fund Research'!$B$6:$B$505,MATCH(188,'Fund Research'!$V$6:$V$505,0))="","",188),"")</f>
        <v/>
      </c>
      <c r="B193" s="35">
        <f>IFERROR(INDEX('Fund Research'!$A$6:$A$505,MATCH(188,'Fund Research'!$V$6:$V$505,0)),"")</f>
        <v/>
      </c>
      <c r="C193" s="35">
        <f>IFERROR(INDEX('Fund Research'!$B$6:$B$505,MATCH(188,'Fund Research'!$V$6:$V$505,0)),"")</f>
        <v/>
      </c>
      <c r="D193" s="35">
        <f>IFERROR(INDEX('Fund Research'!$C$6:$C$505,MATCH(188,'Fund Research'!$V$6:$V$505,0)),"")</f>
        <v/>
      </c>
      <c r="E193" s="36">
        <f>IFERROR(INDEX('Fund Research'!$G$6:$G$505,MATCH(188,'Fund Research'!$V$6:$V$505,0)),"")</f>
        <v/>
      </c>
      <c r="F193" s="36">
        <f>IFERROR(INDEX('Fund Research'!$H$6:$H$505,MATCH(188,'Fund Research'!$V$6:$V$505,0)),"")</f>
        <v/>
      </c>
      <c r="G193" s="36">
        <f>IFERROR(INDEX('Fund Research'!$I$6:$I$505,MATCH(188,'Fund Research'!$V$6:$V$505,0)),"")</f>
        <v/>
      </c>
      <c r="H193" s="37">
        <f>IFERROR(INDEX('Fund Research'!$J$6:$J$505,MATCH(188,'Fund Research'!$V$6:$V$505,0)),"")</f>
        <v/>
      </c>
      <c r="I193" s="39">
        <f>IFERROR(INDEX('Fund Research'!$L$6:$L$505,MATCH(188,'Fund Research'!$V$6:$V$505,0)),"")</f>
        <v/>
      </c>
      <c r="J193" s="37">
        <f>IFERROR(INDEX('Fund Research'!$N$6:$N$505,MATCH(188,'Fund Research'!$V$6:$V$505,0)),"")</f>
        <v/>
      </c>
      <c r="K193" s="37">
        <f>IFERROR(INDEX('Fund Research'!$P$6:$P$505,MATCH(188,'Fund Research'!$V$6:$V$505,0)),"")</f>
        <v/>
      </c>
      <c r="L193" s="35">
        <f>IFERROR(INDEX('Fund Research'!$S$6:$S$505,MATCH(188,'Fund Research'!$V$6:$V$505,0)),"")</f>
        <v/>
      </c>
      <c r="M193" s="35">
        <f>IFERROR(INDEX('Fund Research'!$T$6:$T$505,MATCH(188,'Fund Research'!$V$6:$V$505,0)),"")</f>
        <v/>
      </c>
    </row>
    <row r="194" ht="15" customHeight="1">
      <c r="A194" s="34">
        <f>IFERROR(IF(INDEX('Fund Research'!$B$6:$B$505,MATCH(189,'Fund Research'!$V$6:$V$505,0))="","",189),"")</f>
        <v/>
      </c>
      <c r="B194" s="35">
        <f>IFERROR(INDEX('Fund Research'!$A$6:$A$505,MATCH(189,'Fund Research'!$V$6:$V$505,0)),"")</f>
        <v/>
      </c>
      <c r="C194" s="35">
        <f>IFERROR(INDEX('Fund Research'!$B$6:$B$505,MATCH(189,'Fund Research'!$V$6:$V$505,0)),"")</f>
        <v/>
      </c>
      <c r="D194" s="35">
        <f>IFERROR(INDEX('Fund Research'!$C$6:$C$505,MATCH(189,'Fund Research'!$V$6:$V$505,0)),"")</f>
        <v/>
      </c>
      <c r="E194" s="36">
        <f>IFERROR(INDEX('Fund Research'!$G$6:$G$505,MATCH(189,'Fund Research'!$V$6:$V$505,0)),"")</f>
        <v/>
      </c>
      <c r="F194" s="36">
        <f>IFERROR(INDEX('Fund Research'!$H$6:$H$505,MATCH(189,'Fund Research'!$V$6:$V$505,0)),"")</f>
        <v/>
      </c>
      <c r="G194" s="36">
        <f>IFERROR(INDEX('Fund Research'!$I$6:$I$505,MATCH(189,'Fund Research'!$V$6:$V$505,0)),"")</f>
        <v/>
      </c>
      <c r="H194" s="37">
        <f>IFERROR(INDEX('Fund Research'!$J$6:$J$505,MATCH(189,'Fund Research'!$V$6:$V$505,0)),"")</f>
        <v/>
      </c>
      <c r="I194" s="39">
        <f>IFERROR(INDEX('Fund Research'!$L$6:$L$505,MATCH(189,'Fund Research'!$V$6:$V$505,0)),"")</f>
        <v/>
      </c>
      <c r="J194" s="37">
        <f>IFERROR(INDEX('Fund Research'!$N$6:$N$505,MATCH(189,'Fund Research'!$V$6:$V$505,0)),"")</f>
        <v/>
      </c>
      <c r="K194" s="37">
        <f>IFERROR(INDEX('Fund Research'!$P$6:$P$505,MATCH(189,'Fund Research'!$V$6:$V$505,0)),"")</f>
        <v/>
      </c>
      <c r="L194" s="35">
        <f>IFERROR(INDEX('Fund Research'!$S$6:$S$505,MATCH(189,'Fund Research'!$V$6:$V$505,0)),"")</f>
        <v/>
      </c>
      <c r="M194" s="35">
        <f>IFERROR(INDEX('Fund Research'!$T$6:$T$505,MATCH(189,'Fund Research'!$V$6:$V$505,0)),"")</f>
        <v/>
      </c>
    </row>
    <row r="195" ht="15" customHeight="1">
      <c r="A195" s="34">
        <f>IFERROR(IF(INDEX('Fund Research'!$B$6:$B$505,MATCH(190,'Fund Research'!$V$6:$V$505,0))="","",190),"")</f>
        <v/>
      </c>
      <c r="B195" s="35">
        <f>IFERROR(INDEX('Fund Research'!$A$6:$A$505,MATCH(190,'Fund Research'!$V$6:$V$505,0)),"")</f>
        <v/>
      </c>
      <c r="C195" s="35">
        <f>IFERROR(INDEX('Fund Research'!$B$6:$B$505,MATCH(190,'Fund Research'!$V$6:$V$505,0)),"")</f>
        <v/>
      </c>
      <c r="D195" s="35">
        <f>IFERROR(INDEX('Fund Research'!$C$6:$C$505,MATCH(190,'Fund Research'!$V$6:$V$505,0)),"")</f>
        <v/>
      </c>
      <c r="E195" s="36">
        <f>IFERROR(INDEX('Fund Research'!$G$6:$G$505,MATCH(190,'Fund Research'!$V$6:$V$505,0)),"")</f>
        <v/>
      </c>
      <c r="F195" s="36">
        <f>IFERROR(INDEX('Fund Research'!$H$6:$H$505,MATCH(190,'Fund Research'!$V$6:$V$505,0)),"")</f>
        <v/>
      </c>
      <c r="G195" s="36">
        <f>IFERROR(INDEX('Fund Research'!$I$6:$I$505,MATCH(190,'Fund Research'!$V$6:$V$505,0)),"")</f>
        <v/>
      </c>
      <c r="H195" s="37">
        <f>IFERROR(INDEX('Fund Research'!$J$6:$J$505,MATCH(190,'Fund Research'!$V$6:$V$505,0)),"")</f>
        <v/>
      </c>
      <c r="I195" s="39">
        <f>IFERROR(INDEX('Fund Research'!$L$6:$L$505,MATCH(190,'Fund Research'!$V$6:$V$505,0)),"")</f>
        <v/>
      </c>
      <c r="J195" s="37">
        <f>IFERROR(INDEX('Fund Research'!$N$6:$N$505,MATCH(190,'Fund Research'!$V$6:$V$505,0)),"")</f>
        <v/>
      </c>
      <c r="K195" s="37">
        <f>IFERROR(INDEX('Fund Research'!$P$6:$P$505,MATCH(190,'Fund Research'!$V$6:$V$505,0)),"")</f>
        <v/>
      </c>
      <c r="L195" s="35">
        <f>IFERROR(INDEX('Fund Research'!$S$6:$S$505,MATCH(190,'Fund Research'!$V$6:$V$505,0)),"")</f>
        <v/>
      </c>
      <c r="M195" s="35">
        <f>IFERROR(INDEX('Fund Research'!$T$6:$T$505,MATCH(190,'Fund Research'!$V$6:$V$505,0)),"")</f>
        <v/>
      </c>
    </row>
    <row r="196" ht="15" customHeight="1">
      <c r="A196" s="34">
        <f>IFERROR(IF(INDEX('Fund Research'!$B$6:$B$505,MATCH(191,'Fund Research'!$V$6:$V$505,0))="","",191),"")</f>
        <v/>
      </c>
      <c r="B196" s="35">
        <f>IFERROR(INDEX('Fund Research'!$A$6:$A$505,MATCH(191,'Fund Research'!$V$6:$V$505,0)),"")</f>
        <v/>
      </c>
      <c r="C196" s="35">
        <f>IFERROR(INDEX('Fund Research'!$B$6:$B$505,MATCH(191,'Fund Research'!$V$6:$V$505,0)),"")</f>
        <v/>
      </c>
      <c r="D196" s="35">
        <f>IFERROR(INDEX('Fund Research'!$C$6:$C$505,MATCH(191,'Fund Research'!$V$6:$V$505,0)),"")</f>
        <v/>
      </c>
      <c r="E196" s="36">
        <f>IFERROR(INDEX('Fund Research'!$G$6:$G$505,MATCH(191,'Fund Research'!$V$6:$V$505,0)),"")</f>
        <v/>
      </c>
      <c r="F196" s="36">
        <f>IFERROR(INDEX('Fund Research'!$H$6:$H$505,MATCH(191,'Fund Research'!$V$6:$V$505,0)),"")</f>
        <v/>
      </c>
      <c r="G196" s="36">
        <f>IFERROR(INDEX('Fund Research'!$I$6:$I$505,MATCH(191,'Fund Research'!$V$6:$V$505,0)),"")</f>
        <v/>
      </c>
      <c r="H196" s="37">
        <f>IFERROR(INDEX('Fund Research'!$J$6:$J$505,MATCH(191,'Fund Research'!$V$6:$V$505,0)),"")</f>
        <v/>
      </c>
      <c r="I196" s="39">
        <f>IFERROR(INDEX('Fund Research'!$L$6:$L$505,MATCH(191,'Fund Research'!$V$6:$V$505,0)),"")</f>
        <v/>
      </c>
      <c r="J196" s="37">
        <f>IFERROR(INDEX('Fund Research'!$N$6:$N$505,MATCH(191,'Fund Research'!$V$6:$V$505,0)),"")</f>
        <v/>
      </c>
      <c r="K196" s="37">
        <f>IFERROR(INDEX('Fund Research'!$P$6:$P$505,MATCH(191,'Fund Research'!$V$6:$V$505,0)),"")</f>
        <v/>
      </c>
      <c r="L196" s="35">
        <f>IFERROR(INDEX('Fund Research'!$S$6:$S$505,MATCH(191,'Fund Research'!$V$6:$V$505,0)),"")</f>
        <v/>
      </c>
      <c r="M196" s="35">
        <f>IFERROR(INDEX('Fund Research'!$T$6:$T$505,MATCH(191,'Fund Research'!$V$6:$V$505,0)),"")</f>
        <v/>
      </c>
    </row>
    <row r="197" ht="15" customHeight="1">
      <c r="A197" s="34">
        <f>IFERROR(IF(INDEX('Fund Research'!$B$6:$B$505,MATCH(192,'Fund Research'!$V$6:$V$505,0))="","",192),"")</f>
        <v/>
      </c>
      <c r="B197" s="35">
        <f>IFERROR(INDEX('Fund Research'!$A$6:$A$505,MATCH(192,'Fund Research'!$V$6:$V$505,0)),"")</f>
        <v/>
      </c>
      <c r="C197" s="35">
        <f>IFERROR(INDEX('Fund Research'!$B$6:$B$505,MATCH(192,'Fund Research'!$V$6:$V$505,0)),"")</f>
        <v/>
      </c>
      <c r="D197" s="35">
        <f>IFERROR(INDEX('Fund Research'!$C$6:$C$505,MATCH(192,'Fund Research'!$V$6:$V$505,0)),"")</f>
        <v/>
      </c>
      <c r="E197" s="36">
        <f>IFERROR(INDEX('Fund Research'!$G$6:$G$505,MATCH(192,'Fund Research'!$V$6:$V$505,0)),"")</f>
        <v/>
      </c>
      <c r="F197" s="36">
        <f>IFERROR(INDEX('Fund Research'!$H$6:$H$505,MATCH(192,'Fund Research'!$V$6:$V$505,0)),"")</f>
        <v/>
      </c>
      <c r="G197" s="36">
        <f>IFERROR(INDEX('Fund Research'!$I$6:$I$505,MATCH(192,'Fund Research'!$V$6:$V$505,0)),"")</f>
        <v/>
      </c>
      <c r="H197" s="37">
        <f>IFERROR(INDEX('Fund Research'!$J$6:$J$505,MATCH(192,'Fund Research'!$V$6:$V$505,0)),"")</f>
        <v/>
      </c>
      <c r="I197" s="39">
        <f>IFERROR(INDEX('Fund Research'!$L$6:$L$505,MATCH(192,'Fund Research'!$V$6:$V$505,0)),"")</f>
        <v/>
      </c>
      <c r="J197" s="37">
        <f>IFERROR(INDEX('Fund Research'!$N$6:$N$505,MATCH(192,'Fund Research'!$V$6:$V$505,0)),"")</f>
        <v/>
      </c>
      <c r="K197" s="37">
        <f>IFERROR(INDEX('Fund Research'!$P$6:$P$505,MATCH(192,'Fund Research'!$V$6:$V$505,0)),"")</f>
        <v/>
      </c>
      <c r="L197" s="35">
        <f>IFERROR(INDEX('Fund Research'!$S$6:$S$505,MATCH(192,'Fund Research'!$V$6:$V$505,0)),"")</f>
        <v/>
      </c>
      <c r="M197" s="35">
        <f>IFERROR(INDEX('Fund Research'!$T$6:$T$505,MATCH(192,'Fund Research'!$V$6:$V$505,0)),"")</f>
        <v/>
      </c>
    </row>
    <row r="198" ht="15" customHeight="1">
      <c r="A198" s="34">
        <f>IFERROR(IF(INDEX('Fund Research'!$B$6:$B$505,MATCH(193,'Fund Research'!$V$6:$V$505,0))="","",193),"")</f>
        <v/>
      </c>
      <c r="B198" s="35">
        <f>IFERROR(INDEX('Fund Research'!$A$6:$A$505,MATCH(193,'Fund Research'!$V$6:$V$505,0)),"")</f>
        <v/>
      </c>
      <c r="C198" s="35">
        <f>IFERROR(INDEX('Fund Research'!$B$6:$B$505,MATCH(193,'Fund Research'!$V$6:$V$505,0)),"")</f>
        <v/>
      </c>
      <c r="D198" s="35">
        <f>IFERROR(INDEX('Fund Research'!$C$6:$C$505,MATCH(193,'Fund Research'!$V$6:$V$505,0)),"")</f>
        <v/>
      </c>
      <c r="E198" s="36">
        <f>IFERROR(INDEX('Fund Research'!$G$6:$G$505,MATCH(193,'Fund Research'!$V$6:$V$505,0)),"")</f>
        <v/>
      </c>
      <c r="F198" s="36">
        <f>IFERROR(INDEX('Fund Research'!$H$6:$H$505,MATCH(193,'Fund Research'!$V$6:$V$505,0)),"")</f>
        <v/>
      </c>
      <c r="G198" s="36">
        <f>IFERROR(INDEX('Fund Research'!$I$6:$I$505,MATCH(193,'Fund Research'!$V$6:$V$505,0)),"")</f>
        <v/>
      </c>
      <c r="H198" s="37">
        <f>IFERROR(INDEX('Fund Research'!$J$6:$J$505,MATCH(193,'Fund Research'!$V$6:$V$505,0)),"")</f>
        <v/>
      </c>
      <c r="I198" s="39">
        <f>IFERROR(INDEX('Fund Research'!$L$6:$L$505,MATCH(193,'Fund Research'!$V$6:$V$505,0)),"")</f>
        <v/>
      </c>
      <c r="J198" s="37">
        <f>IFERROR(INDEX('Fund Research'!$N$6:$N$505,MATCH(193,'Fund Research'!$V$6:$V$505,0)),"")</f>
        <v/>
      </c>
      <c r="K198" s="37">
        <f>IFERROR(INDEX('Fund Research'!$P$6:$P$505,MATCH(193,'Fund Research'!$V$6:$V$505,0)),"")</f>
        <v/>
      </c>
      <c r="L198" s="35">
        <f>IFERROR(INDEX('Fund Research'!$S$6:$S$505,MATCH(193,'Fund Research'!$V$6:$V$505,0)),"")</f>
        <v/>
      </c>
      <c r="M198" s="35">
        <f>IFERROR(INDEX('Fund Research'!$T$6:$T$505,MATCH(193,'Fund Research'!$V$6:$V$505,0)),"")</f>
        <v/>
      </c>
    </row>
    <row r="199" ht="15" customHeight="1">
      <c r="A199" s="34">
        <f>IFERROR(IF(INDEX('Fund Research'!$B$6:$B$505,MATCH(194,'Fund Research'!$V$6:$V$505,0))="","",194),"")</f>
        <v/>
      </c>
      <c r="B199" s="35">
        <f>IFERROR(INDEX('Fund Research'!$A$6:$A$505,MATCH(194,'Fund Research'!$V$6:$V$505,0)),"")</f>
        <v/>
      </c>
      <c r="C199" s="35">
        <f>IFERROR(INDEX('Fund Research'!$B$6:$B$505,MATCH(194,'Fund Research'!$V$6:$V$505,0)),"")</f>
        <v/>
      </c>
      <c r="D199" s="35">
        <f>IFERROR(INDEX('Fund Research'!$C$6:$C$505,MATCH(194,'Fund Research'!$V$6:$V$505,0)),"")</f>
        <v/>
      </c>
      <c r="E199" s="36">
        <f>IFERROR(INDEX('Fund Research'!$G$6:$G$505,MATCH(194,'Fund Research'!$V$6:$V$505,0)),"")</f>
        <v/>
      </c>
      <c r="F199" s="36">
        <f>IFERROR(INDEX('Fund Research'!$H$6:$H$505,MATCH(194,'Fund Research'!$V$6:$V$505,0)),"")</f>
        <v/>
      </c>
      <c r="G199" s="36">
        <f>IFERROR(INDEX('Fund Research'!$I$6:$I$505,MATCH(194,'Fund Research'!$V$6:$V$505,0)),"")</f>
        <v/>
      </c>
      <c r="H199" s="37">
        <f>IFERROR(INDEX('Fund Research'!$J$6:$J$505,MATCH(194,'Fund Research'!$V$6:$V$505,0)),"")</f>
        <v/>
      </c>
      <c r="I199" s="39">
        <f>IFERROR(INDEX('Fund Research'!$L$6:$L$505,MATCH(194,'Fund Research'!$V$6:$V$505,0)),"")</f>
        <v/>
      </c>
      <c r="J199" s="37">
        <f>IFERROR(INDEX('Fund Research'!$N$6:$N$505,MATCH(194,'Fund Research'!$V$6:$V$505,0)),"")</f>
        <v/>
      </c>
      <c r="K199" s="37">
        <f>IFERROR(INDEX('Fund Research'!$P$6:$P$505,MATCH(194,'Fund Research'!$V$6:$V$505,0)),"")</f>
        <v/>
      </c>
      <c r="L199" s="35">
        <f>IFERROR(INDEX('Fund Research'!$S$6:$S$505,MATCH(194,'Fund Research'!$V$6:$V$505,0)),"")</f>
        <v/>
      </c>
      <c r="M199" s="35">
        <f>IFERROR(INDEX('Fund Research'!$T$6:$T$505,MATCH(194,'Fund Research'!$V$6:$V$505,0)),"")</f>
        <v/>
      </c>
    </row>
    <row r="200" ht="15" customHeight="1">
      <c r="A200" s="34">
        <f>IFERROR(IF(INDEX('Fund Research'!$B$6:$B$505,MATCH(195,'Fund Research'!$V$6:$V$505,0))="","",195),"")</f>
        <v/>
      </c>
      <c r="B200" s="35">
        <f>IFERROR(INDEX('Fund Research'!$A$6:$A$505,MATCH(195,'Fund Research'!$V$6:$V$505,0)),"")</f>
        <v/>
      </c>
      <c r="C200" s="35">
        <f>IFERROR(INDEX('Fund Research'!$B$6:$B$505,MATCH(195,'Fund Research'!$V$6:$V$505,0)),"")</f>
        <v/>
      </c>
      <c r="D200" s="35">
        <f>IFERROR(INDEX('Fund Research'!$C$6:$C$505,MATCH(195,'Fund Research'!$V$6:$V$505,0)),"")</f>
        <v/>
      </c>
      <c r="E200" s="36">
        <f>IFERROR(INDEX('Fund Research'!$G$6:$G$505,MATCH(195,'Fund Research'!$V$6:$V$505,0)),"")</f>
        <v/>
      </c>
      <c r="F200" s="36">
        <f>IFERROR(INDEX('Fund Research'!$H$6:$H$505,MATCH(195,'Fund Research'!$V$6:$V$505,0)),"")</f>
        <v/>
      </c>
      <c r="G200" s="36">
        <f>IFERROR(INDEX('Fund Research'!$I$6:$I$505,MATCH(195,'Fund Research'!$V$6:$V$505,0)),"")</f>
        <v/>
      </c>
      <c r="H200" s="37">
        <f>IFERROR(INDEX('Fund Research'!$J$6:$J$505,MATCH(195,'Fund Research'!$V$6:$V$505,0)),"")</f>
        <v/>
      </c>
      <c r="I200" s="39">
        <f>IFERROR(INDEX('Fund Research'!$L$6:$L$505,MATCH(195,'Fund Research'!$V$6:$V$505,0)),"")</f>
        <v/>
      </c>
      <c r="J200" s="37">
        <f>IFERROR(INDEX('Fund Research'!$N$6:$N$505,MATCH(195,'Fund Research'!$V$6:$V$505,0)),"")</f>
        <v/>
      </c>
      <c r="K200" s="37">
        <f>IFERROR(INDEX('Fund Research'!$P$6:$P$505,MATCH(195,'Fund Research'!$V$6:$V$505,0)),"")</f>
        <v/>
      </c>
      <c r="L200" s="35">
        <f>IFERROR(INDEX('Fund Research'!$S$6:$S$505,MATCH(195,'Fund Research'!$V$6:$V$505,0)),"")</f>
        <v/>
      </c>
      <c r="M200" s="35">
        <f>IFERROR(INDEX('Fund Research'!$T$6:$T$505,MATCH(195,'Fund Research'!$V$6:$V$505,0)),"")</f>
        <v/>
      </c>
    </row>
    <row r="201" ht="15" customHeight="1">
      <c r="A201" s="34">
        <f>IFERROR(IF(INDEX('Fund Research'!$B$6:$B$505,MATCH(196,'Fund Research'!$V$6:$V$505,0))="","",196),"")</f>
        <v/>
      </c>
      <c r="B201" s="35">
        <f>IFERROR(INDEX('Fund Research'!$A$6:$A$505,MATCH(196,'Fund Research'!$V$6:$V$505,0)),"")</f>
        <v/>
      </c>
      <c r="C201" s="35">
        <f>IFERROR(INDEX('Fund Research'!$B$6:$B$505,MATCH(196,'Fund Research'!$V$6:$V$505,0)),"")</f>
        <v/>
      </c>
      <c r="D201" s="35">
        <f>IFERROR(INDEX('Fund Research'!$C$6:$C$505,MATCH(196,'Fund Research'!$V$6:$V$505,0)),"")</f>
        <v/>
      </c>
      <c r="E201" s="36">
        <f>IFERROR(INDEX('Fund Research'!$G$6:$G$505,MATCH(196,'Fund Research'!$V$6:$V$505,0)),"")</f>
        <v/>
      </c>
      <c r="F201" s="36">
        <f>IFERROR(INDEX('Fund Research'!$H$6:$H$505,MATCH(196,'Fund Research'!$V$6:$V$505,0)),"")</f>
        <v/>
      </c>
      <c r="G201" s="36">
        <f>IFERROR(INDEX('Fund Research'!$I$6:$I$505,MATCH(196,'Fund Research'!$V$6:$V$505,0)),"")</f>
        <v/>
      </c>
      <c r="H201" s="37">
        <f>IFERROR(INDEX('Fund Research'!$J$6:$J$505,MATCH(196,'Fund Research'!$V$6:$V$505,0)),"")</f>
        <v/>
      </c>
      <c r="I201" s="39">
        <f>IFERROR(INDEX('Fund Research'!$L$6:$L$505,MATCH(196,'Fund Research'!$V$6:$V$505,0)),"")</f>
        <v/>
      </c>
      <c r="J201" s="37">
        <f>IFERROR(INDEX('Fund Research'!$N$6:$N$505,MATCH(196,'Fund Research'!$V$6:$V$505,0)),"")</f>
        <v/>
      </c>
      <c r="K201" s="37">
        <f>IFERROR(INDEX('Fund Research'!$P$6:$P$505,MATCH(196,'Fund Research'!$V$6:$V$505,0)),"")</f>
        <v/>
      </c>
      <c r="L201" s="35">
        <f>IFERROR(INDEX('Fund Research'!$S$6:$S$505,MATCH(196,'Fund Research'!$V$6:$V$505,0)),"")</f>
        <v/>
      </c>
      <c r="M201" s="35">
        <f>IFERROR(INDEX('Fund Research'!$T$6:$T$505,MATCH(196,'Fund Research'!$V$6:$V$505,0)),"")</f>
        <v/>
      </c>
    </row>
    <row r="202" ht="15" customHeight="1">
      <c r="A202" s="34">
        <f>IFERROR(IF(INDEX('Fund Research'!$B$6:$B$505,MATCH(197,'Fund Research'!$V$6:$V$505,0))="","",197),"")</f>
        <v/>
      </c>
      <c r="B202" s="35">
        <f>IFERROR(INDEX('Fund Research'!$A$6:$A$505,MATCH(197,'Fund Research'!$V$6:$V$505,0)),"")</f>
        <v/>
      </c>
      <c r="C202" s="35">
        <f>IFERROR(INDEX('Fund Research'!$B$6:$B$505,MATCH(197,'Fund Research'!$V$6:$V$505,0)),"")</f>
        <v/>
      </c>
      <c r="D202" s="35">
        <f>IFERROR(INDEX('Fund Research'!$C$6:$C$505,MATCH(197,'Fund Research'!$V$6:$V$505,0)),"")</f>
        <v/>
      </c>
      <c r="E202" s="36">
        <f>IFERROR(INDEX('Fund Research'!$G$6:$G$505,MATCH(197,'Fund Research'!$V$6:$V$505,0)),"")</f>
        <v/>
      </c>
      <c r="F202" s="36">
        <f>IFERROR(INDEX('Fund Research'!$H$6:$H$505,MATCH(197,'Fund Research'!$V$6:$V$505,0)),"")</f>
        <v/>
      </c>
      <c r="G202" s="36">
        <f>IFERROR(INDEX('Fund Research'!$I$6:$I$505,MATCH(197,'Fund Research'!$V$6:$V$505,0)),"")</f>
        <v/>
      </c>
      <c r="H202" s="37">
        <f>IFERROR(INDEX('Fund Research'!$J$6:$J$505,MATCH(197,'Fund Research'!$V$6:$V$505,0)),"")</f>
        <v/>
      </c>
      <c r="I202" s="39">
        <f>IFERROR(INDEX('Fund Research'!$L$6:$L$505,MATCH(197,'Fund Research'!$V$6:$V$505,0)),"")</f>
        <v/>
      </c>
      <c r="J202" s="37">
        <f>IFERROR(INDEX('Fund Research'!$N$6:$N$505,MATCH(197,'Fund Research'!$V$6:$V$505,0)),"")</f>
        <v/>
      </c>
      <c r="K202" s="37">
        <f>IFERROR(INDEX('Fund Research'!$P$6:$P$505,MATCH(197,'Fund Research'!$V$6:$V$505,0)),"")</f>
        <v/>
      </c>
      <c r="L202" s="35">
        <f>IFERROR(INDEX('Fund Research'!$S$6:$S$505,MATCH(197,'Fund Research'!$V$6:$V$505,0)),"")</f>
        <v/>
      </c>
      <c r="M202" s="35">
        <f>IFERROR(INDEX('Fund Research'!$T$6:$T$505,MATCH(197,'Fund Research'!$V$6:$V$505,0)),"")</f>
        <v/>
      </c>
    </row>
    <row r="203" ht="15" customHeight="1">
      <c r="A203" s="34">
        <f>IFERROR(IF(INDEX('Fund Research'!$B$6:$B$505,MATCH(198,'Fund Research'!$V$6:$V$505,0))="","",198),"")</f>
        <v/>
      </c>
      <c r="B203" s="35">
        <f>IFERROR(INDEX('Fund Research'!$A$6:$A$505,MATCH(198,'Fund Research'!$V$6:$V$505,0)),"")</f>
        <v/>
      </c>
      <c r="C203" s="35">
        <f>IFERROR(INDEX('Fund Research'!$B$6:$B$505,MATCH(198,'Fund Research'!$V$6:$V$505,0)),"")</f>
        <v/>
      </c>
      <c r="D203" s="35">
        <f>IFERROR(INDEX('Fund Research'!$C$6:$C$505,MATCH(198,'Fund Research'!$V$6:$V$505,0)),"")</f>
        <v/>
      </c>
      <c r="E203" s="36">
        <f>IFERROR(INDEX('Fund Research'!$G$6:$G$505,MATCH(198,'Fund Research'!$V$6:$V$505,0)),"")</f>
        <v/>
      </c>
      <c r="F203" s="36">
        <f>IFERROR(INDEX('Fund Research'!$H$6:$H$505,MATCH(198,'Fund Research'!$V$6:$V$505,0)),"")</f>
        <v/>
      </c>
      <c r="G203" s="36">
        <f>IFERROR(INDEX('Fund Research'!$I$6:$I$505,MATCH(198,'Fund Research'!$V$6:$V$505,0)),"")</f>
        <v/>
      </c>
      <c r="H203" s="37">
        <f>IFERROR(INDEX('Fund Research'!$J$6:$J$505,MATCH(198,'Fund Research'!$V$6:$V$505,0)),"")</f>
        <v/>
      </c>
      <c r="I203" s="39">
        <f>IFERROR(INDEX('Fund Research'!$L$6:$L$505,MATCH(198,'Fund Research'!$V$6:$V$505,0)),"")</f>
        <v/>
      </c>
      <c r="J203" s="37">
        <f>IFERROR(INDEX('Fund Research'!$N$6:$N$505,MATCH(198,'Fund Research'!$V$6:$V$505,0)),"")</f>
        <v/>
      </c>
      <c r="K203" s="37">
        <f>IFERROR(INDEX('Fund Research'!$P$6:$P$505,MATCH(198,'Fund Research'!$V$6:$V$505,0)),"")</f>
        <v/>
      </c>
      <c r="L203" s="35">
        <f>IFERROR(INDEX('Fund Research'!$S$6:$S$505,MATCH(198,'Fund Research'!$V$6:$V$505,0)),"")</f>
        <v/>
      </c>
      <c r="M203" s="35">
        <f>IFERROR(INDEX('Fund Research'!$T$6:$T$505,MATCH(198,'Fund Research'!$V$6:$V$505,0)),"")</f>
        <v/>
      </c>
    </row>
    <row r="204" ht="15" customHeight="1">
      <c r="A204" s="34">
        <f>IFERROR(IF(INDEX('Fund Research'!$B$6:$B$505,MATCH(199,'Fund Research'!$V$6:$V$505,0))="","",199),"")</f>
        <v/>
      </c>
      <c r="B204" s="35">
        <f>IFERROR(INDEX('Fund Research'!$A$6:$A$505,MATCH(199,'Fund Research'!$V$6:$V$505,0)),"")</f>
        <v/>
      </c>
      <c r="C204" s="35">
        <f>IFERROR(INDEX('Fund Research'!$B$6:$B$505,MATCH(199,'Fund Research'!$V$6:$V$505,0)),"")</f>
        <v/>
      </c>
      <c r="D204" s="35">
        <f>IFERROR(INDEX('Fund Research'!$C$6:$C$505,MATCH(199,'Fund Research'!$V$6:$V$505,0)),"")</f>
        <v/>
      </c>
      <c r="E204" s="36">
        <f>IFERROR(INDEX('Fund Research'!$G$6:$G$505,MATCH(199,'Fund Research'!$V$6:$V$505,0)),"")</f>
        <v/>
      </c>
      <c r="F204" s="36">
        <f>IFERROR(INDEX('Fund Research'!$H$6:$H$505,MATCH(199,'Fund Research'!$V$6:$V$505,0)),"")</f>
        <v/>
      </c>
      <c r="G204" s="36">
        <f>IFERROR(INDEX('Fund Research'!$I$6:$I$505,MATCH(199,'Fund Research'!$V$6:$V$505,0)),"")</f>
        <v/>
      </c>
      <c r="H204" s="37">
        <f>IFERROR(INDEX('Fund Research'!$J$6:$J$505,MATCH(199,'Fund Research'!$V$6:$V$505,0)),"")</f>
        <v/>
      </c>
      <c r="I204" s="39">
        <f>IFERROR(INDEX('Fund Research'!$L$6:$L$505,MATCH(199,'Fund Research'!$V$6:$V$505,0)),"")</f>
        <v/>
      </c>
      <c r="J204" s="37">
        <f>IFERROR(INDEX('Fund Research'!$N$6:$N$505,MATCH(199,'Fund Research'!$V$6:$V$505,0)),"")</f>
        <v/>
      </c>
      <c r="K204" s="37">
        <f>IFERROR(INDEX('Fund Research'!$P$6:$P$505,MATCH(199,'Fund Research'!$V$6:$V$505,0)),"")</f>
        <v/>
      </c>
      <c r="L204" s="35">
        <f>IFERROR(INDEX('Fund Research'!$S$6:$S$505,MATCH(199,'Fund Research'!$V$6:$V$505,0)),"")</f>
        <v/>
      </c>
      <c r="M204" s="35">
        <f>IFERROR(INDEX('Fund Research'!$T$6:$T$505,MATCH(199,'Fund Research'!$V$6:$V$505,0)),"")</f>
        <v/>
      </c>
    </row>
    <row r="205" ht="15" customHeight="1">
      <c r="A205" s="34">
        <f>IFERROR(IF(INDEX('Fund Research'!$B$6:$B$505,MATCH(200,'Fund Research'!$V$6:$V$505,0))="","",200),"")</f>
        <v/>
      </c>
      <c r="B205" s="35">
        <f>IFERROR(INDEX('Fund Research'!$A$6:$A$505,MATCH(200,'Fund Research'!$V$6:$V$505,0)),"")</f>
        <v/>
      </c>
      <c r="C205" s="35">
        <f>IFERROR(INDEX('Fund Research'!$B$6:$B$505,MATCH(200,'Fund Research'!$V$6:$V$505,0)),"")</f>
        <v/>
      </c>
      <c r="D205" s="35">
        <f>IFERROR(INDEX('Fund Research'!$C$6:$C$505,MATCH(200,'Fund Research'!$V$6:$V$505,0)),"")</f>
        <v/>
      </c>
      <c r="E205" s="36">
        <f>IFERROR(INDEX('Fund Research'!$G$6:$G$505,MATCH(200,'Fund Research'!$V$6:$V$505,0)),"")</f>
        <v/>
      </c>
      <c r="F205" s="36">
        <f>IFERROR(INDEX('Fund Research'!$H$6:$H$505,MATCH(200,'Fund Research'!$V$6:$V$505,0)),"")</f>
        <v/>
      </c>
      <c r="G205" s="36">
        <f>IFERROR(INDEX('Fund Research'!$I$6:$I$505,MATCH(200,'Fund Research'!$V$6:$V$505,0)),"")</f>
        <v/>
      </c>
      <c r="H205" s="37">
        <f>IFERROR(INDEX('Fund Research'!$J$6:$J$505,MATCH(200,'Fund Research'!$V$6:$V$505,0)),"")</f>
        <v/>
      </c>
      <c r="I205" s="39">
        <f>IFERROR(INDEX('Fund Research'!$L$6:$L$505,MATCH(200,'Fund Research'!$V$6:$V$505,0)),"")</f>
        <v/>
      </c>
      <c r="J205" s="37">
        <f>IFERROR(INDEX('Fund Research'!$N$6:$N$505,MATCH(200,'Fund Research'!$V$6:$V$505,0)),"")</f>
        <v/>
      </c>
      <c r="K205" s="37">
        <f>IFERROR(INDEX('Fund Research'!$P$6:$P$505,MATCH(200,'Fund Research'!$V$6:$V$505,0)),"")</f>
        <v/>
      </c>
      <c r="L205" s="35">
        <f>IFERROR(INDEX('Fund Research'!$S$6:$S$505,MATCH(200,'Fund Research'!$V$6:$V$505,0)),"")</f>
        <v/>
      </c>
      <c r="M205" s="35">
        <f>IFERROR(INDEX('Fund Research'!$T$6:$T$505,MATCH(200,'Fund Research'!$V$6:$V$505,0)),"")</f>
        <v/>
      </c>
    </row>
  </sheetData>
  <autoFilter ref="A5:M205"/>
  <mergeCells count="3">
    <mergeCell ref="A4:M4"/>
    <mergeCell ref="A2:M2"/>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05"/>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44" customWidth="1" min="3" max="3"/>
    <col width="30" customWidth="1" min="4" max="4"/>
    <col width="16" customWidth="1" min="5" max="5"/>
    <col width="16" customWidth="1" min="6" max="6"/>
    <col width="15" customWidth="1" min="7" max="7"/>
    <col width="11" customWidth="1" min="8" max="8"/>
    <col width="12" customWidth="1" min="9" max="9"/>
    <col width="13" customWidth="1" min="10" max="10"/>
    <col width="12" customWidth="1" min="11" max="11"/>
    <col width="26" customWidth="1" min="12" max="12"/>
    <col width="46" customWidth="1" min="13" max="13"/>
  </cols>
  <sheetData>
    <row r="1" ht="26" customHeight="1">
      <c r="A1" s="1" t="inlineStr">
        <is>
          <t>NOT PERFORMING</t>
        </is>
      </c>
    </row>
    <row r="2" ht="16" customHeight="1">
      <c r="A2" s="2" t="inlineStr">
        <is>
          <t>Schemes below the Improve floor on 3-year return. Review with the client.</t>
        </is>
      </c>
    </row>
    <row r="3">
      <c r="A3" s="4" t="inlineStr">
        <is>
          <t>Schemes</t>
        </is>
      </c>
      <c r="B3" s="22">
        <f>COUNTIF('Fund Research'!$R$6:$R$505,"Not Performing")</f>
        <v/>
      </c>
      <c r="C3" s="21" t="inlineStr">
        <is>
          <t>Current value</t>
        </is>
      </c>
      <c r="D3" s="31">
        <f>SUMIF('Fund Research'!$R$6:$R$505,"Not Performing",'Fund Research'!$H$6:$H$505)</f>
        <v/>
      </c>
      <c r="E3" s="21" t="inlineStr">
        <is>
          <t>Invested</t>
        </is>
      </c>
      <c r="F3" s="31">
        <f>SUMIF('Fund Research'!$R$6:$R$505,"Not Performing",'Fund Research'!$G$6:$G$505)</f>
        <v/>
      </c>
      <c r="G3" s="21" t="inlineStr">
        <is>
          <t>Avg 3Y</t>
        </is>
      </c>
      <c r="H3" s="16">
        <f>IFERROR(AVERAGEIF('Fund Research'!$R$6:$R$505,"Not Performing",'Fund Research'!$L$6:$L$505),"")</f>
        <v/>
      </c>
    </row>
    <row r="4">
      <c r="A4" s="25" t="inlineStr">
        <is>
          <t>Ranked worst first by 3-year return. Read-only - edit on Fund Research.</t>
        </is>
      </c>
    </row>
    <row r="5" ht="32" customHeight="1">
      <c r="A5" s="26" t="inlineStr">
        <is>
          <t>#</t>
        </is>
      </c>
      <c r="B5" s="26" t="inlineStr">
        <is>
          <t>Client Name</t>
        </is>
      </c>
      <c r="C5" s="26" t="inlineStr">
        <is>
          <t>Scheme Name</t>
        </is>
      </c>
      <c r="D5" s="26" t="inlineStr">
        <is>
          <t>Category</t>
        </is>
      </c>
      <c r="E5" s="26" t="inlineStr">
        <is>
          <t>Total Invested</t>
        </is>
      </c>
      <c r="F5" s="26" t="inlineStr">
        <is>
          <t>Current Value
(Live)</t>
        </is>
      </c>
      <c r="G5" s="26" t="inlineStr">
        <is>
          <t>Gain / Loss</t>
        </is>
      </c>
      <c r="H5" s="26" t="inlineStr">
        <is>
          <t>Abs. Rtn.</t>
        </is>
      </c>
      <c r="I5" s="26" t="inlineStr">
        <is>
          <t>3Y Return
(CAGR)</t>
        </is>
      </c>
      <c r="J5" s="26" t="inlineStr">
        <is>
          <t>Category Avg
3Y</t>
        </is>
      </c>
      <c r="K5" s="26" t="inlineStr">
        <is>
          <t>vs Category
(3Y)</t>
        </is>
      </c>
      <c r="L5" s="26" t="inlineStr">
        <is>
          <t>Suggested Action</t>
        </is>
      </c>
      <c r="M5" s="26" t="inlineStr">
        <is>
          <t>Remark</t>
        </is>
      </c>
    </row>
    <row r="6" ht="15" customHeight="1">
      <c r="A6" s="34">
        <f>IFERROR(IF(INDEX('Fund Research'!$B$6:$B$505,MATCH(1,'Fund Research'!$W$6:$W$505,0))="","",1),"")</f>
        <v/>
      </c>
      <c r="B6" s="35">
        <f>IFERROR(INDEX('Fund Research'!$A$6:$A$505,MATCH(1,'Fund Research'!$W$6:$W$505,0)),"")</f>
        <v/>
      </c>
      <c r="C6" s="35">
        <f>IFERROR(INDEX('Fund Research'!$B$6:$B$505,MATCH(1,'Fund Research'!$W$6:$W$505,0)),"")</f>
        <v/>
      </c>
      <c r="D6" s="35">
        <f>IFERROR(INDEX('Fund Research'!$C$6:$C$505,MATCH(1,'Fund Research'!$W$6:$W$505,0)),"")</f>
        <v/>
      </c>
      <c r="E6" s="36">
        <f>IFERROR(INDEX('Fund Research'!$G$6:$G$505,MATCH(1,'Fund Research'!$W$6:$W$505,0)),"")</f>
        <v/>
      </c>
      <c r="F6" s="36">
        <f>IFERROR(INDEX('Fund Research'!$H$6:$H$505,MATCH(1,'Fund Research'!$W$6:$W$505,0)),"")</f>
        <v/>
      </c>
      <c r="G6" s="36">
        <f>IFERROR(INDEX('Fund Research'!$I$6:$I$505,MATCH(1,'Fund Research'!$W$6:$W$505,0)),"")</f>
        <v/>
      </c>
      <c r="H6" s="37">
        <f>IFERROR(INDEX('Fund Research'!$J$6:$J$505,MATCH(1,'Fund Research'!$W$6:$W$505,0)),"")</f>
        <v/>
      </c>
      <c r="I6" s="40">
        <f>IFERROR(INDEX('Fund Research'!$L$6:$L$505,MATCH(1,'Fund Research'!$W$6:$W$505,0)),"")</f>
        <v/>
      </c>
      <c r="J6" s="37">
        <f>IFERROR(INDEX('Fund Research'!$N$6:$N$505,MATCH(1,'Fund Research'!$W$6:$W$505,0)),"")</f>
        <v/>
      </c>
      <c r="K6" s="37">
        <f>IFERROR(INDEX('Fund Research'!$P$6:$P$505,MATCH(1,'Fund Research'!$W$6:$W$505,0)),"")</f>
        <v/>
      </c>
      <c r="L6" s="35">
        <f>IFERROR(INDEX('Fund Research'!$S$6:$S$505,MATCH(1,'Fund Research'!$W$6:$W$505,0)),"")</f>
        <v/>
      </c>
      <c r="M6" s="35">
        <f>IFERROR(INDEX('Fund Research'!$T$6:$T$505,MATCH(1,'Fund Research'!$W$6:$W$505,0)),"")</f>
        <v/>
      </c>
    </row>
    <row r="7" ht="15" customHeight="1">
      <c r="A7" s="34">
        <f>IFERROR(IF(INDEX('Fund Research'!$B$6:$B$505,MATCH(2,'Fund Research'!$W$6:$W$505,0))="","",2),"")</f>
        <v/>
      </c>
      <c r="B7" s="35">
        <f>IFERROR(INDEX('Fund Research'!$A$6:$A$505,MATCH(2,'Fund Research'!$W$6:$W$505,0)),"")</f>
        <v/>
      </c>
      <c r="C7" s="35">
        <f>IFERROR(INDEX('Fund Research'!$B$6:$B$505,MATCH(2,'Fund Research'!$W$6:$W$505,0)),"")</f>
        <v/>
      </c>
      <c r="D7" s="35">
        <f>IFERROR(INDEX('Fund Research'!$C$6:$C$505,MATCH(2,'Fund Research'!$W$6:$W$505,0)),"")</f>
        <v/>
      </c>
      <c r="E7" s="36">
        <f>IFERROR(INDEX('Fund Research'!$G$6:$G$505,MATCH(2,'Fund Research'!$W$6:$W$505,0)),"")</f>
        <v/>
      </c>
      <c r="F7" s="36">
        <f>IFERROR(INDEX('Fund Research'!$H$6:$H$505,MATCH(2,'Fund Research'!$W$6:$W$505,0)),"")</f>
        <v/>
      </c>
      <c r="G7" s="36">
        <f>IFERROR(INDEX('Fund Research'!$I$6:$I$505,MATCH(2,'Fund Research'!$W$6:$W$505,0)),"")</f>
        <v/>
      </c>
      <c r="H7" s="37">
        <f>IFERROR(INDEX('Fund Research'!$J$6:$J$505,MATCH(2,'Fund Research'!$W$6:$W$505,0)),"")</f>
        <v/>
      </c>
      <c r="I7" s="40">
        <f>IFERROR(INDEX('Fund Research'!$L$6:$L$505,MATCH(2,'Fund Research'!$W$6:$W$505,0)),"")</f>
        <v/>
      </c>
      <c r="J7" s="37">
        <f>IFERROR(INDEX('Fund Research'!$N$6:$N$505,MATCH(2,'Fund Research'!$W$6:$W$505,0)),"")</f>
        <v/>
      </c>
      <c r="K7" s="37">
        <f>IFERROR(INDEX('Fund Research'!$P$6:$P$505,MATCH(2,'Fund Research'!$W$6:$W$505,0)),"")</f>
        <v/>
      </c>
      <c r="L7" s="35">
        <f>IFERROR(INDEX('Fund Research'!$S$6:$S$505,MATCH(2,'Fund Research'!$W$6:$W$505,0)),"")</f>
        <v/>
      </c>
      <c r="M7" s="35">
        <f>IFERROR(INDEX('Fund Research'!$T$6:$T$505,MATCH(2,'Fund Research'!$W$6:$W$505,0)),"")</f>
        <v/>
      </c>
    </row>
    <row r="8" ht="15" customHeight="1">
      <c r="A8" s="34">
        <f>IFERROR(IF(INDEX('Fund Research'!$B$6:$B$505,MATCH(3,'Fund Research'!$W$6:$W$505,0))="","",3),"")</f>
        <v/>
      </c>
      <c r="B8" s="35">
        <f>IFERROR(INDEX('Fund Research'!$A$6:$A$505,MATCH(3,'Fund Research'!$W$6:$W$505,0)),"")</f>
        <v/>
      </c>
      <c r="C8" s="35">
        <f>IFERROR(INDEX('Fund Research'!$B$6:$B$505,MATCH(3,'Fund Research'!$W$6:$W$505,0)),"")</f>
        <v/>
      </c>
      <c r="D8" s="35">
        <f>IFERROR(INDEX('Fund Research'!$C$6:$C$505,MATCH(3,'Fund Research'!$W$6:$W$505,0)),"")</f>
        <v/>
      </c>
      <c r="E8" s="36">
        <f>IFERROR(INDEX('Fund Research'!$G$6:$G$505,MATCH(3,'Fund Research'!$W$6:$W$505,0)),"")</f>
        <v/>
      </c>
      <c r="F8" s="36">
        <f>IFERROR(INDEX('Fund Research'!$H$6:$H$505,MATCH(3,'Fund Research'!$W$6:$W$505,0)),"")</f>
        <v/>
      </c>
      <c r="G8" s="36">
        <f>IFERROR(INDEX('Fund Research'!$I$6:$I$505,MATCH(3,'Fund Research'!$W$6:$W$505,0)),"")</f>
        <v/>
      </c>
      <c r="H8" s="37">
        <f>IFERROR(INDEX('Fund Research'!$J$6:$J$505,MATCH(3,'Fund Research'!$W$6:$W$505,0)),"")</f>
        <v/>
      </c>
      <c r="I8" s="40">
        <f>IFERROR(INDEX('Fund Research'!$L$6:$L$505,MATCH(3,'Fund Research'!$W$6:$W$505,0)),"")</f>
        <v/>
      </c>
      <c r="J8" s="37">
        <f>IFERROR(INDEX('Fund Research'!$N$6:$N$505,MATCH(3,'Fund Research'!$W$6:$W$505,0)),"")</f>
        <v/>
      </c>
      <c r="K8" s="37">
        <f>IFERROR(INDEX('Fund Research'!$P$6:$P$505,MATCH(3,'Fund Research'!$W$6:$W$505,0)),"")</f>
        <v/>
      </c>
      <c r="L8" s="35">
        <f>IFERROR(INDEX('Fund Research'!$S$6:$S$505,MATCH(3,'Fund Research'!$W$6:$W$505,0)),"")</f>
        <v/>
      </c>
      <c r="M8" s="35">
        <f>IFERROR(INDEX('Fund Research'!$T$6:$T$505,MATCH(3,'Fund Research'!$W$6:$W$505,0)),"")</f>
        <v/>
      </c>
    </row>
    <row r="9" ht="15" customHeight="1">
      <c r="A9" s="34">
        <f>IFERROR(IF(INDEX('Fund Research'!$B$6:$B$505,MATCH(4,'Fund Research'!$W$6:$W$505,0))="","",4),"")</f>
        <v/>
      </c>
      <c r="B9" s="35">
        <f>IFERROR(INDEX('Fund Research'!$A$6:$A$505,MATCH(4,'Fund Research'!$W$6:$W$505,0)),"")</f>
        <v/>
      </c>
      <c r="C9" s="35">
        <f>IFERROR(INDEX('Fund Research'!$B$6:$B$505,MATCH(4,'Fund Research'!$W$6:$W$505,0)),"")</f>
        <v/>
      </c>
      <c r="D9" s="35">
        <f>IFERROR(INDEX('Fund Research'!$C$6:$C$505,MATCH(4,'Fund Research'!$W$6:$W$505,0)),"")</f>
        <v/>
      </c>
      <c r="E9" s="36">
        <f>IFERROR(INDEX('Fund Research'!$G$6:$G$505,MATCH(4,'Fund Research'!$W$6:$W$505,0)),"")</f>
        <v/>
      </c>
      <c r="F9" s="36">
        <f>IFERROR(INDEX('Fund Research'!$H$6:$H$505,MATCH(4,'Fund Research'!$W$6:$W$505,0)),"")</f>
        <v/>
      </c>
      <c r="G9" s="36">
        <f>IFERROR(INDEX('Fund Research'!$I$6:$I$505,MATCH(4,'Fund Research'!$W$6:$W$505,0)),"")</f>
        <v/>
      </c>
      <c r="H9" s="37">
        <f>IFERROR(INDEX('Fund Research'!$J$6:$J$505,MATCH(4,'Fund Research'!$W$6:$W$505,0)),"")</f>
        <v/>
      </c>
      <c r="I9" s="40">
        <f>IFERROR(INDEX('Fund Research'!$L$6:$L$505,MATCH(4,'Fund Research'!$W$6:$W$505,0)),"")</f>
        <v/>
      </c>
      <c r="J9" s="37">
        <f>IFERROR(INDEX('Fund Research'!$N$6:$N$505,MATCH(4,'Fund Research'!$W$6:$W$505,0)),"")</f>
        <v/>
      </c>
      <c r="K9" s="37">
        <f>IFERROR(INDEX('Fund Research'!$P$6:$P$505,MATCH(4,'Fund Research'!$W$6:$W$505,0)),"")</f>
        <v/>
      </c>
      <c r="L9" s="35">
        <f>IFERROR(INDEX('Fund Research'!$S$6:$S$505,MATCH(4,'Fund Research'!$W$6:$W$505,0)),"")</f>
        <v/>
      </c>
      <c r="M9" s="35">
        <f>IFERROR(INDEX('Fund Research'!$T$6:$T$505,MATCH(4,'Fund Research'!$W$6:$W$505,0)),"")</f>
        <v/>
      </c>
    </row>
    <row r="10" ht="15" customHeight="1">
      <c r="A10" s="34">
        <f>IFERROR(IF(INDEX('Fund Research'!$B$6:$B$505,MATCH(5,'Fund Research'!$W$6:$W$505,0))="","",5),"")</f>
        <v/>
      </c>
      <c r="B10" s="35">
        <f>IFERROR(INDEX('Fund Research'!$A$6:$A$505,MATCH(5,'Fund Research'!$W$6:$W$505,0)),"")</f>
        <v/>
      </c>
      <c r="C10" s="35">
        <f>IFERROR(INDEX('Fund Research'!$B$6:$B$505,MATCH(5,'Fund Research'!$W$6:$W$505,0)),"")</f>
        <v/>
      </c>
      <c r="D10" s="35">
        <f>IFERROR(INDEX('Fund Research'!$C$6:$C$505,MATCH(5,'Fund Research'!$W$6:$W$505,0)),"")</f>
        <v/>
      </c>
      <c r="E10" s="36">
        <f>IFERROR(INDEX('Fund Research'!$G$6:$G$505,MATCH(5,'Fund Research'!$W$6:$W$505,0)),"")</f>
        <v/>
      </c>
      <c r="F10" s="36">
        <f>IFERROR(INDEX('Fund Research'!$H$6:$H$505,MATCH(5,'Fund Research'!$W$6:$W$505,0)),"")</f>
        <v/>
      </c>
      <c r="G10" s="36">
        <f>IFERROR(INDEX('Fund Research'!$I$6:$I$505,MATCH(5,'Fund Research'!$W$6:$W$505,0)),"")</f>
        <v/>
      </c>
      <c r="H10" s="37">
        <f>IFERROR(INDEX('Fund Research'!$J$6:$J$505,MATCH(5,'Fund Research'!$W$6:$W$505,0)),"")</f>
        <v/>
      </c>
      <c r="I10" s="40">
        <f>IFERROR(INDEX('Fund Research'!$L$6:$L$505,MATCH(5,'Fund Research'!$W$6:$W$505,0)),"")</f>
        <v/>
      </c>
      <c r="J10" s="37">
        <f>IFERROR(INDEX('Fund Research'!$N$6:$N$505,MATCH(5,'Fund Research'!$W$6:$W$505,0)),"")</f>
        <v/>
      </c>
      <c r="K10" s="37">
        <f>IFERROR(INDEX('Fund Research'!$P$6:$P$505,MATCH(5,'Fund Research'!$W$6:$W$505,0)),"")</f>
        <v/>
      </c>
      <c r="L10" s="35">
        <f>IFERROR(INDEX('Fund Research'!$S$6:$S$505,MATCH(5,'Fund Research'!$W$6:$W$505,0)),"")</f>
        <v/>
      </c>
      <c r="M10" s="35">
        <f>IFERROR(INDEX('Fund Research'!$T$6:$T$505,MATCH(5,'Fund Research'!$W$6:$W$505,0)),"")</f>
        <v/>
      </c>
    </row>
    <row r="11" ht="15" customHeight="1">
      <c r="A11" s="34">
        <f>IFERROR(IF(INDEX('Fund Research'!$B$6:$B$505,MATCH(6,'Fund Research'!$W$6:$W$505,0))="","",6),"")</f>
        <v/>
      </c>
      <c r="B11" s="35">
        <f>IFERROR(INDEX('Fund Research'!$A$6:$A$505,MATCH(6,'Fund Research'!$W$6:$W$505,0)),"")</f>
        <v/>
      </c>
      <c r="C11" s="35">
        <f>IFERROR(INDEX('Fund Research'!$B$6:$B$505,MATCH(6,'Fund Research'!$W$6:$W$505,0)),"")</f>
        <v/>
      </c>
      <c r="D11" s="35">
        <f>IFERROR(INDEX('Fund Research'!$C$6:$C$505,MATCH(6,'Fund Research'!$W$6:$W$505,0)),"")</f>
        <v/>
      </c>
      <c r="E11" s="36">
        <f>IFERROR(INDEX('Fund Research'!$G$6:$G$505,MATCH(6,'Fund Research'!$W$6:$W$505,0)),"")</f>
        <v/>
      </c>
      <c r="F11" s="36">
        <f>IFERROR(INDEX('Fund Research'!$H$6:$H$505,MATCH(6,'Fund Research'!$W$6:$W$505,0)),"")</f>
        <v/>
      </c>
      <c r="G11" s="36">
        <f>IFERROR(INDEX('Fund Research'!$I$6:$I$505,MATCH(6,'Fund Research'!$W$6:$W$505,0)),"")</f>
        <v/>
      </c>
      <c r="H11" s="37">
        <f>IFERROR(INDEX('Fund Research'!$J$6:$J$505,MATCH(6,'Fund Research'!$W$6:$W$505,0)),"")</f>
        <v/>
      </c>
      <c r="I11" s="40">
        <f>IFERROR(INDEX('Fund Research'!$L$6:$L$505,MATCH(6,'Fund Research'!$W$6:$W$505,0)),"")</f>
        <v/>
      </c>
      <c r="J11" s="37">
        <f>IFERROR(INDEX('Fund Research'!$N$6:$N$505,MATCH(6,'Fund Research'!$W$6:$W$505,0)),"")</f>
        <v/>
      </c>
      <c r="K11" s="37">
        <f>IFERROR(INDEX('Fund Research'!$P$6:$P$505,MATCH(6,'Fund Research'!$W$6:$W$505,0)),"")</f>
        <v/>
      </c>
      <c r="L11" s="35">
        <f>IFERROR(INDEX('Fund Research'!$S$6:$S$505,MATCH(6,'Fund Research'!$W$6:$W$505,0)),"")</f>
        <v/>
      </c>
      <c r="M11" s="35">
        <f>IFERROR(INDEX('Fund Research'!$T$6:$T$505,MATCH(6,'Fund Research'!$W$6:$W$505,0)),"")</f>
        <v/>
      </c>
    </row>
    <row r="12" ht="15" customHeight="1">
      <c r="A12" s="34">
        <f>IFERROR(IF(INDEX('Fund Research'!$B$6:$B$505,MATCH(7,'Fund Research'!$W$6:$W$505,0))="","",7),"")</f>
        <v/>
      </c>
      <c r="B12" s="35">
        <f>IFERROR(INDEX('Fund Research'!$A$6:$A$505,MATCH(7,'Fund Research'!$W$6:$W$505,0)),"")</f>
        <v/>
      </c>
      <c r="C12" s="35">
        <f>IFERROR(INDEX('Fund Research'!$B$6:$B$505,MATCH(7,'Fund Research'!$W$6:$W$505,0)),"")</f>
        <v/>
      </c>
      <c r="D12" s="35">
        <f>IFERROR(INDEX('Fund Research'!$C$6:$C$505,MATCH(7,'Fund Research'!$W$6:$W$505,0)),"")</f>
        <v/>
      </c>
      <c r="E12" s="36">
        <f>IFERROR(INDEX('Fund Research'!$G$6:$G$505,MATCH(7,'Fund Research'!$W$6:$W$505,0)),"")</f>
        <v/>
      </c>
      <c r="F12" s="36">
        <f>IFERROR(INDEX('Fund Research'!$H$6:$H$505,MATCH(7,'Fund Research'!$W$6:$W$505,0)),"")</f>
        <v/>
      </c>
      <c r="G12" s="36">
        <f>IFERROR(INDEX('Fund Research'!$I$6:$I$505,MATCH(7,'Fund Research'!$W$6:$W$505,0)),"")</f>
        <v/>
      </c>
      <c r="H12" s="37">
        <f>IFERROR(INDEX('Fund Research'!$J$6:$J$505,MATCH(7,'Fund Research'!$W$6:$W$505,0)),"")</f>
        <v/>
      </c>
      <c r="I12" s="40">
        <f>IFERROR(INDEX('Fund Research'!$L$6:$L$505,MATCH(7,'Fund Research'!$W$6:$W$505,0)),"")</f>
        <v/>
      </c>
      <c r="J12" s="37">
        <f>IFERROR(INDEX('Fund Research'!$N$6:$N$505,MATCH(7,'Fund Research'!$W$6:$W$505,0)),"")</f>
        <v/>
      </c>
      <c r="K12" s="37">
        <f>IFERROR(INDEX('Fund Research'!$P$6:$P$505,MATCH(7,'Fund Research'!$W$6:$W$505,0)),"")</f>
        <v/>
      </c>
      <c r="L12" s="35">
        <f>IFERROR(INDEX('Fund Research'!$S$6:$S$505,MATCH(7,'Fund Research'!$W$6:$W$505,0)),"")</f>
        <v/>
      </c>
      <c r="M12" s="35">
        <f>IFERROR(INDEX('Fund Research'!$T$6:$T$505,MATCH(7,'Fund Research'!$W$6:$W$505,0)),"")</f>
        <v/>
      </c>
    </row>
    <row r="13" ht="15" customHeight="1">
      <c r="A13" s="34">
        <f>IFERROR(IF(INDEX('Fund Research'!$B$6:$B$505,MATCH(8,'Fund Research'!$W$6:$W$505,0))="","",8),"")</f>
        <v/>
      </c>
      <c r="B13" s="35">
        <f>IFERROR(INDEX('Fund Research'!$A$6:$A$505,MATCH(8,'Fund Research'!$W$6:$W$505,0)),"")</f>
        <v/>
      </c>
      <c r="C13" s="35">
        <f>IFERROR(INDEX('Fund Research'!$B$6:$B$505,MATCH(8,'Fund Research'!$W$6:$W$505,0)),"")</f>
        <v/>
      </c>
      <c r="D13" s="35">
        <f>IFERROR(INDEX('Fund Research'!$C$6:$C$505,MATCH(8,'Fund Research'!$W$6:$W$505,0)),"")</f>
        <v/>
      </c>
      <c r="E13" s="36">
        <f>IFERROR(INDEX('Fund Research'!$G$6:$G$505,MATCH(8,'Fund Research'!$W$6:$W$505,0)),"")</f>
        <v/>
      </c>
      <c r="F13" s="36">
        <f>IFERROR(INDEX('Fund Research'!$H$6:$H$505,MATCH(8,'Fund Research'!$W$6:$W$505,0)),"")</f>
        <v/>
      </c>
      <c r="G13" s="36">
        <f>IFERROR(INDEX('Fund Research'!$I$6:$I$505,MATCH(8,'Fund Research'!$W$6:$W$505,0)),"")</f>
        <v/>
      </c>
      <c r="H13" s="37">
        <f>IFERROR(INDEX('Fund Research'!$J$6:$J$505,MATCH(8,'Fund Research'!$W$6:$W$505,0)),"")</f>
        <v/>
      </c>
      <c r="I13" s="40">
        <f>IFERROR(INDEX('Fund Research'!$L$6:$L$505,MATCH(8,'Fund Research'!$W$6:$W$505,0)),"")</f>
        <v/>
      </c>
      <c r="J13" s="37">
        <f>IFERROR(INDEX('Fund Research'!$N$6:$N$505,MATCH(8,'Fund Research'!$W$6:$W$505,0)),"")</f>
        <v/>
      </c>
      <c r="K13" s="37">
        <f>IFERROR(INDEX('Fund Research'!$P$6:$P$505,MATCH(8,'Fund Research'!$W$6:$W$505,0)),"")</f>
        <v/>
      </c>
      <c r="L13" s="35">
        <f>IFERROR(INDEX('Fund Research'!$S$6:$S$505,MATCH(8,'Fund Research'!$W$6:$W$505,0)),"")</f>
        <v/>
      </c>
      <c r="M13" s="35">
        <f>IFERROR(INDEX('Fund Research'!$T$6:$T$505,MATCH(8,'Fund Research'!$W$6:$W$505,0)),"")</f>
        <v/>
      </c>
    </row>
    <row r="14" ht="15" customHeight="1">
      <c r="A14" s="34">
        <f>IFERROR(IF(INDEX('Fund Research'!$B$6:$B$505,MATCH(9,'Fund Research'!$W$6:$W$505,0))="","",9),"")</f>
        <v/>
      </c>
      <c r="B14" s="35">
        <f>IFERROR(INDEX('Fund Research'!$A$6:$A$505,MATCH(9,'Fund Research'!$W$6:$W$505,0)),"")</f>
        <v/>
      </c>
      <c r="C14" s="35">
        <f>IFERROR(INDEX('Fund Research'!$B$6:$B$505,MATCH(9,'Fund Research'!$W$6:$W$505,0)),"")</f>
        <v/>
      </c>
      <c r="D14" s="35">
        <f>IFERROR(INDEX('Fund Research'!$C$6:$C$505,MATCH(9,'Fund Research'!$W$6:$W$505,0)),"")</f>
        <v/>
      </c>
      <c r="E14" s="36">
        <f>IFERROR(INDEX('Fund Research'!$G$6:$G$505,MATCH(9,'Fund Research'!$W$6:$W$505,0)),"")</f>
        <v/>
      </c>
      <c r="F14" s="36">
        <f>IFERROR(INDEX('Fund Research'!$H$6:$H$505,MATCH(9,'Fund Research'!$W$6:$W$505,0)),"")</f>
        <v/>
      </c>
      <c r="G14" s="36">
        <f>IFERROR(INDEX('Fund Research'!$I$6:$I$505,MATCH(9,'Fund Research'!$W$6:$W$505,0)),"")</f>
        <v/>
      </c>
      <c r="H14" s="37">
        <f>IFERROR(INDEX('Fund Research'!$J$6:$J$505,MATCH(9,'Fund Research'!$W$6:$W$505,0)),"")</f>
        <v/>
      </c>
      <c r="I14" s="40">
        <f>IFERROR(INDEX('Fund Research'!$L$6:$L$505,MATCH(9,'Fund Research'!$W$6:$W$505,0)),"")</f>
        <v/>
      </c>
      <c r="J14" s="37">
        <f>IFERROR(INDEX('Fund Research'!$N$6:$N$505,MATCH(9,'Fund Research'!$W$6:$W$505,0)),"")</f>
        <v/>
      </c>
      <c r="K14" s="37">
        <f>IFERROR(INDEX('Fund Research'!$P$6:$P$505,MATCH(9,'Fund Research'!$W$6:$W$505,0)),"")</f>
        <v/>
      </c>
      <c r="L14" s="35">
        <f>IFERROR(INDEX('Fund Research'!$S$6:$S$505,MATCH(9,'Fund Research'!$W$6:$W$505,0)),"")</f>
        <v/>
      </c>
      <c r="M14" s="35">
        <f>IFERROR(INDEX('Fund Research'!$T$6:$T$505,MATCH(9,'Fund Research'!$W$6:$W$505,0)),"")</f>
        <v/>
      </c>
    </row>
    <row r="15" ht="15" customHeight="1">
      <c r="A15" s="34">
        <f>IFERROR(IF(INDEX('Fund Research'!$B$6:$B$505,MATCH(10,'Fund Research'!$W$6:$W$505,0))="","",10),"")</f>
        <v/>
      </c>
      <c r="B15" s="35">
        <f>IFERROR(INDEX('Fund Research'!$A$6:$A$505,MATCH(10,'Fund Research'!$W$6:$W$505,0)),"")</f>
        <v/>
      </c>
      <c r="C15" s="35">
        <f>IFERROR(INDEX('Fund Research'!$B$6:$B$505,MATCH(10,'Fund Research'!$W$6:$W$505,0)),"")</f>
        <v/>
      </c>
      <c r="D15" s="35">
        <f>IFERROR(INDEX('Fund Research'!$C$6:$C$505,MATCH(10,'Fund Research'!$W$6:$W$505,0)),"")</f>
        <v/>
      </c>
      <c r="E15" s="36">
        <f>IFERROR(INDEX('Fund Research'!$G$6:$G$505,MATCH(10,'Fund Research'!$W$6:$W$505,0)),"")</f>
        <v/>
      </c>
      <c r="F15" s="36">
        <f>IFERROR(INDEX('Fund Research'!$H$6:$H$505,MATCH(10,'Fund Research'!$W$6:$W$505,0)),"")</f>
        <v/>
      </c>
      <c r="G15" s="36">
        <f>IFERROR(INDEX('Fund Research'!$I$6:$I$505,MATCH(10,'Fund Research'!$W$6:$W$505,0)),"")</f>
        <v/>
      </c>
      <c r="H15" s="37">
        <f>IFERROR(INDEX('Fund Research'!$J$6:$J$505,MATCH(10,'Fund Research'!$W$6:$W$505,0)),"")</f>
        <v/>
      </c>
      <c r="I15" s="40">
        <f>IFERROR(INDEX('Fund Research'!$L$6:$L$505,MATCH(10,'Fund Research'!$W$6:$W$505,0)),"")</f>
        <v/>
      </c>
      <c r="J15" s="37">
        <f>IFERROR(INDEX('Fund Research'!$N$6:$N$505,MATCH(10,'Fund Research'!$W$6:$W$505,0)),"")</f>
        <v/>
      </c>
      <c r="K15" s="37">
        <f>IFERROR(INDEX('Fund Research'!$P$6:$P$505,MATCH(10,'Fund Research'!$W$6:$W$505,0)),"")</f>
        <v/>
      </c>
      <c r="L15" s="35">
        <f>IFERROR(INDEX('Fund Research'!$S$6:$S$505,MATCH(10,'Fund Research'!$W$6:$W$505,0)),"")</f>
        <v/>
      </c>
      <c r="M15" s="35">
        <f>IFERROR(INDEX('Fund Research'!$T$6:$T$505,MATCH(10,'Fund Research'!$W$6:$W$505,0)),"")</f>
        <v/>
      </c>
    </row>
    <row r="16" ht="15" customHeight="1">
      <c r="A16" s="34">
        <f>IFERROR(IF(INDEX('Fund Research'!$B$6:$B$505,MATCH(11,'Fund Research'!$W$6:$W$505,0))="","",11),"")</f>
        <v/>
      </c>
      <c r="B16" s="35">
        <f>IFERROR(INDEX('Fund Research'!$A$6:$A$505,MATCH(11,'Fund Research'!$W$6:$W$505,0)),"")</f>
        <v/>
      </c>
      <c r="C16" s="35">
        <f>IFERROR(INDEX('Fund Research'!$B$6:$B$505,MATCH(11,'Fund Research'!$W$6:$W$505,0)),"")</f>
        <v/>
      </c>
      <c r="D16" s="35">
        <f>IFERROR(INDEX('Fund Research'!$C$6:$C$505,MATCH(11,'Fund Research'!$W$6:$W$505,0)),"")</f>
        <v/>
      </c>
      <c r="E16" s="36">
        <f>IFERROR(INDEX('Fund Research'!$G$6:$G$505,MATCH(11,'Fund Research'!$W$6:$W$505,0)),"")</f>
        <v/>
      </c>
      <c r="F16" s="36">
        <f>IFERROR(INDEX('Fund Research'!$H$6:$H$505,MATCH(11,'Fund Research'!$W$6:$W$505,0)),"")</f>
        <v/>
      </c>
      <c r="G16" s="36">
        <f>IFERROR(INDEX('Fund Research'!$I$6:$I$505,MATCH(11,'Fund Research'!$W$6:$W$505,0)),"")</f>
        <v/>
      </c>
      <c r="H16" s="37">
        <f>IFERROR(INDEX('Fund Research'!$J$6:$J$505,MATCH(11,'Fund Research'!$W$6:$W$505,0)),"")</f>
        <v/>
      </c>
      <c r="I16" s="40">
        <f>IFERROR(INDEX('Fund Research'!$L$6:$L$505,MATCH(11,'Fund Research'!$W$6:$W$505,0)),"")</f>
        <v/>
      </c>
      <c r="J16" s="37">
        <f>IFERROR(INDEX('Fund Research'!$N$6:$N$505,MATCH(11,'Fund Research'!$W$6:$W$505,0)),"")</f>
        <v/>
      </c>
      <c r="K16" s="37">
        <f>IFERROR(INDEX('Fund Research'!$P$6:$P$505,MATCH(11,'Fund Research'!$W$6:$W$505,0)),"")</f>
        <v/>
      </c>
      <c r="L16" s="35">
        <f>IFERROR(INDEX('Fund Research'!$S$6:$S$505,MATCH(11,'Fund Research'!$W$6:$W$505,0)),"")</f>
        <v/>
      </c>
      <c r="M16" s="35">
        <f>IFERROR(INDEX('Fund Research'!$T$6:$T$505,MATCH(11,'Fund Research'!$W$6:$W$505,0)),"")</f>
        <v/>
      </c>
    </row>
    <row r="17" ht="15" customHeight="1">
      <c r="A17" s="34">
        <f>IFERROR(IF(INDEX('Fund Research'!$B$6:$B$505,MATCH(12,'Fund Research'!$W$6:$W$505,0))="","",12),"")</f>
        <v/>
      </c>
      <c r="B17" s="35">
        <f>IFERROR(INDEX('Fund Research'!$A$6:$A$505,MATCH(12,'Fund Research'!$W$6:$W$505,0)),"")</f>
        <v/>
      </c>
      <c r="C17" s="35">
        <f>IFERROR(INDEX('Fund Research'!$B$6:$B$505,MATCH(12,'Fund Research'!$W$6:$W$505,0)),"")</f>
        <v/>
      </c>
      <c r="D17" s="35">
        <f>IFERROR(INDEX('Fund Research'!$C$6:$C$505,MATCH(12,'Fund Research'!$W$6:$W$505,0)),"")</f>
        <v/>
      </c>
      <c r="E17" s="36">
        <f>IFERROR(INDEX('Fund Research'!$G$6:$G$505,MATCH(12,'Fund Research'!$W$6:$W$505,0)),"")</f>
        <v/>
      </c>
      <c r="F17" s="36">
        <f>IFERROR(INDEX('Fund Research'!$H$6:$H$505,MATCH(12,'Fund Research'!$W$6:$W$505,0)),"")</f>
        <v/>
      </c>
      <c r="G17" s="36">
        <f>IFERROR(INDEX('Fund Research'!$I$6:$I$505,MATCH(12,'Fund Research'!$W$6:$W$505,0)),"")</f>
        <v/>
      </c>
      <c r="H17" s="37">
        <f>IFERROR(INDEX('Fund Research'!$J$6:$J$505,MATCH(12,'Fund Research'!$W$6:$W$505,0)),"")</f>
        <v/>
      </c>
      <c r="I17" s="40">
        <f>IFERROR(INDEX('Fund Research'!$L$6:$L$505,MATCH(12,'Fund Research'!$W$6:$W$505,0)),"")</f>
        <v/>
      </c>
      <c r="J17" s="37">
        <f>IFERROR(INDEX('Fund Research'!$N$6:$N$505,MATCH(12,'Fund Research'!$W$6:$W$505,0)),"")</f>
        <v/>
      </c>
      <c r="K17" s="37">
        <f>IFERROR(INDEX('Fund Research'!$P$6:$P$505,MATCH(12,'Fund Research'!$W$6:$W$505,0)),"")</f>
        <v/>
      </c>
      <c r="L17" s="35">
        <f>IFERROR(INDEX('Fund Research'!$S$6:$S$505,MATCH(12,'Fund Research'!$W$6:$W$505,0)),"")</f>
        <v/>
      </c>
      <c r="M17" s="35">
        <f>IFERROR(INDEX('Fund Research'!$T$6:$T$505,MATCH(12,'Fund Research'!$W$6:$W$505,0)),"")</f>
        <v/>
      </c>
    </row>
    <row r="18" ht="15" customHeight="1">
      <c r="A18" s="34">
        <f>IFERROR(IF(INDEX('Fund Research'!$B$6:$B$505,MATCH(13,'Fund Research'!$W$6:$W$505,0))="","",13),"")</f>
        <v/>
      </c>
      <c r="B18" s="35">
        <f>IFERROR(INDEX('Fund Research'!$A$6:$A$505,MATCH(13,'Fund Research'!$W$6:$W$505,0)),"")</f>
        <v/>
      </c>
      <c r="C18" s="35">
        <f>IFERROR(INDEX('Fund Research'!$B$6:$B$505,MATCH(13,'Fund Research'!$W$6:$W$505,0)),"")</f>
        <v/>
      </c>
      <c r="D18" s="35">
        <f>IFERROR(INDEX('Fund Research'!$C$6:$C$505,MATCH(13,'Fund Research'!$W$6:$W$505,0)),"")</f>
        <v/>
      </c>
      <c r="E18" s="36">
        <f>IFERROR(INDEX('Fund Research'!$G$6:$G$505,MATCH(13,'Fund Research'!$W$6:$W$505,0)),"")</f>
        <v/>
      </c>
      <c r="F18" s="36">
        <f>IFERROR(INDEX('Fund Research'!$H$6:$H$505,MATCH(13,'Fund Research'!$W$6:$W$505,0)),"")</f>
        <v/>
      </c>
      <c r="G18" s="36">
        <f>IFERROR(INDEX('Fund Research'!$I$6:$I$505,MATCH(13,'Fund Research'!$W$6:$W$505,0)),"")</f>
        <v/>
      </c>
      <c r="H18" s="37">
        <f>IFERROR(INDEX('Fund Research'!$J$6:$J$505,MATCH(13,'Fund Research'!$W$6:$W$505,0)),"")</f>
        <v/>
      </c>
      <c r="I18" s="40">
        <f>IFERROR(INDEX('Fund Research'!$L$6:$L$505,MATCH(13,'Fund Research'!$W$6:$W$505,0)),"")</f>
        <v/>
      </c>
      <c r="J18" s="37">
        <f>IFERROR(INDEX('Fund Research'!$N$6:$N$505,MATCH(13,'Fund Research'!$W$6:$W$505,0)),"")</f>
        <v/>
      </c>
      <c r="K18" s="37">
        <f>IFERROR(INDEX('Fund Research'!$P$6:$P$505,MATCH(13,'Fund Research'!$W$6:$W$505,0)),"")</f>
        <v/>
      </c>
      <c r="L18" s="35">
        <f>IFERROR(INDEX('Fund Research'!$S$6:$S$505,MATCH(13,'Fund Research'!$W$6:$W$505,0)),"")</f>
        <v/>
      </c>
      <c r="M18" s="35">
        <f>IFERROR(INDEX('Fund Research'!$T$6:$T$505,MATCH(13,'Fund Research'!$W$6:$W$505,0)),"")</f>
        <v/>
      </c>
    </row>
    <row r="19" ht="15" customHeight="1">
      <c r="A19" s="34">
        <f>IFERROR(IF(INDEX('Fund Research'!$B$6:$B$505,MATCH(14,'Fund Research'!$W$6:$W$505,0))="","",14),"")</f>
        <v/>
      </c>
      <c r="B19" s="35">
        <f>IFERROR(INDEX('Fund Research'!$A$6:$A$505,MATCH(14,'Fund Research'!$W$6:$W$505,0)),"")</f>
        <v/>
      </c>
      <c r="C19" s="35">
        <f>IFERROR(INDEX('Fund Research'!$B$6:$B$505,MATCH(14,'Fund Research'!$W$6:$W$505,0)),"")</f>
        <v/>
      </c>
      <c r="D19" s="35">
        <f>IFERROR(INDEX('Fund Research'!$C$6:$C$505,MATCH(14,'Fund Research'!$W$6:$W$505,0)),"")</f>
        <v/>
      </c>
      <c r="E19" s="36">
        <f>IFERROR(INDEX('Fund Research'!$G$6:$G$505,MATCH(14,'Fund Research'!$W$6:$W$505,0)),"")</f>
        <v/>
      </c>
      <c r="F19" s="36">
        <f>IFERROR(INDEX('Fund Research'!$H$6:$H$505,MATCH(14,'Fund Research'!$W$6:$W$505,0)),"")</f>
        <v/>
      </c>
      <c r="G19" s="36">
        <f>IFERROR(INDEX('Fund Research'!$I$6:$I$505,MATCH(14,'Fund Research'!$W$6:$W$505,0)),"")</f>
        <v/>
      </c>
      <c r="H19" s="37">
        <f>IFERROR(INDEX('Fund Research'!$J$6:$J$505,MATCH(14,'Fund Research'!$W$6:$W$505,0)),"")</f>
        <v/>
      </c>
      <c r="I19" s="40">
        <f>IFERROR(INDEX('Fund Research'!$L$6:$L$505,MATCH(14,'Fund Research'!$W$6:$W$505,0)),"")</f>
        <v/>
      </c>
      <c r="J19" s="37">
        <f>IFERROR(INDEX('Fund Research'!$N$6:$N$505,MATCH(14,'Fund Research'!$W$6:$W$505,0)),"")</f>
        <v/>
      </c>
      <c r="K19" s="37">
        <f>IFERROR(INDEX('Fund Research'!$P$6:$P$505,MATCH(14,'Fund Research'!$W$6:$W$505,0)),"")</f>
        <v/>
      </c>
      <c r="L19" s="35">
        <f>IFERROR(INDEX('Fund Research'!$S$6:$S$505,MATCH(14,'Fund Research'!$W$6:$W$505,0)),"")</f>
        <v/>
      </c>
      <c r="M19" s="35">
        <f>IFERROR(INDEX('Fund Research'!$T$6:$T$505,MATCH(14,'Fund Research'!$W$6:$W$505,0)),"")</f>
        <v/>
      </c>
    </row>
    <row r="20" ht="15" customHeight="1">
      <c r="A20" s="34">
        <f>IFERROR(IF(INDEX('Fund Research'!$B$6:$B$505,MATCH(15,'Fund Research'!$W$6:$W$505,0))="","",15),"")</f>
        <v/>
      </c>
      <c r="B20" s="35">
        <f>IFERROR(INDEX('Fund Research'!$A$6:$A$505,MATCH(15,'Fund Research'!$W$6:$W$505,0)),"")</f>
        <v/>
      </c>
      <c r="C20" s="35">
        <f>IFERROR(INDEX('Fund Research'!$B$6:$B$505,MATCH(15,'Fund Research'!$W$6:$W$505,0)),"")</f>
        <v/>
      </c>
      <c r="D20" s="35">
        <f>IFERROR(INDEX('Fund Research'!$C$6:$C$505,MATCH(15,'Fund Research'!$W$6:$W$505,0)),"")</f>
        <v/>
      </c>
      <c r="E20" s="36">
        <f>IFERROR(INDEX('Fund Research'!$G$6:$G$505,MATCH(15,'Fund Research'!$W$6:$W$505,0)),"")</f>
        <v/>
      </c>
      <c r="F20" s="36">
        <f>IFERROR(INDEX('Fund Research'!$H$6:$H$505,MATCH(15,'Fund Research'!$W$6:$W$505,0)),"")</f>
        <v/>
      </c>
      <c r="G20" s="36">
        <f>IFERROR(INDEX('Fund Research'!$I$6:$I$505,MATCH(15,'Fund Research'!$W$6:$W$505,0)),"")</f>
        <v/>
      </c>
      <c r="H20" s="37">
        <f>IFERROR(INDEX('Fund Research'!$J$6:$J$505,MATCH(15,'Fund Research'!$W$6:$W$505,0)),"")</f>
        <v/>
      </c>
      <c r="I20" s="40">
        <f>IFERROR(INDEX('Fund Research'!$L$6:$L$505,MATCH(15,'Fund Research'!$W$6:$W$505,0)),"")</f>
        <v/>
      </c>
      <c r="J20" s="37">
        <f>IFERROR(INDEX('Fund Research'!$N$6:$N$505,MATCH(15,'Fund Research'!$W$6:$W$505,0)),"")</f>
        <v/>
      </c>
      <c r="K20" s="37">
        <f>IFERROR(INDEX('Fund Research'!$P$6:$P$505,MATCH(15,'Fund Research'!$W$6:$W$505,0)),"")</f>
        <v/>
      </c>
      <c r="L20" s="35">
        <f>IFERROR(INDEX('Fund Research'!$S$6:$S$505,MATCH(15,'Fund Research'!$W$6:$W$505,0)),"")</f>
        <v/>
      </c>
      <c r="M20" s="35">
        <f>IFERROR(INDEX('Fund Research'!$T$6:$T$505,MATCH(15,'Fund Research'!$W$6:$W$505,0)),"")</f>
        <v/>
      </c>
    </row>
    <row r="21" ht="15" customHeight="1">
      <c r="A21" s="34">
        <f>IFERROR(IF(INDEX('Fund Research'!$B$6:$B$505,MATCH(16,'Fund Research'!$W$6:$W$505,0))="","",16),"")</f>
        <v/>
      </c>
      <c r="B21" s="35">
        <f>IFERROR(INDEX('Fund Research'!$A$6:$A$505,MATCH(16,'Fund Research'!$W$6:$W$505,0)),"")</f>
        <v/>
      </c>
      <c r="C21" s="35">
        <f>IFERROR(INDEX('Fund Research'!$B$6:$B$505,MATCH(16,'Fund Research'!$W$6:$W$505,0)),"")</f>
        <v/>
      </c>
      <c r="D21" s="35">
        <f>IFERROR(INDEX('Fund Research'!$C$6:$C$505,MATCH(16,'Fund Research'!$W$6:$W$505,0)),"")</f>
        <v/>
      </c>
      <c r="E21" s="36">
        <f>IFERROR(INDEX('Fund Research'!$G$6:$G$505,MATCH(16,'Fund Research'!$W$6:$W$505,0)),"")</f>
        <v/>
      </c>
      <c r="F21" s="36">
        <f>IFERROR(INDEX('Fund Research'!$H$6:$H$505,MATCH(16,'Fund Research'!$W$6:$W$505,0)),"")</f>
        <v/>
      </c>
      <c r="G21" s="36">
        <f>IFERROR(INDEX('Fund Research'!$I$6:$I$505,MATCH(16,'Fund Research'!$W$6:$W$505,0)),"")</f>
        <v/>
      </c>
      <c r="H21" s="37">
        <f>IFERROR(INDEX('Fund Research'!$J$6:$J$505,MATCH(16,'Fund Research'!$W$6:$W$505,0)),"")</f>
        <v/>
      </c>
      <c r="I21" s="40">
        <f>IFERROR(INDEX('Fund Research'!$L$6:$L$505,MATCH(16,'Fund Research'!$W$6:$W$505,0)),"")</f>
        <v/>
      </c>
      <c r="J21" s="37">
        <f>IFERROR(INDEX('Fund Research'!$N$6:$N$505,MATCH(16,'Fund Research'!$W$6:$W$505,0)),"")</f>
        <v/>
      </c>
      <c r="K21" s="37">
        <f>IFERROR(INDEX('Fund Research'!$P$6:$P$505,MATCH(16,'Fund Research'!$W$6:$W$505,0)),"")</f>
        <v/>
      </c>
      <c r="L21" s="35">
        <f>IFERROR(INDEX('Fund Research'!$S$6:$S$505,MATCH(16,'Fund Research'!$W$6:$W$505,0)),"")</f>
        <v/>
      </c>
      <c r="M21" s="35">
        <f>IFERROR(INDEX('Fund Research'!$T$6:$T$505,MATCH(16,'Fund Research'!$W$6:$W$505,0)),"")</f>
        <v/>
      </c>
    </row>
    <row r="22" ht="15" customHeight="1">
      <c r="A22" s="34">
        <f>IFERROR(IF(INDEX('Fund Research'!$B$6:$B$505,MATCH(17,'Fund Research'!$W$6:$W$505,0))="","",17),"")</f>
        <v/>
      </c>
      <c r="B22" s="35">
        <f>IFERROR(INDEX('Fund Research'!$A$6:$A$505,MATCH(17,'Fund Research'!$W$6:$W$505,0)),"")</f>
        <v/>
      </c>
      <c r="C22" s="35">
        <f>IFERROR(INDEX('Fund Research'!$B$6:$B$505,MATCH(17,'Fund Research'!$W$6:$W$505,0)),"")</f>
        <v/>
      </c>
      <c r="D22" s="35">
        <f>IFERROR(INDEX('Fund Research'!$C$6:$C$505,MATCH(17,'Fund Research'!$W$6:$W$505,0)),"")</f>
        <v/>
      </c>
      <c r="E22" s="36">
        <f>IFERROR(INDEX('Fund Research'!$G$6:$G$505,MATCH(17,'Fund Research'!$W$6:$W$505,0)),"")</f>
        <v/>
      </c>
      <c r="F22" s="36">
        <f>IFERROR(INDEX('Fund Research'!$H$6:$H$505,MATCH(17,'Fund Research'!$W$6:$W$505,0)),"")</f>
        <v/>
      </c>
      <c r="G22" s="36">
        <f>IFERROR(INDEX('Fund Research'!$I$6:$I$505,MATCH(17,'Fund Research'!$W$6:$W$505,0)),"")</f>
        <v/>
      </c>
      <c r="H22" s="37">
        <f>IFERROR(INDEX('Fund Research'!$J$6:$J$505,MATCH(17,'Fund Research'!$W$6:$W$505,0)),"")</f>
        <v/>
      </c>
      <c r="I22" s="40">
        <f>IFERROR(INDEX('Fund Research'!$L$6:$L$505,MATCH(17,'Fund Research'!$W$6:$W$505,0)),"")</f>
        <v/>
      </c>
      <c r="J22" s="37">
        <f>IFERROR(INDEX('Fund Research'!$N$6:$N$505,MATCH(17,'Fund Research'!$W$6:$W$505,0)),"")</f>
        <v/>
      </c>
      <c r="K22" s="37">
        <f>IFERROR(INDEX('Fund Research'!$P$6:$P$505,MATCH(17,'Fund Research'!$W$6:$W$505,0)),"")</f>
        <v/>
      </c>
      <c r="L22" s="35">
        <f>IFERROR(INDEX('Fund Research'!$S$6:$S$505,MATCH(17,'Fund Research'!$W$6:$W$505,0)),"")</f>
        <v/>
      </c>
      <c r="M22" s="35">
        <f>IFERROR(INDEX('Fund Research'!$T$6:$T$505,MATCH(17,'Fund Research'!$W$6:$W$505,0)),"")</f>
        <v/>
      </c>
    </row>
    <row r="23" ht="15" customHeight="1">
      <c r="A23" s="34">
        <f>IFERROR(IF(INDEX('Fund Research'!$B$6:$B$505,MATCH(18,'Fund Research'!$W$6:$W$505,0))="","",18),"")</f>
        <v/>
      </c>
      <c r="B23" s="35">
        <f>IFERROR(INDEX('Fund Research'!$A$6:$A$505,MATCH(18,'Fund Research'!$W$6:$W$505,0)),"")</f>
        <v/>
      </c>
      <c r="C23" s="35">
        <f>IFERROR(INDEX('Fund Research'!$B$6:$B$505,MATCH(18,'Fund Research'!$W$6:$W$505,0)),"")</f>
        <v/>
      </c>
      <c r="D23" s="35">
        <f>IFERROR(INDEX('Fund Research'!$C$6:$C$505,MATCH(18,'Fund Research'!$W$6:$W$505,0)),"")</f>
        <v/>
      </c>
      <c r="E23" s="36">
        <f>IFERROR(INDEX('Fund Research'!$G$6:$G$505,MATCH(18,'Fund Research'!$W$6:$W$505,0)),"")</f>
        <v/>
      </c>
      <c r="F23" s="36">
        <f>IFERROR(INDEX('Fund Research'!$H$6:$H$505,MATCH(18,'Fund Research'!$W$6:$W$505,0)),"")</f>
        <v/>
      </c>
      <c r="G23" s="36">
        <f>IFERROR(INDEX('Fund Research'!$I$6:$I$505,MATCH(18,'Fund Research'!$W$6:$W$505,0)),"")</f>
        <v/>
      </c>
      <c r="H23" s="37">
        <f>IFERROR(INDEX('Fund Research'!$J$6:$J$505,MATCH(18,'Fund Research'!$W$6:$W$505,0)),"")</f>
        <v/>
      </c>
      <c r="I23" s="40">
        <f>IFERROR(INDEX('Fund Research'!$L$6:$L$505,MATCH(18,'Fund Research'!$W$6:$W$505,0)),"")</f>
        <v/>
      </c>
      <c r="J23" s="37">
        <f>IFERROR(INDEX('Fund Research'!$N$6:$N$505,MATCH(18,'Fund Research'!$W$6:$W$505,0)),"")</f>
        <v/>
      </c>
      <c r="K23" s="37">
        <f>IFERROR(INDEX('Fund Research'!$P$6:$P$505,MATCH(18,'Fund Research'!$W$6:$W$505,0)),"")</f>
        <v/>
      </c>
      <c r="L23" s="35">
        <f>IFERROR(INDEX('Fund Research'!$S$6:$S$505,MATCH(18,'Fund Research'!$W$6:$W$505,0)),"")</f>
        <v/>
      </c>
      <c r="M23" s="35">
        <f>IFERROR(INDEX('Fund Research'!$T$6:$T$505,MATCH(18,'Fund Research'!$W$6:$W$505,0)),"")</f>
        <v/>
      </c>
    </row>
    <row r="24" ht="15" customHeight="1">
      <c r="A24" s="34">
        <f>IFERROR(IF(INDEX('Fund Research'!$B$6:$B$505,MATCH(19,'Fund Research'!$W$6:$W$505,0))="","",19),"")</f>
        <v/>
      </c>
      <c r="B24" s="35">
        <f>IFERROR(INDEX('Fund Research'!$A$6:$A$505,MATCH(19,'Fund Research'!$W$6:$W$505,0)),"")</f>
        <v/>
      </c>
      <c r="C24" s="35">
        <f>IFERROR(INDEX('Fund Research'!$B$6:$B$505,MATCH(19,'Fund Research'!$W$6:$W$505,0)),"")</f>
        <v/>
      </c>
      <c r="D24" s="35">
        <f>IFERROR(INDEX('Fund Research'!$C$6:$C$505,MATCH(19,'Fund Research'!$W$6:$W$505,0)),"")</f>
        <v/>
      </c>
      <c r="E24" s="36">
        <f>IFERROR(INDEX('Fund Research'!$G$6:$G$505,MATCH(19,'Fund Research'!$W$6:$W$505,0)),"")</f>
        <v/>
      </c>
      <c r="F24" s="36">
        <f>IFERROR(INDEX('Fund Research'!$H$6:$H$505,MATCH(19,'Fund Research'!$W$6:$W$505,0)),"")</f>
        <v/>
      </c>
      <c r="G24" s="36">
        <f>IFERROR(INDEX('Fund Research'!$I$6:$I$505,MATCH(19,'Fund Research'!$W$6:$W$505,0)),"")</f>
        <v/>
      </c>
      <c r="H24" s="37">
        <f>IFERROR(INDEX('Fund Research'!$J$6:$J$505,MATCH(19,'Fund Research'!$W$6:$W$505,0)),"")</f>
        <v/>
      </c>
      <c r="I24" s="40">
        <f>IFERROR(INDEX('Fund Research'!$L$6:$L$505,MATCH(19,'Fund Research'!$W$6:$W$505,0)),"")</f>
        <v/>
      </c>
      <c r="J24" s="37">
        <f>IFERROR(INDEX('Fund Research'!$N$6:$N$505,MATCH(19,'Fund Research'!$W$6:$W$505,0)),"")</f>
        <v/>
      </c>
      <c r="K24" s="37">
        <f>IFERROR(INDEX('Fund Research'!$P$6:$P$505,MATCH(19,'Fund Research'!$W$6:$W$505,0)),"")</f>
        <v/>
      </c>
      <c r="L24" s="35">
        <f>IFERROR(INDEX('Fund Research'!$S$6:$S$505,MATCH(19,'Fund Research'!$W$6:$W$505,0)),"")</f>
        <v/>
      </c>
      <c r="M24" s="35">
        <f>IFERROR(INDEX('Fund Research'!$T$6:$T$505,MATCH(19,'Fund Research'!$W$6:$W$505,0)),"")</f>
        <v/>
      </c>
    </row>
    <row r="25" ht="15" customHeight="1">
      <c r="A25" s="34">
        <f>IFERROR(IF(INDEX('Fund Research'!$B$6:$B$505,MATCH(20,'Fund Research'!$W$6:$W$505,0))="","",20),"")</f>
        <v/>
      </c>
      <c r="B25" s="35">
        <f>IFERROR(INDEX('Fund Research'!$A$6:$A$505,MATCH(20,'Fund Research'!$W$6:$W$505,0)),"")</f>
        <v/>
      </c>
      <c r="C25" s="35">
        <f>IFERROR(INDEX('Fund Research'!$B$6:$B$505,MATCH(20,'Fund Research'!$W$6:$W$505,0)),"")</f>
        <v/>
      </c>
      <c r="D25" s="35">
        <f>IFERROR(INDEX('Fund Research'!$C$6:$C$505,MATCH(20,'Fund Research'!$W$6:$W$505,0)),"")</f>
        <v/>
      </c>
      <c r="E25" s="36">
        <f>IFERROR(INDEX('Fund Research'!$G$6:$G$505,MATCH(20,'Fund Research'!$W$6:$W$505,0)),"")</f>
        <v/>
      </c>
      <c r="F25" s="36">
        <f>IFERROR(INDEX('Fund Research'!$H$6:$H$505,MATCH(20,'Fund Research'!$W$6:$W$505,0)),"")</f>
        <v/>
      </c>
      <c r="G25" s="36">
        <f>IFERROR(INDEX('Fund Research'!$I$6:$I$505,MATCH(20,'Fund Research'!$W$6:$W$505,0)),"")</f>
        <v/>
      </c>
      <c r="H25" s="37">
        <f>IFERROR(INDEX('Fund Research'!$J$6:$J$505,MATCH(20,'Fund Research'!$W$6:$W$505,0)),"")</f>
        <v/>
      </c>
      <c r="I25" s="40">
        <f>IFERROR(INDEX('Fund Research'!$L$6:$L$505,MATCH(20,'Fund Research'!$W$6:$W$505,0)),"")</f>
        <v/>
      </c>
      <c r="J25" s="37">
        <f>IFERROR(INDEX('Fund Research'!$N$6:$N$505,MATCH(20,'Fund Research'!$W$6:$W$505,0)),"")</f>
        <v/>
      </c>
      <c r="K25" s="37">
        <f>IFERROR(INDEX('Fund Research'!$P$6:$P$505,MATCH(20,'Fund Research'!$W$6:$W$505,0)),"")</f>
        <v/>
      </c>
      <c r="L25" s="35">
        <f>IFERROR(INDEX('Fund Research'!$S$6:$S$505,MATCH(20,'Fund Research'!$W$6:$W$505,0)),"")</f>
        <v/>
      </c>
      <c r="M25" s="35">
        <f>IFERROR(INDEX('Fund Research'!$T$6:$T$505,MATCH(20,'Fund Research'!$W$6:$W$505,0)),"")</f>
        <v/>
      </c>
    </row>
    <row r="26" ht="15" customHeight="1">
      <c r="A26" s="34">
        <f>IFERROR(IF(INDEX('Fund Research'!$B$6:$B$505,MATCH(21,'Fund Research'!$W$6:$W$505,0))="","",21),"")</f>
        <v/>
      </c>
      <c r="B26" s="35">
        <f>IFERROR(INDEX('Fund Research'!$A$6:$A$505,MATCH(21,'Fund Research'!$W$6:$W$505,0)),"")</f>
        <v/>
      </c>
      <c r="C26" s="35">
        <f>IFERROR(INDEX('Fund Research'!$B$6:$B$505,MATCH(21,'Fund Research'!$W$6:$W$505,0)),"")</f>
        <v/>
      </c>
      <c r="D26" s="35">
        <f>IFERROR(INDEX('Fund Research'!$C$6:$C$505,MATCH(21,'Fund Research'!$W$6:$W$505,0)),"")</f>
        <v/>
      </c>
      <c r="E26" s="36">
        <f>IFERROR(INDEX('Fund Research'!$G$6:$G$505,MATCH(21,'Fund Research'!$W$6:$W$505,0)),"")</f>
        <v/>
      </c>
      <c r="F26" s="36">
        <f>IFERROR(INDEX('Fund Research'!$H$6:$H$505,MATCH(21,'Fund Research'!$W$6:$W$505,0)),"")</f>
        <v/>
      </c>
      <c r="G26" s="36">
        <f>IFERROR(INDEX('Fund Research'!$I$6:$I$505,MATCH(21,'Fund Research'!$W$6:$W$505,0)),"")</f>
        <v/>
      </c>
      <c r="H26" s="37">
        <f>IFERROR(INDEX('Fund Research'!$J$6:$J$505,MATCH(21,'Fund Research'!$W$6:$W$505,0)),"")</f>
        <v/>
      </c>
      <c r="I26" s="40">
        <f>IFERROR(INDEX('Fund Research'!$L$6:$L$505,MATCH(21,'Fund Research'!$W$6:$W$505,0)),"")</f>
        <v/>
      </c>
      <c r="J26" s="37">
        <f>IFERROR(INDEX('Fund Research'!$N$6:$N$505,MATCH(21,'Fund Research'!$W$6:$W$505,0)),"")</f>
        <v/>
      </c>
      <c r="K26" s="37">
        <f>IFERROR(INDEX('Fund Research'!$P$6:$P$505,MATCH(21,'Fund Research'!$W$6:$W$505,0)),"")</f>
        <v/>
      </c>
      <c r="L26" s="35">
        <f>IFERROR(INDEX('Fund Research'!$S$6:$S$505,MATCH(21,'Fund Research'!$W$6:$W$505,0)),"")</f>
        <v/>
      </c>
      <c r="M26" s="35">
        <f>IFERROR(INDEX('Fund Research'!$T$6:$T$505,MATCH(21,'Fund Research'!$W$6:$W$505,0)),"")</f>
        <v/>
      </c>
    </row>
    <row r="27" ht="15" customHeight="1">
      <c r="A27" s="34">
        <f>IFERROR(IF(INDEX('Fund Research'!$B$6:$B$505,MATCH(22,'Fund Research'!$W$6:$W$505,0))="","",22),"")</f>
        <v/>
      </c>
      <c r="B27" s="35">
        <f>IFERROR(INDEX('Fund Research'!$A$6:$A$505,MATCH(22,'Fund Research'!$W$6:$W$505,0)),"")</f>
        <v/>
      </c>
      <c r="C27" s="35">
        <f>IFERROR(INDEX('Fund Research'!$B$6:$B$505,MATCH(22,'Fund Research'!$W$6:$W$505,0)),"")</f>
        <v/>
      </c>
      <c r="D27" s="35">
        <f>IFERROR(INDEX('Fund Research'!$C$6:$C$505,MATCH(22,'Fund Research'!$W$6:$W$505,0)),"")</f>
        <v/>
      </c>
      <c r="E27" s="36">
        <f>IFERROR(INDEX('Fund Research'!$G$6:$G$505,MATCH(22,'Fund Research'!$W$6:$W$505,0)),"")</f>
        <v/>
      </c>
      <c r="F27" s="36">
        <f>IFERROR(INDEX('Fund Research'!$H$6:$H$505,MATCH(22,'Fund Research'!$W$6:$W$505,0)),"")</f>
        <v/>
      </c>
      <c r="G27" s="36">
        <f>IFERROR(INDEX('Fund Research'!$I$6:$I$505,MATCH(22,'Fund Research'!$W$6:$W$505,0)),"")</f>
        <v/>
      </c>
      <c r="H27" s="37">
        <f>IFERROR(INDEX('Fund Research'!$J$6:$J$505,MATCH(22,'Fund Research'!$W$6:$W$505,0)),"")</f>
        <v/>
      </c>
      <c r="I27" s="40">
        <f>IFERROR(INDEX('Fund Research'!$L$6:$L$505,MATCH(22,'Fund Research'!$W$6:$W$505,0)),"")</f>
        <v/>
      </c>
      <c r="J27" s="37">
        <f>IFERROR(INDEX('Fund Research'!$N$6:$N$505,MATCH(22,'Fund Research'!$W$6:$W$505,0)),"")</f>
        <v/>
      </c>
      <c r="K27" s="37">
        <f>IFERROR(INDEX('Fund Research'!$P$6:$P$505,MATCH(22,'Fund Research'!$W$6:$W$505,0)),"")</f>
        <v/>
      </c>
      <c r="L27" s="35">
        <f>IFERROR(INDEX('Fund Research'!$S$6:$S$505,MATCH(22,'Fund Research'!$W$6:$W$505,0)),"")</f>
        <v/>
      </c>
      <c r="M27" s="35">
        <f>IFERROR(INDEX('Fund Research'!$T$6:$T$505,MATCH(22,'Fund Research'!$W$6:$W$505,0)),"")</f>
        <v/>
      </c>
    </row>
    <row r="28" ht="15" customHeight="1">
      <c r="A28" s="34">
        <f>IFERROR(IF(INDEX('Fund Research'!$B$6:$B$505,MATCH(23,'Fund Research'!$W$6:$W$505,0))="","",23),"")</f>
        <v/>
      </c>
      <c r="B28" s="35">
        <f>IFERROR(INDEX('Fund Research'!$A$6:$A$505,MATCH(23,'Fund Research'!$W$6:$W$505,0)),"")</f>
        <v/>
      </c>
      <c r="C28" s="35">
        <f>IFERROR(INDEX('Fund Research'!$B$6:$B$505,MATCH(23,'Fund Research'!$W$6:$W$505,0)),"")</f>
        <v/>
      </c>
      <c r="D28" s="35">
        <f>IFERROR(INDEX('Fund Research'!$C$6:$C$505,MATCH(23,'Fund Research'!$W$6:$W$505,0)),"")</f>
        <v/>
      </c>
      <c r="E28" s="36">
        <f>IFERROR(INDEX('Fund Research'!$G$6:$G$505,MATCH(23,'Fund Research'!$W$6:$W$505,0)),"")</f>
        <v/>
      </c>
      <c r="F28" s="36">
        <f>IFERROR(INDEX('Fund Research'!$H$6:$H$505,MATCH(23,'Fund Research'!$W$6:$W$505,0)),"")</f>
        <v/>
      </c>
      <c r="G28" s="36">
        <f>IFERROR(INDEX('Fund Research'!$I$6:$I$505,MATCH(23,'Fund Research'!$W$6:$W$505,0)),"")</f>
        <v/>
      </c>
      <c r="H28" s="37">
        <f>IFERROR(INDEX('Fund Research'!$J$6:$J$505,MATCH(23,'Fund Research'!$W$6:$W$505,0)),"")</f>
        <v/>
      </c>
      <c r="I28" s="40">
        <f>IFERROR(INDEX('Fund Research'!$L$6:$L$505,MATCH(23,'Fund Research'!$W$6:$W$505,0)),"")</f>
        <v/>
      </c>
      <c r="J28" s="37">
        <f>IFERROR(INDEX('Fund Research'!$N$6:$N$505,MATCH(23,'Fund Research'!$W$6:$W$505,0)),"")</f>
        <v/>
      </c>
      <c r="K28" s="37">
        <f>IFERROR(INDEX('Fund Research'!$P$6:$P$505,MATCH(23,'Fund Research'!$W$6:$W$505,0)),"")</f>
        <v/>
      </c>
      <c r="L28" s="35">
        <f>IFERROR(INDEX('Fund Research'!$S$6:$S$505,MATCH(23,'Fund Research'!$W$6:$W$505,0)),"")</f>
        <v/>
      </c>
      <c r="M28" s="35">
        <f>IFERROR(INDEX('Fund Research'!$T$6:$T$505,MATCH(23,'Fund Research'!$W$6:$W$505,0)),"")</f>
        <v/>
      </c>
    </row>
    <row r="29" ht="15" customHeight="1">
      <c r="A29" s="34">
        <f>IFERROR(IF(INDEX('Fund Research'!$B$6:$B$505,MATCH(24,'Fund Research'!$W$6:$W$505,0))="","",24),"")</f>
        <v/>
      </c>
      <c r="B29" s="35">
        <f>IFERROR(INDEX('Fund Research'!$A$6:$A$505,MATCH(24,'Fund Research'!$W$6:$W$505,0)),"")</f>
        <v/>
      </c>
      <c r="C29" s="35">
        <f>IFERROR(INDEX('Fund Research'!$B$6:$B$505,MATCH(24,'Fund Research'!$W$6:$W$505,0)),"")</f>
        <v/>
      </c>
      <c r="D29" s="35">
        <f>IFERROR(INDEX('Fund Research'!$C$6:$C$505,MATCH(24,'Fund Research'!$W$6:$W$505,0)),"")</f>
        <v/>
      </c>
      <c r="E29" s="36">
        <f>IFERROR(INDEX('Fund Research'!$G$6:$G$505,MATCH(24,'Fund Research'!$W$6:$W$505,0)),"")</f>
        <v/>
      </c>
      <c r="F29" s="36">
        <f>IFERROR(INDEX('Fund Research'!$H$6:$H$505,MATCH(24,'Fund Research'!$W$6:$W$505,0)),"")</f>
        <v/>
      </c>
      <c r="G29" s="36">
        <f>IFERROR(INDEX('Fund Research'!$I$6:$I$505,MATCH(24,'Fund Research'!$W$6:$W$505,0)),"")</f>
        <v/>
      </c>
      <c r="H29" s="37">
        <f>IFERROR(INDEX('Fund Research'!$J$6:$J$505,MATCH(24,'Fund Research'!$W$6:$W$505,0)),"")</f>
        <v/>
      </c>
      <c r="I29" s="40">
        <f>IFERROR(INDEX('Fund Research'!$L$6:$L$505,MATCH(24,'Fund Research'!$W$6:$W$505,0)),"")</f>
        <v/>
      </c>
      <c r="J29" s="37">
        <f>IFERROR(INDEX('Fund Research'!$N$6:$N$505,MATCH(24,'Fund Research'!$W$6:$W$505,0)),"")</f>
        <v/>
      </c>
      <c r="K29" s="37">
        <f>IFERROR(INDEX('Fund Research'!$P$6:$P$505,MATCH(24,'Fund Research'!$W$6:$W$505,0)),"")</f>
        <v/>
      </c>
      <c r="L29" s="35">
        <f>IFERROR(INDEX('Fund Research'!$S$6:$S$505,MATCH(24,'Fund Research'!$W$6:$W$505,0)),"")</f>
        <v/>
      </c>
      <c r="M29" s="35">
        <f>IFERROR(INDEX('Fund Research'!$T$6:$T$505,MATCH(24,'Fund Research'!$W$6:$W$505,0)),"")</f>
        <v/>
      </c>
    </row>
    <row r="30" ht="15" customHeight="1">
      <c r="A30" s="34">
        <f>IFERROR(IF(INDEX('Fund Research'!$B$6:$B$505,MATCH(25,'Fund Research'!$W$6:$W$505,0))="","",25),"")</f>
        <v/>
      </c>
      <c r="B30" s="35">
        <f>IFERROR(INDEX('Fund Research'!$A$6:$A$505,MATCH(25,'Fund Research'!$W$6:$W$505,0)),"")</f>
        <v/>
      </c>
      <c r="C30" s="35">
        <f>IFERROR(INDEX('Fund Research'!$B$6:$B$505,MATCH(25,'Fund Research'!$W$6:$W$505,0)),"")</f>
        <v/>
      </c>
      <c r="D30" s="35">
        <f>IFERROR(INDEX('Fund Research'!$C$6:$C$505,MATCH(25,'Fund Research'!$W$6:$W$505,0)),"")</f>
        <v/>
      </c>
      <c r="E30" s="36">
        <f>IFERROR(INDEX('Fund Research'!$G$6:$G$505,MATCH(25,'Fund Research'!$W$6:$W$505,0)),"")</f>
        <v/>
      </c>
      <c r="F30" s="36">
        <f>IFERROR(INDEX('Fund Research'!$H$6:$H$505,MATCH(25,'Fund Research'!$W$6:$W$505,0)),"")</f>
        <v/>
      </c>
      <c r="G30" s="36">
        <f>IFERROR(INDEX('Fund Research'!$I$6:$I$505,MATCH(25,'Fund Research'!$W$6:$W$505,0)),"")</f>
        <v/>
      </c>
      <c r="H30" s="37">
        <f>IFERROR(INDEX('Fund Research'!$J$6:$J$505,MATCH(25,'Fund Research'!$W$6:$W$505,0)),"")</f>
        <v/>
      </c>
      <c r="I30" s="40">
        <f>IFERROR(INDEX('Fund Research'!$L$6:$L$505,MATCH(25,'Fund Research'!$W$6:$W$505,0)),"")</f>
        <v/>
      </c>
      <c r="J30" s="37">
        <f>IFERROR(INDEX('Fund Research'!$N$6:$N$505,MATCH(25,'Fund Research'!$W$6:$W$505,0)),"")</f>
        <v/>
      </c>
      <c r="K30" s="37">
        <f>IFERROR(INDEX('Fund Research'!$P$6:$P$505,MATCH(25,'Fund Research'!$W$6:$W$505,0)),"")</f>
        <v/>
      </c>
      <c r="L30" s="35">
        <f>IFERROR(INDEX('Fund Research'!$S$6:$S$505,MATCH(25,'Fund Research'!$W$6:$W$505,0)),"")</f>
        <v/>
      </c>
      <c r="M30" s="35">
        <f>IFERROR(INDEX('Fund Research'!$T$6:$T$505,MATCH(25,'Fund Research'!$W$6:$W$505,0)),"")</f>
        <v/>
      </c>
    </row>
    <row r="31" ht="15" customHeight="1">
      <c r="A31" s="34">
        <f>IFERROR(IF(INDEX('Fund Research'!$B$6:$B$505,MATCH(26,'Fund Research'!$W$6:$W$505,0))="","",26),"")</f>
        <v/>
      </c>
      <c r="B31" s="35">
        <f>IFERROR(INDEX('Fund Research'!$A$6:$A$505,MATCH(26,'Fund Research'!$W$6:$W$505,0)),"")</f>
        <v/>
      </c>
      <c r="C31" s="35">
        <f>IFERROR(INDEX('Fund Research'!$B$6:$B$505,MATCH(26,'Fund Research'!$W$6:$W$505,0)),"")</f>
        <v/>
      </c>
      <c r="D31" s="35">
        <f>IFERROR(INDEX('Fund Research'!$C$6:$C$505,MATCH(26,'Fund Research'!$W$6:$W$505,0)),"")</f>
        <v/>
      </c>
      <c r="E31" s="36">
        <f>IFERROR(INDEX('Fund Research'!$G$6:$G$505,MATCH(26,'Fund Research'!$W$6:$W$505,0)),"")</f>
        <v/>
      </c>
      <c r="F31" s="36">
        <f>IFERROR(INDEX('Fund Research'!$H$6:$H$505,MATCH(26,'Fund Research'!$W$6:$W$505,0)),"")</f>
        <v/>
      </c>
      <c r="G31" s="36">
        <f>IFERROR(INDEX('Fund Research'!$I$6:$I$505,MATCH(26,'Fund Research'!$W$6:$W$505,0)),"")</f>
        <v/>
      </c>
      <c r="H31" s="37">
        <f>IFERROR(INDEX('Fund Research'!$J$6:$J$505,MATCH(26,'Fund Research'!$W$6:$W$505,0)),"")</f>
        <v/>
      </c>
      <c r="I31" s="40">
        <f>IFERROR(INDEX('Fund Research'!$L$6:$L$505,MATCH(26,'Fund Research'!$W$6:$W$505,0)),"")</f>
        <v/>
      </c>
      <c r="J31" s="37">
        <f>IFERROR(INDEX('Fund Research'!$N$6:$N$505,MATCH(26,'Fund Research'!$W$6:$W$505,0)),"")</f>
        <v/>
      </c>
      <c r="K31" s="37">
        <f>IFERROR(INDEX('Fund Research'!$P$6:$P$505,MATCH(26,'Fund Research'!$W$6:$W$505,0)),"")</f>
        <v/>
      </c>
      <c r="L31" s="35">
        <f>IFERROR(INDEX('Fund Research'!$S$6:$S$505,MATCH(26,'Fund Research'!$W$6:$W$505,0)),"")</f>
        <v/>
      </c>
      <c r="M31" s="35">
        <f>IFERROR(INDEX('Fund Research'!$T$6:$T$505,MATCH(26,'Fund Research'!$W$6:$W$505,0)),"")</f>
        <v/>
      </c>
    </row>
    <row r="32" ht="15" customHeight="1">
      <c r="A32" s="34">
        <f>IFERROR(IF(INDEX('Fund Research'!$B$6:$B$505,MATCH(27,'Fund Research'!$W$6:$W$505,0))="","",27),"")</f>
        <v/>
      </c>
      <c r="B32" s="35">
        <f>IFERROR(INDEX('Fund Research'!$A$6:$A$505,MATCH(27,'Fund Research'!$W$6:$W$505,0)),"")</f>
        <v/>
      </c>
      <c r="C32" s="35">
        <f>IFERROR(INDEX('Fund Research'!$B$6:$B$505,MATCH(27,'Fund Research'!$W$6:$W$505,0)),"")</f>
        <v/>
      </c>
      <c r="D32" s="35">
        <f>IFERROR(INDEX('Fund Research'!$C$6:$C$505,MATCH(27,'Fund Research'!$W$6:$W$505,0)),"")</f>
        <v/>
      </c>
      <c r="E32" s="36">
        <f>IFERROR(INDEX('Fund Research'!$G$6:$G$505,MATCH(27,'Fund Research'!$W$6:$W$505,0)),"")</f>
        <v/>
      </c>
      <c r="F32" s="36">
        <f>IFERROR(INDEX('Fund Research'!$H$6:$H$505,MATCH(27,'Fund Research'!$W$6:$W$505,0)),"")</f>
        <v/>
      </c>
      <c r="G32" s="36">
        <f>IFERROR(INDEX('Fund Research'!$I$6:$I$505,MATCH(27,'Fund Research'!$W$6:$W$505,0)),"")</f>
        <v/>
      </c>
      <c r="H32" s="37">
        <f>IFERROR(INDEX('Fund Research'!$J$6:$J$505,MATCH(27,'Fund Research'!$W$6:$W$505,0)),"")</f>
        <v/>
      </c>
      <c r="I32" s="40">
        <f>IFERROR(INDEX('Fund Research'!$L$6:$L$505,MATCH(27,'Fund Research'!$W$6:$W$505,0)),"")</f>
        <v/>
      </c>
      <c r="J32" s="37">
        <f>IFERROR(INDEX('Fund Research'!$N$6:$N$505,MATCH(27,'Fund Research'!$W$6:$W$505,0)),"")</f>
        <v/>
      </c>
      <c r="K32" s="37">
        <f>IFERROR(INDEX('Fund Research'!$P$6:$P$505,MATCH(27,'Fund Research'!$W$6:$W$505,0)),"")</f>
        <v/>
      </c>
      <c r="L32" s="35">
        <f>IFERROR(INDEX('Fund Research'!$S$6:$S$505,MATCH(27,'Fund Research'!$W$6:$W$505,0)),"")</f>
        <v/>
      </c>
      <c r="M32" s="35">
        <f>IFERROR(INDEX('Fund Research'!$T$6:$T$505,MATCH(27,'Fund Research'!$W$6:$W$505,0)),"")</f>
        <v/>
      </c>
    </row>
    <row r="33" ht="15" customHeight="1">
      <c r="A33" s="34">
        <f>IFERROR(IF(INDEX('Fund Research'!$B$6:$B$505,MATCH(28,'Fund Research'!$W$6:$W$505,0))="","",28),"")</f>
        <v/>
      </c>
      <c r="B33" s="35">
        <f>IFERROR(INDEX('Fund Research'!$A$6:$A$505,MATCH(28,'Fund Research'!$W$6:$W$505,0)),"")</f>
        <v/>
      </c>
      <c r="C33" s="35">
        <f>IFERROR(INDEX('Fund Research'!$B$6:$B$505,MATCH(28,'Fund Research'!$W$6:$W$505,0)),"")</f>
        <v/>
      </c>
      <c r="D33" s="35">
        <f>IFERROR(INDEX('Fund Research'!$C$6:$C$505,MATCH(28,'Fund Research'!$W$6:$W$505,0)),"")</f>
        <v/>
      </c>
      <c r="E33" s="36">
        <f>IFERROR(INDEX('Fund Research'!$G$6:$G$505,MATCH(28,'Fund Research'!$W$6:$W$505,0)),"")</f>
        <v/>
      </c>
      <c r="F33" s="36">
        <f>IFERROR(INDEX('Fund Research'!$H$6:$H$505,MATCH(28,'Fund Research'!$W$6:$W$505,0)),"")</f>
        <v/>
      </c>
      <c r="G33" s="36">
        <f>IFERROR(INDEX('Fund Research'!$I$6:$I$505,MATCH(28,'Fund Research'!$W$6:$W$505,0)),"")</f>
        <v/>
      </c>
      <c r="H33" s="37">
        <f>IFERROR(INDEX('Fund Research'!$J$6:$J$505,MATCH(28,'Fund Research'!$W$6:$W$505,0)),"")</f>
        <v/>
      </c>
      <c r="I33" s="40">
        <f>IFERROR(INDEX('Fund Research'!$L$6:$L$505,MATCH(28,'Fund Research'!$W$6:$W$505,0)),"")</f>
        <v/>
      </c>
      <c r="J33" s="37">
        <f>IFERROR(INDEX('Fund Research'!$N$6:$N$505,MATCH(28,'Fund Research'!$W$6:$W$505,0)),"")</f>
        <v/>
      </c>
      <c r="K33" s="37">
        <f>IFERROR(INDEX('Fund Research'!$P$6:$P$505,MATCH(28,'Fund Research'!$W$6:$W$505,0)),"")</f>
        <v/>
      </c>
      <c r="L33" s="35">
        <f>IFERROR(INDEX('Fund Research'!$S$6:$S$505,MATCH(28,'Fund Research'!$W$6:$W$505,0)),"")</f>
        <v/>
      </c>
      <c r="M33" s="35">
        <f>IFERROR(INDEX('Fund Research'!$T$6:$T$505,MATCH(28,'Fund Research'!$W$6:$W$505,0)),"")</f>
        <v/>
      </c>
    </row>
    <row r="34" ht="15" customHeight="1">
      <c r="A34" s="34">
        <f>IFERROR(IF(INDEX('Fund Research'!$B$6:$B$505,MATCH(29,'Fund Research'!$W$6:$W$505,0))="","",29),"")</f>
        <v/>
      </c>
      <c r="B34" s="35">
        <f>IFERROR(INDEX('Fund Research'!$A$6:$A$505,MATCH(29,'Fund Research'!$W$6:$W$505,0)),"")</f>
        <v/>
      </c>
      <c r="C34" s="35">
        <f>IFERROR(INDEX('Fund Research'!$B$6:$B$505,MATCH(29,'Fund Research'!$W$6:$W$505,0)),"")</f>
        <v/>
      </c>
      <c r="D34" s="35">
        <f>IFERROR(INDEX('Fund Research'!$C$6:$C$505,MATCH(29,'Fund Research'!$W$6:$W$505,0)),"")</f>
        <v/>
      </c>
      <c r="E34" s="36">
        <f>IFERROR(INDEX('Fund Research'!$G$6:$G$505,MATCH(29,'Fund Research'!$W$6:$W$505,0)),"")</f>
        <v/>
      </c>
      <c r="F34" s="36">
        <f>IFERROR(INDEX('Fund Research'!$H$6:$H$505,MATCH(29,'Fund Research'!$W$6:$W$505,0)),"")</f>
        <v/>
      </c>
      <c r="G34" s="36">
        <f>IFERROR(INDEX('Fund Research'!$I$6:$I$505,MATCH(29,'Fund Research'!$W$6:$W$505,0)),"")</f>
        <v/>
      </c>
      <c r="H34" s="37">
        <f>IFERROR(INDEX('Fund Research'!$J$6:$J$505,MATCH(29,'Fund Research'!$W$6:$W$505,0)),"")</f>
        <v/>
      </c>
      <c r="I34" s="40">
        <f>IFERROR(INDEX('Fund Research'!$L$6:$L$505,MATCH(29,'Fund Research'!$W$6:$W$505,0)),"")</f>
        <v/>
      </c>
      <c r="J34" s="37">
        <f>IFERROR(INDEX('Fund Research'!$N$6:$N$505,MATCH(29,'Fund Research'!$W$6:$W$505,0)),"")</f>
        <v/>
      </c>
      <c r="K34" s="37">
        <f>IFERROR(INDEX('Fund Research'!$P$6:$P$505,MATCH(29,'Fund Research'!$W$6:$W$505,0)),"")</f>
        <v/>
      </c>
      <c r="L34" s="35">
        <f>IFERROR(INDEX('Fund Research'!$S$6:$S$505,MATCH(29,'Fund Research'!$W$6:$W$505,0)),"")</f>
        <v/>
      </c>
      <c r="M34" s="35">
        <f>IFERROR(INDEX('Fund Research'!$T$6:$T$505,MATCH(29,'Fund Research'!$W$6:$W$505,0)),"")</f>
        <v/>
      </c>
    </row>
    <row r="35" ht="15" customHeight="1">
      <c r="A35" s="34">
        <f>IFERROR(IF(INDEX('Fund Research'!$B$6:$B$505,MATCH(30,'Fund Research'!$W$6:$W$505,0))="","",30),"")</f>
        <v/>
      </c>
      <c r="B35" s="35">
        <f>IFERROR(INDEX('Fund Research'!$A$6:$A$505,MATCH(30,'Fund Research'!$W$6:$W$505,0)),"")</f>
        <v/>
      </c>
      <c r="C35" s="35">
        <f>IFERROR(INDEX('Fund Research'!$B$6:$B$505,MATCH(30,'Fund Research'!$W$6:$W$505,0)),"")</f>
        <v/>
      </c>
      <c r="D35" s="35">
        <f>IFERROR(INDEX('Fund Research'!$C$6:$C$505,MATCH(30,'Fund Research'!$W$6:$W$505,0)),"")</f>
        <v/>
      </c>
      <c r="E35" s="36">
        <f>IFERROR(INDEX('Fund Research'!$G$6:$G$505,MATCH(30,'Fund Research'!$W$6:$W$505,0)),"")</f>
        <v/>
      </c>
      <c r="F35" s="36">
        <f>IFERROR(INDEX('Fund Research'!$H$6:$H$505,MATCH(30,'Fund Research'!$W$6:$W$505,0)),"")</f>
        <v/>
      </c>
      <c r="G35" s="36">
        <f>IFERROR(INDEX('Fund Research'!$I$6:$I$505,MATCH(30,'Fund Research'!$W$6:$W$505,0)),"")</f>
        <v/>
      </c>
      <c r="H35" s="37">
        <f>IFERROR(INDEX('Fund Research'!$J$6:$J$505,MATCH(30,'Fund Research'!$W$6:$W$505,0)),"")</f>
        <v/>
      </c>
      <c r="I35" s="40">
        <f>IFERROR(INDEX('Fund Research'!$L$6:$L$505,MATCH(30,'Fund Research'!$W$6:$W$505,0)),"")</f>
        <v/>
      </c>
      <c r="J35" s="37">
        <f>IFERROR(INDEX('Fund Research'!$N$6:$N$505,MATCH(30,'Fund Research'!$W$6:$W$505,0)),"")</f>
        <v/>
      </c>
      <c r="K35" s="37">
        <f>IFERROR(INDEX('Fund Research'!$P$6:$P$505,MATCH(30,'Fund Research'!$W$6:$W$505,0)),"")</f>
        <v/>
      </c>
      <c r="L35" s="35">
        <f>IFERROR(INDEX('Fund Research'!$S$6:$S$505,MATCH(30,'Fund Research'!$W$6:$W$505,0)),"")</f>
        <v/>
      </c>
      <c r="M35" s="35">
        <f>IFERROR(INDEX('Fund Research'!$T$6:$T$505,MATCH(30,'Fund Research'!$W$6:$W$505,0)),"")</f>
        <v/>
      </c>
    </row>
    <row r="36" ht="15" customHeight="1">
      <c r="A36" s="34">
        <f>IFERROR(IF(INDEX('Fund Research'!$B$6:$B$505,MATCH(31,'Fund Research'!$W$6:$W$505,0))="","",31),"")</f>
        <v/>
      </c>
      <c r="B36" s="35">
        <f>IFERROR(INDEX('Fund Research'!$A$6:$A$505,MATCH(31,'Fund Research'!$W$6:$W$505,0)),"")</f>
        <v/>
      </c>
      <c r="C36" s="35">
        <f>IFERROR(INDEX('Fund Research'!$B$6:$B$505,MATCH(31,'Fund Research'!$W$6:$W$505,0)),"")</f>
        <v/>
      </c>
      <c r="D36" s="35">
        <f>IFERROR(INDEX('Fund Research'!$C$6:$C$505,MATCH(31,'Fund Research'!$W$6:$W$505,0)),"")</f>
        <v/>
      </c>
      <c r="E36" s="36">
        <f>IFERROR(INDEX('Fund Research'!$G$6:$G$505,MATCH(31,'Fund Research'!$W$6:$W$505,0)),"")</f>
        <v/>
      </c>
      <c r="F36" s="36">
        <f>IFERROR(INDEX('Fund Research'!$H$6:$H$505,MATCH(31,'Fund Research'!$W$6:$W$505,0)),"")</f>
        <v/>
      </c>
      <c r="G36" s="36">
        <f>IFERROR(INDEX('Fund Research'!$I$6:$I$505,MATCH(31,'Fund Research'!$W$6:$W$505,0)),"")</f>
        <v/>
      </c>
      <c r="H36" s="37">
        <f>IFERROR(INDEX('Fund Research'!$J$6:$J$505,MATCH(31,'Fund Research'!$W$6:$W$505,0)),"")</f>
        <v/>
      </c>
      <c r="I36" s="40">
        <f>IFERROR(INDEX('Fund Research'!$L$6:$L$505,MATCH(31,'Fund Research'!$W$6:$W$505,0)),"")</f>
        <v/>
      </c>
      <c r="J36" s="37">
        <f>IFERROR(INDEX('Fund Research'!$N$6:$N$505,MATCH(31,'Fund Research'!$W$6:$W$505,0)),"")</f>
        <v/>
      </c>
      <c r="K36" s="37">
        <f>IFERROR(INDEX('Fund Research'!$P$6:$P$505,MATCH(31,'Fund Research'!$W$6:$W$505,0)),"")</f>
        <v/>
      </c>
      <c r="L36" s="35">
        <f>IFERROR(INDEX('Fund Research'!$S$6:$S$505,MATCH(31,'Fund Research'!$W$6:$W$505,0)),"")</f>
        <v/>
      </c>
      <c r="M36" s="35">
        <f>IFERROR(INDEX('Fund Research'!$T$6:$T$505,MATCH(31,'Fund Research'!$W$6:$W$505,0)),"")</f>
        <v/>
      </c>
    </row>
    <row r="37" ht="15" customHeight="1">
      <c r="A37" s="34">
        <f>IFERROR(IF(INDEX('Fund Research'!$B$6:$B$505,MATCH(32,'Fund Research'!$W$6:$W$505,0))="","",32),"")</f>
        <v/>
      </c>
      <c r="B37" s="35">
        <f>IFERROR(INDEX('Fund Research'!$A$6:$A$505,MATCH(32,'Fund Research'!$W$6:$W$505,0)),"")</f>
        <v/>
      </c>
      <c r="C37" s="35">
        <f>IFERROR(INDEX('Fund Research'!$B$6:$B$505,MATCH(32,'Fund Research'!$W$6:$W$505,0)),"")</f>
        <v/>
      </c>
      <c r="D37" s="35">
        <f>IFERROR(INDEX('Fund Research'!$C$6:$C$505,MATCH(32,'Fund Research'!$W$6:$W$505,0)),"")</f>
        <v/>
      </c>
      <c r="E37" s="36">
        <f>IFERROR(INDEX('Fund Research'!$G$6:$G$505,MATCH(32,'Fund Research'!$W$6:$W$505,0)),"")</f>
        <v/>
      </c>
      <c r="F37" s="36">
        <f>IFERROR(INDEX('Fund Research'!$H$6:$H$505,MATCH(32,'Fund Research'!$W$6:$W$505,0)),"")</f>
        <v/>
      </c>
      <c r="G37" s="36">
        <f>IFERROR(INDEX('Fund Research'!$I$6:$I$505,MATCH(32,'Fund Research'!$W$6:$W$505,0)),"")</f>
        <v/>
      </c>
      <c r="H37" s="37">
        <f>IFERROR(INDEX('Fund Research'!$J$6:$J$505,MATCH(32,'Fund Research'!$W$6:$W$505,0)),"")</f>
        <v/>
      </c>
      <c r="I37" s="40">
        <f>IFERROR(INDEX('Fund Research'!$L$6:$L$505,MATCH(32,'Fund Research'!$W$6:$W$505,0)),"")</f>
        <v/>
      </c>
      <c r="J37" s="37">
        <f>IFERROR(INDEX('Fund Research'!$N$6:$N$505,MATCH(32,'Fund Research'!$W$6:$W$505,0)),"")</f>
        <v/>
      </c>
      <c r="K37" s="37">
        <f>IFERROR(INDEX('Fund Research'!$P$6:$P$505,MATCH(32,'Fund Research'!$W$6:$W$505,0)),"")</f>
        <v/>
      </c>
      <c r="L37" s="35">
        <f>IFERROR(INDEX('Fund Research'!$S$6:$S$505,MATCH(32,'Fund Research'!$W$6:$W$505,0)),"")</f>
        <v/>
      </c>
      <c r="M37" s="35">
        <f>IFERROR(INDEX('Fund Research'!$T$6:$T$505,MATCH(32,'Fund Research'!$W$6:$W$505,0)),"")</f>
        <v/>
      </c>
    </row>
    <row r="38" ht="15" customHeight="1">
      <c r="A38" s="34">
        <f>IFERROR(IF(INDEX('Fund Research'!$B$6:$B$505,MATCH(33,'Fund Research'!$W$6:$W$505,0))="","",33),"")</f>
        <v/>
      </c>
      <c r="B38" s="35">
        <f>IFERROR(INDEX('Fund Research'!$A$6:$A$505,MATCH(33,'Fund Research'!$W$6:$W$505,0)),"")</f>
        <v/>
      </c>
      <c r="C38" s="35">
        <f>IFERROR(INDEX('Fund Research'!$B$6:$B$505,MATCH(33,'Fund Research'!$W$6:$W$505,0)),"")</f>
        <v/>
      </c>
      <c r="D38" s="35">
        <f>IFERROR(INDEX('Fund Research'!$C$6:$C$505,MATCH(33,'Fund Research'!$W$6:$W$505,0)),"")</f>
        <v/>
      </c>
      <c r="E38" s="36">
        <f>IFERROR(INDEX('Fund Research'!$G$6:$G$505,MATCH(33,'Fund Research'!$W$6:$W$505,0)),"")</f>
        <v/>
      </c>
      <c r="F38" s="36">
        <f>IFERROR(INDEX('Fund Research'!$H$6:$H$505,MATCH(33,'Fund Research'!$W$6:$W$505,0)),"")</f>
        <v/>
      </c>
      <c r="G38" s="36">
        <f>IFERROR(INDEX('Fund Research'!$I$6:$I$505,MATCH(33,'Fund Research'!$W$6:$W$505,0)),"")</f>
        <v/>
      </c>
      <c r="H38" s="37">
        <f>IFERROR(INDEX('Fund Research'!$J$6:$J$505,MATCH(33,'Fund Research'!$W$6:$W$505,0)),"")</f>
        <v/>
      </c>
      <c r="I38" s="40">
        <f>IFERROR(INDEX('Fund Research'!$L$6:$L$505,MATCH(33,'Fund Research'!$W$6:$W$505,0)),"")</f>
        <v/>
      </c>
      <c r="J38" s="37">
        <f>IFERROR(INDEX('Fund Research'!$N$6:$N$505,MATCH(33,'Fund Research'!$W$6:$W$505,0)),"")</f>
        <v/>
      </c>
      <c r="K38" s="37">
        <f>IFERROR(INDEX('Fund Research'!$P$6:$P$505,MATCH(33,'Fund Research'!$W$6:$W$505,0)),"")</f>
        <v/>
      </c>
      <c r="L38" s="35">
        <f>IFERROR(INDEX('Fund Research'!$S$6:$S$505,MATCH(33,'Fund Research'!$W$6:$W$505,0)),"")</f>
        <v/>
      </c>
      <c r="M38" s="35">
        <f>IFERROR(INDEX('Fund Research'!$T$6:$T$505,MATCH(33,'Fund Research'!$W$6:$W$505,0)),"")</f>
        <v/>
      </c>
    </row>
    <row r="39" ht="15" customHeight="1">
      <c r="A39" s="34">
        <f>IFERROR(IF(INDEX('Fund Research'!$B$6:$B$505,MATCH(34,'Fund Research'!$W$6:$W$505,0))="","",34),"")</f>
        <v/>
      </c>
      <c r="B39" s="35">
        <f>IFERROR(INDEX('Fund Research'!$A$6:$A$505,MATCH(34,'Fund Research'!$W$6:$W$505,0)),"")</f>
        <v/>
      </c>
      <c r="C39" s="35">
        <f>IFERROR(INDEX('Fund Research'!$B$6:$B$505,MATCH(34,'Fund Research'!$W$6:$W$505,0)),"")</f>
        <v/>
      </c>
      <c r="D39" s="35">
        <f>IFERROR(INDEX('Fund Research'!$C$6:$C$505,MATCH(34,'Fund Research'!$W$6:$W$505,0)),"")</f>
        <v/>
      </c>
      <c r="E39" s="36">
        <f>IFERROR(INDEX('Fund Research'!$G$6:$G$505,MATCH(34,'Fund Research'!$W$6:$W$505,0)),"")</f>
        <v/>
      </c>
      <c r="F39" s="36">
        <f>IFERROR(INDEX('Fund Research'!$H$6:$H$505,MATCH(34,'Fund Research'!$W$6:$W$505,0)),"")</f>
        <v/>
      </c>
      <c r="G39" s="36">
        <f>IFERROR(INDEX('Fund Research'!$I$6:$I$505,MATCH(34,'Fund Research'!$W$6:$W$505,0)),"")</f>
        <v/>
      </c>
      <c r="H39" s="37">
        <f>IFERROR(INDEX('Fund Research'!$J$6:$J$505,MATCH(34,'Fund Research'!$W$6:$W$505,0)),"")</f>
        <v/>
      </c>
      <c r="I39" s="40">
        <f>IFERROR(INDEX('Fund Research'!$L$6:$L$505,MATCH(34,'Fund Research'!$W$6:$W$505,0)),"")</f>
        <v/>
      </c>
      <c r="J39" s="37">
        <f>IFERROR(INDEX('Fund Research'!$N$6:$N$505,MATCH(34,'Fund Research'!$W$6:$W$505,0)),"")</f>
        <v/>
      </c>
      <c r="K39" s="37">
        <f>IFERROR(INDEX('Fund Research'!$P$6:$P$505,MATCH(34,'Fund Research'!$W$6:$W$505,0)),"")</f>
        <v/>
      </c>
      <c r="L39" s="35">
        <f>IFERROR(INDEX('Fund Research'!$S$6:$S$505,MATCH(34,'Fund Research'!$W$6:$W$505,0)),"")</f>
        <v/>
      </c>
      <c r="M39" s="35">
        <f>IFERROR(INDEX('Fund Research'!$T$6:$T$505,MATCH(34,'Fund Research'!$W$6:$W$505,0)),"")</f>
        <v/>
      </c>
    </row>
    <row r="40" ht="15" customHeight="1">
      <c r="A40" s="34">
        <f>IFERROR(IF(INDEX('Fund Research'!$B$6:$B$505,MATCH(35,'Fund Research'!$W$6:$W$505,0))="","",35),"")</f>
        <v/>
      </c>
      <c r="B40" s="35">
        <f>IFERROR(INDEX('Fund Research'!$A$6:$A$505,MATCH(35,'Fund Research'!$W$6:$W$505,0)),"")</f>
        <v/>
      </c>
      <c r="C40" s="35">
        <f>IFERROR(INDEX('Fund Research'!$B$6:$B$505,MATCH(35,'Fund Research'!$W$6:$W$505,0)),"")</f>
        <v/>
      </c>
      <c r="D40" s="35">
        <f>IFERROR(INDEX('Fund Research'!$C$6:$C$505,MATCH(35,'Fund Research'!$W$6:$W$505,0)),"")</f>
        <v/>
      </c>
      <c r="E40" s="36">
        <f>IFERROR(INDEX('Fund Research'!$G$6:$G$505,MATCH(35,'Fund Research'!$W$6:$W$505,0)),"")</f>
        <v/>
      </c>
      <c r="F40" s="36">
        <f>IFERROR(INDEX('Fund Research'!$H$6:$H$505,MATCH(35,'Fund Research'!$W$6:$W$505,0)),"")</f>
        <v/>
      </c>
      <c r="G40" s="36">
        <f>IFERROR(INDEX('Fund Research'!$I$6:$I$505,MATCH(35,'Fund Research'!$W$6:$W$505,0)),"")</f>
        <v/>
      </c>
      <c r="H40" s="37">
        <f>IFERROR(INDEX('Fund Research'!$J$6:$J$505,MATCH(35,'Fund Research'!$W$6:$W$505,0)),"")</f>
        <v/>
      </c>
      <c r="I40" s="40">
        <f>IFERROR(INDEX('Fund Research'!$L$6:$L$505,MATCH(35,'Fund Research'!$W$6:$W$505,0)),"")</f>
        <v/>
      </c>
      <c r="J40" s="37">
        <f>IFERROR(INDEX('Fund Research'!$N$6:$N$505,MATCH(35,'Fund Research'!$W$6:$W$505,0)),"")</f>
        <v/>
      </c>
      <c r="K40" s="37">
        <f>IFERROR(INDEX('Fund Research'!$P$6:$P$505,MATCH(35,'Fund Research'!$W$6:$W$505,0)),"")</f>
        <v/>
      </c>
      <c r="L40" s="35">
        <f>IFERROR(INDEX('Fund Research'!$S$6:$S$505,MATCH(35,'Fund Research'!$W$6:$W$505,0)),"")</f>
        <v/>
      </c>
      <c r="M40" s="35">
        <f>IFERROR(INDEX('Fund Research'!$T$6:$T$505,MATCH(35,'Fund Research'!$W$6:$W$505,0)),"")</f>
        <v/>
      </c>
    </row>
    <row r="41" ht="15" customHeight="1">
      <c r="A41" s="34">
        <f>IFERROR(IF(INDEX('Fund Research'!$B$6:$B$505,MATCH(36,'Fund Research'!$W$6:$W$505,0))="","",36),"")</f>
        <v/>
      </c>
      <c r="B41" s="35">
        <f>IFERROR(INDEX('Fund Research'!$A$6:$A$505,MATCH(36,'Fund Research'!$W$6:$W$505,0)),"")</f>
        <v/>
      </c>
      <c r="C41" s="35">
        <f>IFERROR(INDEX('Fund Research'!$B$6:$B$505,MATCH(36,'Fund Research'!$W$6:$W$505,0)),"")</f>
        <v/>
      </c>
      <c r="D41" s="35">
        <f>IFERROR(INDEX('Fund Research'!$C$6:$C$505,MATCH(36,'Fund Research'!$W$6:$W$505,0)),"")</f>
        <v/>
      </c>
      <c r="E41" s="36">
        <f>IFERROR(INDEX('Fund Research'!$G$6:$G$505,MATCH(36,'Fund Research'!$W$6:$W$505,0)),"")</f>
        <v/>
      </c>
      <c r="F41" s="36">
        <f>IFERROR(INDEX('Fund Research'!$H$6:$H$505,MATCH(36,'Fund Research'!$W$6:$W$505,0)),"")</f>
        <v/>
      </c>
      <c r="G41" s="36">
        <f>IFERROR(INDEX('Fund Research'!$I$6:$I$505,MATCH(36,'Fund Research'!$W$6:$W$505,0)),"")</f>
        <v/>
      </c>
      <c r="H41" s="37">
        <f>IFERROR(INDEX('Fund Research'!$J$6:$J$505,MATCH(36,'Fund Research'!$W$6:$W$505,0)),"")</f>
        <v/>
      </c>
      <c r="I41" s="40">
        <f>IFERROR(INDEX('Fund Research'!$L$6:$L$505,MATCH(36,'Fund Research'!$W$6:$W$505,0)),"")</f>
        <v/>
      </c>
      <c r="J41" s="37">
        <f>IFERROR(INDEX('Fund Research'!$N$6:$N$505,MATCH(36,'Fund Research'!$W$6:$W$505,0)),"")</f>
        <v/>
      </c>
      <c r="K41" s="37">
        <f>IFERROR(INDEX('Fund Research'!$P$6:$P$505,MATCH(36,'Fund Research'!$W$6:$W$505,0)),"")</f>
        <v/>
      </c>
      <c r="L41" s="35">
        <f>IFERROR(INDEX('Fund Research'!$S$6:$S$505,MATCH(36,'Fund Research'!$W$6:$W$505,0)),"")</f>
        <v/>
      </c>
      <c r="M41" s="35">
        <f>IFERROR(INDEX('Fund Research'!$T$6:$T$505,MATCH(36,'Fund Research'!$W$6:$W$505,0)),"")</f>
        <v/>
      </c>
    </row>
    <row r="42" ht="15" customHeight="1">
      <c r="A42" s="34">
        <f>IFERROR(IF(INDEX('Fund Research'!$B$6:$B$505,MATCH(37,'Fund Research'!$W$6:$W$505,0))="","",37),"")</f>
        <v/>
      </c>
      <c r="B42" s="35">
        <f>IFERROR(INDEX('Fund Research'!$A$6:$A$505,MATCH(37,'Fund Research'!$W$6:$W$505,0)),"")</f>
        <v/>
      </c>
      <c r="C42" s="35">
        <f>IFERROR(INDEX('Fund Research'!$B$6:$B$505,MATCH(37,'Fund Research'!$W$6:$W$505,0)),"")</f>
        <v/>
      </c>
      <c r="D42" s="35">
        <f>IFERROR(INDEX('Fund Research'!$C$6:$C$505,MATCH(37,'Fund Research'!$W$6:$W$505,0)),"")</f>
        <v/>
      </c>
      <c r="E42" s="36">
        <f>IFERROR(INDEX('Fund Research'!$G$6:$G$505,MATCH(37,'Fund Research'!$W$6:$W$505,0)),"")</f>
        <v/>
      </c>
      <c r="F42" s="36">
        <f>IFERROR(INDEX('Fund Research'!$H$6:$H$505,MATCH(37,'Fund Research'!$W$6:$W$505,0)),"")</f>
        <v/>
      </c>
      <c r="G42" s="36">
        <f>IFERROR(INDEX('Fund Research'!$I$6:$I$505,MATCH(37,'Fund Research'!$W$6:$W$505,0)),"")</f>
        <v/>
      </c>
      <c r="H42" s="37">
        <f>IFERROR(INDEX('Fund Research'!$J$6:$J$505,MATCH(37,'Fund Research'!$W$6:$W$505,0)),"")</f>
        <v/>
      </c>
      <c r="I42" s="40">
        <f>IFERROR(INDEX('Fund Research'!$L$6:$L$505,MATCH(37,'Fund Research'!$W$6:$W$505,0)),"")</f>
        <v/>
      </c>
      <c r="J42" s="37">
        <f>IFERROR(INDEX('Fund Research'!$N$6:$N$505,MATCH(37,'Fund Research'!$W$6:$W$505,0)),"")</f>
        <v/>
      </c>
      <c r="K42" s="37">
        <f>IFERROR(INDEX('Fund Research'!$P$6:$P$505,MATCH(37,'Fund Research'!$W$6:$W$505,0)),"")</f>
        <v/>
      </c>
      <c r="L42" s="35">
        <f>IFERROR(INDEX('Fund Research'!$S$6:$S$505,MATCH(37,'Fund Research'!$W$6:$W$505,0)),"")</f>
        <v/>
      </c>
      <c r="M42" s="35">
        <f>IFERROR(INDEX('Fund Research'!$T$6:$T$505,MATCH(37,'Fund Research'!$W$6:$W$505,0)),"")</f>
        <v/>
      </c>
    </row>
    <row r="43" ht="15" customHeight="1">
      <c r="A43" s="34">
        <f>IFERROR(IF(INDEX('Fund Research'!$B$6:$B$505,MATCH(38,'Fund Research'!$W$6:$W$505,0))="","",38),"")</f>
        <v/>
      </c>
      <c r="B43" s="35">
        <f>IFERROR(INDEX('Fund Research'!$A$6:$A$505,MATCH(38,'Fund Research'!$W$6:$W$505,0)),"")</f>
        <v/>
      </c>
      <c r="C43" s="35">
        <f>IFERROR(INDEX('Fund Research'!$B$6:$B$505,MATCH(38,'Fund Research'!$W$6:$W$505,0)),"")</f>
        <v/>
      </c>
      <c r="D43" s="35">
        <f>IFERROR(INDEX('Fund Research'!$C$6:$C$505,MATCH(38,'Fund Research'!$W$6:$W$505,0)),"")</f>
        <v/>
      </c>
      <c r="E43" s="36">
        <f>IFERROR(INDEX('Fund Research'!$G$6:$G$505,MATCH(38,'Fund Research'!$W$6:$W$505,0)),"")</f>
        <v/>
      </c>
      <c r="F43" s="36">
        <f>IFERROR(INDEX('Fund Research'!$H$6:$H$505,MATCH(38,'Fund Research'!$W$6:$W$505,0)),"")</f>
        <v/>
      </c>
      <c r="G43" s="36">
        <f>IFERROR(INDEX('Fund Research'!$I$6:$I$505,MATCH(38,'Fund Research'!$W$6:$W$505,0)),"")</f>
        <v/>
      </c>
      <c r="H43" s="37">
        <f>IFERROR(INDEX('Fund Research'!$J$6:$J$505,MATCH(38,'Fund Research'!$W$6:$W$505,0)),"")</f>
        <v/>
      </c>
      <c r="I43" s="40">
        <f>IFERROR(INDEX('Fund Research'!$L$6:$L$505,MATCH(38,'Fund Research'!$W$6:$W$505,0)),"")</f>
        <v/>
      </c>
      <c r="J43" s="37">
        <f>IFERROR(INDEX('Fund Research'!$N$6:$N$505,MATCH(38,'Fund Research'!$W$6:$W$505,0)),"")</f>
        <v/>
      </c>
      <c r="K43" s="37">
        <f>IFERROR(INDEX('Fund Research'!$P$6:$P$505,MATCH(38,'Fund Research'!$W$6:$W$505,0)),"")</f>
        <v/>
      </c>
      <c r="L43" s="35">
        <f>IFERROR(INDEX('Fund Research'!$S$6:$S$505,MATCH(38,'Fund Research'!$W$6:$W$505,0)),"")</f>
        <v/>
      </c>
      <c r="M43" s="35">
        <f>IFERROR(INDEX('Fund Research'!$T$6:$T$505,MATCH(38,'Fund Research'!$W$6:$W$505,0)),"")</f>
        <v/>
      </c>
    </row>
    <row r="44" ht="15" customHeight="1">
      <c r="A44" s="34">
        <f>IFERROR(IF(INDEX('Fund Research'!$B$6:$B$505,MATCH(39,'Fund Research'!$W$6:$W$505,0))="","",39),"")</f>
        <v/>
      </c>
      <c r="B44" s="35">
        <f>IFERROR(INDEX('Fund Research'!$A$6:$A$505,MATCH(39,'Fund Research'!$W$6:$W$505,0)),"")</f>
        <v/>
      </c>
      <c r="C44" s="35">
        <f>IFERROR(INDEX('Fund Research'!$B$6:$B$505,MATCH(39,'Fund Research'!$W$6:$W$505,0)),"")</f>
        <v/>
      </c>
      <c r="D44" s="35">
        <f>IFERROR(INDEX('Fund Research'!$C$6:$C$505,MATCH(39,'Fund Research'!$W$6:$W$505,0)),"")</f>
        <v/>
      </c>
      <c r="E44" s="36">
        <f>IFERROR(INDEX('Fund Research'!$G$6:$G$505,MATCH(39,'Fund Research'!$W$6:$W$505,0)),"")</f>
        <v/>
      </c>
      <c r="F44" s="36">
        <f>IFERROR(INDEX('Fund Research'!$H$6:$H$505,MATCH(39,'Fund Research'!$W$6:$W$505,0)),"")</f>
        <v/>
      </c>
      <c r="G44" s="36">
        <f>IFERROR(INDEX('Fund Research'!$I$6:$I$505,MATCH(39,'Fund Research'!$W$6:$W$505,0)),"")</f>
        <v/>
      </c>
      <c r="H44" s="37">
        <f>IFERROR(INDEX('Fund Research'!$J$6:$J$505,MATCH(39,'Fund Research'!$W$6:$W$505,0)),"")</f>
        <v/>
      </c>
      <c r="I44" s="40">
        <f>IFERROR(INDEX('Fund Research'!$L$6:$L$505,MATCH(39,'Fund Research'!$W$6:$W$505,0)),"")</f>
        <v/>
      </c>
      <c r="J44" s="37">
        <f>IFERROR(INDEX('Fund Research'!$N$6:$N$505,MATCH(39,'Fund Research'!$W$6:$W$505,0)),"")</f>
        <v/>
      </c>
      <c r="K44" s="37">
        <f>IFERROR(INDEX('Fund Research'!$P$6:$P$505,MATCH(39,'Fund Research'!$W$6:$W$505,0)),"")</f>
        <v/>
      </c>
      <c r="L44" s="35">
        <f>IFERROR(INDEX('Fund Research'!$S$6:$S$505,MATCH(39,'Fund Research'!$W$6:$W$505,0)),"")</f>
        <v/>
      </c>
      <c r="M44" s="35">
        <f>IFERROR(INDEX('Fund Research'!$T$6:$T$505,MATCH(39,'Fund Research'!$W$6:$W$505,0)),"")</f>
        <v/>
      </c>
    </row>
    <row r="45" ht="15" customHeight="1">
      <c r="A45" s="34">
        <f>IFERROR(IF(INDEX('Fund Research'!$B$6:$B$505,MATCH(40,'Fund Research'!$W$6:$W$505,0))="","",40),"")</f>
        <v/>
      </c>
      <c r="B45" s="35">
        <f>IFERROR(INDEX('Fund Research'!$A$6:$A$505,MATCH(40,'Fund Research'!$W$6:$W$505,0)),"")</f>
        <v/>
      </c>
      <c r="C45" s="35">
        <f>IFERROR(INDEX('Fund Research'!$B$6:$B$505,MATCH(40,'Fund Research'!$W$6:$W$505,0)),"")</f>
        <v/>
      </c>
      <c r="D45" s="35">
        <f>IFERROR(INDEX('Fund Research'!$C$6:$C$505,MATCH(40,'Fund Research'!$W$6:$W$505,0)),"")</f>
        <v/>
      </c>
      <c r="E45" s="36">
        <f>IFERROR(INDEX('Fund Research'!$G$6:$G$505,MATCH(40,'Fund Research'!$W$6:$W$505,0)),"")</f>
        <v/>
      </c>
      <c r="F45" s="36">
        <f>IFERROR(INDEX('Fund Research'!$H$6:$H$505,MATCH(40,'Fund Research'!$W$6:$W$505,0)),"")</f>
        <v/>
      </c>
      <c r="G45" s="36">
        <f>IFERROR(INDEX('Fund Research'!$I$6:$I$505,MATCH(40,'Fund Research'!$W$6:$W$505,0)),"")</f>
        <v/>
      </c>
      <c r="H45" s="37">
        <f>IFERROR(INDEX('Fund Research'!$J$6:$J$505,MATCH(40,'Fund Research'!$W$6:$W$505,0)),"")</f>
        <v/>
      </c>
      <c r="I45" s="40">
        <f>IFERROR(INDEX('Fund Research'!$L$6:$L$505,MATCH(40,'Fund Research'!$W$6:$W$505,0)),"")</f>
        <v/>
      </c>
      <c r="J45" s="37">
        <f>IFERROR(INDEX('Fund Research'!$N$6:$N$505,MATCH(40,'Fund Research'!$W$6:$W$505,0)),"")</f>
        <v/>
      </c>
      <c r="K45" s="37">
        <f>IFERROR(INDEX('Fund Research'!$P$6:$P$505,MATCH(40,'Fund Research'!$W$6:$W$505,0)),"")</f>
        <v/>
      </c>
      <c r="L45" s="35">
        <f>IFERROR(INDEX('Fund Research'!$S$6:$S$505,MATCH(40,'Fund Research'!$W$6:$W$505,0)),"")</f>
        <v/>
      </c>
      <c r="M45" s="35">
        <f>IFERROR(INDEX('Fund Research'!$T$6:$T$505,MATCH(40,'Fund Research'!$W$6:$W$505,0)),"")</f>
        <v/>
      </c>
    </row>
    <row r="46" ht="15" customHeight="1">
      <c r="A46" s="34">
        <f>IFERROR(IF(INDEX('Fund Research'!$B$6:$B$505,MATCH(41,'Fund Research'!$W$6:$W$505,0))="","",41),"")</f>
        <v/>
      </c>
      <c r="B46" s="35">
        <f>IFERROR(INDEX('Fund Research'!$A$6:$A$505,MATCH(41,'Fund Research'!$W$6:$W$505,0)),"")</f>
        <v/>
      </c>
      <c r="C46" s="35">
        <f>IFERROR(INDEX('Fund Research'!$B$6:$B$505,MATCH(41,'Fund Research'!$W$6:$W$505,0)),"")</f>
        <v/>
      </c>
      <c r="D46" s="35">
        <f>IFERROR(INDEX('Fund Research'!$C$6:$C$505,MATCH(41,'Fund Research'!$W$6:$W$505,0)),"")</f>
        <v/>
      </c>
      <c r="E46" s="36">
        <f>IFERROR(INDEX('Fund Research'!$G$6:$G$505,MATCH(41,'Fund Research'!$W$6:$W$505,0)),"")</f>
        <v/>
      </c>
      <c r="F46" s="36">
        <f>IFERROR(INDEX('Fund Research'!$H$6:$H$505,MATCH(41,'Fund Research'!$W$6:$W$505,0)),"")</f>
        <v/>
      </c>
      <c r="G46" s="36">
        <f>IFERROR(INDEX('Fund Research'!$I$6:$I$505,MATCH(41,'Fund Research'!$W$6:$W$505,0)),"")</f>
        <v/>
      </c>
      <c r="H46" s="37">
        <f>IFERROR(INDEX('Fund Research'!$J$6:$J$505,MATCH(41,'Fund Research'!$W$6:$W$505,0)),"")</f>
        <v/>
      </c>
      <c r="I46" s="40">
        <f>IFERROR(INDEX('Fund Research'!$L$6:$L$505,MATCH(41,'Fund Research'!$W$6:$W$505,0)),"")</f>
        <v/>
      </c>
      <c r="J46" s="37">
        <f>IFERROR(INDEX('Fund Research'!$N$6:$N$505,MATCH(41,'Fund Research'!$W$6:$W$505,0)),"")</f>
        <v/>
      </c>
      <c r="K46" s="37">
        <f>IFERROR(INDEX('Fund Research'!$P$6:$P$505,MATCH(41,'Fund Research'!$W$6:$W$505,0)),"")</f>
        <v/>
      </c>
      <c r="L46" s="35">
        <f>IFERROR(INDEX('Fund Research'!$S$6:$S$505,MATCH(41,'Fund Research'!$W$6:$W$505,0)),"")</f>
        <v/>
      </c>
      <c r="M46" s="35">
        <f>IFERROR(INDEX('Fund Research'!$T$6:$T$505,MATCH(41,'Fund Research'!$W$6:$W$505,0)),"")</f>
        <v/>
      </c>
    </row>
    <row r="47" ht="15" customHeight="1">
      <c r="A47" s="34">
        <f>IFERROR(IF(INDEX('Fund Research'!$B$6:$B$505,MATCH(42,'Fund Research'!$W$6:$W$505,0))="","",42),"")</f>
        <v/>
      </c>
      <c r="B47" s="35">
        <f>IFERROR(INDEX('Fund Research'!$A$6:$A$505,MATCH(42,'Fund Research'!$W$6:$W$505,0)),"")</f>
        <v/>
      </c>
      <c r="C47" s="35">
        <f>IFERROR(INDEX('Fund Research'!$B$6:$B$505,MATCH(42,'Fund Research'!$W$6:$W$505,0)),"")</f>
        <v/>
      </c>
      <c r="D47" s="35">
        <f>IFERROR(INDEX('Fund Research'!$C$6:$C$505,MATCH(42,'Fund Research'!$W$6:$W$505,0)),"")</f>
        <v/>
      </c>
      <c r="E47" s="36">
        <f>IFERROR(INDEX('Fund Research'!$G$6:$G$505,MATCH(42,'Fund Research'!$W$6:$W$505,0)),"")</f>
        <v/>
      </c>
      <c r="F47" s="36">
        <f>IFERROR(INDEX('Fund Research'!$H$6:$H$505,MATCH(42,'Fund Research'!$W$6:$W$505,0)),"")</f>
        <v/>
      </c>
      <c r="G47" s="36">
        <f>IFERROR(INDEX('Fund Research'!$I$6:$I$505,MATCH(42,'Fund Research'!$W$6:$W$505,0)),"")</f>
        <v/>
      </c>
      <c r="H47" s="37">
        <f>IFERROR(INDEX('Fund Research'!$J$6:$J$505,MATCH(42,'Fund Research'!$W$6:$W$505,0)),"")</f>
        <v/>
      </c>
      <c r="I47" s="40">
        <f>IFERROR(INDEX('Fund Research'!$L$6:$L$505,MATCH(42,'Fund Research'!$W$6:$W$505,0)),"")</f>
        <v/>
      </c>
      <c r="J47" s="37">
        <f>IFERROR(INDEX('Fund Research'!$N$6:$N$505,MATCH(42,'Fund Research'!$W$6:$W$505,0)),"")</f>
        <v/>
      </c>
      <c r="K47" s="37">
        <f>IFERROR(INDEX('Fund Research'!$P$6:$P$505,MATCH(42,'Fund Research'!$W$6:$W$505,0)),"")</f>
        <v/>
      </c>
      <c r="L47" s="35">
        <f>IFERROR(INDEX('Fund Research'!$S$6:$S$505,MATCH(42,'Fund Research'!$W$6:$W$505,0)),"")</f>
        <v/>
      </c>
      <c r="M47" s="35">
        <f>IFERROR(INDEX('Fund Research'!$T$6:$T$505,MATCH(42,'Fund Research'!$W$6:$W$505,0)),"")</f>
        <v/>
      </c>
    </row>
    <row r="48" ht="15" customHeight="1">
      <c r="A48" s="34">
        <f>IFERROR(IF(INDEX('Fund Research'!$B$6:$B$505,MATCH(43,'Fund Research'!$W$6:$W$505,0))="","",43),"")</f>
        <v/>
      </c>
      <c r="B48" s="35">
        <f>IFERROR(INDEX('Fund Research'!$A$6:$A$505,MATCH(43,'Fund Research'!$W$6:$W$505,0)),"")</f>
        <v/>
      </c>
      <c r="C48" s="35">
        <f>IFERROR(INDEX('Fund Research'!$B$6:$B$505,MATCH(43,'Fund Research'!$W$6:$W$505,0)),"")</f>
        <v/>
      </c>
      <c r="D48" s="35">
        <f>IFERROR(INDEX('Fund Research'!$C$6:$C$505,MATCH(43,'Fund Research'!$W$6:$W$505,0)),"")</f>
        <v/>
      </c>
      <c r="E48" s="36">
        <f>IFERROR(INDEX('Fund Research'!$G$6:$G$505,MATCH(43,'Fund Research'!$W$6:$W$505,0)),"")</f>
        <v/>
      </c>
      <c r="F48" s="36">
        <f>IFERROR(INDEX('Fund Research'!$H$6:$H$505,MATCH(43,'Fund Research'!$W$6:$W$505,0)),"")</f>
        <v/>
      </c>
      <c r="G48" s="36">
        <f>IFERROR(INDEX('Fund Research'!$I$6:$I$505,MATCH(43,'Fund Research'!$W$6:$W$505,0)),"")</f>
        <v/>
      </c>
      <c r="H48" s="37">
        <f>IFERROR(INDEX('Fund Research'!$J$6:$J$505,MATCH(43,'Fund Research'!$W$6:$W$505,0)),"")</f>
        <v/>
      </c>
      <c r="I48" s="40">
        <f>IFERROR(INDEX('Fund Research'!$L$6:$L$505,MATCH(43,'Fund Research'!$W$6:$W$505,0)),"")</f>
        <v/>
      </c>
      <c r="J48" s="37">
        <f>IFERROR(INDEX('Fund Research'!$N$6:$N$505,MATCH(43,'Fund Research'!$W$6:$W$505,0)),"")</f>
        <v/>
      </c>
      <c r="K48" s="37">
        <f>IFERROR(INDEX('Fund Research'!$P$6:$P$505,MATCH(43,'Fund Research'!$W$6:$W$505,0)),"")</f>
        <v/>
      </c>
      <c r="L48" s="35">
        <f>IFERROR(INDEX('Fund Research'!$S$6:$S$505,MATCH(43,'Fund Research'!$W$6:$W$505,0)),"")</f>
        <v/>
      </c>
      <c r="M48" s="35">
        <f>IFERROR(INDEX('Fund Research'!$T$6:$T$505,MATCH(43,'Fund Research'!$W$6:$W$505,0)),"")</f>
        <v/>
      </c>
    </row>
    <row r="49" ht="15" customHeight="1">
      <c r="A49" s="34">
        <f>IFERROR(IF(INDEX('Fund Research'!$B$6:$B$505,MATCH(44,'Fund Research'!$W$6:$W$505,0))="","",44),"")</f>
        <v/>
      </c>
      <c r="B49" s="35">
        <f>IFERROR(INDEX('Fund Research'!$A$6:$A$505,MATCH(44,'Fund Research'!$W$6:$W$505,0)),"")</f>
        <v/>
      </c>
      <c r="C49" s="35">
        <f>IFERROR(INDEX('Fund Research'!$B$6:$B$505,MATCH(44,'Fund Research'!$W$6:$W$505,0)),"")</f>
        <v/>
      </c>
      <c r="D49" s="35">
        <f>IFERROR(INDEX('Fund Research'!$C$6:$C$505,MATCH(44,'Fund Research'!$W$6:$W$505,0)),"")</f>
        <v/>
      </c>
      <c r="E49" s="36">
        <f>IFERROR(INDEX('Fund Research'!$G$6:$G$505,MATCH(44,'Fund Research'!$W$6:$W$505,0)),"")</f>
        <v/>
      </c>
      <c r="F49" s="36">
        <f>IFERROR(INDEX('Fund Research'!$H$6:$H$505,MATCH(44,'Fund Research'!$W$6:$W$505,0)),"")</f>
        <v/>
      </c>
      <c r="G49" s="36">
        <f>IFERROR(INDEX('Fund Research'!$I$6:$I$505,MATCH(44,'Fund Research'!$W$6:$W$505,0)),"")</f>
        <v/>
      </c>
      <c r="H49" s="37">
        <f>IFERROR(INDEX('Fund Research'!$J$6:$J$505,MATCH(44,'Fund Research'!$W$6:$W$505,0)),"")</f>
        <v/>
      </c>
      <c r="I49" s="40">
        <f>IFERROR(INDEX('Fund Research'!$L$6:$L$505,MATCH(44,'Fund Research'!$W$6:$W$505,0)),"")</f>
        <v/>
      </c>
      <c r="J49" s="37">
        <f>IFERROR(INDEX('Fund Research'!$N$6:$N$505,MATCH(44,'Fund Research'!$W$6:$W$505,0)),"")</f>
        <v/>
      </c>
      <c r="K49" s="37">
        <f>IFERROR(INDEX('Fund Research'!$P$6:$P$505,MATCH(44,'Fund Research'!$W$6:$W$505,0)),"")</f>
        <v/>
      </c>
      <c r="L49" s="35">
        <f>IFERROR(INDEX('Fund Research'!$S$6:$S$505,MATCH(44,'Fund Research'!$W$6:$W$505,0)),"")</f>
        <v/>
      </c>
      <c r="M49" s="35">
        <f>IFERROR(INDEX('Fund Research'!$T$6:$T$505,MATCH(44,'Fund Research'!$W$6:$W$505,0)),"")</f>
        <v/>
      </c>
    </row>
    <row r="50" ht="15" customHeight="1">
      <c r="A50" s="34">
        <f>IFERROR(IF(INDEX('Fund Research'!$B$6:$B$505,MATCH(45,'Fund Research'!$W$6:$W$505,0))="","",45),"")</f>
        <v/>
      </c>
      <c r="B50" s="35">
        <f>IFERROR(INDEX('Fund Research'!$A$6:$A$505,MATCH(45,'Fund Research'!$W$6:$W$505,0)),"")</f>
        <v/>
      </c>
      <c r="C50" s="35">
        <f>IFERROR(INDEX('Fund Research'!$B$6:$B$505,MATCH(45,'Fund Research'!$W$6:$W$505,0)),"")</f>
        <v/>
      </c>
      <c r="D50" s="35">
        <f>IFERROR(INDEX('Fund Research'!$C$6:$C$505,MATCH(45,'Fund Research'!$W$6:$W$505,0)),"")</f>
        <v/>
      </c>
      <c r="E50" s="36">
        <f>IFERROR(INDEX('Fund Research'!$G$6:$G$505,MATCH(45,'Fund Research'!$W$6:$W$505,0)),"")</f>
        <v/>
      </c>
      <c r="F50" s="36">
        <f>IFERROR(INDEX('Fund Research'!$H$6:$H$505,MATCH(45,'Fund Research'!$W$6:$W$505,0)),"")</f>
        <v/>
      </c>
      <c r="G50" s="36">
        <f>IFERROR(INDEX('Fund Research'!$I$6:$I$505,MATCH(45,'Fund Research'!$W$6:$W$505,0)),"")</f>
        <v/>
      </c>
      <c r="H50" s="37">
        <f>IFERROR(INDEX('Fund Research'!$J$6:$J$505,MATCH(45,'Fund Research'!$W$6:$W$505,0)),"")</f>
        <v/>
      </c>
      <c r="I50" s="40">
        <f>IFERROR(INDEX('Fund Research'!$L$6:$L$505,MATCH(45,'Fund Research'!$W$6:$W$505,0)),"")</f>
        <v/>
      </c>
      <c r="J50" s="37">
        <f>IFERROR(INDEX('Fund Research'!$N$6:$N$505,MATCH(45,'Fund Research'!$W$6:$W$505,0)),"")</f>
        <v/>
      </c>
      <c r="K50" s="37">
        <f>IFERROR(INDEX('Fund Research'!$P$6:$P$505,MATCH(45,'Fund Research'!$W$6:$W$505,0)),"")</f>
        <v/>
      </c>
      <c r="L50" s="35">
        <f>IFERROR(INDEX('Fund Research'!$S$6:$S$505,MATCH(45,'Fund Research'!$W$6:$W$505,0)),"")</f>
        <v/>
      </c>
      <c r="M50" s="35">
        <f>IFERROR(INDEX('Fund Research'!$T$6:$T$505,MATCH(45,'Fund Research'!$W$6:$W$505,0)),"")</f>
        <v/>
      </c>
    </row>
    <row r="51" ht="15" customHeight="1">
      <c r="A51" s="34">
        <f>IFERROR(IF(INDEX('Fund Research'!$B$6:$B$505,MATCH(46,'Fund Research'!$W$6:$W$505,0))="","",46),"")</f>
        <v/>
      </c>
      <c r="B51" s="35">
        <f>IFERROR(INDEX('Fund Research'!$A$6:$A$505,MATCH(46,'Fund Research'!$W$6:$W$505,0)),"")</f>
        <v/>
      </c>
      <c r="C51" s="35">
        <f>IFERROR(INDEX('Fund Research'!$B$6:$B$505,MATCH(46,'Fund Research'!$W$6:$W$505,0)),"")</f>
        <v/>
      </c>
      <c r="D51" s="35">
        <f>IFERROR(INDEX('Fund Research'!$C$6:$C$505,MATCH(46,'Fund Research'!$W$6:$W$505,0)),"")</f>
        <v/>
      </c>
      <c r="E51" s="36">
        <f>IFERROR(INDEX('Fund Research'!$G$6:$G$505,MATCH(46,'Fund Research'!$W$6:$W$505,0)),"")</f>
        <v/>
      </c>
      <c r="F51" s="36">
        <f>IFERROR(INDEX('Fund Research'!$H$6:$H$505,MATCH(46,'Fund Research'!$W$6:$W$505,0)),"")</f>
        <v/>
      </c>
      <c r="G51" s="36">
        <f>IFERROR(INDEX('Fund Research'!$I$6:$I$505,MATCH(46,'Fund Research'!$W$6:$W$505,0)),"")</f>
        <v/>
      </c>
      <c r="H51" s="37">
        <f>IFERROR(INDEX('Fund Research'!$J$6:$J$505,MATCH(46,'Fund Research'!$W$6:$W$505,0)),"")</f>
        <v/>
      </c>
      <c r="I51" s="40">
        <f>IFERROR(INDEX('Fund Research'!$L$6:$L$505,MATCH(46,'Fund Research'!$W$6:$W$505,0)),"")</f>
        <v/>
      </c>
      <c r="J51" s="37">
        <f>IFERROR(INDEX('Fund Research'!$N$6:$N$505,MATCH(46,'Fund Research'!$W$6:$W$505,0)),"")</f>
        <v/>
      </c>
      <c r="K51" s="37">
        <f>IFERROR(INDEX('Fund Research'!$P$6:$P$505,MATCH(46,'Fund Research'!$W$6:$W$505,0)),"")</f>
        <v/>
      </c>
      <c r="L51" s="35">
        <f>IFERROR(INDEX('Fund Research'!$S$6:$S$505,MATCH(46,'Fund Research'!$W$6:$W$505,0)),"")</f>
        <v/>
      </c>
      <c r="M51" s="35">
        <f>IFERROR(INDEX('Fund Research'!$T$6:$T$505,MATCH(46,'Fund Research'!$W$6:$W$505,0)),"")</f>
        <v/>
      </c>
    </row>
    <row r="52" ht="15" customHeight="1">
      <c r="A52" s="34">
        <f>IFERROR(IF(INDEX('Fund Research'!$B$6:$B$505,MATCH(47,'Fund Research'!$W$6:$W$505,0))="","",47),"")</f>
        <v/>
      </c>
      <c r="B52" s="35">
        <f>IFERROR(INDEX('Fund Research'!$A$6:$A$505,MATCH(47,'Fund Research'!$W$6:$W$505,0)),"")</f>
        <v/>
      </c>
      <c r="C52" s="35">
        <f>IFERROR(INDEX('Fund Research'!$B$6:$B$505,MATCH(47,'Fund Research'!$W$6:$W$505,0)),"")</f>
        <v/>
      </c>
      <c r="D52" s="35">
        <f>IFERROR(INDEX('Fund Research'!$C$6:$C$505,MATCH(47,'Fund Research'!$W$6:$W$505,0)),"")</f>
        <v/>
      </c>
      <c r="E52" s="36">
        <f>IFERROR(INDEX('Fund Research'!$G$6:$G$505,MATCH(47,'Fund Research'!$W$6:$W$505,0)),"")</f>
        <v/>
      </c>
      <c r="F52" s="36">
        <f>IFERROR(INDEX('Fund Research'!$H$6:$H$505,MATCH(47,'Fund Research'!$W$6:$W$505,0)),"")</f>
        <v/>
      </c>
      <c r="G52" s="36">
        <f>IFERROR(INDEX('Fund Research'!$I$6:$I$505,MATCH(47,'Fund Research'!$W$6:$W$505,0)),"")</f>
        <v/>
      </c>
      <c r="H52" s="37">
        <f>IFERROR(INDEX('Fund Research'!$J$6:$J$505,MATCH(47,'Fund Research'!$W$6:$W$505,0)),"")</f>
        <v/>
      </c>
      <c r="I52" s="40">
        <f>IFERROR(INDEX('Fund Research'!$L$6:$L$505,MATCH(47,'Fund Research'!$W$6:$W$505,0)),"")</f>
        <v/>
      </c>
      <c r="J52" s="37">
        <f>IFERROR(INDEX('Fund Research'!$N$6:$N$505,MATCH(47,'Fund Research'!$W$6:$W$505,0)),"")</f>
        <v/>
      </c>
      <c r="K52" s="37">
        <f>IFERROR(INDEX('Fund Research'!$P$6:$P$505,MATCH(47,'Fund Research'!$W$6:$W$505,0)),"")</f>
        <v/>
      </c>
      <c r="L52" s="35">
        <f>IFERROR(INDEX('Fund Research'!$S$6:$S$505,MATCH(47,'Fund Research'!$W$6:$W$505,0)),"")</f>
        <v/>
      </c>
      <c r="M52" s="35">
        <f>IFERROR(INDEX('Fund Research'!$T$6:$T$505,MATCH(47,'Fund Research'!$W$6:$W$505,0)),"")</f>
        <v/>
      </c>
    </row>
    <row r="53" ht="15" customHeight="1">
      <c r="A53" s="34">
        <f>IFERROR(IF(INDEX('Fund Research'!$B$6:$B$505,MATCH(48,'Fund Research'!$W$6:$W$505,0))="","",48),"")</f>
        <v/>
      </c>
      <c r="B53" s="35">
        <f>IFERROR(INDEX('Fund Research'!$A$6:$A$505,MATCH(48,'Fund Research'!$W$6:$W$505,0)),"")</f>
        <v/>
      </c>
      <c r="C53" s="35">
        <f>IFERROR(INDEX('Fund Research'!$B$6:$B$505,MATCH(48,'Fund Research'!$W$6:$W$505,0)),"")</f>
        <v/>
      </c>
      <c r="D53" s="35">
        <f>IFERROR(INDEX('Fund Research'!$C$6:$C$505,MATCH(48,'Fund Research'!$W$6:$W$505,0)),"")</f>
        <v/>
      </c>
      <c r="E53" s="36">
        <f>IFERROR(INDEX('Fund Research'!$G$6:$G$505,MATCH(48,'Fund Research'!$W$6:$W$505,0)),"")</f>
        <v/>
      </c>
      <c r="F53" s="36">
        <f>IFERROR(INDEX('Fund Research'!$H$6:$H$505,MATCH(48,'Fund Research'!$W$6:$W$505,0)),"")</f>
        <v/>
      </c>
      <c r="G53" s="36">
        <f>IFERROR(INDEX('Fund Research'!$I$6:$I$505,MATCH(48,'Fund Research'!$W$6:$W$505,0)),"")</f>
        <v/>
      </c>
      <c r="H53" s="37">
        <f>IFERROR(INDEX('Fund Research'!$J$6:$J$505,MATCH(48,'Fund Research'!$W$6:$W$505,0)),"")</f>
        <v/>
      </c>
      <c r="I53" s="40">
        <f>IFERROR(INDEX('Fund Research'!$L$6:$L$505,MATCH(48,'Fund Research'!$W$6:$W$505,0)),"")</f>
        <v/>
      </c>
      <c r="J53" s="37">
        <f>IFERROR(INDEX('Fund Research'!$N$6:$N$505,MATCH(48,'Fund Research'!$W$6:$W$505,0)),"")</f>
        <v/>
      </c>
      <c r="K53" s="37">
        <f>IFERROR(INDEX('Fund Research'!$P$6:$P$505,MATCH(48,'Fund Research'!$W$6:$W$505,0)),"")</f>
        <v/>
      </c>
      <c r="L53" s="35">
        <f>IFERROR(INDEX('Fund Research'!$S$6:$S$505,MATCH(48,'Fund Research'!$W$6:$W$505,0)),"")</f>
        <v/>
      </c>
      <c r="M53" s="35">
        <f>IFERROR(INDEX('Fund Research'!$T$6:$T$505,MATCH(48,'Fund Research'!$W$6:$W$505,0)),"")</f>
        <v/>
      </c>
    </row>
    <row r="54" ht="15" customHeight="1">
      <c r="A54" s="34">
        <f>IFERROR(IF(INDEX('Fund Research'!$B$6:$B$505,MATCH(49,'Fund Research'!$W$6:$W$505,0))="","",49),"")</f>
        <v/>
      </c>
      <c r="B54" s="35">
        <f>IFERROR(INDEX('Fund Research'!$A$6:$A$505,MATCH(49,'Fund Research'!$W$6:$W$505,0)),"")</f>
        <v/>
      </c>
      <c r="C54" s="35">
        <f>IFERROR(INDEX('Fund Research'!$B$6:$B$505,MATCH(49,'Fund Research'!$W$6:$W$505,0)),"")</f>
        <v/>
      </c>
      <c r="D54" s="35">
        <f>IFERROR(INDEX('Fund Research'!$C$6:$C$505,MATCH(49,'Fund Research'!$W$6:$W$505,0)),"")</f>
        <v/>
      </c>
      <c r="E54" s="36">
        <f>IFERROR(INDEX('Fund Research'!$G$6:$G$505,MATCH(49,'Fund Research'!$W$6:$W$505,0)),"")</f>
        <v/>
      </c>
      <c r="F54" s="36">
        <f>IFERROR(INDEX('Fund Research'!$H$6:$H$505,MATCH(49,'Fund Research'!$W$6:$W$505,0)),"")</f>
        <v/>
      </c>
      <c r="G54" s="36">
        <f>IFERROR(INDEX('Fund Research'!$I$6:$I$505,MATCH(49,'Fund Research'!$W$6:$W$505,0)),"")</f>
        <v/>
      </c>
      <c r="H54" s="37">
        <f>IFERROR(INDEX('Fund Research'!$J$6:$J$505,MATCH(49,'Fund Research'!$W$6:$W$505,0)),"")</f>
        <v/>
      </c>
      <c r="I54" s="40">
        <f>IFERROR(INDEX('Fund Research'!$L$6:$L$505,MATCH(49,'Fund Research'!$W$6:$W$505,0)),"")</f>
        <v/>
      </c>
      <c r="J54" s="37">
        <f>IFERROR(INDEX('Fund Research'!$N$6:$N$505,MATCH(49,'Fund Research'!$W$6:$W$505,0)),"")</f>
        <v/>
      </c>
      <c r="K54" s="37">
        <f>IFERROR(INDEX('Fund Research'!$P$6:$P$505,MATCH(49,'Fund Research'!$W$6:$W$505,0)),"")</f>
        <v/>
      </c>
      <c r="L54" s="35">
        <f>IFERROR(INDEX('Fund Research'!$S$6:$S$505,MATCH(49,'Fund Research'!$W$6:$W$505,0)),"")</f>
        <v/>
      </c>
      <c r="M54" s="35">
        <f>IFERROR(INDEX('Fund Research'!$T$6:$T$505,MATCH(49,'Fund Research'!$W$6:$W$505,0)),"")</f>
        <v/>
      </c>
    </row>
    <row r="55" ht="15" customHeight="1">
      <c r="A55" s="34">
        <f>IFERROR(IF(INDEX('Fund Research'!$B$6:$B$505,MATCH(50,'Fund Research'!$W$6:$W$505,0))="","",50),"")</f>
        <v/>
      </c>
      <c r="B55" s="35">
        <f>IFERROR(INDEX('Fund Research'!$A$6:$A$505,MATCH(50,'Fund Research'!$W$6:$W$505,0)),"")</f>
        <v/>
      </c>
      <c r="C55" s="35">
        <f>IFERROR(INDEX('Fund Research'!$B$6:$B$505,MATCH(50,'Fund Research'!$W$6:$W$505,0)),"")</f>
        <v/>
      </c>
      <c r="D55" s="35">
        <f>IFERROR(INDEX('Fund Research'!$C$6:$C$505,MATCH(50,'Fund Research'!$W$6:$W$505,0)),"")</f>
        <v/>
      </c>
      <c r="E55" s="36">
        <f>IFERROR(INDEX('Fund Research'!$G$6:$G$505,MATCH(50,'Fund Research'!$W$6:$W$505,0)),"")</f>
        <v/>
      </c>
      <c r="F55" s="36">
        <f>IFERROR(INDEX('Fund Research'!$H$6:$H$505,MATCH(50,'Fund Research'!$W$6:$W$505,0)),"")</f>
        <v/>
      </c>
      <c r="G55" s="36">
        <f>IFERROR(INDEX('Fund Research'!$I$6:$I$505,MATCH(50,'Fund Research'!$W$6:$W$505,0)),"")</f>
        <v/>
      </c>
      <c r="H55" s="37">
        <f>IFERROR(INDEX('Fund Research'!$J$6:$J$505,MATCH(50,'Fund Research'!$W$6:$W$505,0)),"")</f>
        <v/>
      </c>
      <c r="I55" s="40">
        <f>IFERROR(INDEX('Fund Research'!$L$6:$L$505,MATCH(50,'Fund Research'!$W$6:$W$505,0)),"")</f>
        <v/>
      </c>
      <c r="J55" s="37">
        <f>IFERROR(INDEX('Fund Research'!$N$6:$N$505,MATCH(50,'Fund Research'!$W$6:$W$505,0)),"")</f>
        <v/>
      </c>
      <c r="K55" s="37">
        <f>IFERROR(INDEX('Fund Research'!$P$6:$P$505,MATCH(50,'Fund Research'!$W$6:$W$505,0)),"")</f>
        <v/>
      </c>
      <c r="L55" s="35">
        <f>IFERROR(INDEX('Fund Research'!$S$6:$S$505,MATCH(50,'Fund Research'!$W$6:$W$505,0)),"")</f>
        <v/>
      </c>
      <c r="M55" s="35">
        <f>IFERROR(INDEX('Fund Research'!$T$6:$T$505,MATCH(50,'Fund Research'!$W$6:$W$505,0)),"")</f>
        <v/>
      </c>
    </row>
    <row r="56" ht="15" customHeight="1">
      <c r="A56" s="34">
        <f>IFERROR(IF(INDEX('Fund Research'!$B$6:$B$505,MATCH(51,'Fund Research'!$W$6:$W$505,0))="","",51),"")</f>
        <v/>
      </c>
      <c r="B56" s="35">
        <f>IFERROR(INDEX('Fund Research'!$A$6:$A$505,MATCH(51,'Fund Research'!$W$6:$W$505,0)),"")</f>
        <v/>
      </c>
      <c r="C56" s="35">
        <f>IFERROR(INDEX('Fund Research'!$B$6:$B$505,MATCH(51,'Fund Research'!$W$6:$W$505,0)),"")</f>
        <v/>
      </c>
      <c r="D56" s="35">
        <f>IFERROR(INDEX('Fund Research'!$C$6:$C$505,MATCH(51,'Fund Research'!$W$6:$W$505,0)),"")</f>
        <v/>
      </c>
      <c r="E56" s="36">
        <f>IFERROR(INDEX('Fund Research'!$G$6:$G$505,MATCH(51,'Fund Research'!$W$6:$W$505,0)),"")</f>
        <v/>
      </c>
      <c r="F56" s="36">
        <f>IFERROR(INDEX('Fund Research'!$H$6:$H$505,MATCH(51,'Fund Research'!$W$6:$W$505,0)),"")</f>
        <v/>
      </c>
      <c r="G56" s="36">
        <f>IFERROR(INDEX('Fund Research'!$I$6:$I$505,MATCH(51,'Fund Research'!$W$6:$W$505,0)),"")</f>
        <v/>
      </c>
      <c r="H56" s="37">
        <f>IFERROR(INDEX('Fund Research'!$J$6:$J$505,MATCH(51,'Fund Research'!$W$6:$W$505,0)),"")</f>
        <v/>
      </c>
      <c r="I56" s="40">
        <f>IFERROR(INDEX('Fund Research'!$L$6:$L$505,MATCH(51,'Fund Research'!$W$6:$W$505,0)),"")</f>
        <v/>
      </c>
      <c r="J56" s="37">
        <f>IFERROR(INDEX('Fund Research'!$N$6:$N$505,MATCH(51,'Fund Research'!$W$6:$W$505,0)),"")</f>
        <v/>
      </c>
      <c r="K56" s="37">
        <f>IFERROR(INDEX('Fund Research'!$P$6:$P$505,MATCH(51,'Fund Research'!$W$6:$W$505,0)),"")</f>
        <v/>
      </c>
      <c r="L56" s="35">
        <f>IFERROR(INDEX('Fund Research'!$S$6:$S$505,MATCH(51,'Fund Research'!$W$6:$W$505,0)),"")</f>
        <v/>
      </c>
      <c r="M56" s="35">
        <f>IFERROR(INDEX('Fund Research'!$T$6:$T$505,MATCH(51,'Fund Research'!$W$6:$W$505,0)),"")</f>
        <v/>
      </c>
    </row>
    <row r="57" ht="15" customHeight="1">
      <c r="A57" s="34">
        <f>IFERROR(IF(INDEX('Fund Research'!$B$6:$B$505,MATCH(52,'Fund Research'!$W$6:$W$505,0))="","",52),"")</f>
        <v/>
      </c>
      <c r="B57" s="35">
        <f>IFERROR(INDEX('Fund Research'!$A$6:$A$505,MATCH(52,'Fund Research'!$W$6:$W$505,0)),"")</f>
        <v/>
      </c>
      <c r="C57" s="35">
        <f>IFERROR(INDEX('Fund Research'!$B$6:$B$505,MATCH(52,'Fund Research'!$W$6:$W$505,0)),"")</f>
        <v/>
      </c>
      <c r="D57" s="35">
        <f>IFERROR(INDEX('Fund Research'!$C$6:$C$505,MATCH(52,'Fund Research'!$W$6:$W$505,0)),"")</f>
        <v/>
      </c>
      <c r="E57" s="36">
        <f>IFERROR(INDEX('Fund Research'!$G$6:$G$505,MATCH(52,'Fund Research'!$W$6:$W$505,0)),"")</f>
        <v/>
      </c>
      <c r="F57" s="36">
        <f>IFERROR(INDEX('Fund Research'!$H$6:$H$505,MATCH(52,'Fund Research'!$W$6:$W$505,0)),"")</f>
        <v/>
      </c>
      <c r="G57" s="36">
        <f>IFERROR(INDEX('Fund Research'!$I$6:$I$505,MATCH(52,'Fund Research'!$W$6:$W$505,0)),"")</f>
        <v/>
      </c>
      <c r="H57" s="37">
        <f>IFERROR(INDEX('Fund Research'!$J$6:$J$505,MATCH(52,'Fund Research'!$W$6:$W$505,0)),"")</f>
        <v/>
      </c>
      <c r="I57" s="40">
        <f>IFERROR(INDEX('Fund Research'!$L$6:$L$505,MATCH(52,'Fund Research'!$W$6:$W$505,0)),"")</f>
        <v/>
      </c>
      <c r="J57" s="37">
        <f>IFERROR(INDEX('Fund Research'!$N$6:$N$505,MATCH(52,'Fund Research'!$W$6:$W$505,0)),"")</f>
        <v/>
      </c>
      <c r="K57" s="37">
        <f>IFERROR(INDEX('Fund Research'!$P$6:$P$505,MATCH(52,'Fund Research'!$W$6:$W$505,0)),"")</f>
        <v/>
      </c>
      <c r="L57" s="35">
        <f>IFERROR(INDEX('Fund Research'!$S$6:$S$505,MATCH(52,'Fund Research'!$W$6:$W$505,0)),"")</f>
        <v/>
      </c>
      <c r="M57" s="35">
        <f>IFERROR(INDEX('Fund Research'!$T$6:$T$505,MATCH(52,'Fund Research'!$W$6:$W$505,0)),"")</f>
        <v/>
      </c>
    </row>
    <row r="58" ht="15" customHeight="1">
      <c r="A58" s="34">
        <f>IFERROR(IF(INDEX('Fund Research'!$B$6:$B$505,MATCH(53,'Fund Research'!$W$6:$W$505,0))="","",53),"")</f>
        <v/>
      </c>
      <c r="B58" s="35">
        <f>IFERROR(INDEX('Fund Research'!$A$6:$A$505,MATCH(53,'Fund Research'!$W$6:$W$505,0)),"")</f>
        <v/>
      </c>
      <c r="C58" s="35">
        <f>IFERROR(INDEX('Fund Research'!$B$6:$B$505,MATCH(53,'Fund Research'!$W$6:$W$505,0)),"")</f>
        <v/>
      </c>
      <c r="D58" s="35">
        <f>IFERROR(INDEX('Fund Research'!$C$6:$C$505,MATCH(53,'Fund Research'!$W$6:$W$505,0)),"")</f>
        <v/>
      </c>
      <c r="E58" s="36">
        <f>IFERROR(INDEX('Fund Research'!$G$6:$G$505,MATCH(53,'Fund Research'!$W$6:$W$505,0)),"")</f>
        <v/>
      </c>
      <c r="F58" s="36">
        <f>IFERROR(INDEX('Fund Research'!$H$6:$H$505,MATCH(53,'Fund Research'!$W$6:$W$505,0)),"")</f>
        <v/>
      </c>
      <c r="G58" s="36">
        <f>IFERROR(INDEX('Fund Research'!$I$6:$I$505,MATCH(53,'Fund Research'!$W$6:$W$505,0)),"")</f>
        <v/>
      </c>
      <c r="H58" s="37">
        <f>IFERROR(INDEX('Fund Research'!$J$6:$J$505,MATCH(53,'Fund Research'!$W$6:$W$505,0)),"")</f>
        <v/>
      </c>
      <c r="I58" s="40">
        <f>IFERROR(INDEX('Fund Research'!$L$6:$L$505,MATCH(53,'Fund Research'!$W$6:$W$505,0)),"")</f>
        <v/>
      </c>
      <c r="J58" s="37">
        <f>IFERROR(INDEX('Fund Research'!$N$6:$N$505,MATCH(53,'Fund Research'!$W$6:$W$505,0)),"")</f>
        <v/>
      </c>
      <c r="K58" s="37">
        <f>IFERROR(INDEX('Fund Research'!$P$6:$P$505,MATCH(53,'Fund Research'!$W$6:$W$505,0)),"")</f>
        <v/>
      </c>
      <c r="L58" s="35">
        <f>IFERROR(INDEX('Fund Research'!$S$6:$S$505,MATCH(53,'Fund Research'!$W$6:$W$505,0)),"")</f>
        <v/>
      </c>
      <c r="M58" s="35">
        <f>IFERROR(INDEX('Fund Research'!$T$6:$T$505,MATCH(53,'Fund Research'!$W$6:$W$505,0)),"")</f>
        <v/>
      </c>
    </row>
    <row r="59" ht="15" customHeight="1">
      <c r="A59" s="34">
        <f>IFERROR(IF(INDEX('Fund Research'!$B$6:$B$505,MATCH(54,'Fund Research'!$W$6:$W$505,0))="","",54),"")</f>
        <v/>
      </c>
      <c r="B59" s="35">
        <f>IFERROR(INDEX('Fund Research'!$A$6:$A$505,MATCH(54,'Fund Research'!$W$6:$W$505,0)),"")</f>
        <v/>
      </c>
      <c r="C59" s="35">
        <f>IFERROR(INDEX('Fund Research'!$B$6:$B$505,MATCH(54,'Fund Research'!$W$6:$W$505,0)),"")</f>
        <v/>
      </c>
      <c r="D59" s="35">
        <f>IFERROR(INDEX('Fund Research'!$C$6:$C$505,MATCH(54,'Fund Research'!$W$6:$W$505,0)),"")</f>
        <v/>
      </c>
      <c r="E59" s="36">
        <f>IFERROR(INDEX('Fund Research'!$G$6:$G$505,MATCH(54,'Fund Research'!$W$6:$W$505,0)),"")</f>
        <v/>
      </c>
      <c r="F59" s="36">
        <f>IFERROR(INDEX('Fund Research'!$H$6:$H$505,MATCH(54,'Fund Research'!$W$6:$W$505,0)),"")</f>
        <v/>
      </c>
      <c r="G59" s="36">
        <f>IFERROR(INDEX('Fund Research'!$I$6:$I$505,MATCH(54,'Fund Research'!$W$6:$W$505,0)),"")</f>
        <v/>
      </c>
      <c r="H59" s="37">
        <f>IFERROR(INDEX('Fund Research'!$J$6:$J$505,MATCH(54,'Fund Research'!$W$6:$W$505,0)),"")</f>
        <v/>
      </c>
      <c r="I59" s="40">
        <f>IFERROR(INDEX('Fund Research'!$L$6:$L$505,MATCH(54,'Fund Research'!$W$6:$W$505,0)),"")</f>
        <v/>
      </c>
      <c r="J59" s="37">
        <f>IFERROR(INDEX('Fund Research'!$N$6:$N$505,MATCH(54,'Fund Research'!$W$6:$W$505,0)),"")</f>
        <v/>
      </c>
      <c r="K59" s="37">
        <f>IFERROR(INDEX('Fund Research'!$P$6:$P$505,MATCH(54,'Fund Research'!$W$6:$W$505,0)),"")</f>
        <v/>
      </c>
      <c r="L59" s="35">
        <f>IFERROR(INDEX('Fund Research'!$S$6:$S$505,MATCH(54,'Fund Research'!$W$6:$W$505,0)),"")</f>
        <v/>
      </c>
      <c r="M59" s="35">
        <f>IFERROR(INDEX('Fund Research'!$T$6:$T$505,MATCH(54,'Fund Research'!$W$6:$W$505,0)),"")</f>
        <v/>
      </c>
    </row>
    <row r="60" ht="15" customHeight="1">
      <c r="A60" s="34">
        <f>IFERROR(IF(INDEX('Fund Research'!$B$6:$B$505,MATCH(55,'Fund Research'!$W$6:$W$505,0))="","",55),"")</f>
        <v/>
      </c>
      <c r="B60" s="35">
        <f>IFERROR(INDEX('Fund Research'!$A$6:$A$505,MATCH(55,'Fund Research'!$W$6:$W$505,0)),"")</f>
        <v/>
      </c>
      <c r="C60" s="35">
        <f>IFERROR(INDEX('Fund Research'!$B$6:$B$505,MATCH(55,'Fund Research'!$W$6:$W$505,0)),"")</f>
        <v/>
      </c>
      <c r="D60" s="35">
        <f>IFERROR(INDEX('Fund Research'!$C$6:$C$505,MATCH(55,'Fund Research'!$W$6:$W$505,0)),"")</f>
        <v/>
      </c>
      <c r="E60" s="36">
        <f>IFERROR(INDEX('Fund Research'!$G$6:$G$505,MATCH(55,'Fund Research'!$W$6:$W$505,0)),"")</f>
        <v/>
      </c>
      <c r="F60" s="36">
        <f>IFERROR(INDEX('Fund Research'!$H$6:$H$505,MATCH(55,'Fund Research'!$W$6:$W$505,0)),"")</f>
        <v/>
      </c>
      <c r="G60" s="36">
        <f>IFERROR(INDEX('Fund Research'!$I$6:$I$505,MATCH(55,'Fund Research'!$W$6:$W$505,0)),"")</f>
        <v/>
      </c>
      <c r="H60" s="37">
        <f>IFERROR(INDEX('Fund Research'!$J$6:$J$505,MATCH(55,'Fund Research'!$W$6:$W$505,0)),"")</f>
        <v/>
      </c>
      <c r="I60" s="40">
        <f>IFERROR(INDEX('Fund Research'!$L$6:$L$505,MATCH(55,'Fund Research'!$W$6:$W$505,0)),"")</f>
        <v/>
      </c>
      <c r="J60" s="37">
        <f>IFERROR(INDEX('Fund Research'!$N$6:$N$505,MATCH(55,'Fund Research'!$W$6:$W$505,0)),"")</f>
        <v/>
      </c>
      <c r="K60" s="37">
        <f>IFERROR(INDEX('Fund Research'!$P$6:$P$505,MATCH(55,'Fund Research'!$W$6:$W$505,0)),"")</f>
        <v/>
      </c>
      <c r="L60" s="35">
        <f>IFERROR(INDEX('Fund Research'!$S$6:$S$505,MATCH(55,'Fund Research'!$W$6:$W$505,0)),"")</f>
        <v/>
      </c>
      <c r="M60" s="35">
        <f>IFERROR(INDEX('Fund Research'!$T$6:$T$505,MATCH(55,'Fund Research'!$W$6:$W$505,0)),"")</f>
        <v/>
      </c>
    </row>
    <row r="61" ht="15" customHeight="1">
      <c r="A61" s="34">
        <f>IFERROR(IF(INDEX('Fund Research'!$B$6:$B$505,MATCH(56,'Fund Research'!$W$6:$W$505,0))="","",56),"")</f>
        <v/>
      </c>
      <c r="B61" s="35">
        <f>IFERROR(INDEX('Fund Research'!$A$6:$A$505,MATCH(56,'Fund Research'!$W$6:$W$505,0)),"")</f>
        <v/>
      </c>
      <c r="C61" s="35">
        <f>IFERROR(INDEX('Fund Research'!$B$6:$B$505,MATCH(56,'Fund Research'!$W$6:$W$505,0)),"")</f>
        <v/>
      </c>
      <c r="D61" s="35">
        <f>IFERROR(INDEX('Fund Research'!$C$6:$C$505,MATCH(56,'Fund Research'!$W$6:$W$505,0)),"")</f>
        <v/>
      </c>
      <c r="E61" s="36">
        <f>IFERROR(INDEX('Fund Research'!$G$6:$G$505,MATCH(56,'Fund Research'!$W$6:$W$505,0)),"")</f>
        <v/>
      </c>
      <c r="F61" s="36">
        <f>IFERROR(INDEX('Fund Research'!$H$6:$H$505,MATCH(56,'Fund Research'!$W$6:$W$505,0)),"")</f>
        <v/>
      </c>
      <c r="G61" s="36">
        <f>IFERROR(INDEX('Fund Research'!$I$6:$I$505,MATCH(56,'Fund Research'!$W$6:$W$505,0)),"")</f>
        <v/>
      </c>
      <c r="H61" s="37">
        <f>IFERROR(INDEX('Fund Research'!$J$6:$J$505,MATCH(56,'Fund Research'!$W$6:$W$505,0)),"")</f>
        <v/>
      </c>
      <c r="I61" s="40">
        <f>IFERROR(INDEX('Fund Research'!$L$6:$L$505,MATCH(56,'Fund Research'!$W$6:$W$505,0)),"")</f>
        <v/>
      </c>
      <c r="J61" s="37">
        <f>IFERROR(INDEX('Fund Research'!$N$6:$N$505,MATCH(56,'Fund Research'!$W$6:$W$505,0)),"")</f>
        <v/>
      </c>
      <c r="K61" s="37">
        <f>IFERROR(INDEX('Fund Research'!$P$6:$P$505,MATCH(56,'Fund Research'!$W$6:$W$505,0)),"")</f>
        <v/>
      </c>
      <c r="L61" s="35">
        <f>IFERROR(INDEX('Fund Research'!$S$6:$S$505,MATCH(56,'Fund Research'!$W$6:$W$505,0)),"")</f>
        <v/>
      </c>
      <c r="M61" s="35">
        <f>IFERROR(INDEX('Fund Research'!$T$6:$T$505,MATCH(56,'Fund Research'!$W$6:$W$505,0)),"")</f>
        <v/>
      </c>
    </row>
    <row r="62" ht="15" customHeight="1">
      <c r="A62" s="34">
        <f>IFERROR(IF(INDEX('Fund Research'!$B$6:$B$505,MATCH(57,'Fund Research'!$W$6:$W$505,0))="","",57),"")</f>
        <v/>
      </c>
      <c r="B62" s="35">
        <f>IFERROR(INDEX('Fund Research'!$A$6:$A$505,MATCH(57,'Fund Research'!$W$6:$W$505,0)),"")</f>
        <v/>
      </c>
      <c r="C62" s="35">
        <f>IFERROR(INDEX('Fund Research'!$B$6:$B$505,MATCH(57,'Fund Research'!$W$6:$W$505,0)),"")</f>
        <v/>
      </c>
      <c r="D62" s="35">
        <f>IFERROR(INDEX('Fund Research'!$C$6:$C$505,MATCH(57,'Fund Research'!$W$6:$W$505,0)),"")</f>
        <v/>
      </c>
      <c r="E62" s="36">
        <f>IFERROR(INDEX('Fund Research'!$G$6:$G$505,MATCH(57,'Fund Research'!$W$6:$W$505,0)),"")</f>
        <v/>
      </c>
      <c r="F62" s="36">
        <f>IFERROR(INDEX('Fund Research'!$H$6:$H$505,MATCH(57,'Fund Research'!$W$6:$W$505,0)),"")</f>
        <v/>
      </c>
      <c r="G62" s="36">
        <f>IFERROR(INDEX('Fund Research'!$I$6:$I$505,MATCH(57,'Fund Research'!$W$6:$W$505,0)),"")</f>
        <v/>
      </c>
      <c r="H62" s="37">
        <f>IFERROR(INDEX('Fund Research'!$J$6:$J$505,MATCH(57,'Fund Research'!$W$6:$W$505,0)),"")</f>
        <v/>
      </c>
      <c r="I62" s="40">
        <f>IFERROR(INDEX('Fund Research'!$L$6:$L$505,MATCH(57,'Fund Research'!$W$6:$W$505,0)),"")</f>
        <v/>
      </c>
      <c r="J62" s="37">
        <f>IFERROR(INDEX('Fund Research'!$N$6:$N$505,MATCH(57,'Fund Research'!$W$6:$W$505,0)),"")</f>
        <v/>
      </c>
      <c r="K62" s="37">
        <f>IFERROR(INDEX('Fund Research'!$P$6:$P$505,MATCH(57,'Fund Research'!$W$6:$W$505,0)),"")</f>
        <v/>
      </c>
      <c r="L62" s="35">
        <f>IFERROR(INDEX('Fund Research'!$S$6:$S$505,MATCH(57,'Fund Research'!$W$6:$W$505,0)),"")</f>
        <v/>
      </c>
      <c r="M62" s="35">
        <f>IFERROR(INDEX('Fund Research'!$T$6:$T$505,MATCH(57,'Fund Research'!$W$6:$W$505,0)),"")</f>
        <v/>
      </c>
    </row>
    <row r="63" ht="15" customHeight="1">
      <c r="A63" s="34">
        <f>IFERROR(IF(INDEX('Fund Research'!$B$6:$B$505,MATCH(58,'Fund Research'!$W$6:$W$505,0))="","",58),"")</f>
        <v/>
      </c>
      <c r="B63" s="35">
        <f>IFERROR(INDEX('Fund Research'!$A$6:$A$505,MATCH(58,'Fund Research'!$W$6:$W$505,0)),"")</f>
        <v/>
      </c>
      <c r="C63" s="35">
        <f>IFERROR(INDEX('Fund Research'!$B$6:$B$505,MATCH(58,'Fund Research'!$W$6:$W$505,0)),"")</f>
        <v/>
      </c>
      <c r="D63" s="35">
        <f>IFERROR(INDEX('Fund Research'!$C$6:$C$505,MATCH(58,'Fund Research'!$W$6:$W$505,0)),"")</f>
        <v/>
      </c>
      <c r="E63" s="36">
        <f>IFERROR(INDEX('Fund Research'!$G$6:$G$505,MATCH(58,'Fund Research'!$W$6:$W$505,0)),"")</f>
        <v/>
      </c>
      <c r="F63" s="36">
        <f>IFERROR(INDEX('Fund Research'!$H$6:$H$505,MATCH(58,'Fund Research'!$W$6:$W$505,0)),"")</f>
        <v/>
      </c>
      <c r="G63" s="36">
        <f>IFERROR(INDEX('Fund Research'!$I$6:$I$505,MATCH(58,'Fund Research'!$W$6:$W$505,0)),"")</f>
        <v/>
      </c>
      <c r="H63" s="37">
        <f>IFERROR(INDEX('Fund Research'!$J$6:$J$505,MATCH(58,'Fund Research'!$W$6:$W$505,0)),"")</f>
        <v/>
      </c>
      <c r="I63" s="40">
        <f>IFERROR(INDEX('Fund Research'!$L$6:$L$505,MATCH(58,'Fund Research'!$W$6:$W$505,0)),"")</f>
        <v/>
      </c>
      <c r="J63" s="37">
        <f>IFERROR(INDEX('Fund Research'!$N$6:$N$505,MATCH(58,'Fund Research'!$W$6:$W$505,0)),"")</f>
        <v/>
      </c>
      <c r="K63" s="37">
        <f>IFERROR(INDEX('Fund Research'!$P$6:$P$505,MATCH(58,'Fund Research'!$W$6:$W$505,0)),"")</f>
        <v/>
      </c>
      <c r="L63" s="35">
        <f>IFERROR(INDEX('Fund Research'!$S$6:$S$505,MATCH(58,'Fund Research'!$W$6:$W$505,0)),"")</f>
        <v/>
      </c>
      <c r="M63" s="35">
        <f>IFERROR(INDEX('Fund Research'!$T$6:$T$505,MATCH(58,'Fund Research'!$W$6:$W$505,0)),"")</f>
        <v/>
      </c>
    </row>
    <row r="64" ht="15" customHeight="1">
      <c r="A64" s="34">
        <f>IFERROR(IF(INDEX('Fund Research'!$B$6:$B$505,MATCH(59,'Fund Research'!$W$6:$W$505,0))="","",59),"")</f>
        <v/>
      </c>
      <c r="B64" s="35">
        <f>IFERROR(INDEX('Fund Research'!$A$6:$A$505,MATCH(59,'Fund Research'!$W$6:$W$505,0)),"")</f>
        <v/>
      </c>
      <c r="C64" s="35">
        <f>IFERROR(INDEX('Fund Research'!$B$6:$B$505,MATCH(59,'Fund Research'!$W$6:$W$505,0)),"")</f>
        <v/>
      </c>
      <c r="D64" s="35">
        <f>IFERROR(INDEX('Fund Research'!$C$6:$C$505,MATCH(59,'Fund Research'!$W$6:$W$505,0)),"")</f>
        <v/>
      </c>
      <c r="E64" s="36">
        <f>IFERROR(INDEX('Fund Research'!$G$6:$G$505,MATCH(59,'Fund Research'!$W$6:$W$505,0)),"")</f>
        <v/>
      </c>
      <c r="F64" s="36">
        <f>IFERROR(INDEX('Fund Research'!$H$6:$H$505,MATCH(59,'Fund Research'!$W$6:$W$505,0)),"")</f>
        <v/>
      </c>
      <c r="G64" s="36">
        <f>IFERROR(INDEX('Fund Research'!$I$6:$I$505,MATCH(59,'Fund Research'!$W$6:$W$505,0)),"")</f>
        <v/>
      </c>
      <c r="H64" s="37">
        <f>IFERROR(INDEX('Fund Research'!$J$6:$J$505,MATCH(59,'Fund Research'!$W$6:$W$505,0)),"")</f>
        <v/>
      </c>
      <c r="I64" s="40">
        <f>IFERROR(INDEX('Fund Research'!$L$6:$L$505,MATCH(59,'Fund Research'!$W$6:$W$505,0)),"")</f>
        <v/>
      </c>
      <c r="J64" s="37">
        <f>IFERROR(INDEX('Fund Research'!$N$6:$N$505,MATCH(59,'Fund Research'!$W$6:$W$505,0)),"")</f>
        <v/>
      </c>
      <c r="K64" s="37">
        <f>IFERROR(INDEX('Fund Research'!$P$6:$P$505,MATCH(59,'Fund Research'!$W$6:$W$505,0)),"")</f>
        <v/>
      </c>
      <c r="L64" s="35">
        <f>IFERROR(INDEX('Fund Research'!$S$6:$S$505,MATCH(59,'Fund Research'!$W$6:$W$505,0)),"")</f>
        <v/>
      </c>
      <c r="M64" s="35">
        <f>IFERROR(INDEX('Fund Research'!$T$6:$T$505,MATCH(59,'Fund Research'!$W$6:$W$505,0)),"")</f>
        <v/>
      </c>
    </row>
    <row r="65" ht="15" customHeight="1">
      <c r="A65" s="34">
        <f>IFERROR(IF(INDEX('Fund Research'!$B$6:$B$505,MATCH(60,'Fund Research'!$W$6:$W$505,0))="","",60),"")</f>
        <v/>
      </c>
      <c r="B65" s="35">
        <f>IFERROR(INDEX('Fund Research'!$A$6:$A$505,MATCH(60,'Fund Research'!$W$6:$W$505,0)),"")</f>
        <v/>
      </c>
      <c r="C65" s="35">
        <f>IFERROR(INDEX('Fund Research'!$B$6:$B$505,MATCH(60,'Fund Research'!$W$6:$W$505,0)),"")</f>
        <v/>
      </c>
      <c r="D65" s="35">
        <f>IFERROR(INDEX('Fund Research'!$C$6:$C$505,MATCH(60,'Fund Research'!$W$6:$W$505,0)),"")</f>
        <v/>
      </c>
      <c r="E65" s="36">
        <f>IFERROR(INDEX('Fund Research'!$G$6:$G$505,MATCH(60,'Fund Research'!$W$6:$W$505,0)),"")</f>
        <v/>
      </c>
      <c r="F65" s="36">
        <f>IFERROR(INDEX('Fund Research'!$H$6:$H$505,MATCH(60,'Fund Research'!$W$6:$W$505,0)),"")</f>
        <v/>
      </c>
      <c r="G65" s="36">
        <f>IFERROR(INDEX('Fund Research'!$I$6:$I$505,MATCH(60,'Fund Research'!$W$6:$W$505,0)),"")</f>
        <v/>
      </c>
      <c r="H65" s="37">
        <f>IFERROR(INDEX('Fund Research'!$J$6:$J$505,MATCH(60,'Fund Research'!$W$6:$W$505,0)),"")</f>
        <v/>
      </c>
      <c r="I65" s="40">
        <f>IFERROR(INDEX('Fund Research'!$L$6:$L$505,MATCH(60,'Fund Research'!$W$6:$W$505,0)),"")</f>
        <v/>
      </c>
      <c r="J65" s="37">
        <f>IFERROR(INDEX('Fund Research'!$N$6:$N$505,MATCH(60,'Fund Research'!$W$6:$W$505,0)),"")</f>
        <v/>
      </c>
      <c r="K65" s="37">
        <f>IFERROR(INDEX('Fund Research'!$P$6:$P$505,MATCH(60,'Fund Research'!$W$6:$W$505,0)),"")</f>
        <v/>
      </c>
      <c r="L65" s="35">
        <f>IFERROR(INDEX('Fund Research'!$S$6:$S$505,MATCH(60,'Fund Research'!$W$6:$W$505,0)),"")</f>
        <v/>
      </c>
      <c r="M65" s="35">
        <f>IFERROR(INDEX('Fund Research'!$T$6:$T$505,MATCH(60,'Fund Research'!$W$6:$W$505,0)),"")</f>
        <v/>
      </c>
    </row>
    <row r="66" ht="15" customHeight="1">
      <c r="A66" s="34">
        <f>IFERROR(IF(INDEX('Fund Research'!$B$6:$B$505,MATCH(61,'Fund Research'!$W$6:$W$505,0))="","",61),"")</f>
        <v/>
      </c>
      <c r="B66" s="35">
        <f>IFERROR(INDEX('Fund Research'!$A$6:$A$505,MATCH(61,'Fund Research'!$W$6:$W$505,0)),"")</f>
        <v/>
      </c>
      <c r="C66" s="35">
        <f>IFERROR(INDEX('Fund Research'!$B$6:$B$505,MATCH(61,'Fund Research'!$W$6:$W$505,0)),"")</f>
        <v/>
      </c>
      <c r="D66" s="35">
        <f>IFERROR(INDEX('Fund Research'!$C$6:$C$505,MATCH(61,'Fund Research'!$W$6:$W$505,0)),"")</f>
        <v/>
      </c>
      <c r="E66" s="36">
        <f>IFERROR(INDEX('Fund Research'!$G$6:$G$505,MATCH(61,'Fund Research'!$W$6:$W$505,0)),"")</f>
        <v/>
      </c>
      <c r="F66" s="36">
        <f>IFERROR(INDEX('Fund Research'!$H$6:$H$505,MATCH(61,'Fund Research'!$W$6:$W$505,0)),"")</f>
        <v/>
      </c>
      <c r="G66" s="36">
        <f>IFERROR(INDEX('Fund Research'!$I$6:$I$505,MATCH(61,'Fund Research'!$W$6:$W$505,0)),"")</f>
        <v/>
      </c>
      <c r="H66" s="37">
        <f>IFERROR(INDEX('Fund Research'!$J$6:$J$505,MATCH(61,'Fund Research'!$W$6:$W$505,0)),"")</f>
        <v/>
      </c>
      <c r="I66" s="40">
        <f>IFERROR(INDEX('Fund Research'!$L$6:$L$505,MATCH(61,'Fund Research'!$W$6:$W$505,0)),"")</f>
        <v/>
      </c>
      <c r="J66" s="37">
        <f>IFERROR(INDEX('Fund Research'!$N$6:$N$505,MATCH(61,'Fund Research'!$W$6:$W$505,0)),"")</f>
        <v/>
      </c>
      <c r="K66" s="37">
        <f>IFERROR(INDEX('Fund Research'!$P$6:$P$505,MATCH(61,'Fund Research'!$W$6:$W$505,0)),"")</f>
        <v/>
      </c>
      <c r="L66" s="35">
        <f>IFERROR(INDEX('Fund Research'!$S$6:$S$505,MATCH(61,'Fund Research'!$W$6:$W$505,0)),"")</f>
        <v/>
      </c>
      <c r="M66" s="35">
        <f>IFERROR(INDEX('Fund Research'!$T$6:$T$505,MATCH(61,'Fund Research'!$W$6:$W$505,0)),"")</f>
        <v/>
      </c>
    </row>
    <row r="67" ht="15" customHeight="1">
      <c r="A67" s="34">
        <f>IFERROR(IF(INDEX('Fund Research'!$B$6:$B$505,MATCH(62,'Fund Research'!$W$6:$W$505,0))="","",62),"")</f>
        <v/>
      </c>
      <c r="B67" s="35">
        <f>IFERROR(INDEX('Fund Research'!$A$6:$A$505,MATCH(62,'Fund Research'!$W$6:$W$505,0)),"")</f>
        <v/>
      </c>
      <c r="C67" s="35">
        <f>IFERROR(INDEX('Fund Research'!$B$6:$B$505,MATCH(62,'Fund Research'!$W$6:$W$505,0)),"")</f>
        <v/>
      </c>
      <c r="D67" s="35">
        <f>IFERROR(INDEX('Fund Research'!$C$6:$C$505,MATCH(62,'Fund Research'!$W$6:$W$505,0)),"")</f>
        <v/>
      </c>
      <c r="E67" s="36">
        <f>IFERROR(INDEX('Fund Research'!$G$6:$G$505,MATCH(62,'Fund Research'!$W$6:$W$505,0)),"")</f>
        <v/>
      </c>
      <c r="F67" s="36">
        <f>IFERROR(INDEX('Fund Research'!$H$6:$H$505,MATCH(62,'Fund Research'!$W$6:$W$505,0)),"")</f>
        <v/>
      </c>
      <c r="G67" s="36">
        <f>IFERROR(INDEX('Fund Research'!$I$6:$I$505,MATCH(62,'Fund Research'!$W$6:$W$505,0)),"")</f>
        <v/>
      </c>
      <c r="H67" s="37">
        <f>IFERROR(INDEX('Fund Research'!$J$6:$J$505,MATCH(62,'Fund Research'!$W$6:$W$505,0)),"")</f>
        <v/>
      </c>
      <c r="I67" s="40">
        <f>IFERROR(INDEX('Fund Research'!$L$6:$L$505,MATCH(62,'Fund Research'!$W$6:$W$505,0)),"")</f>
        <v/>
      </c>
      <c r="J67" s="37">
        <f>IFERROR(INDEX('Fund Research'!$N$6:$N$505,MATCH(62,'Fund Research'!$W$6:$W$505,0)),"")</f>
        <v/>
      </c>
      <c r="K67" s="37">
        <f>IFERROR(INDEX('Fund Research'!$P$6:$P$505,MATCH(62,'Fund Research'!$W$6:$W$505,0)),"")</f>
        <v/>
      </c>
      <c r="L67" s="35">
        <f>IFERROR(INDEX('Fund Research'!$S$6:$S$505,MATCH(62,'Fund Research'!$W$6:$W$505,0)),"")</f>
        <v/>
      </c>
      <c r="M67" s="35">
        <f>IFERROR(INDEX('Fund Research'!$T$6:$T$505,MATCH(62,'Fund Research'!$W$6:$W$505,0)),"")</f>
        <v/>
      </c>
    </row>
    <row r="68" ht="15" customHeight="1">
      <c r="A68" s="34">
        <f>IFERROR(IF(INDEX('Fund Research'!$B$6:$B$505,MATCH(63,'Fund Research'!$W$6:$W$505,0))="","",63),"")</f>
        <v/>
      </c>
      <c r="B68" s="35">
        <f>IFERROR(INDEX('Fund Research'!$A$6:$A$505,MATCH(63,'Fund Research'!$W$6:$W$505,0)),"")</f>
        <v/>
      </c>
      <c r="C68" s="35">
        <f>IFERROR(INDEX('Fund Research'!$B$6:$B$505,MATCH(63,'Fund Research'!$W$6:$W$505,0)),"")</f>
        <v/>
      </c>
      <c r="D68" s="35">
        <f>IFERROR(INDEX('Fund Research'!$C$6:$C$505,MATCH(63,'Fund Research'!$W$6:$W$505,0)),"")</f>
        <v/>
      </c>
      <c r="E68" s="36">
        <f>IFERROR(INDEX('Fund Research'!$G$6:$G$505,MATCH(63,'Fund Research'!$W$6:$W$505,0)),"")</f>
        <v/>
      </c>
      <c r="F68" s="36">
        <f>IFERROR(INDEX('Fund Research'!$H$6:$H$505,MATCH(63,'Fund Research'!$W$6:$W$505,0)),"")</f>
        <v/>
      </c>
      <c r="G68" s="36">
        <f>IFERROR(INDEX('Fund Research'!$I$6:$I$505,MATCH(63,'Fund Research'!$W$6:$W$505,0)),"")</f>
        <v/>
      </c>
      <c r="H68" s="37">
        <f>IFERROR(INDEX('Fund Research'!$J$6:$J$505,MATCH(63,'Fund Research'!$W$6:$W$505,0)),"")</f>
        <v/>
      </c>
      <c r="I68" s="40">
        <f>IFERROR(INDEX('Fund Research'!$L$6:$L$505,MATCH(63,'Fund Research'!$W$6:$W$505,0)),"")</f>
        <v/>
      </c>
      <c r="J68" s="37">
        <f>IFERROR(INDEX('Fund Research'!$N$6:$N$505,MATCH(63,'Fund Research'!$W$6:$W$505,0)),"")</f>
        <v/>
      </c>
      <c r="K68" s="37">
        <f>IFERROR(INDEX('Fund Research'!$P$6:$P$505,MATCH(63,'Fund Research'!$W$6:$W$505,0)),"")</f>
        <v/>
      </c>
      <c r="L68" s="35">
        <f>IFERROR(INDEX('Fund Research'!$S$6:$S$505,MATCH(63,'Fund Research'!$W$6:$W$505,0)),"")</f>
        <v/>
      </c>
      <c r="M68" s="35">
        <f>IFERROR(INDEX('Fund Research'!$T$6:$T$505,MATCH(63,'Fund Research'!$W$6:$W$505,0)),"")</f>
        <v/>
      </c>
    </row>
    <row r="69" ht="15" customHeight="1">
      <c r="A69" s="34">
        <f>IFERROR(IF(INDEX('Fund Research'!$B$6:$B$505,MATCH(64,'Fund Research'!$W$6:$W$505,0))="","",64),"")</f>
        <v/>
      </c>
      <c r="B69" s="35">
        <f>IFERROR(INDEX('Fund Research'!$A$6:$A$505,MATCH(64,'Fund Research'!$W$6:$W$505,0)),"")</f>
        <v/>
      </c>
      <c r="C69" s="35">
        <f>IFERROR(INDEX('Fund Research'!$B$6:$B$505,MATCH(64,'Fund Research'!$W$6:$W$505,0)),"")</f>
        <v/>
      </c>
      <c r="D69" s="35">
        <f>IFERROR(INDEX('Fund Research'!$C$6:$C$505,MATCH(64,'Fund Research'!$W$6:$W$505,0)),"")</f>
        <v/>
      </c>
      <c r="E69" s="36">
        <f>IFERROR(INDEX('Fund Research'!$G$6:$G$505,MATCH(64,'Fund Research'!$W$6:$W$505,0)),"")</f>
        <v/>
      </c>
      <c r="F69" s="36">
        <f>IFERROR(INDEX('Fund Research'!$H$6:$H$505,MATCH(64,'Fund Research'!$W$6:$W$505,0)),"")</f>
        <v/>
      </c>
      <c r="G69" s="36">
        <f>IFERROR(INDEX('Fund Research'!$I$6:$I$505,MATCH(64,'Fund Research'!$W$6:$W$505,0)),"")</f>
        <v/>
      </c>
      <c r="H69" s="37">
        <f>IFERROR(INDEX('Fund Research'!$J$6:$J$505,MATCH(64,'Fund Research'!$W$6:$W$505,0)),"")</f>
        <v/>
      </c>
      <c r="I69" s="40">
        <f>IFERROR(INDEX('Fund Research'!$L$6:$L$505,MATCH(64,'Fund Research'!$W$6:$W$505,0)),"")</f>
        <v/>
      </c>
      <c r="J69" s="37">
        <f>IFERROR(INDEX('Fund Research'!$N$6:$N$505,MATCH(64,'Fund Research'!$W$6:$W$505,0)),"")</f>
        <v/>
      </c>
      <c r="K69" s="37">
        <f>IFERROR(INDEX('Fund Research'!$P$6:$P$505,MATCH(64,'Fund Research'!$W$6:$W$505,0)),"")</f>
        <v/>
      </c>
      <c r="L69" s="35">
        <f>IFERROR(INDEX('Fund Research'!$S$6:$S$505,MATCH(64,'Fund Research'!$W$6:$W$505,0)),"")</f>
        <v/>
      </c>
      <c r="M69" s="35">
        <f>IFERROR(INDEX('Fund Research'!$T$6:$T$505,MATCH(64,'Fund Research'!$W$6:$W$505,0)),"")</f>
        <v/>
      </c>
    </row>
    <row r="70" ht="15" customHeight="1">
      <c r="A70" s="34">
        <f>IFERROR(IF(INDEX('Fund Research'!$B$6:$B$505,MATCH(65,'Fund Research'!$W$6:$W$505,0))="","",65),"")</f>
        <v/>
      </c>
      <c r="B70" s="35">
        <f>IFERROR(INDEX('Fund Research'!$A$6:$A$505,MATCH(65,'Fund Research'!$W$6:$W$505,0)),"")</f>
        <v/>
      </c>
      <c r="C70" s="35">
        <f>IFERROR(INDEX('Fund Research'!$B$6:$B$505,MATCH(65,'Fund Research'!$W$6:$W$505,0)),"")</f>
        <v/>
      </c>
      <c r="D70" s="35">
        <f>IFERROR(INDEX('Fund Research'!$C$6:$C$505,MATCH(65,'Fund Research'!$W$6:$W$505,0)),"")</f>
        <v/>
      </c>
      <c r="E70" s="36">
        <f>IFERROR(INDEX('Fund Research'!$G$6:$G$505,MATCH(65,'Fund Research'!$W$6:$W$505,0)),"")</f>
        <v/>
      </c>
      <c r="F70" s="36">
        <f>IFERROR(INDEX('Fund Research'!$H$6:$H$505,MATCH(65,'Fund Research'!$W$6:$W$505,0)),"")</f>
        <v/>
      </c>
      <c r="G70" s="36">
        <f>IFERROR(INDEX('Fund Research'!$I$6:$I$505,MATCH(65,'Fund Research'!$W$6:$W$505,0)),"")</f>
        <v/>
      </c>
      <c r="H70" s="37">
        <f>IFERROR(INDEX('Fund Research'!$J$6:$J$505,MATCH(65,'Fund Research'!$W$6:$W$505,0)),"")</f>
        <v/>
      </c>
      <c r="I70" s="40">
        <f>IFERROR(INDEX('Fund Research'!$L$6:$L$505,MATCH(65,'Fund Research'!$W$6:$W$505,0)),"")</f>
        <v/>
      </c>
      <c r="J70" s="37">
        <f>IFERROR(INDEX('Fund Research'!$N$6:$N$505,MATCH(65,'Fund Research'!$W$6:$W$505,0)),"")</f>
        <v/>
      </c>
      <c r="K70" s="37">
        <f>IFERROR(INDEX('Fund Research'!$P$6:$P$505,MATCH(65,'Fund Research'!$W$6:$W$505,0)),"")</f>
        <v/>
      </c>
      <c r="L70" s="35">
        <f>IFERROR(INDEX('Fund Research'!$S$6:$S$505,MATCH(65,'Fund Research'!$W$6:$W$505,0)),"")</f>
        <v/>
      </c>
      <c r="M70" s="35">
        <f>IFERROR(INDEX('Fund Research'!$T$6:$T$505,MATCH(65,'Fund Research'!$W$6:$W$505,0)),"")</f>
        <v/>
      </c>
    </row>
    <row r="71" ht="15" customHeight="1">
      <c r="A71" s="34">
        <f>IFERROR(IF(INDEX('Fund Research'!$B$6:$B$505,MATCH(66,'Fund Research'!$W$6:$W$505,0))="","",66),"")</f>
        <v/>
      </c>
      <c r="B71" s="35">
        <f>IFERROR(INDEX('Fund Research'!$A$6:$A$505,MATCH(66,'Fund Research'!$W$6:$W$505,0)),"")</f>
        <v/>
      </c>
      <c r="C71" s="35">
        <f>IFERROR(INDEX('Fund Research'!$B$6:$B$505,MATCH(66,'Fund Research'!$W$6:$W$505,0)),"")</f>
        <v/>
      </c>
      <c r="D71" s="35">
        <f>IFERROR(INDEX('Fund Research'!$C$6:$C$505,MATCH(66,'Fund Research'!$W$6:$W$505,0)),"")</f>
        <v/>
      </c>
      <c r="E71" s="36">
        <f>IFERROR(INDEX('Fund Research'!$G$6:$G$505,MATCH(66,'Fund Research'!$W$6:$W$505,0)),"")</f>
        <v/>
      </c>
      <c r="F71" s="36">
        <f>IFERROR(INDEX('Fund Research'!$H$6:$H$505,MATCH(66,'Fund Research'!$W$6:$W$505,0)),"")</f>
        <v/>
      </c>
      <c r="G71" s="36">
        <f>IFERROR(INDEX('Fund Research'!$I$6:$I$505,MATCH(66,'Fund Research'!$W$6:$W$505,0)),"")</f>
        <v/>
      </c>
      <c r="H71" s="37">
        <f>IFERROR(INDEX('Fund Research'!$J$6:$J$505,MATCH(66,'Fund Research'!$W$6:$W$505,0)),"")</f>
        <v/>
      </c>
      <c r="I71" s="40">
        <f>IFERROR(INDEX('Fund Research'!$L$6:$L$505,MATCH(66,'Fund Research'!$W$6:$W$505,0)),"")</f>
        <v/>
      </c>
      <c r="J71" s="37">
        <f>IFERROR(INDEX('Fund Research'!$N$6:$N$505,MATCH(66,'Fund Research'!$W$6:$W$505,0)),"")</f>
        <v/>
      </c>
      <c r="K71" s="37">
        <f>IFERROR(INDEX('Fund Research'!$P$6:$P$505,MATCH(66,'Fund Research'!$W$6:$W$505,0)),"")</f>
        <v/>
      </c>
      <c r="L71" s="35">
        <f>IFERROR(INDEX('Fund Research'!$S$6:$S$505,MATCH(66,'Fund Research'!$W$6:$W$505,0)),"")</f>
        <v/>
      </c>
      <c r="M71" s="35">
        <f>IFERROR(INDEX('Fund Research'!$T$6:$T$505,MATCH(66,'Fund Research'!$W$6:$W$505,0)),"")</f>
        <v/>
      </c>
    </row>
    <row r="72" ht="15" customHeight="1">
      <c r="A72" s="34">
        <f>IFERROR(IF(INDEX('Fund Research'!$B$6:$B$505,MATCH(67,'Fund Research'!$W$6:$W$505,0))="","",67),"")</f>
        <v/>
      </c>
      <c r="B72" s="35">
        <f>IFERROR(INDEX('Fund Research'!$A$6:$A$505,MATCH(67,'Fund Research'!$W$6:$W$505,0)),"")</f>
        <v/>
      </c>
      <c r="C72" s="35">
        <f>IFERROR(INDEX('Fund Research'!$B$6:$B$505,MATCH(67,'Fund Research'!$W$6:$W$505,0)),"")</f>
        <v/>
      </c>
      <c r="D72" s="35">
        <f>IFERROR(INDEX('Fund Research'!$C$6:$C$505,MATCH(67,'Fund Research'!$W$6:$W$505,0)),"")</f>
        <v/>
      </c>
      <c r="E72" s="36">
        <f>IFERROR(INDEX('Fund Research'!$G$6:$G$505,MATCH(67,'Fund Research'!$W$6:$W$505,0)),"")</f>
        <v/>
      </c>
      <c r="F72" s="36">
        <f>IFERROR(INDEX('Fund Research'!$H$6:$H$505,MATCH(67,'Fund Research'!$W$6:$W$505,0)),"")</f>
        <v/>
      </c>
      <c r="G72" s="36">
        <f>IFERROR(INDEX('Fund Research'!$I$6:$I$505,MATCH(67,'Fund Research'!$W$6:$W$505,0)),"")</f>
        <v/>
      </c>
      <c r="H72" s="37">
        <f>IFERROR(INDEX('Fund Research'!$J$6:$J$505,MATCH(67,'Fund Research'!$W$6:$W$505,0)),"")</f>
        <v/>
      </c>
      <c r="I72" s="40">
        <f>IFERROR(INDEX('Fund Research'!$L$6:$L$505,MATCH(67,'Fund Research'!$W$6:$W$505,0)),"")</f>
        <v/>
      </c>
      <c r="J72" s="37">
        <f>IFERROR(INDEX('Fund Research'!$N$6:$N$505,MATCH(67,'Fund Research'!$W$6:$W$505,0)),"")</f>
        <v/>
      </c>
      <c r="K72" s="37">
        <f>IFERROR(INDEX('Fund Research'!$P$6:$P$505,MATCH(67,'Fund Research'!$W$6:$W$505,0)),"")</f>
        <v/>
      </c>
      <c r="L72" s="35">
        <f>IFERROR(INDEX('Fund Research'!$S$6:$S$505,MATCH(67,'Fund Research'!$W$6:$W$505,0)),"")</f>
        <v/>
      </c>
      <c r="M72" s="35">
        <f>IFERROR(INDEX('Fund Research'!$T$6:$T$505,MATCH(67,'Fund Research'!$W$6:$W$505,0)),"")</f>
        <v/>
      </c>
    </row>
    <row r="73" ht="15" customHeight="1">
      <c r="A73" s="34">
        <f>IFERROR(IF(INDEX('Fund Research'!$B$6:$B$505,MATCH(68,'Fund Research'!$W$6:$W$505,0))="","",68),"")</f>
        <v/>
      </c>
      <c r="B73" s="35">
        <f>IFERROR(INDEX('Fund Research'!$A$6:$A$505,MATCH(68,'Fund Research'!$W$6:$W$505,0)),"")</f>
        <v/>
      </c>
      <c r="C73" s="35">
        <f>IFERROR(INDEX('Fund Research'!$B$6:$B$505,MATCH(68,'Fund Research'!$W$6:$W$505,0)),"")</f>
        <v/>
      </c>
      <c r="D73" s="35">
        <f>IFERROR(INDEX('Fund Research'!$C$6:$C$505,MATCH(68,'Fund Research'!$W$6:$W$505,0)),"")</f>
        <v/>
      </c>
      <c r="E73" s="36">
        <f>IFERROR(INDEX('Fund Research'!$G$6:$G$505,MATCH(68,'Fund Research'!$W$6:$W$505,0)),"")</f>
        <v/>
      </c>
      <c r="F73" s="36">
        <f>IFERROR(INDEX('Fund Research'!$H$6:$H$505,MATCH(68,'Fund Research'!$W$6:$W$505,0)),"")</f>
        <v/>
      </c>
      <c r="G73" s="36">
        <f>IFERROR(INDEX('Fund Research'!$I$6:$I$505,MATCH(68,'Fund Research'!$W$6:$W$505,0)),"")</f>
        <v/>
      </c>
      <c r="H73" s="37">
        <f>IFERROR(INDEX('Fund Research'!$J$6:$J$505,MATCH(68,'Fund Research'!$W$6:$W$505,0)),"")</f>
        <v/>
      </c>
      <c r="I73" s="40">
        <f>IFERROR(INDEX('Fund Research'!$L$6:$L$505,MATCH(68,'Fund Research'!$W$6:$W$505,0)),"")</f>
        <v/>
      </c>
      <c r="J73" s="37">
        <f>IFERROR(INDEX('Fund Research'!$N$6:$N$505,MATCH(68,'Fund Research'!$W$6:$W$505,0)),"")</f>
        <v/>
      </c>
      <c r="K73" s="37">
        <f>IFERROR(INDEX('Fund Research'!$P$6:$P$505,MATCH(68,'Fund Research'!$W$6:$W$505,0)),"")</f>
        <v/>
      </c>
      <c r="L73" s="35">
        <f>IFERROR(INDEX('Fund Research'!$S$6:$S$505,MATCH(68,'Fund Research'!$W$6:$W$505,0)),"")</f>
        <v/>
      </c>
      <c r="M73" s="35">
        <f>IFERROR(INDEX('Fund Research'!$T$6:$T$505,MATCH(68,'Fund Research'!$W$6:$W$505,0)),"")</f>
        <v/>
      </c>
    </row>
    <row r="74" ht="15" customHeight="1">
      <c r="A74" s="34">
        <f>IFERROR(IF(INDEX('Fund Research'!$B$6:$B$505,MATCH(69,'Fund Research'!$W$6:$W$505,0))="","",69),"")</f>
        <v/>
      </c>
      <c r="B74" s="35">
        <f>IFERROR(INDEX('Fund Research'!$A$6:$A$505,MATCH(69,'Fund Research'!$W$6:$W$505,0)),"")</f>
        <v/>
      </c>
      <c r="C74" s="35">
        <f>IFERROR(INDEX('Fund Research'!$B$6:$B$505,MATCH(69,'Fund Research'!$W$6:$W$505,0)),"")</f>
        <v/>
      </c>
      <c r="D74" s="35">
        <f>IFERROR(INDEX('Fund Research'!$C$6:$C$505,MATCH(69,'Fund Research'!$W$6:$W$505,0)),"")</f>
        <v/>
      </c>
      <c r="E74" s="36">
        <f>IFERROR(INDEX('Fund Research'!$G$6:$G$505,MATCH(69,'Fund Research'!$W$6:$W$505,0)),"")</f>
        <v/>
      </c>
      <c r="F74" s="36">
        <f>IFERROR(INDEX('Fund Research'!$H$6:$H$505,MATCH(69,'Fund Research'!$W$6:$W$505,0)),"")</f>
        <v/>
      </c>
      <c r="G74" s="36">
        <f>IFERROR(INDEX('Fund Research'!$I$6:$I$505,MATCH(69,'Fund Research'!$W$6:$W$505,0)),"")</f>
        <v/>
      </c>
      <c r="H74" s="37">
        <f>IFERROR(INDEX('Fund Research'!$J$6:$J$505,MATCH(69,'Fund Research'!$W$6:$W$505,0)),"")</f>
        <v/>
      </c>
      <c r="I74" s="40">
        <f>IFERROR(INDEX('Fund Research'!$L$6:$L$505,MATCH(69,'Fund Research'!$W$6:$W$505,0)),"")</f>
        <v/>
      </c>
      <c r="J74" s="37">
        <f>IFERROR(INDEX('Fund Research'!$N$6:$N$505,MATCH(69,'Fund Research'!$W$6:$W$505,0)),"")</f>
        <v/>
      </c>
      <c r="K74" s="37">
        <f>IFERROR(INDEX('Fund Research'!$P$6:$P$505,MATCH(69,'Fund Research'!$W$6:$W$505,0)),"")</f>
        <v/>
      </c>
      <c r="L74" s="35">
        <f>IFERROR(INDEX('Fund Research'!$S$6:$S$505,MATCH(69,'Fund Research'!$W$6:$W$505,0)),"")</f>
        <v/>
      </c>
      <c r="M74" s="35">
        <f>IFERROR(INDEX('Fund Research'!$T$6:$T$505,MATCH(69,'Fund Research'!$W$6:$W$505,0)),"")</f>
        <v/>
      </c>
    </row>
    <row r="75" ht="15" customHeight="1">
      <c r="A75" s="34">
        <f>IFERROR(IF(INDEX('Fund Research'!$B$6:$B$505,MATCH(70,'Fund Research'!$W$6:$W$505,0))="","",70),"")</f>
        <v/>
      </c>
      <c r="B75" s="35">
        <f>IFERROR(INDEX('Fund Research'!$A$6:$A$505,MATCH(70,'Fund Research'!$W$6:$W$505,0)),"")</f>
        <v/>
      </c>
      <c r="C75" s="35">
        <f>IFERROR(INDEX('Fund Research'!$B$6:$B$505,MATCH(70,'Fund Research'!$W$6:$W$505,0)),"")</f>
        <v/>
      </c>
      <c r="D75" s="35">
        <f>IFERROR(INDEX('Fund Research'!$C$6:$C$505,MATCH(70,'Fund Research'!$W$6:$W$505,0)),"")</f>
        <v/>
      </c>
      <c r="E75" s="36">
        <f>IFERROR(INDEX('Fund Research'!$G$6:$G$505,MATCH(70,'Fund Research'!$W$6:$W$505,0)),"")</f>
        <v/>
      </c>
      <c r="F75" s="36">
        <f>IFERROR(INDEX('Fund Research'!$H$6:$H$505,MATCH(70,'Fund Research'!$W$6:$W$505,0)),"")</f>
        <v/>
      </c>
      <c r="G75" s="36">
        <f>IFERROR(INDEX('Fund Research'!$I$6:$I$505,MATCH(70,'Fund Research'!$W$6:$W$505,0)),"")</f>
        <v/>
      </c>
      <c r="H75" s="37">
        <f>IFERROR(INDEX('Fund Research'!$J$6:$J$505,MATCH(70,'Fund Research'!$W$6:$W$505,0)),"")</f>
        <v/>
      </c>
      <c r="I75" s="40">
        <f>IFERROR(INDEX('Fund Research'!$L$6:$L$505,MATCH(70,'Fund Research'!$W$6:$W$505,0)),"")</f>
        <v/>
      </c>
      <c r="J75" s="37">
        <f>IFERROR(INDEX('Fund Research'!$N$6:$N$505,MATCH(70,'Fund Research'!$W$6:$W$505,0)),"")</f>
        <v/>
      </c>
      <c r="K75" s="37">
        <f>IFERROR(INDEX('Fund Research'!$P$6:$P$505,MATCH(70,'Fund Research'!$W$6:$W$505,0)),"")</f>
        <v/>
      </c>
      <c r="L75" s="35">
        <f>IFERROR(INDEX('Fund Research'!$S$6:$S$505,MATCH(70,'Fund Research'!$W$6:$W$505,0)),"")</f>
        <v/>
      </c>
      <c r="M75" s="35">
        <f>IFERROR(INDEX('Fund Research'!$T$6:$T$505,MATCH(70,'Fund Research'!$W$6:$W$505,0)),"")</f>
        <v/>
      </c>
    </row>
    <row r="76" ht="15" customHeight="1">
      <c r="A76" s="34">
        <f>IFERROR(IF(INDEX('Fund Research'!$B$6:$B$505,MATCH(71,'Fund Research'!$W$6:$W$505,0))="","",71),"")</f>
        <v/>
      </c>
      <c r="B76" s="35">
        <f>IFERROR(INDEX('Fund Research'!$A$6:$A$505,MATCH(71,'Fund Research'!$W$6:$W$505,0)),"")</f>
        <v/>
      </c>
      <c r="C76" s="35">
        <f>IFERROR(INDEX('Fund Research'!$B$6:$B$505,MATCH(71,'Fund Research'!$W$6:$W$505,0)),"")</f>
        <v/>
      </c>
      <c r="D76" s="35">
        <f>IFERROR(INDEX('Fund Research'!$C$6:$C$505,MATCH(71,'Fund Research'!$W$6:$W$505,0)),"")</f>
        <v/>
      </c>
      <c r="E76" s="36">
        <f>IFERROR(INDEX('Fund Research'!$G$6:$G$505,MATCH(71,'Fund Research'!$W$6:$W$505,0)),"")</f>
        <v/>
      </c>
      <c r="F76" s="36">
        <f>IFERROR(INDEX('Fund Research'!$H$6:$H$505,MATCH(71,'Fund Research'!$W$6:$W$505,0)),"")</f>
        <v/>
      </c>
      <c r="G76" s="36">
        <f>IFERROR(INDEX('Fund Research'!$I$6:$I$505,MATCH(71,'Fund Research'!$W$6:$W$505,0)),"")</f>
        <v/>
      </c>
      <c r="H76" s="37">
        <f>IFERROR(INDEX('Fund Research'!$J$6:$J$505,MATCH(71,'Fund Research'!$W$6:$W$505,0)),"")</f>
        <v/>
      </c>
      <c r="I76" s="40">
        <f>IFERROR(INDEX('Fund Research'!$L$6:$L$505,MATCH(71,'Fund Research'!$W$6:$W$505,0)),"")</f>
        <v/>
      </c>
      <c r="J76" s="37">
        <f>IFERROR(INDEX('Fund Research'!$N$6:$N$505,MATCH(71,'Fund Research'!$W$6:$W$505,0)),"")</f>
        <v/>
      </c>
      <c r="K76" s="37">
        <f>IFERROR(INDEX('Fund Research'!$P$6:$P$505,MATCH(71,'Fund Research'!$W$6:$W$505,0)),"")</f>
        <v/>
      </c>
      <c r="L76" s="35">
        <f>IFERROR(INDEX('Fund Research'!$S$6:$S$505,MATCH(71,'Fund Research'!$W$6:$W$505,0)),"")</f>
        <v/>
      </c>
      <c r="M76" s="35">
        <f>IFERROR(INDEX('Fund Research'!$T$6:$T$505,MATCH(71,'Fund Research'!$W$6:$W$505,0)),"")</f>
        <v/>
      </c>
    </row>
    <row r="77" ht="15" customHeight="1">
      <c r="A77" s="34">
        <f>IFERROR(IF(INDEX('Fund Research'!$B$6:$B$505,MATCH(72,'Fund Research'!$W$6:$W$505,0))="","",72),"")</f>
        <v/>
      </c>
      <c r="B77" s="35">
        <f>IFERROR(INDEX('Fund Research'!$A$6:$A$505,MATCH(72,'Fund Research'!$W$6:$W$505,0)),"")</f>
        <v/>
      </c>
      <c r="C77" s="35">
        <f>IFERROR(INDEX('Fund Research'!$B$6:$B$505,MATCH(72,'Fund Research'!$W$6:$W$505,0)),"")</f>
        <v/>
      </c>
      <c r="D77" s="35">
        <f>IFERROR(INDEX('Fund Research'!$C$6:$C$505,MATCH(72,'Fund Research'!$W$6:$W$505,0)),"")</f>
        <v/>
      </c>
      <c r="E77" s="36">
        <f>IFERROR(INDEX('Fund Research'!$G$6:$G$505,MATCH(72,'Fund Research'!$W$6:$W$505,0)),"")</f>
        <v/>
      </c>
      <c r="F77" s="36">
        <f>IFERROR(INDEX('Fund Research'!$H$6:$H$505,MATCH(72,'Fund Research'!$W$6:$W$505,0)),"")</f>
        <v/>
      </c>
      <c r="G77" s="36">
        <f>IFERROR(INDEX('Fund Research'!$I$6:$I$505,MATCH(72,'Fund Research'!$W$6:$W$505,0)),"")</f>
        <v/>
      </c>
      <c r="H77" s="37">
        <f>IFERROR(INDEX('Fund Research'!$J$6:$J$505,MATCH(72,'Fund Research'!$W$6:$W$505,0)),"")</f>
        <v/>
      </c>
      <c r="I77" s="40">
        <f>IFERROR(INDEX('Fund Research'!$L$6:$L$505,MATCH(72,'Fund Research'!$W$6:$W$505,0)),"")</f>
        <v/>
      </c>
      <c r="J77" s="37">
        <f>IFERROR(INDEX('Fund Research'!$N$6:$N$505,MATCH(72,'Fund Research'!$W$6:$W$505,0)),"")</f>
        <v/>
      </c>
      <c r="K77" s="37">
        <f>IFERROR(INDEX('Fund Research'!$P$6:$P$505,MATCH(72,'Fund Research'!$W$6:$W$505,0)),"")</f>
        <v/>
      </c>
      <c r="L77" s="35">
        <f>IFERROR(INDEX('Fund Research'!$S$6:$S$505,MATCH(72,'Fund Research'!$W$6:$W$505,0)),"")</f>
        <v/>
      </c>
      <c r="M77" s="35">
        <f>IFERROR(INDEX('Fund Research'!$T$6:$T$505,MATCH(72,'Fund Research'!$W$6:$W$505,0)),"")</f>
        <v/>
      </c>
    </row>
    <row r="78" ht="15" customHeight="1">
      <c r="A78" s="34">
        <f>IFERROR(IF(INDEX('Fund Research'!$B$6:$B$505,MATCH(73,'Fund Research'!$W$6:$W$505,0))="","",73),"")</f>
        <v/>
      </c>
      <c r="B78" s="35">
        <f>IFERROR(INDEX('Fund Research'!$A$6:$A$505,MATCH(73,'Fund Research'!$W$6:$W$505,0)),"")</f>
        <v/>
      </c>
      <c r="C78" s="35">
        <f>IFERROR(INDEX('Fund Research'!$B$6:$B$505,MATCH(73,'Fund Research'!$W$6:$W$505,0)),"")</f>
        <v/>
      </c>
      <c r="D78" s="35">
        <f>IFERROR(INDEX('Fund Research'!$C$6:$C$505,MATCH(73,'Fund Research'!$W$6:$W$505,0)),"")</f>
        <v/>
      </c>
      <c r="E78" s="36">
        <f>IFERROR(INDEX('Fund Research'!$G$6:$G$505,MATCH(73,'Fund Research'!$W$6:$W$505,0)),"")</f>
        <v/>
      </c>
      <c r="F78" s="36">
        <f>IFERROR(INDEX('Fund Research'!$H$6:$H$505,MATCH(73,'Fund Research'!$W$6:$W$505,0)),"")</f>
        <v/>
      </c>
      <c r="G78" s="36">
        <f>IFERROR(INDEX('Fund Research'!$I$6:$I$505,MATCH(73,'Fund Research'!$W$6:$W$505,0)),"")</f>
        <v/>
      </c>
      <c r="H78" s="37">
        <f>IFERROR(INDEX('Fund Research'!$J$6:$J$505,MATCH(73,'Fund Research'!$W$6:$W$505,0)),"")</f>
        <v/>
      </c>
      <c r="I78" s="40">
        <f>IFERROR(INDEX('Fund Research'!$L$6:$L$505,MATCH(73,'Fund Research'!$W$6:$W$505,0)),"")</f>
        <v/>
      </c>
      <c r="J78" s="37">
        <f>IFERROR(INDEX('Fund Research'!$N$6:$N$505,MATCH(73,'Fund Research'!$W$6:$W$505,0)),"")</f>
        <v/>
      </c>
      <c r="K78" s="37">
        <f>IFERROR(INDEX('Fund Research'!$P$6:$P$505,MATCH(73,'Fund Research'!$W$6:$W$505,0)),"")</f>
        <v/>
      </c>
      <c r="L78" s="35">
        <f>IFERROR(INDEX('Fund Research'!$S$6:$S$505,MATCH(73,'Fund Research'!$W$6:$W$505,0)),"")</f>
        <v/>
      </c>
      <c r="M78" s="35">
        <f>IFERROR(INDEX('Fund Research'!$T$6:$T$505,MATCH(73,'Fund Research'!$W$6:$W$505,0)),"")</f>
        <v/>
      </c>
    </row>
    <row r="79" ht="15" customHeight="1">
      <c r="A79" s="34">
        <f>IFERROR(IF(INDEX('Fund Research'!$B$6:$B$505,MATCH(74,'Fund Research'!$W$6:$W$505,0))="","",74),"")</f>
        <v/>
      </c>
      <c r="B79" s="35">
        <f>IFERROR(INDEX('Fund Research'!$A$6:$A$505,MATCH(74,'Fund Research'!$W$6:$W$505,0)),"")</f>
        <v/>
      </c>
      <c r="C79" s="35">
        <f>IFERROR(INDEX('Fund Research'!$B$6:$B$505,MATCH(74,'Fund Research'!$W$6:$W$505,0)),"")</f>
        <v/>
      </c>
      <c r="D79" s="35">
        <f>IFERROR(INDEX('Fund Research'!$C$6:$C$505,MATCH(74,'Fund Research'!$W$6:$W$505,0)),"")</f>
        <v/>
      </c>
      <c r="E79" s="36">
        <f>IFERROR(INDEX('Fund Research'!$G$6:$G$505,MATCH(74,'Fund Research'!$W$6:$W$505,0)),"")</f>
        <v/>
      </c>
      <c r="F79" s="36">
        <f>IFERROR(INDEX('Fund Research'!$H$6:$H$505,MATCH(74,'Fund Research'!$W$6:$W$505,0)),"")</f>
        <v/>
      </c>
      <c r="G79" s="36">
        <f>IFERROR(INDEX('Fund Research'!$I$6:$I$505,MATCH(74,'Fund Research'!$W$6:$W$505,0)),"")</f>
        <v/>
      </c>
      <c r="H79" s="37">
        <f>IFERROR(INDEX('Fund Research'!$J$6:$J$505,MATCH(74,'Fund Research'!$W$6:$W$505,0)),"")</f>
        <v/>
      </c>
      <c r="I79" s="40">
        <f>IFERROR(INDEX('Fund Research'!$L$6:$L$505,MATCH(74,'Fund Research'!$W$6:$W$505,0)),"")</f>
        <v/>
      </c>
      <c r="J79" s="37">
        <f>IFERROR(INDEX('Fund Research'!$N$6:$N$505,MATCH(74,'Fund Research'!$W$6:$W$505,0)),"")</f>
        <v/>
      </c>
      <c r="K79" s="37">
        <f>IFERROR(INDEX('Fund Research'!$P$6:$P$505,MATCH(74,'Fund Research'!$W$6:$W$505,0)),"")</f>
        <v/>
      </c>
      <c r="L79" s="35">
        <f>IFERROR(INDEX('Fund Research'!$S$6:$S$505,MATCH(74,'Fund Research'!$W$6:$W$505,0)),"")</f>
        <v/>
      </c>
      <c r="M79" s="35">
        <f>IFERROR(INDEX('Fund Research'!$T$6:$T$505,MATCH(74,'Fund Research'!$W$6:$W$505,0)),"")</f>
        <v/>
      </c>
    </row>
    <row r="80" ht="15" customHeight="1">
      <c r="A80" s="34">
        <f>IFERROR(IF(INDEX('Fund Research'!$B$6:$B$505,MATCH(75,'Fund Research'!$W$6:$W$505,0))="","",75),"")</f>
        <v/>
      </c>
      <c r="B80" s="35">
        <f>IFERROR(INDEX('Fund Research'!$A$6:$A$505,MATCH(75,'Fund Research'!$W$6:$W$505,0)),"")</f>
        <v/>
      </c>
      <c r="C80" s="35">
        <f>IFERROR(INDEX('Fund Research'!$B$6:$B$505,MATCH(75,'Fund Research'!$W$6:$W$505,0)),"")</f>
        <v/>
      </c>
      <c r="D80" s="35">
        <f>IFERROR(INDEX('Fund Research'!$C$6:$C$505,MATCH(75,'Fund Research'!$W$6:$W$505,0)),"")</f>
        <v/>
      </c>
      <c r="E80" s="36">
        <f>IFERROR(INDEX('Fund Research'!$G$6:$G$505,MATCH(75,'Fund Research'!$W$6:$W$505,0)),"")</f>
        <v/>
      </c>
      <c r="F80" s="36">
        <f>IFERROR(INDEX('Fund Research'!$H$6:$H$505,MATCH(75,'Fund Research'!$W$6:$W$505,0)),"")</f>
        <v/>
      </c>
      <c r="G80" s="36">
        <f>IFERROR(INDEX('Fund Research'!$I$6:$I$505,MATCH(75,'Fund Research'!$W$6:$W$505,0)),"")</f>
        <v/>
      </c>
      <c r="H80" s="37">
        <f>IFERROR(INDEX('Fund Research'!$J$6:$J$505,MATCH(75,'Fund Research'!$W$6:$W$505,0)),"")</f>
        <v/>
      </c>
      <c r="I80" s="40">
        <f>IFERROR(INDEX('Fund Research'!$L$6:$L$505,MATCH(75,'Fund Research'!$W$6:$W$505,0)),"")</f>
        <v/>
      </c>
      <c r="J80" s="37">
        <f>IFERROR(INDEX('Fund Research'!$N$6:$N$505,MATCH(75,'Fund Research'!$W$6:$W$505,0)),"")</f>
        <v/>
      </c>
      <c r="K80" s="37">
        <f>IFERROR(INDEX('Fund Research'!$P$6:$P$505,MATCH(75,'Fund Research'!$W$6:$W$505,0)),"")</f>
        <v/>
      </c>
      <c r="L80" s="35">
        <f>IFERROR(INDEX('Fund Research'!$S$6:$S$505,MATCH(75,'Fund Research'!$W$6:$W$505,0)),"")</f>
        <v/>
      </c>
      <c r="M80" s="35">
        <f>IFERROR(INDEX('Fund Research'!$T$6:$T$505,MATCH(75,'Fund Research'!$W$6:$W$505,0)),"")</f>
        <v/>
      </c>
    </row>
    <row r="81" ht="15" customHeight="1">
      <c r="A81" s="34">
        <f>IFERROR(IF(INDEX('Fund Research'!$B$6:$B$505,MATCH(76,'Fund Research'!$W$6:$W$505,0))="","",76),"")</f>
        <v/>
      </c>
      <c r="B81" s="35">
        <f>IFERROR(INDEX('Fund Research'!$A$6:$A$505,MATCH(76,'Fund Research'!$W$6:$W$505,0)),"")</f>
        <v/>
      </c>
      <c r="C81" s="35">
        <f>IFERROR(INDEX('Fund Research'!$B$6:$B$505,MATCH(76,'Fund Research'!$W$6:$W$505,0)),"")</f>
        <v/>
      </c>
      <c r="D81" s="35">
        <f>IFERROR(INDEX('Fund Research'!$C$6:$C$505,MATCH(76,'Fund Research'!$W$6:$W$505,0)),"")</f>
        <v/>
      </c>
      <c r="E81" s="36">
        <f>IFERROR(INDEX('Fund Research'!$G$6:$G$505,MATCH(76,'Fund Research'!$W$6:$W$505,0)),"")</f>
        <v/>
      </c>
      <c r="F81" s="36">
        <f>IFERROR(INDEX('Fund Research'!$H$6:$H$505,MATCH(76,'Fund Research'!$W$6:$W$505,0)),"")</f>
        <v/>
      </c>
      <c r="G81" s="36">
        <f>IFERROR(INDEX('Fund Research'!$I$6:$I$505,MATCH(76,'Fund Research'!$W$6:$W$505,0)),"")</f>
        <v/>
      </c>
      <c r="H81" s="37">
        <f>IFERROR(INDEX('Fund Research'!$J$6:$J$505,MATCH(76,'Fund Research'!$W$6:$W$505,0)),"")</f>
        <v/>
      </c>
      <c r="I81" s="40">
        <f>IFERROR(INDEX('Fund Research'!$L$6:$L$505,MATCH(76,'Fund Research'!$W$6:$W$505,0)),"")</f>
        <v/>
      </c>
      <c r="J81" s="37">
        <f>IFERROR(INDEX('Fund Research'!$N$6:$N$505,MATCH(76,'Fund Research'!$W$6:$W$505,0)),"")</f>
        <v/>
      </c>
      <c r="K81" s="37">
        <f>IFERROR(INDEX('Fund Research'!$P$6:$P$505,MATCH(76,'Fund Research'!$W$6:$W$505,0)),"")</f>
        <v/>
      </c>
      <c r="L81" s="35">
        <f>IFERROR(INDEX('Fund Research'!$S$6:$S$505,MATCH(76,'Fund Research'!$W$6:$W$505,0)),"")</f>
        <v/>
      </c>
      <c r="M81" s="35">
        <f>IFERROR(INDEX('Fund Research'!$T$6:$T$505,MATCH(76,'Fund Research'!$W$6:$W$505,0)),"")</f>
        <v/>
      </c>
    </row>
    <row r="82" ht="15" customHeight="1">
      <c r="A82" s="34">
        <f>IFERROR(IF(INDEX('Fund Research'!$B$6:$B$505,MATCH(77,'Fund Research'!$W$6:$W$505,0))="","",77),"")</f>
        <v/>
      </c>
      <c r="B82" s="35">
        <f>IFERROR(INDEX('Fund Research'!$A$6:$A$505,MATCH(77,'Fund Research'!$W$6:$W$505,0)),"")</f>
        <v/>
      </c>
      <c r="C82" s="35">
        <f>IFERROR(INDEX('Fund Research'!$B$6:$B$505,MATCH(77,'Fund Research'!$W$6:$W$505,0)),"")</f>
        <v/>
      </c>
      <c r="D82" s="35">
        <f>IFERROR(INDEX('Fund Research'!$C$6:$C$505,MATCH(77,'Fund Research'!$W$6:$W$505,0)),"")</f>
        <v/>
      </c>
      <c r="E82" s="36">
        <f>IFERROR(INDEX('Fund Research'!$G$6:$G$505,MATCH(77,'Fund Research'!$W$6:$W$505,0)),"")</f>
        <v/>
      </c>
      <c r="F82" s="36">
        <f>IFERROR(INDEX('Fund Research'!$H$6:$H$505,MATCH(77,'Fund Research'!$W$6:$W$505,0)),"")</f>
        <v/>
      </c>
      <c r="G82" s="36">
        <f>IFERROR(INDEX('Fund Research'!$I$6:$I$505,MATCH(77,'Fund Research'!$W$6:$W$505,0)),"")</f>
        <v/>
      </c>
      <c r="H82" s="37">
        <f>IFERROR(INDEX('Fund Research'!$J$6:$J$505,MATCH(77,'Fund Research'!$W$6:$W$505,0)),"")</f>
        <v/>
      </c>
      <c r="I82" s="40">
        <f>IFERROR(INDEX('Fund Research'!$L$6:$L$505,MATCH(77,'Fund Research'!$W$6:$W$505,0)),"")</f>
        <v/>
      </c>
      <c r="J82" s="37">
        <f>IFERROR(INDEX('Fund Research'!$N$6:$N$505,MATCH(77,'Fund Research'!$W$6:$W$505,0)),"")</f>
        <v/>
      </c>
      <c r="K82" s="37">
        <f>IFERROR(INDEX('Fund Research'!$P$6:$P$505,MATCH(77,'Fund Research'!$W$6:$W$505,0)),"")</f>
        <v/>
      </c>
      <c r="L82" s="35">
        <f>IFERROR(INDEX('Fund Research'!$S$6:$S$505,MATCH(77,'Fund Research'!$W$6:$W$505,0)),"")</f>
        <v/>
      </c>
      <c r="M82" s="35">
        <f>IFERROR(INDEX('Fund Research'!$T$6:$T$505,MATCH(77,'Fund Research'!$W$6:$W$505,0)),"")</f>
        <v/>
      </c>
    </row>
    <row r="83" ht="15" customHeight="1">
      <c r="A83" s="34">
        <f>IFERROR(IF(INDEX('Fund Research'!$B$6:$B$505,MATCH(78,'Fund Research'!$W$6:$W$505,0))="","",78),"")</f>
        <v/>
      </c>
      <c r="B83" s="35">
        <f>IFERROR(INDEX('Fund Research'!$A$6:$A$505,MATCH(78,'Fund Research'!$W$6:$W$505,0)),"")</f>
        <v/>
      </c>
      <c r="C83" s="35">
        <f>IFERROR(INDEX('Fund Research'!$B$6:$B$505,MATCH(78,'Fund Research'!$W$6:$W$505,0)),"")</f>
        <v/>
      </c>
      <c r="D83" s="35">
        <f>IFERROR(INDEX('Fund Research'!$C$6:$C$505,MATCH(78,'Fund Research'!$W$6:$W$505,0)),"")</f>
        <v/>
      </c>
      <c r="E83" s="36">
        <f>IFERROR(INDEX('Fund Research'!$G$6:$G$505,MATCH(78,'Fund Research'!$W$6:$W$505,0)),"")</f>
        <v/>
      </c>
      <c r="F83" s="36">
        <f>IFERROR(INDEX('Fund Research'!$H$6:$H$505,MATCH(78,'Fund Research'!$W$6:$W$505,0)),"")</f>
        <v/>
      </c>
      <c r="G83" s="36">
        <f>IFERROR(INDEX('Fund Research'!$I$6:$I$505,MATCH(78,'Fund Research'!$W$6:$W$505,0)),"")</f>
        <v/>
      </c>
      <c r="H83" s="37">
        <f>IFERROR(INDEX('Fund Research'!$J$6:$J$505,MATCH(78,'Fund Research'!$W$6:$W$505,0)),"")</f>
        <v/>
      </c>
      <c r="I83" s="40">
        <f>IFERROR(INDEX('Fund Research'!$L$6:$L$505,MATCH(78,'Fund Research'!$W$6:$W$505,0)),"")</f>
        <v/>
      </c>
      <c r="J83" s="37">
        <f>IFERROR(INDEX('Fund Research'!$N$6:$N$505,MATCH(78,'Fund Research'!$W$6:$W$505,0)),"")</f>
        <v/>
      </c>
      <c r="K83" s="37">
        <f>IFERROR(INDEX('Fund Research'!$P$6:$P$505,MATCH(78,'Fund Research'!$W$6:$W$505,0)),"")</f>
        <v/>
      </c>
      <c r="L83" s="35">
        <f>IFERROR(INDEX('Fund Research'!$S$6:$S$505,MATCH(78,'Fund Research'!$W$6:$W$505,0)),"")</f>
        <v/>
      </c>
      <c r="M83" s="35">
        <f>IFERROR(INDEX('Fund Research'!$T$6:$T$505,MATCH(78,'Fund Research'!$W$6:$W$505,0)),"")</f>
        <v/>
      </c>
    </row>
    <row r="84" ht="15" customHeight="1">
      <c r="A84" s="34">
        <f>IFERROR(IF(INDEX('Fund Research'!$B$6:$B$505,MATCH(79,'Fund Research'!$W$6:$W$505,0))="","",79),"")</f>
        <v/>
      </c>
      <c r="B84" s="35">
        <f>IFERROR(INDEX('Fund Research'!$A$6:$A$505,MATCH(79,'Fund Research'!$W$6:$W$505,0)),"")</f>
        <v/>
      </c>
      <c r="C84" s="35">
        <f>IFERROR(INDEX('Fund Research'!$B$6:$B$505,MATCH(79,'Fund Research'!$W$6:$W$505,0)),"")</f>
        <v/>
      </c>
      <c r="D84" s="35">
        <f>IFERROR(INDEX('Fund Research'!$C$6:$C$505,MATCH(79,'Fund Research'!$W$6:$W$505,0)),"")</f>
        <v/>
      </c>
      <c r="E84" s="36">
        <f>IFERROR(INDEX('Fund Research'!$G$6:$G$505,MATCH(79,'Fund Research'!$W$6:$W$505,0)),"")</f>
        <v/>
      </c>
      <c r="F84" s="36">
        <f>IFERROR(INDEX('Fund Research'!$H$6:$H$505,MATCH(79,'Fund Research'!$W$6:$W$505,0)),"")</f>
        <v/>
      </c>
      <c r="G84" s="36">
        <f>IFERROR(INDEX('Fund Research'!$I$6:$I$505,MATCH(79,'Fund Research'!$W$6:$W$505,0)),"")</f>
        <v/>
      </c>
      <c r="H84" s="37">
        <f>IFERROR(INDEX('Fund Research'!$J$6:$J$505,MATCH(79,'Fund Research'!$W$6:$W$505,0)),"")</f>
        <v/>
      </c>
      <c r="I84" s="40">
        <f>IFERROR(INDEX('Fund Research'!$L$6:$L$505,MATCH(79,'Fund Research'!$W$6:$W$505,0)),"")</f>
        <v/>
      </c>
      <c r="J84" s="37">
        <f>IFERROR(INDEX('Fund Research'!$N$6:$N$505,MATCH(79,'Fund Research'!$W$6:$W$505,0)),"")</f>
        <v/>
      </c>
      <c r="K84" s="37">
        <f>IFERROR(INDEX('Fund Research'!$P$6:$P$505,MATCH(79,'Fund Research'!$W$6:$W$505,0)),"")</f>
        <v/>
      </c>
      <c r="L84" s="35">
        <f>IFERROR(INDEX('Fund Research'!$S$6:$S$505,MATCH(79,'Fund Research'!$W$6:$W$505,0)),"")</f>
        <v/>
      </c>
      <c r="M84" s="35">
        <f>IFERROR(INDEX('Fund Research'!$T$6:$T$505,MATCH(79,'Fund Research'!$W$6:$W$505,0)),"")</f>
        <v/>
      </c>
    </row>
    <row r="85" ht="15" customHeight="1">
      <c r="A85" s="34">
        <f>IFERROR(IF(INDEX('Fund Research'!$B$6:$B$505,MATCH(80,'Fund Research'!$W$6:$W$505,0))="","",80),"")</f>
        <v/>
      </c>
      <c r="B85" s="35">
        <f>IFERROR(INDEX('Fund Research'!$A$6:$A$505,MATCH(80,'Fund Research'!$W$6:$W$505,0)),"")</f>
        <v/>
      </c>
      <c r="C85" s="35">
        <f>IFERROR(INDEX('Fund Research'!$B$6:$B$505,MATCH(80,'Fund Research'!$W$6:$W$505,0)),"")</f>
        <v/>
      </c>
      <c r="D85" s="35">
        <f>IFERROR(INDEX('Fund Research'!$C$6:$C$505,MATCH(80,'Fund Research'!$W$6:$W$505,0)),"")</f>
        <v/>
      </c>
      <c r="E85" s="36">
        <f>IFERROR(INDEX('Fund Research'!$G$6:$G$505,MATCH(80,'Fund Research'!$W$6:$W$505,0)),"")</f>
        <v/>
      </c>
      <c r="F85" s="36">
        <f>IFERROR(INDEX('Fund Research'!$H$6:$H$505,MATCH(80,'Fund Research'!$W$6:$W$505,0)),"")</f>
        <v/>
      </c>
      <c r="G85" s="36">
        <f>IFERROR(INDEX('Fund Research'!$I$6:$I$505,MATCH(80,'Fund Research'!$W$6:$W$505,0)),"")</f>
        <v/>
      </c>
      <c r="H85" s="37">
        <f>IFERROR(INDEX('Fund Research'!$J$6:$J$505,MATCH(80,'Fund Research'!$W$6:$W$505,0)),"")</f>
        <v/>
      </c>
      <c r="I85" s="40">
        <f>IFERROR(INDEX('Fund Research'!$L$6:$L$505,MATCH(80,'Fund Research'!$W$6:$W$505,0)),"")</f>
        <v/>
      </c>
      <c r="J85" s="37">
        <f>IFERROR(INDEX('Fund Research'!$N$6:$N$505,MATCH(80,'Fund Research'!$W$6:$W$505,0)),"")</f>
        <v/>
      </c>
      <c r="K85" s="37">
        <f>IFERROR(INDEX('Fund Research'!$P$6:$P$505,MATCH(80,'Fund Research'!$W$6:$W$505,0)),"")</f>
        <v/>
      </c>
      <c r="L85" s="35">
        <f>IFERROR(INDEX('Fund Research'!$S$6:$S$505,MATCH(80,'Fund Research'!$W$6:$W$505,0)),"")</f>
        <v/>
      </c>
      <c r="M85" s="35">
        <f>IFERROR(INDEX('Fund Research'!$T$6:$T$505,MATCH(80,'Fund Research'!$W$6:$W$505,0)),"")</f>
        <v/>
      </c>
    </row>
    <row r="86" ht="15" customHeight="1">
      <c r="A86" s="34">
        <f>IFERROR(IF(INDEX('Fund Research'!$B$6:$B$505,MATCH(81,'Fund Research'!$W$6:$W$505,0))="","",81),"")</f>
        <v/>
      </c>
      <c r="B86" s="35">
        <f>IFERROR(INDEX('Fund Research'!$A$6:$A$505,MATCH(81,'Fund Research'!$W$6:$W$505,0)),"")</f>
        <v/>
      </c>
      <c r="C86" s="35">
        <f>IFERROR(INDEX('Fund Research'!$B$6:$B$505,MATCH(81,'Fund Research'!$W$6:$W$505,0)),"")</f>
        <v/>
      </c>
      <c r="D86" s="35">
        <f>IFERROR(INDEX('Fund Research'!$C$6:$C$505,MATCH(81,'Fund Research'!$W$6:$W$505,0)),"")</f>
        <v/>
      </c>
      <c r="E86" s="36">
        <f>IFERROR(INDEX('Fund Research'!$G$6:$G$505,MATCH(81,'Fund Research'!$W$6:$W$505,0)),"")</f>
        <v/>
      </c>
      <c r="F86" s="36">
        <f>IFERROR(INDEX('Fund Research'!$H$6:$H$505,MATCH(81,'Fund Research'!$W$6:$W$505,0)),"")</f>
        <v/>
      </c>
      <c r="G86" s="36">
        <f>IFERROR(INDEX('Fund Research'!$I$6:$I$505,MATCH(81,'Fund Research'!$W$6:$W$505,0)),"")</f>
        <v/>
      </c>
      <c r="H86" s="37">
        <f>IFERROR(INDEX('Fund Research'!$J$6:$J$505,MATCH(81,'Fund Research'!$W$6:$W$505,0)),"")</f>
        <v/>
      </c>
      <c r="I86" s="40">
        <f>IFERROR(INDEX('Fund Research'!$L$6:$L$505,MATCH(81,'Fund Research'!$W$6:$W$505,0)),"")</f>
        <v/>
      </c>
      <c r="J86" s="37">
        <f>IFERROR(INDEX('Fund Research'!$N$6:$N$505,MATCH(81,'Fund Research'!$W$6:$W$505,0)),"")</f>
        <v/>
      </c>
      <c r="K86" s="37">
        <f>IFERROR(INDEX('Fund Research'!$P$6:$P$505,MATCH(81,'Fund Research'!$W$6:$W$505,0)),"")</f>
        <v/>
      </c>
      <c r="L86" s="35">
        <f>IFERROR(INDEX('Fund Research'!$S$6:$S$505,MATCH(81,'Fund Research'!$W$6:$W$505,0)),"")</f>
        <v/>
      </c>
      <c r="M86" s="35">
        <f>IFERROR(INDEX('Fund Research'!$T$6:$T$505,MATCH(81,'Fund Research'!$W$6:$W$505,0)),"")</f>
        <v/>
      </c>
    </row>
    <row r="87" ht="15" customHeight="1">
      <c r="A87" s="34">
        <f>IFERROR(IF(INDEX('Fund Research'!$B$6:$B$505,MATCH(82,'Fund Research'!$W$6:$W$505,0))="","",82),"")</f>
        <v/>
      </c>
      <c r="B87" s="35">
        <f>IFERROR(INDEX('Fund Research'!$A$6:$A$505,MATCH(82,'Fund Research'!$W$6:$W$505,0)),"")</f>
        <v/>
      </c>
      <c r="C87" s="35">
        <f>IFERROR(INDEX('Fund Research'!$B$6:$B$505,MATCH(82,'Fund Research'!$W$6:$W$505,0)),"")</f>
        <v/>
      </c>
      <c r="D87" s="35">
        <f>IFERROR(INDEX('Fund Research'!$C$6:$C$505,MATCH(82,'Fund Research'!$W$6:$W$505,0)),"")</f>
        <v/>
      </c>
      <c r="E87" s="36">
        <f>IFERROR(INDEX('Fund Research'!$G$6:$G$505,MATCH(82,'Fund Research'!$W$6:$W$505,0)),"")</f>
        <v/>
      </c>
      <c r="F87" s="36">
        <f>IFERROR(INDEX('Fund Research'!$H$6:$H$505,MATCH(82,'Fund Research'!$W$6:$W$505,0)),"")</f>
        <v/>
      </c>
      <c r="G87" s="36">
        <f>IFERROR(INDEX('Fund Research'!$I$6:$I$505,MATCH(82,'Fund Research'!$W$6:$W$505,0)),"")</f>
        <v/>
      </c>
      <c r="H87" s="37">
        <f>IFERROR(INDEX('Fund Research'!$J$6:$J$505,MATCH(82,'Fund Research'!$W$6:$W$505,0)),"")</f>
        <v/>
      </c>
      <c r="I87" s="40">
        <f>IFERROR(INDEX('Fund Research'!$L$6:$L$505,MATCH(82,'Fund Research'!$W$6:$W$505,0)),"")</f>
        <v/>
      </c>
      <c r="J87" s="37">
        <f>IFERROR(INDEX('Fund Research'!$N$6:$N$505,MATCH(82,'Fund Research'!$W$6:$W$505,0)),"")</f>
        <v/>
      </c>
      <c r="K87" s="37">
        <f>IFERROR(INDEX('Fund Research'!$P$6:$P$505,MATCH(82,'Fund Research'!$W$6:$W$505,0)),"")</f>
        <v/>
      </c>
      <c r="L87" s="35">
        <f>IFERROR(INDEX('Fund Research'!$S$6:$S$505,MATCH(82,'Fund Research'!$W$6:$W$505,0)),"")</f>
        <v/>
      </c>
      <c r="M87" s="35">
        <f>IFERROR(INDEX('Fund Research'!$T$6:$T$505,MATCH(82,'Fund Research'!$W$6:$W$505,0)),"")</f>
        <v/>
      </c>
    </row>
    <row r="88" ht="15" customHeight="1">
      <c r="A88" s="34">
        <f>IFERROR(IF(INDEX('Fund Research'!$B$6:$B$505,MATCH(83,'Fund Research'!$W$6:$W$505,0))="","",83),"")</f>
        <v/>
      </c>
      <c r="B88" s="35">
        <f>IFERROR(INDEX('Fund Research'!$A$6:$A$505,MATCH(83,'Fund Research'!$W$6:$W$505,0)),"")</f>
        <v/>
      </c>
      <c r="C88" s="35">
        <f>IFERROR(INDEX('Fund Research'!$B$6:$B$505,MATCH(83,'Fund Research'!$W$6:$W$505,0)),"")</f>
        <v/>
      </c>
      <c r="D88" s="35">
        <f>IFERROR(INDEX('Fund Research'!$C$6:$C$505,MATCH(83,'Fund Research'!$W$6:$W$505,0)),"")</f>
        <v/>
      </c>
      <c r="E88" s="36">
        <f>IFERROR(INDEX('Fund Research'!$G$6:$G$505,MATCH(83,'Fund Research'!$W$6:$W$505,0)),"")</f>
        <v/>
      </c>
      <c r="F88" s="36">
        <f>IFERROR(INDEX('Fund Research'!$H$6:$H$505,MATCH(83,'Fund Research'!$W$6:$W$505,0)),"")</f>
        <v/>
      </c>
      <c r="G88" s="36">
        <f>IFERROR(INDEX('Fund Research'!$I$6:$I$505,MATCH(83,'Fund Research'!$W$6:$W$505,0)),"")</f>
        <v/>
      </c>
      <c r="H88" s="37">
        <f>IFERROR(INDEX('Fund Research'!$J$6:$J$505,MATCH(83,'Fund Research'!$W$6:$W$505,0)),"")</f>
        <v/>
      </c>
      <c r="I88" s="40">
        <f>IFERROR(INDEX('Fund Research'!$L$6:$L$505,MATCH(83,'Fund Research'!$W$6:$W$505,0)),"")</f>
        <v/>
      </c>
      <c r="J88" s="37">
        <f>IFERROR(INDEX('Fund Research'!$N$6:$N$505,MATCH(83,'Fund Research'!$W$6:$W$505,0)),"")</f>
        <v/>
      </c>
      <c r="K88" s="37">
        <f>IFERROR(INDEX('Fund Research'!$P$6:$P$505,MATCH(83,'Fund Research'!$W$6:$W$505,0)),"")</f>
        <v/>
      </c>
      <c r="L88" s="35">
        <f>IFERROR(INDEX('Fund Research'!$S$6:$S$505,MATCH(83,'Fund Research'!$W$6:$W$505,0)),"")</f>
        <v/>
      </c>
      <c r="M88" s="35">
        <f>IFERROR(INDEX('Fund Research'!$T$6:$T$505,MATCH(83,'Fund Research'!$W$6:$W$505,0)),"")</f>
        <v/>
      </c>
    </row>
    <row r="89" ht="15" customHeight="1">
      <c r="A89" s="34">
        <f>IFERROR(IF(INDEX('Fund Research'!$B$6:$B$505,MATCH(84,'Fund Research'!$W$6:$W$505,0))="","",84),"")</f>
        <v/>
      </c>
      <c r="B89" s="35">
        <f>IFERROR(INDEX('Fund Research'!$A$6:$A$505,MATCH(84,'Fund Research'!$W$6:$W$505,0)),"")</f>
        <v/>
      </c>
      <c r="C89" s="35">
        <f>IFERROR(INDEX('Fund Research'!$B$6:$B$505,MATCH(84,'Fund Research'!$W$6:$W$505,0)),"")</f>
        <v/>
      </c>
      <c r="D89" s="35">
        <f>IFERROR(INDEX('Fund Research'!$C$6:$C$505,MATCH(84,'Fund Research'!$W$6:$W$505,0)),"")</f>
        <v/>
      </c>
      <c r="E89" s="36">
        <f>IFERROR(INDEX('Fund Research'!$G$6:$G$505,MATCH(84,'Fund Research'!$W$6:$W$505,0)),"")</f>
        <v/>
      </c>
      <c r="F89" s="36">
        <f>IFERROR(INDEX('Fund Research'!$H$6:$H$505,MATCH(84,'Fund Research'!$W$6:$W$505,0)),"")</f>
        <v/>
      </c>
      <c r="G89" s="36">
        <f>IFERROR(INDEX('Fund Research'!$I$6:$I$505,MATCH(84,'Fund Research'!$W$6:$W$505,0)),"")</f>
        <v/>
      </c>
      <c r="H89" s="37">
        <f>IFERROR(INDEX('Fund Research'!$J$6:$J$505,MATCH(84,'Fund Research'!$W$6:$W$505,0)),"")</f>
        <v/>
      </c>
      <c r="I89" s="40">
        <f>IFERROR(INDEX('Fund Research'!$L$6:$L$505,MATCH(84,'Fund Research'!$W$6:$W$505,0)),"")</f>
        <v/>
      </c>
      <c r="J89" s="37">
        <f>IFERROR(INDEX('Fund Research'!$N$6:$N$505,MATCH(84,'Fund Research'!$W$6:$W$505,0)),"")</f>
        <v/>
      </c>
      <c r="K89" s="37">
        <f>IFERROR(INDEX('Fund Research'!$P$6:$P$505,MATCH(84,'Fund Research'!$W$6:$W$505,0)),"")</f>
        <v/>
      </c>
      <c r="L89" s="35">
        <f>IFERROR(INDEX('Fund Research'!$S$6:$S$505,MATCH(84,'Fund Research'!$W$6:$W$505,0)),"")</f>
        <v/>
      </c>
      <c r="M89" s="35">
        <f>IFERROR(INDEX('Fund Research'!$T$6:$T$505,MATCH(84,'Fund Research'!$W$6:$W$505,0)),"")</f>
        <v/>
      </c>
    </row>
    <row r="90" ht="15" customHeight="1">
      <c r="A90" s="34">
        <f>IFERROR(IF(INDEX('Fund Research'!$B$6:$B$505,MATCH(85,'Fund Research'!$W$6:$W$505,0))="","",85),"")</f>
        <v/>
      </c>
      <c r="B90" s="35">
        <f>IFERROR(INDEX('Fund Research'!$A$6:$A$505,MATCH(85,'Fund Research'!$W$6:$W$505,0)),"")</f>
        <v/>
      </c>
      <c r="C90" s="35">
        <f>IFERROR(INDEX('Fund Research'!$B$6:$B$505,MATCH(85,'Fund Research'!$W$6:$W$505,0)),"")</f>
        <v/>
      </c>
      <c r="D90" s="35">
        <f>IFERROR(INDEX('Fund Research'!$C$6:$C$505,MATCH(85,'Fund Research'!$W$6:$W$505,0)),"")</f>
        <v/>
      </c>
      <c r="E90" s="36">
        <f>IFERROR(INDEX('Fund Research'!$G$6:$G$505,MATCH(85,'Fund Research'!$W$6:$W$505,0)),"")</f>
        <v/>
      </c>
      <c r="F90" s="36">
        <f>IFERROR(INDEX('Fund Research'!$H$6:$H$505,MATCH(85,'Fund Research'!$W$6:$W$505,0)),"")</f>
        <v/>
      </c>
      <c r="G90" s="36">
        <f>IFERROR(INDEX('Fund Research'!$I$6:$I$505,MATCH(85,'Fund Research'!$W$6:$W$505,0)),"")</f>
        <v/>
      </c>
      <c r="H90" s="37">
        <f>IFERROR(INDEX('Fund Research'!$J$6:$J$505,MATCH(85,'Fund Research'!$W$6:$W$505,0)),"")</f>
        <v/>
      </c>
      <c r="I90" s="40">
        <f>IFERROR(INDEX('Fund Research'!$L$6:$L$505,MATCH(85,'Fund Research'!$W$6:$W$505,0)),"")</f>
        <v/>
      </c>
      <c r="J90" s="37">
        <f>IFERROR(INDEX('Fund Research'!$N$6:$N$505,MATCH(85,'Fund Research'!$W$6:$W$505,0)),"")</f>
        <v/>
      </c>
      <c r="K90" s="37">
        <f>IFERROR(INDEX('Fund Research'!$P$6:$P$505,MATCH(85,'Fund Research'!$W$6:$W$505,0)),"")</f>
        <v/>
      </c>
      <c r="L90" s="35">
        <f>IFERROR(INDEX('Fund Research'!$S$6:$S$505,MATCH(85,'Fund Research'!$W$6:$W$505,0)),"")</f>
        <v/>
      </c>
      <c r="M90" s="35">
        <f>IFERROR(INDEX('Fund Research'!$T$6:$T$505,MATCH(85,'Fund Research'!$W$6:$W$505,0)),"")</f>
        <v/>
      </c>
    </row>
    <row r="91" ht="15" customHeight="1">
      <c r="A91" s="34">
        <f>IFERROR(IF(INDEX('Fund Research'!$B$6:$B$505,MATCH(86,'Fund Research'!$W$6:$W$505,0))="","",86),"")</f>
        <v/>
      </c>
      <c r="B91" s="35">
        <f>IFERROR(INDEX('Fund Research'!$A$6:$A$505,MATCH(86,'Fund Research'!$W$6:$W$505,0)),"")</f>
        <v/>
      </c>
      <c r="C91" s="35">
        <f>IFERROR(INDEX('Fund Research'!$B$6:$B$505,MATCH(86,'Fund Research'!$W$6:$W$505,0)),"")</f>
        <v/>
      </c>
      <c r="D91" s="35">
        <f>IFERROR(INDEX('Fund Research'!$C$6:$C$505,MATCH(86,'Fund Research'!$W$6:$W$505,0)),"")</f>
        <v/>
      </c>
      <c r="E91" s="36">
        <f>IFERROR(INDEX('Fund Research'!$G$6:$G$505,MATCH(86,'Fund Research'!$W$6:$W$505,0)),"")</f>
        <v/>
      </c>
      <c r="F91" s="36">
        <f>IFERROR(INDEX('Fund Research'!$H$6:$H$505,MATCH(86,'Fund Research'!$W$6:$W$505,0)),"")</f>
        <v/>
      </c>
      <c r="G91" s="36">
        <f>IFERROR(INDEX('Fund Research'!$I$6:$I$505,MATCH(86,'Fund Research'!$W$6:$W$505,0)),"")</f>
        <v/>
      </c>
      <c r="H91" s="37">
        <f>IFERROR(INDEX('Fund Research'!$J$6:$J$505,MATCH(86,'Fund Research'!$W$6:$W$505,0)),"")</f>
        <v/>
      </c>
      <c r="I91" s="40">
        <f>IFERROR(INDEX('Fund Research'!$L$6:$L$505,MATCH(86,'Fund Research'!$W$6:$W$505,0)),"")</f>
        <v/>
      </c>
      <c r="J91" s="37">
        <f>IFERROR(INDEX('Fund Research'!$N$6:$N$505,MATCH(86,'Fund Research'!$W$6:$W$505,0)),"")</f>
        <v/>
      </c>
      <c r="K91" s="37">
        <f>IFERROR(INDEX('Fund Research'!$P$6:$P$505,MATCH(86,'Fund Research'!$W$6:$W$505,0)),"")</f>
        <v/>
      </c>
      <c r="L91" s="35">
        <f>IFERROR(INDEX('Fund Research'!$S$6:$S$505,MATCH(86,'Fund Research'!$W$6:$W$505,0)),"")</f>
        <v/>
      </c>
      <c r="M91" s="35">
        <f>IFERROR(INDEX('Fund Research'!$T$6:$T$505,MATCH(86,'Fund Research'!$W$6:$W$505,0)),"")</f>
        <v/>
      </c>
    </row>
    <row r="92" ht="15" customHeight="1">
      <c r="A92" s="34">
        <f>IFERROR(IF(INDEX('Fund Research'!$B$6:$B$505,MATCH(87,'Fund Research'!$W$6:$W$505,0))="","",87),"")</f>
        <v/>
      </c>
      <c r="B92" s="35">
        <f>IFERROR(INDEX('Fund Research'!$A$6:$A$505,MATCH(87,'Fund Research'!$W$6:$W$505,0)),"")</f>
        <v/>
      </c>
      <c r="C92" s="35">
        <f>IFERROR(INDEX('Fund Research'!$B$6:$B$505,MATCH(87,'Fund Research'!$W$6:$W$505,0)),"")</f>
        <v/>
      </c>
      <c r="D92" s="35">
        <f>IFERROR(INDEX('Fund Research'!$C$6:$C$505,MATCH(87,'Fund Research'!$W$6:$W$505,0)),"")</f>
        <v/>
      </c>
      <c r="E92" s="36">
        <f>IFERROR(INDEX('Fund Research'!$G$6:$G$505,MATCH(87,'Fund Research'!$W$6:$W$505,0)),"")</f>
        <v/>
      </c>
      <c r="F92" s="36">
        <f>IFERROR(INDEX('Fund Research'!$H$6:$H$505,MATCH(87,'Fund Research'!$W$6:$W$505,0)),"")</f>
        <v/>
      </c>
      <c r="G92" s="36">
        <f>IFERROR(INDEX('Fund Research'!$I$6:$I$505,MATCH(87,'Fund Research'!$W$6:$W$505,0)),"")</f>
        <v/>
      </c>
      <c r="H92" s="37">
        <f>IFERROR(INDEX('Fund Research'!$J$6:$J$505,MATCH(87,'Fund Research'!$W$6:$W$505,0)),"")</f>
        <v/>
      </c>
      <c r="I92" s="40">
        <f>IFERROR(INDEX('Fund Research'!$L$6:$L$505,MATCH(87,'Fund Research'!$W$6:$W$505,0)),"")</f>
        <v/>
      </c>
      <c r="J92" s="37">
        <f>IFERROR(INDEX('Fund Research'!$N$6:$N$505,MATCH(87,'Fund Research'!$W$6:$W$505,0)),"")</f>
        <v/>
      </c>
      <c r="K92" s="37">
        <f>IFERROR(INDEX('Fund Research'!$P$6:$P$505,MATCH(87,'Fund Research'!$W$6:$W$505,0)),"")</f>
        <v/>
      </c>
      <c r="L92" s="35">
        <f>IFERROR(INDEX('Fund Research'!$S$6:$S$505,MATCH(87,'Fund Research'!$W$6:$W$505,0)),"")</f>
        <v/>
      </c>
      <c r="M92" s="35">
        <f>IFERROR(INDEX('Fund Research'!$T$6:$T$505,MATCH(87,'Fund Research'!$W$6:$W$505,0)),"")</f>
        <v/>
      </c>
    </row>
    <row r="93" ht="15" customHeight="1">
      <c r="A93" s="34">
        <f>IFERROR(IF(INDEX('Fund Research'!$B$6:$B$505,MATCH(88,'Fund Research'!$W$6:$W$505,0))="","",88),"")</f>
        <v/>
      </c>
      <c r="B93" s="35">
        <f>IFERROR(INDEX('Fund Research'!$A$6:$A$505,MATCH(88,'Fund Research'!$W$6:$W$505,0)),"")</f>
        <v/>
      </c>
      <c r="C93" s="35">
        <f>IFERROR(INDEX('Fund Research'!$B$6:$B$505,MATCH(88,'Fund Research'!$W$6:$W$505,0)),"")</f>
        <v/>
      </c>
      <c r="D93" s="35">
        <f>IFERROR(INDEX('Fund Research'!$C$6:$C$505,MATCH(88,'Fund Research'!$W$6:$W$505,0)),"")</f>
        <v/>
      </c>
      <c r="E93" s="36">
        <f>IFERROR(INDEX('Fund Research'!$G$6:$G$505,MATCH(88,'Fund Research'!$W$6:$W$505,0)),"")</f>
        <v/>
      </c>
      <c r="F93" s="36">
        <f>IFERROR(INDEX('Fund Research'!$H$6:$H$505,MATCH(88,'Fund Research'!$W$6:$W$505,0)),"")</f>
        <v/>
      </c>
      <c r="G93" s="36">
        <f>IFERROR(INDEX('Fund Research'!$I$6:$I$505,MATCH(88,'Fund Research'!$W$6:$W$505,0)),"")</f>
        <v/>
      </c>
      <c r="H93" s="37">
        <f>IFERROR(INDEX('Fund Research'!$J$6:$J$505,MATCH(88,'Fund Research'!$W$6:$W$505,0)),"")</f>
        <v/>
      </c>
      <c r="I93" s="40">
        <f>IFERROR(INDEX('Fund Research'!$L$6:$L$505,MATCH(88,'Fund Research'!$W$6:$W$505,0)),"")</f>
        <v/>
      </c>
      <c r="J93" s="37">
        <f>IFERROR(INDEX('Fund Research'!$N$6:$N$505,MATCH(88,'Fund Research'!$W$6:$W$505,0)),"")</f>
        <v/>
      </c>
      <c r="K93" s="37">
        <f>IFERROR(INDEX('Fund Research'!$P$6:$P$505,MATCH(88,'Fund Research'!$W$6:$W$505,0)),"")</f>
        <v/>
      </c>
      <c r="L93" s="35">
        <f>IFERROR(INDEX('Fund Research'!$S$6:$S$505,MATCH(88,'Fund Research'!$W$6:$W$505,0)),"")</f>
        <v/>
      </c>
      <c r="M93" s="35">
        <f>IFERROR(INDEX('Fund Research'!$T$6:$T$505,MATCH(88,'Fund Research'!$W$6:$W$505,0)),"")</f>
        <v/>
      </c>
    </row>
    <row r="94" ht="15" customHeight="1">
      <c r="A94" s="34">
        <f>IFERROR(IF(INDEX('Fund Research'!$B$6:$B$505,MATCH(89,'Fund Research'!$W$6:$W$505,0))="","",89),"")</f>
        <v/>
      </c>
      <c r="B94" s="35">
        <f>IFERROR(INDEX('Fund Research'!$A$6:$A$505,MATCH(89,'Fund Research'!$W$6:$W$505,0)),"")</f>
        <v/>
      </c>
      <c r="C94" s="35">
        <f>IFERROR(INDEX('Fund Research'!$B$6:$B$505,MATCH(89,'Fund Research'!$W$6:$W$505,0)),"")</f>
        <v/>
      </c>
      <c r="D94" s="35">
        <f>IFERROR(INDEX('Fund Research'!$C$6:$C$505,MATCH(89,'Fund Research'!$W$6:$W$505,0)),"")</f>
        <v/>
      </c>
      <c r="E94" s="36">
        <f>IFERROR(INDEX('Fund Research'!$G$6:$G$505,MATCH(89,'Fund Research'!$W$6:$W$505,0)),"")</f>
        <v/>
      </c>
      <c r="F94" s="36">
        <f>IFERROR(INDEX('Fund Research'!$H$6:$H$505,MATCH(89,'Fund Research'!$W$6:$W$505,0)),"")</f>
        <v/>
      </c>
      <c r="G94" s="36">
        <f>IFERROR(INDEX('Fund Research'!$I$6:$I$505,MATCH(89,'Fund Research'!$W$6:$W$505,0)),"")</f>
        <v/>
      </c>
      <c r="H94" s="37">
        <f>IFERROR(INDEX('Fund Research'!$J$6:$J$505,MATCH(89,'Fund Research'!$W$6:$W$505,0)),"")</f>
        <v/>
      </c>
      <c r="I94" s="40">
        <f>IFERROR(INDEX('Fund Research'!$L$6:$L$505,MATCH(89,'Fund Research'!$W$6:$W$505,0)),"")</f>
        <v/>
      </c>
      <c r="J94" s="37">
        <f>IFERROR(INDEX('Fund Research'!$N$6:$N$505,MATCH(89,'Fund Research'!$W$6:$W$505,0)),"")</f>
        <v/>
      </c>
      <c r="K94" s="37">
        <f>IFERROR(INDEX('Fund Research'!$P$6:$P$505,MATCH(89,'Fund Research'!$W$6:$W$505,0)),"")</f>
        <v/>
      </c>
      <c r="L94" s="35">
        <f>IFERROR(INDEX('Fund Research'!$S$6:$S$505,MATCH(89,'Fund Research'!$W$6:$W$505,0)),"")</f>
        <v/>
      </c>
      <c r="M94" s="35">
        <f>IFERROR(INDEX('Fund Research'!$T$6:$T$505,MATCH(89,'Fund Research'!$W$6:$W$505,0)),"")</f>
        <v/>
      </c>
    </row>
    <row r="95" ht="15" customHeight="1">
      <c r="A95" s="34">
        <f>IFERROR(IF(INDEX('Fund Research'!$B$6:$B$505,MATCH(90,'Fund Research'!$W$6:$W$505,0))="","",90),"")</f>
        <v/>
      </c>
      <c r="B95" s="35">
        <f>IFERROR(INDEX('Fund Research'!$A$6:$A$505,MATCH(90,'Fund Research'!$W$6:$W$505,0)),"")</f>
        <v/>
      </c>
      <c r="C95" s="35">
        <f>IFERROR(INDEX('Fund Research'!$B$6:$B$505,MATCH(90,'Fund Research'!$W$6:$W$505,0)),"")</f>
        <v/>
      </c>
      <c r="D95" s="35">
        <f>IFERROR(INDEX('Fund Research'!$C$6:$C$505,MATCH(90,'Fund Research'!$W$6:$W$505,0)),"")</f>
        <v/>
      </c>
      <c r="E95" s="36">
        <f>IFERROR(INDEX('Fund Research'!$G$6:$G$505,MATCH(90,'Fund Research'!$W$6:$W$505,0)),"")</f>
        <v/>
      </c>
      <c r="F95" s="36">
        <f>IFERROR(INDEX('Fund Research'!$H$6:$H$505,MATCH(90,'Fund Research'!$W$6:$W$505,0)),"")</f>
        <v/>
      </c>
      <c r="G95" s="36">
        <f>IFERROR(INDEX('Fund Research'!$I$6:$I$505,MATCH(90,'Fund Research'!$W$6:$W$505,0)),"")</f>
        <v/>
      </c>
      <c r="H95" s="37">
        <f>IFERROR(INDEX('Fund Research'!$J$6:$J$505,MATCH(90,'Fund Research'!$W$6:$W$505,0)),"")</f>
        <v/>
      </c>
      <c r="I95" s="40">
        <f>IFERROR(INDEX('Fund Research'!$L$6:$L$505,MATCH(90,'Fund Research'!$W$6:$W$505,0)),"")</f>
        <v/>
      </c>
      <c r="J95" s="37">
        <f>IFERROR(INDEX('Fund Research'!$N$6:$N$505,MATCH(90,'Fund Research'!$W$6:$W$505,0)),"")</f>
        <v/>
      </c>
      <c r="K95" s="37">
        <f>IFERROR(INDEX('Fund Research'!$P$6:$P$505,MATCH(90,'Fund Research'!$W$6:$W$505,0)),"")</f>
        <v/>
      </c>
      <c r="L95" s="35">
        <f>IFERROR(INDEX('Fund Research'!$S$6:$S$505,MATCH(90,'Fund Research'!$W$6:$W$505,0)),"")</f>
        <v/>
      </c>
      <c r="M95" s="35">
        <f>IFERROR(INDEX('Fund Research'!$T$6:$T$505,MATCH(90,'Fund Research'!$W$6:$W$505,0)),"")</f>
        <v/>
      </c>
    </row>
    <row r="96" ht="15" customHeight="1">
      <c r="A96" s="34">
        <f>IFERROR(IF(INDEX('Fund Research'!$B$6:$B$505,MATCH(91,'Fund Research'!$W$6:$W$505,0))="","",91),"")</f>
        <v/>
      </c>
      <c r="B96" s="35">
        <f>IFERROR(INDEX('Fund Research'!$A$6:$A$505,MATCH(91,'Fund Research'!$W$6:$W$505,0)),"")</f>
        <v/>
      </c>
      <c r="C96" s="35">
        <f>IFERROR(INDEX('Fund Research'!$B$6:$B$505,MATCH(91,'Fund Research'!$W$6:$W$505,0)),"")</f>
        <v/>
      </c>
      <c r="D96" s="35">
        <f>IFERROR(INDEX('Fund Research'!$C$6:$C$505,MATCH(91,'Fund Research'!$W$6:$W$505,0)),"")</f>
        <v/>
      </c>
      <c r="E96" s="36">
        <f>IFERROR(INDEX('Fund Research'!$G$6:$G$505,MATCH(91,'Fund Research'!$W$6:$W$505,0)),"")</f>
        <v/>
      </c>
      <c r="F96" s="36">
        <f>IFERROR(INDEX('Fund Research'!$H$6:$H$505,MATCH(91,'Fund Research'!$W$6:$W$505,0)),"")</f>
        <v/>
      </c>
      <c r="G96" s="36">
        <f>IFERROR(INDEX('Fund Research'!$I$6:$I$505,MATCH(91,'Fund Research'!$W$6:$W$505,0)),"")</f>
        <v/>
      </c>
      <c r="H96" s="37">
        <f>IFERROR(INDEX('Fund Research'!$J$6:$J$505,MATCH(91,'Fund Research'!$W$6:$W$505,0)),"")</f>
        <v/>
      </c>
      <c r="I96" s="40">
        <f>IFERROR(INDEX('Fund Research'!$L$6:$L$505,MATCH(91,'Fund Research'!$W$6:$W$505,0)),"")</f>
        <v/>
      </c>
      <c r="J96" s="37">
        <f>IFERROR(INDEX('Fund Research'!$N$6:$N$505,MATCH(91,'Fund Research'!$W$6:$W$505,0)),"")</f>
        <v/>
      </c>
      <c r="K96" s="37">
        <f>IFERROR(INDEX('Fund Research'!$P$6:$P$505,MATCH(91,'Fund Research'!$W$6:$W$505,0)),"")</f>
        <v/>
      </c>
      <c r="L96" s="35">
        <f>IFERROR(INDEX('Fund Research'!$S$6:$S$505,MATCH(91,'Fund Research'!$W$6:$W$505,0)),"")</f>
        <v/>
      </c>
      <c r="M96" s="35">
        <f>IFERROR(INDEX('Fund Research'!$T$6:$T$505,MATCH(91,'Fund Research'!$W$6:$W$505,0)),"")</f>
        <v/>
      </c>
    </row>
    <row r="97" ht="15" customHeight="1">
      <c r="A97" s="34">
        <f>IFERROR(IF(INDEX('Fund Research'!$B$6:$B$505,MATCH(92,'Fund Research'!$W$6:$W$505,0))="","",92),"")</f>
        <v/>
      </c>
      <c r="B97" s="35">
        <f>IFERROR(INDEX('Fund Research'!$A$6:$A$505,MATCH(92,'Fund Research'!$W$6:$W$505,0)),"")</f>
        <v/>
      </c>
      <c r="C97" s="35">
        <f>IFERROR(INDEX('Fund Research'!$B$6:$B$505,MATCH(92,'Fund Research'!$W$6:$W$505,0)),"")</f>
        <v/>
      </c>
      <c r="D97" s="35">
        <f>IFERROR(INDEX('Fund Research'!$C$6:$C$505,MATCH(92,'Fund Research'!$W$6:$W$505,0)),"")</f>
        <v/>
      </c>
      <c r="E97" s="36">
        <f>IFERROR(INDEX('Fund Research'!$G$6:$G$505,MATCH(92,'Fund Research'!$W$6:$W$505,0)),"")</f>
        <v/>
      </c>
      <c r="F97" s="36">
        <f>IFERROR(INDEX('Fund Research'!$H$6:$H$505,MATCH(92,'Fund Research'!$W$6:$W$505,0)),"")</f>
        <v/>
      </c>
      <c r="G97" s="36">
        <f>IFERROR(INDEX('Fund Research'!$I$6:$I$505,MATCH(92,'Fund Research'!$W$6:$W$505,0)),"")</f>
        <v/>
      </c>
      <c r="H97" s="37">
        <f>IFERROR(INDEX('Fund Research'!$J$6:$J$505,MATCH(92,'Fund Research'!$W$6:$W$505,0)),"")</f>
        <v/>
      </c>
      <c r="I97" s="40">
        <f>IFERROR(INDEX('Fund Research'!$L$6:$L$505,MATCH(92,'Fund Research'!$W$6:$W$505,0)),"")</f>
        <v/>
      </c>
      <c r="J97" s="37">
        <f>IFERROR(INDEX('Fund Research'!$N$6:$N$505,MATCH(92,'Fund Research'!$W$6:$W$505,0)),"")</f>
        <v/>
      </c>
      <c r="K97" s="37">
        <f>IFERROR(INDEX('Fund Research'!$P$6:$P$505,MATCH(92,'Fund Research'!$W$6:$W$505,0)),"")</f>
        <v/>
      </c>
      <c r="L97" s="35">
        <f>IFERROR(INDEX('Fund Research'!$S$6:$S$505,MATCH(92,'Fund Research'!$W$6:$W$505,0)),"")</f>
        <v/>
      </c>
      <c r="M97" s="35">
        <f>IFERROR(INDEX('Fund Research'!$T$6:$T$505,MATCH(92,'Fund Research'!$W$6:$W$505,0)),"")</f>
        <v/>
      </c>
    </row>
    <row r="98" ht="15" customHeight="1">
      <c r="A98" s="34">
        <f>IFERROR(IF(INDEX('Fund Research'!$B$6:$B$505,MATCH(93,'Fund Research'!$W$6:$W$505,0))="","",93),"")</f>
        <v/>
      </c>
      <c r="B98" s="35">
        <f>IFERROR(INDEX('Fund Research'!$A$6:$A$505,MATCH(93,'Fund Research'!$W$6:$W$505,0)),"")</f>
        <v/>
      </c>
      <c r="C98" s="35">
        <f>IFERROR(INDEX('Fund Research'!$B$6:$B$505,MATCH(93,'Fund Research'!$W$6:$W$505,0)),"")</f>
        <v/>
      </c>
      <c r="D98" s="35">
        <f>IFERROR(INDEX('Fund Research'!$C$6:$C$505,MATCH(93,'Fund Research'!$W$6:$W$505,0)),"")</f>
        <v/>
      </c>
      <c r="E98" s="36">
        <f>IFERROR(INDEX('Fund Research'!$G$6:$G$505,MATCH(93,'Fund Research'!$W$6:$W$505,0)),"")</f>
        <v/>
      </c>
      <c r="F98" s="36">
        <f>IFERROR(INDEX('Fund Research'!$H$6:$H$505,MATCH(93,'Fund Research'!$W$6:$W$505,0)),"")</f>
        <v/>
      </c>
      <c r="G98" s="36">
        <f>IFERROR(INDEX('Fund Research'!$I$6:$I$505,MATCH(93,'Fund Research'!$W$6:$W$505,0)),"")</f>
        <v/>
      </c>
      <c r="H98" s="37">
        <f>IFERROR(INDEX('Fund Research'!$J$6:$J$505,MATCH(93,'Fund Research'!$W$6:$W$505,0)),"")</f>
        <v/>
      </c>
      <c r="I98" s="40">
        <f>IFERROR(INDEX('Fund Research'!$L$6:$L$505,MATCH(93,'Fund Research'!$W$6:$W$505,0)),"")</f>
        <v/>
      </c>
      <c r="J98" s="37">
        <f>IFERROR(INDEX('Fund Research'!$N$6:$N$505,MATCH(93,'Fund Research'!$W$6:$W$505,0)),"")</f>
        <v/>
      </c>
      <c r="K98" s="37">
        <f>IFERROR(INDEX('Fund Research'!$P$6:$P$505,MATCH(93,'Fund Research'!$W$6:$W$505,0)),"")</f>
        <v/>
      </c>
      <c r="L98" s="35">
        <f>IFERROR(INDEX('Fund Research'!$S$6:$S$505,MATCH(93,'Fund Research'!$W$6:$W$505,0)),"")</f>
        <v/>
      </c>
      <c r="M98" s="35">
        <f>IFERROR(INDEX('Fund Research'!$T$6:$T$505,MATCH(93,'Fund Research'!$W$6:$W$505,0)),"")</f>
        <v/>
      </c>
    </row>
    <row r="99" ht="15" customHeight="1">
      <c r="A99" s="34">
        <f>IFERROR(IF(INDEX('Fund Research'!$B$6:$B$505,MATCH(94,'Fund Research'!$W$6:$W$505,0))="","",94),"")</f>
        <v/>
      </c>
      <c r="B99" s="35">
        <f>IFERROR(INDEX('Fund Research'!$A$6:$A$505,MATCH(94,'Fund Research'!$W$6:$W$505,0)),"")</f>
        <v/>
      </c>
      <c r="C99" s="35">
        <f>IFERROR(INDEX('Fund Research'!$B$6:$B$505,MATCH(94,'Fund Research'!$W$6:$W$505,0)),"")</f>
        <v/>
      </c>
      <c r="D99" s="35">
        <f>IFERROR(INDEX('Fund Research'!$C$6:$C$505,MATCH(94,'Fund Research'!$W$6:$W$505,0)),"")</f>
        <v/>
      </c>
      <c r="E99" s="36">
        <f>IFERROR(INDEX('Fund Research'!$G$6:$G$505,MATCH(94,'Fund Research'!$W$6:$W$505,0)),"")</f>
        <v/>
      </c>
      <c r="F99" s="36">
        <f>IFERROR(INDEX('Fund Research'!$H$6:$H$505,MATCH(94,'Fund Research'!$W$6:$W$505,0)),"")</f>
        <v/>
      </c>
      <c r="G99" s="36">
        <f>IFERROR(INDEX('Fund Research'!$I$6:$I$505,MATCH(94,'Fund Research'!$W$6:$W$505,0)),"")</f>
        <v/>
      </c>
      <c r="H99" s="37">
        <f>IFERROR(INDEX('Fund Research'!$J$6:$J$505,MATCH(94,'Fund Research'!$W$6:$W$505,0)),"")</f>
        <v/>
      </c>
      <c r="I99" s="40">
        <f>IFERROR(INDEX('Fund Research'!$L$6:$L$505,MATCH(94,'Fund Research'!$W$6:$W$505,0)),"")</f>
        <v/>
      </c>
      <c r="J99" s="37">
        <f>IFERROR(INDEX('Fund Research'!$N$6:$N$505,MATCH(94,'Fund Research'!$W$6:$W$505,0)),"")</f>
        <v/>
      </c>
      <c r="K99" s="37">
        <f>IFERROR(INDEX('Fund Research'!$P$6:$P$505,MATCH(94,'Fund Research'!$W$6:$W$505,0)),"")</f>
        <v/>
      </c>
      <c r="L99" s="35">
        <f>IFERROR(INDEX('Fund Research'!$S$6:$S$505,MATCH(94,'Fund Research'!$W$6:$W$505,0)),"")</f>
        <v/>
      </c>
      <c r="M99" s="35">
        <f>IFERROR(INDEX('Fund Research'!$T$6:$T$505,MATCH(94,'Fund Research'!$W$6:$W$505,0)),"")</f>
        <v/>
      </c>
    </row>
    <row r="100" ht="15" customHeight="1">
      <c r="A100" s="34">
        <f>IFERROR(IF(INDEX('Fund Research'!$B$6:$B$505,MATCH(95,'Fund Research'!$W$6:$W$505,0))="","",95),"")</f>
        <v/>
      </c>
      <c r="B100" s="35">
        <f>IFERROR(INDEX('Fund Research'!$A$6:$A$505,MATCH(95,'Fund Research'!$W$6:$W$505,0)),"")</f>
        <v/>
      </c>
      <c r="C100" s="35">
        <f>IFERROR(INDEX('Fund Research'!$B$6:$B$505,MATCH(95,'Fund Research'!$W$6:$W$505,0)),"")</f>
        <v/>
      </c>
      <c r="D100" s="35">
        <f>IFERROR(INDEX('Fund Research'!$C$6:$C$505,MATCH(95,'Fund Research'!$W$6:$W$505,0)),"")</f>
        <v/>
      </c>
      <c r="E100" s="36">
        <f>IFERROR(INDEX('Fund Research'!$G$6:$G$505,MATCH(95,'Fund Research'!$W$6:$W$505,0)),"")</f>
        <v/>
      </c>
      <c r="F100" s="36">
        <f>IFERROR(INDEX('Fund Research'!$H$6:$H$505,MATCH(95,'Fund Research'!$W$6:$W$505,0)),"")</f>
        <v/>
      </c>
      <c r="G100" s="36">
        <f>IFERROR(INDEX('Fund Research'!$I$6:$I$505,MATCH(95,'Fund Research'!$W$6:$W$505,0)),"")</f>
        <v/>
      </c>
      <c r="H100" s="37">
        <f>IFERROR(INDEX('Fund Research'!$J$6:$J$505,MATCH(95,'Fund Research'!$W$6:$W$505,0)),"")</f>
        <v/>
      </c>
      <c r="I100" s="40">
        <f>IFERROR(INDEX('Fund Research'!$L$6:$L$505,MATCH(95,'Fund Research'!$W$6:$W$505,0)),"")</f>
        <v/>
      </c>
      <c r="J100" s="37">
        <f>IFERROR(INDEX('Fund Research'!$N$6:$N$505,MATCH(95,'Fund Research'!$W$6:$W$505,0)),"")</f>
        <v/>
      </c>
      <c r="K100" s="37">
        <f>IFERROR(INDEX('Fund Research'!$P$6:$P$505,MATCH(95,'Fund Research'!$W$6:$W$505,0)),"")</f>
        <v/>
      </c>
      <c r="L100" s="35">
        <f>IFERROR(INDEX('Fund Research'!$S$6:$S$505,MATCH(95,'Fund Research'!$W$6:$W$505,0)),"")</f>
        <v/>
      </c>
      <c r="M100" s="35">
        <f>IFERROR(INDEX('Fund Research'!$T$6:$T$505,MATCH(95,'Fund Research'!$W$6:$W$505,0)),"")</f>
        <v/>
      </c>
    </row>
    <row r="101" ht="15" customHeight="1">
      <c r="A101" s="34">
        <f>IFERROR(IF(INDEX('Fund Research'!$B$6:$B$505,MATCH(96,'Fund Research'!$W$6:$W$505,0))="","",96),"")</f>
        <v/>
      </c>
      <c r="B101" s="35">
        <f>IFERROR(INDEX('Fund Research'!$A$6:$A$505,MATCH(96,'Fund Research'!$W$6:$W$505,0)),"")</f>
        <v/>
      </c>
      <c r="C101" s="35">
        <f>IFERROR(INDEX('Fund Research'!$B$6:$B$505,MATCH(96,'Fund Research'!$W$6:$W$505,0)),"")</f>
        <v/>
      </c>
      <c r="D101" s="35">
        <f>IFERROR(INDEX('Fund Research'!$C$6:$C$505,MATCH(96,'Fund Research'!$W$6:$W$505,0)),"")</f>
        <v/>
      </c>
      <c r="E101" s="36">
        <f>IFERROR(INDEX('Fund Research'!$G$6:$G$505,MATCH(96,'Fund Research'!$W$6:$W$505,0)),"")</f>
        <v/>
      </c>
      <c r="F101" s="36">
        <f>IFERROR(INDEX('Fund Research'!$H$6:$H$505,MATCH(96,'Fund Research'!$W$6:$W$505,0)),"")</f>
        <v/>
      </c>
      <c r="G101" s="36">
        <f>IFERROR(INDEX('Fund Research'!$I$6:$I$505,MATCH(96,'Fund Research'!$W$6:$W$505,0)),"")</f>
        <v/>
      </c>
      <c r="H101" s="37">
        <f>IFERROR(INDEX('Fund Research'!$J$6:$J$505,MATCH(96,'Fund Research'!$W$6:$W$505,0)),"")</f>
        <v/>
      </c>
      <c r="I101" s="40">
        <f>IFERROR(INDEX('Fund Research'!$L$6:$L$505,MATCH(96,'Fund Research'!$W$6:$W$505,0)),"")</f>
        <v/>
      </c>
      <c r="J101" s="37">
        <f>IFERROR(INDEX('Fund Research'!$N$6:$N$505,MATCH(96,'Fund Research'!$W$6:$W$505,0)),"")</f>
        <v/>
      </c>
      <c r="K101" s="37">
        <f>IFERROR(INDEX('Fund Research'!$P$6:$P$505,MATCH(96,'Fund Research'!$W$6:$W$505,0)),"")</f>
        <v/>
      </c>
      <c r="L101" s="35">
        <f>IFERROR(INDEX('Fund Research'!$S$6:$S$505,MATCH(96,'Fund Research'!$W$6:$W$505,0)),"")</f>
        <v/>
      </c>
      <c r="M101" s="35">
        <f>IFERROR(INDEX('Fund Research'!$T$6:$T$505,MATCH(96,'Fund Research'!$W$6:$W$505,0)),"")</f>
        <v/>
      </c>
    </row>
    <row r="102" ht="15" customHeight="1">
      <c r="A102" s="34">
        <f>IFERROR(IF(INDEX('Fund Research'!$B$6:$B$505,MATCH(97,'Fund Research'!$W$6:$W$505,0))="","",97),"")</f>
        <v/>
      </c>
      <c r="B102" s="35">
        <f>IFERROR(INDEX('Fund Research'!$A$6:$A$505,MATCH(97,'Fund Research'!$W$6:$W$505,0)),"")</f>
        <v/>
      </c>
      <c r="C102" s="35">
        <f>IFERROR(INDEX('Fund Research'!$B$6:$B$505,MATCH(97,'Fund Research'!$W$6:$W$505,0)),"")</f>
        <v/>
      </c>
      <c r="D102" s="35">
        <f>IFERROR(INDEX('Fund Research'!$C$6:$C$505,MATCH(97,'Fund Research'!$W$6:$W$505,0)),"")</f>
        <v/>
      </c>
      <c r="E102" s="36">
        <f>IFERROR(INDEX('Fund Research'!$G$6:$G$505,MATCH(97,'Fund Research'!$W$6:$W$505,0)),"")</f>
        <v/>
      </c>
      <c r="F102" s="36">
        <f>IFERROR(INDEX('Fund Research'!$H$6:$H$505,MATCH(97,'Fund Research'!$W$6:$W$505,0)),"")</f>
        <v/>
      </c>
      <c r="G102" s="36">
        <f>IFERROR(INDEX('Fund Research'!$I$6:$I$505,MATCH(97,'Fund Research'!$W$6:$W$505,0)),"")</f>
        <v/>
      </c>
      <c r="H102" s="37">
        <f>IFERROR(INDEX('Fund Research'!$J$6:$J$505,MATCH(97,'Fund Research'!$W$6:$W$505,0)),"")</f>
        <v/>
      </c>
      <c r="I102" s="40">
        <f>IFERROR(INDEX('Fund Research'!$L$6:$L$505,MATCH(97,'Fund Research'!$W$6:$W$505,0)),"")</f>
        <v/>
      </c>
      <c r="J102" s="37">
        <f>IFERROR(INDEX('Fund Research'!$N$6:$N$505,MATCH(97,'Fund Research'!$W$6:$W$505,0)),"")</f>
        <v/>
      </c>
      <c r="K102" s="37">
        <f>IFERROR(INDEX('Fund Research'!$P$6:$P$505,MATCH(97,'Fund Research'!$W$6:$W$505,0)),"")</f>
        <v/>
      </c>
      <c r="L102" s="35">
        <f>IFERROR(INDEX('Fund Research'!$S$6:$S$505,MATCH(97,'Fund Research'!$W$6:$W$505,0)),"")</f>
        <v/>
      </c>
      <c r="M102" s="35">
        <f>IFERROR(INDEX('Fund Research'!$T$6:$T$505,MATCH(97,'Fund Research'!$W$6:$W$505,0)),"")</f>
        <v/>
      </c>
    </row>
    <row r="103" ht="15" customHeight="1">
      <c r="A103" s="34">
        <f>IFERROR(IF(INDEX('Fund Research'!$B$6:$B$505,MATCH(98,'Fund Research'!$W$6:$W$505,0))="","",98),"")</f>
        <v/>
      </c>
      <c r="B103" s="35">
        <f>IFERROR(INDEX('Fund Research'!$A$6:$A$505,MATCH(98,'Fund Research'!$W$6:$W$505,0)),"")</f>
        <v/>
      </c>
      <c r="C103" s="35">
        <f>IFERROR(INDEX('Fund Research'!$B$6:$B$505,MATCH(98,'Fund Research'!$W$6:$W$505,0)),"")</f>
        <v/>
      </c>
      <c r="D103" s="35">
        <f>IFERROR(INDEX('Fund Research'!$C$6:$C$505,MATCH(98,'Fund Research'!$W$6:$W$505,0)),"")</f>
        <v/>
      </c>
      <c r="E103" s="36">
        <f>IFERROR(INDEX('Fund Research'!$G$6:$G$505,MATCH(98,'Fund Research'!$W$6:$W$505,0)),"")</f>
        <v/>
      </c>
      <c r="F103" s="36">
        <f>IFERROR(INDEX('Fund Research'!$H$6:$H$505,MATCH(98,'Fund Research'!$W$6:$W$505,0)),"")</f>
        <v/>
      </c>
      <c r="G103" s="36">
        <f>IFERROR(INDEX('Fund Research'!$I$6:$I$505,MATCH(98,'Fund Research'!$W$6:$W$505,0)),"")</f>
        <v/>
      </c>
      <c r="H103" s="37">
        <f>IFERROR(INDEX('Fund Research'!$J$6:$J$505,MATCH(98,'Fund Research'!$W$6:$W$505,0)),"")</f>
        <v/>
      </c>
      <c r="I103" s="40">
        <f>IFERROR(INDEX('Fund Research'!$L$6:$L$505,MATCH(98,'Fund Research'!$W$6:$W$505,0)),"")</f>
        <v/>
      </c>
      <c r="J103" s="37">
        <f>IFERROR(INDEX('Fund Research'!$N$6:$N$505,MATCH(98,'Fund Research'!$W$6:$W$505,0)),"")</f>
        <v/>
      </c>
      <c r="K103" s="37">
        <f>IFERROR(INDEX('Fund Research'!$P$6:$P$505,MATCH(98,'Fund Research'!$W$6:$W$505,0)),"")</f>
        <v/>
      </c>
      <c r="L103" s="35">
        <f>IFERROR(INDEX('Fund Research'!$S$6:$S$505,MATCH(98,'Fund Research'!$W$6:$W$505,0)),"")</f>
        <v/>
      </c>
      <c r="M103" s="35">
        <f>IFERROR(INDEX('Fund Research'!$T$6:$T$505,MATCH(98,'Fund Research'!$W$6:$W$505,0)),"")</f>
        <v/>
      </c>
    </row>
    <row r="104" ht="15" customHeight="1">
      <c r="A104" s="34">
        <f>IFERROR(IF(INDEX('Fund Research'!$B$6:$B$505,MATCH(99,'Fund Research'!$W$6:$W$505,0))="","",99),"")</f>
        <v/>
      </c>
      <c r="B104" s="35">
        <f>IFERROR(INDEX('Fund Research'!$A$6:$A$505,MATCH(99,'Fund Research'!$W$6:$W$505,0)),"")</f>
        <v/>
      </c>
      <c r="C104" s="35">
        <f>IFERROR(INDEX('Fund Research'!$B$6:$B$505,MATCH(99,'Fund Research'!$W$6:$W$505,0)),"")</f>
        <v/>
      </c>
      <c r="D104" s="35">
        <f>IFERROR(INDEX('Fund Research'!$C$6:$C$505,MATCH(99,'Fund Research'!$W$6:$W$505,0)),"")</f>
        <v/>
      </c>
      <c r="E104" s="36">
        <f>IFERROR(INDEX('Fund Research'!$G$6:$G$505,MATCH(99,'Fund Research'!$W$6:$W$505,0)),"")</f>
        <v/>
      </c>
      <c r="F104" s="36">
        <f>IFERROR(INDEX('Fund Research'!$H$6:$H$505,MATCH(99,'Fund Research'!$W$6:$W$505,0)),"")</f>
        <v/>
      </c>
      <c r="G104" s="36">
        <f>IFERROR(INDEX('Fund Research'!$I$6:$I$505,MATCH(99,'Fund Research'!$W$6:$W$505,0)),"")</f>
        <v/>
      </c>
      <c r="H104" s="37">
        <f>IFERROR(INDEX('Fund Research'!$J$6:$J$505,MATCH(99,'Fund Research'!$W$6:$W$505,0)),"")</f>
        <v/>
      </c>
      <c r="I104" s="40">
        <f>IFERROR(INDEX('Fund Research'!$L$6:$L$505,MATCH(99,'Fund Research'!$W$6:$W$505,0)),"")</f>
        <v/>
      </c>
      <c r="J104" s="37">
        <f>IFERROR(INDEX('Fund Research'!$N$6:$N$505,MATCH(99,'Fund Research'!$W$6:$W$505,0)),"")</f>
        <v/>
      </c>
      <c r="K104" s="37">
        <f>IFERROR(INDEX('Fund Research'!$P$6:$P$505,MATCH(99,'Fund Research'!$W$6:$W$505,0)),"")</f>
        <v/>
      </c>
      <c r="L104" s="35">
        <f>IFERROR(INDEX('Fund Research'!$S$6:$S$505,MATCH(99,'Fund Research'!$W$6:$W$505,0)),"")</f>
        <v/>
      </c>
      <c r="M104" s="35">
        <f>IFERROR(INDEX('Fund Research'!$T$6:$T$505,MATCH(99,'Fund Research'!$W$6:$W$505,0)),"")</f>
        <v/>
      </c>
    </row>
    <row r="105" ht="15" customHeight="1">
      <c r="A105" s="34">
        <f>IFERROR(IF(INDEX('Fund Research'!$B$6:$B$505,MATCH(100,'Fund Research'!$W$6:$W$505,0))="","",100),"")</f>
        <v/>
      </c>
      <c r="B105" s="35">
        <f>IFERROR(INDEX('Fund Research'!$A$6:$A$505,MATCH(100,'Fund Research'!$W$6:$W$505,0)),"")</f>
        <v/>
      </c>
      <c r="C105" s="35">
        <f>IFERROR(INDEX('Fund Research'!$B$6:$B$505,MATCH(100,'Fund Research'!$W$6:$W$505,0)),"")</f>
        <v/>
      </c>
      <c r="D105" s="35">
        <f>IFERROR(INDEX('Fund Research'!$C$6:$C$505,MATCH(100,'Fund Research'!$W$6:$W$505,0)),"")</f>
        <v/>
      </c>
      <c r="E105" s="36">
        <f>IFERROR(INDEX('Fund Research'!$G$6:$G$505,MATCH(100,'Fund Research'!$W$6:$W$505,0)),"")</f>
        <v/>
      </c>
      <c r="F105" s="36">
        <f>IFERROR(INDEX('Fund Research'!$H$6:$H$505,MATCH(100,'Fund Research'!$W$6:$W$505,0)),"")</f>
        <v/>
      </c>
      <c r="G105" s="36">
        <f>IFERROR(INDEX('Fund Research'!$I$6:$I$505,MATCH(100,'Fund Research'!$W$6:$W$505,0)),"")</f>
        <v/>
      </c>
      <c r="H105" s="37">
        <f>IFERROR(INDEX('Fund Research'!$J$6:$J$505,MATCH(100,'Fund Research'!$W$6:$W$505,0)),"")</f>
        <v/>
      </c>
      <c r="I105" s="40">
        <f>IFERROR(INDEX('Fund Research'!$L$6:$L$505,MATCH(100,'Fund Research'!$W$6:$W$505,0)),"")</f>
        <v/>
      </c>
      <c r="J105" s="37">
        <f>IFERROR(INDEX('Fund Research'!$N$6:$N$505,MATCH(100,'Fund Research'!$W$6:$W$505,0)),"")</f>
        <v/>
      </c>
      <c r="K105" s="37">
        <f>IFERROR(INDEX('Fund Research'!$P$6:$P$505,MATCH(100,'Fund Research'!$W$6:$W$505,0)),"")</f>
        <v/>
      </c>
      <c r="L105" s="35">
        <f>IFERROR(INDEX('Fund Research'!$S$6:$S$505,MATCH(100,'Fund Research'!$W$6:$W$505,0)),"")</f>
        <v/>
      </c>
      <c r="M105" s="35">
        <f>IFERROR(INDEX('Fund Research'!$T$6:$T$505,MATCH(100,'Fund Research'!$W$6:$W$505,0)),"")</f>
        <v/>
      </c>
    </row>
    <row r="106" ht="15" customHeight="1">
      <c r="A106" s="34">
        <f>IFERROR(IF(INDEX('Fund Research'!$B$6:$B$505,MATCH(101,'Fund Research'!$W$6:$W$505,0))="","",101),"")</f>
        <v/>
      </c>
      <c r="B106" s="35">
        <f>IFERROR(INDEX('Fund Research'!$A$6:$A$505,MATCH(101,'Fund Research'!$W$6:$W$505,0)),"")</f>
        <v/>
      </c>
      <c r="C106" s="35">
        <f>IFERROR(INDEX('Fund Research'!$B$6:$B$505,MATCH(101,'Fund Research'!$W$6:$W$505,0)),"")</f>
        <v/>
      </c>
      <c r="D106" s="35">
        <f>IFERROR(INDEX('Fund Research'!$C$6:$C$505,MATCH(101,'Fund Research'!$W$6:$W$505,0)),"")</f>
        <v/>
      </c>
      <c r="E106" s="36">
        <f>IFERROR(INDEX('Fund Research'!$G$6:$G$505,MATCH(101,'Fund Research'!$W$6:$W$505,0)),"")</f>
        <v/>
      </c>
      <c r="F106" s="36">
        <f>IFERROR(INDEX('Fund Research'!$H$6:$H$505,MATCH(101,'Fund Research'!$W$6:$W$505,0)),"")</f>
        <v/>
      </c>
      <c r="G106" s="36">
        <f>IFERROR(INDEX('Fund Research'!$I$6:$I$505,MATCH(101,'Fund Research'!$W$6:$W$505,0)),"")</f>
        <v/>
      </c>
      <c r="H106" s="37">
        <f>IFERROR(INDEX('Fund Research'!$J$6:$J$505,MATCH(101,'Fund Research'!$W$6:$W$505,0)),"")</f>
        <v/>
      </c>
      <c r="I106" s="40">
        <f>IFERROR(INDEX('Fund Research'!$L$6:$L$505,MATCH(101,'Fund Research'!$W$6:$W$505,0)),"")</f>
        <v/>
      </c>
      <c r="J106" s="37">
        <f>IFERROR(INDEX('Fund Research'!$N$6:$N$505,MATCH(101,'Fund Research'!$W$6:$W$505,0)),"")</f>
        <v/>
      </c>
      <c r="K106" s="37">
        <f>IFERROR(INDEX('Fund Research'!$P$6:$P$505,MATCH(101,'Fund Research'!$W$6:$W$505,0)),"")</f>
        <v/>
      </c>
      <c r="L106" s="35">
        <f>IFERROR(INDEX('Fund Research'!$S$6:$S$505,MATCH(101,'Fund Research'!$W$6:$W$505,0)),"")</f>
        <v/>
      </c>
      <c r="M106" s="35">
        <f>IFERROR(INDEX('Fund Research'!$T$6:$T$505,MATCH(101,'Fund Research'!$W$6:$W$505,0)),"")</f>
        <v/>
      </c>
    </row>
    <row r="107" ht="15" customHeight="1">
      <c r="A107" s="34">
        <f>IFERROR(IF(INDEX('Fund Research'!$B$6:$B$505,MATCH(102,'Fund Research'!$W$6:$W$505,0))="","",102),"")</f>
        <v/>
      </c>
      <c r="B107" s="35">
        <f>IFERROR(INDEX('Fund Research'!$A$6:$A$505,MATCH(102,'Fund Research'!$W$6:$W$505,0)),"")</f>
        <v/>
      </c>
      <c r="C107" s="35">
        <f>IFERROR(INDEX('Fund Research'!$B$6:$B$505,MATCH(102,'Fund Research'!$W$6:$W$505,0)),"")</f>
        <v/>
      </c>
      <c r="D107" s="35">
        <f>IFERROR(INDEX('Fund Research'!$C$6:$C$505,MATCH(102,'Fund Research'!$W$6:$W$505,0)),"")</f>
        <v/>
      </c>
      <c r="E107" s="36">
        <f>IFERROR(INDEX('Fund Research'!$G$6:$G$505,MATCH(102,'Fund Research'!$W$6:$W$505,0)),"")</f>
        <v/>
      </c>
      <c r="F107" s="36">
        <f>IFERROR(INDEX('Fund Research'!$H$6:$H$505,MATCH(102,'Fund Research'!$W$6:$W$505,0)),"")</f>
        <v/>
      </c>
      <c r="G107" s="36">
        <f>IFERROR(INDEX('Fund Research'!$I$6:$I$505,MATCH(102,'Fund Research'!$W$6:$W$505,0)),"")</f>
        <v/>
      </c>
      <c r="H107" s="37">
        <f>IFERROR(INDEX('Fund Research'!$J$6:$J$505,MATCH(102,'Fund Research'!$W$6:$W$505,0)),"")</f>
        <v/>
      </c>
      <c r="I107" s="40">
        <f>IFERROR(INDEX('Fund Research'!$L$6:$L$505,MATCH(102,'Fund Research'!$W$6:$W$505,0)),"")</f>
        <v/>
      </c>
      <c r="J107" s="37">
        <f>IFERROR(INDEX('Fund Research'!$N$6:$N$505,MATCH(102,'Fund Research'!$W$6:$W$505,0)),"")</f>
        <v/>
      </c>
      <c r="K107" s="37">
        <f>IFERROR(INDEX('Fund Research'!$P$6:$P$505,MATCH(102,'Fund Research'!$W$6:$W$505,0)),"")</f>
        <v/>
      </c>
      <c r="L107" s="35">
        <f>IFERROR(INDEX('Fund Research'!$S$6:$S$505,MATCH(102,'Fund Research'!$W$6:$W$505,0)),"")</f>
        <v/>
      </c>
      <c r="M107" s="35">
        <f>IFERROR(INDEX('Fund Research'!$T$6:$T$505,MATCH(102,'Fund Research'!$W$6:$W$505,0)),"")</f>
        <v/>
      </c>
    </row>
    <row r="108" ht="15" customHeight="1">
      <c r="A108" s="34">
        <f>IFERROR(IF(INDEX('Fund Research'!$B$6:$B$505,MATCH(103,'Fund Research'!$W$6:$W$505,0))="","",103),"")</f>
        <v/>
      </c>
      <c r="B108" s="35">
        <f>IFERROR(INDEX('Fund Research'!$A$6:$A$505,MATCH(103,'Fund Research'!$W$6:$W$505,0)),"")</f>
        <v/>
      </c>
      <c r="C108" s="35">
        <f>IFERROR(INDEX('Fund Research'!$B$6:$B$505,MATCH(103,'Fund Research'!$W$6:$W$505,0)),"")</f>
        <v/>
      </c>
      <c r="D108" s="35">
        <f>IFERROR(INDEX('Fund Research'!$C$6:$C$505,MATCH(103,'Fund Research'!$W$6:$W$505,0)),"")</f>
        <v/>
      </c>
      <c r="E108" s="36">
        <f>IFERROR(INDEX('Fund Research'!$G$6:$G$505,MATCH(103,'Fund Research'!$W$6:$W$505,0)),"")</f>
        <v/>
      </c>
      <c r="F108" s="36">
        <f>IFERROR(INDEX('Fund Research'!$H$6:$H$505,MATCH(103,'Fund Research'!$W$6:$W$505,0)),"")</f>
        <v/>
      </c>
      <c r="G108" s="36">
        <f>IFERROR(INDEX('Fund Research'!$I$6:$I$505,MATCH(103,'Fund Research'!$W$6:$W$505,0)),"")</f>
        <v/>
      </c>
      <c r="H108" s="37">
        <f>IFERROR(INDEX('Fund Research'!$J$6:$J$505,MATCH(103,'Fund Research'!$W$6:$W$505,0)),"")</f>
        <v/>
      </c>
      <c r="I108" s="40">
        <f>IFERROR(INDEX('Fund Research'!$L$6:$L$505,MATCH(103,'Fund Research'!$W$6:$W$505,0)),"")</f>
        <v/>
      </c>
      <c r="J108" s="37">
        <f>IFERROR(INDEX('Fund Research'!$N$6:$N$505,MATCH(103,'Fund Research'!$W$6:$W$505,0)),"")</f>
        <v/>
      </c>
      <c r="K108" s="37">
        <f>IFERROR(INDEX('Fund Research'!$P$6:$P$505,MATCH(103,'Fund Research'!$W$6:$W$505,0)),"")</f>
        <v/>
      </c>
      <c r="L108" s="35">
        <f>IFERROR(INDEX('Fund Research'!$S$6:$S$505,MATCH(103,'Fund Research'!$W$6:$W$505,0)),"")</f>
        <v/>
      </c>
      <c r="M108" s="35">
        <f>IFERROR(INDEX('Fund Research'!$T$6:$T$505,MATCH(103,'Fund Research'!$W$6:$W$505,0)),"")</f>
        <v/>
      </c>
    </row>
    <row r="109" ht="15" customHeight="1">
      <c r="A109" s="34">
        <f>IFERROR(IF(INDEX('Fund Research'!$B$6:$B$505,MATCH(104,'Fund Research'!$W$6:$W$505,0))="","",104),"")</f>
        <v/>
      </c>
      <c r="B109" s="35">
        <f>IFERROR(INDEX('Fund Research'!$A$6:$A$505,MATCH(104,'Fund Research'!$W$6:$W$505,0)),"")</f>
        <v/>
      </c>
      <c r="C109" s="35">
        <f>IFERROR(INDEX('Fund Research'!$B$6:$B$505,MATCH(104,'Fund Research'!$W$6:$W$505,0)),"")</f>
        <v/>
      </c>
      <c r="D109" s="35">
        <f>IFERROR(INDEX('Fund Research'!$C$6:$C$505,MATCH(104,'Fund Research'!$W$6:$W$505,0)),"")</f>
        <v/>
      </c>
      <c r="E109" s="36">
        <f>IFERROR(INDEX('Fund Research'!$G$6:$G$505,MATCH(104,'Fund Research'!$W$6:$W$505,0)),"")</f>
        <v/>
      </c>
      <c r="F109" s="36">
        <f>IFERROR(INDEX('Fund Research'!$H$6:$H$505,MATCH(104,'Fund Research'!$W$6:$W$505,0)),"")</f>
        <v/>
      </c>
      <c r="G109" s="36">
        <f>IFERROR(INDEX('Fund Research'!$I$6:$I$505,MATCH(104,'Fund Research'!$W$6:$W$505,0)),"")</f>
        <v/>
      </c>
      <c r="H109" s="37">
        <f>IFERROR(INDEX('Fund Research'!$J$6:$J$505,MATCH(104,'Fund Research'!$W$6:$W$505,0)),"")</f>
        <v/>
      </c>
      <c r="I109" s="40">
        <f>IFERROR(INDEX('Fund Research'!$L$6:$L$505,MATCH(104,'Fund Research'!$W$6:$W$505,0)),"")</f>
        <v/>
      </c>
      <c r="J109" s="37">
        <f>IFERROR(INDEX('Fund Research'!$N$6:$N$505,MATCH(104,'Fund Research'!$W$6:$W$505,0)),"")</f>
        <v/>
      </c>
      <c r="K109" s="37">
        <f>IFERROR(INDEX('Fund Research'!$P$6:$P$505,MATCH(104,'Fund Research'!$W$6:$W$505,0)),"")</f>
        <v/>
      </c>
      <c r="L109" s="35">
        <f>IFERROR(INDEX('Fund Research'!$S$6:$S$505,MATCH(104,'Fund Research'!$W$6:$W$505,0)),"")</f>
        <v/>
      </c>
      <c r="M109" s="35">
        <f>IFERROR(INDEX('Fund Research'!$T$6:$T$505,MATCH(104,'Fund Research'!$W$6:$W$505,0)),"")</f>
        <v/>
      </c>
    </row>
    <row r="110" ht="15" customHeight="1">
      <c r="A110" s="34">
        <f>IFERROR(IF(INDEX('Fund Research'!$B$6:$B$505,MATCH(105,'Fund Research'!$W$6:$W$505,0))="","",105),"")</f>
        <v/>
      </c>
      <c r="B110" s="35">
        <f>IFERROR(INDEX('Fund Research'!$A$6:$A$505,MATCH(105,'Fund Research'!$W$6:$W$505,0)),"")</f>
        <v/>
      </c>
      <c r="C110" s="35">
        <f>IFERROR(INDEX('Fund Research'!$B$6:$B$505,MATCH(105,'Fund Research'!$W$6:$W$505,0)),"")</f>
        <v/>
      </c>
      <c r="D110" s="35">
        <f>IFERROR(INDEX('Fund Research'!$C$6:$C$505,MATCH(105,'Fund Research'!$W$6:$W$505,0)),"")</f>
        <v/>
      </c>
      <c r="E110" s="36">
        <f>IFERROR(INDEX('Fund Research'!$G$6:$G$505,MATCH(105,'Fund Research'!$W$6:$W$505,0)),"")</f>
        <v/>
      </c>
      <c r="F110" s="36">
        <f>IFERROR(INDEX('Fund Research'!$H$6:$H$505,MATCH(105,'Fund Research'!$W$6:$W$505,0)),"")</f>
        <v/>
      </c>
      <c r="G110" s="36">
        <f>IFERROR(INDEX('Fund Research'!$I$6:$I$505,MATCH(105,'Fund Research'!$W$6:$W$505,0)),"")</f>
        <v/>
      </c>
      <c r="H110" s="37">
        <f>IFERROR(INDEX('Fund Research'!$J$6:$J$505,MATCH(105,'Fund Research'!$W$6:$W$505,0)),"")</f>
        <v/>
      </c>
      <c r="I110" s="40">
        <f>IFERROR(INDEX('Fund Research'!$L$6:$L$505,MATCH(105,'Fund Research'!$W$6:$W$505,0)),"")</f>
        <v/>
      </c>
      <c r="J110" s="37">
        <f>IFERROR(INDEX('Fund Research'!$N$6:$N$505,MATCH(105,'Fund Research'!$W$6:$W$505,0)),"")</f>
        <v/>
      </c>
      <c r="K110" s="37">
        <f>IFERROR(INDEX('Fund Research'!$P$6:$P$505,MATCH(105,'Fund Research'!$W$6:$W$505,0)),"")</f>
        <v/>
      </c>
      <c r="L110" s="35">
        <f>IFERROR(INDEX('Fund Research'!$S$6:$S$505,MATCH(105,'Fund Research'!$W$6:$W$505,0)),"")</f>
        <v/>
      </c>
      <c r="M110" s="35">
        <f>IFERROR(INDEX('Fund Research'!$T$6:$T$505,MATCH(105,'Fund Research'!$W$6:$W$505,0)),"")</f>
        <v/>
      </c>
    </row>
    <row r="111" ht="15" customHeight="1">
      <c r="A111" s="34">
        <f>IFERROR(IF(INDEX('Fund Research'!$B$6:$B$505,MATCH(106,'Fund Research'!$W$6:$W$505,0))="","",106),"")</f>
        <v/>
      </c>
      <c r="B111" s="35">
        <f>IFERROR(INDEX('Fund Research'!$A$6:$A$505,MATCH(106,'Fund Research'!$W$6:$W$505,0)),"")</f>
        <v/>
      </c>
      <c r="C111" s="35">
        <f>IFERROR(INDEX('Fund Research'!$B$6:$B$505,MATCH(106,'Fund Research'!$W$6:$W$505,0)),"")</f>
        <v/>
      </c>
      <c r="D111" s="35">
        <f>IFERROR(INDEX('Fund Research'!$C$6:$C$505,MATCH(106,'Fund Research'!$W$6:$W$505,0)),"")</f>
        <v/>
      </c>
      <c r="E111" s="36">
        <f>IFERROR(INDEX('Fund Research'!$G$6:$G$505,MATCH(106,'Fund Research'!$W$6:$W$505,0)),"")</f>
        <v/>
      </c>
      <c r="F111" s="36">
        <f>IFERROR(INDEX('Fund Research'!$H$6:$H$505,MATCH(106,'Fund Research'!$W$6:$W$505,0)),"")</f>
        <v/>
      </c>
      <c r="G111" s="36">
        <f>IFERROR(INDEX('Fund Research'!$I$6:$I$505,MATCH(106,'Fund Research'!$W$6:$W$505,0)),"")</f>
        <v/>
      </c>
      <c r="H111" s="37">
        <f>IFERROR(INDEX('Fund Research'!$J$6:$J$505,MATCH(106,'Fund Research'!$W$6:$W$505,0)),"")</f>
        <v/>
      </c>
      <c r="I111" s="40">
        <f>IFERROR(INDEX('Fund Research'!$L$6:$L$505,MATCH(106,'Fund Research'!$W$6:$W$505,0)),"")</f>
        <v/>
      </c>
      <c r="J111" s="37">
        <f>IFERROR(INDEX('Fund Research'!$N$6:$N$505,MATCH(106,'Fund Research'!$W$6:$W$505,0)),"")</f>
        <v/>
      </c>
      <c r="K111" s="37">
        <f>IFERROR(INDEX('Fund Research'!$P$6:$P$505,MATCH(106,'Fund Research'!$W$6:$W$505,0)),"")</f>
        <v/>
      </c>
      <c r="L111" s="35">
        <f>IFERROR(INDEX('Fund Research'!$S$6:$S$505,MATCH(106,'Fund Research'!$W$6:$W$505,0)),"")</f>
        <v/>
      </c>
      <c r="M111" s="35">
        <f>IFERROR(INDEX('Fund Research'!$T$6:$T$505,MATCH(106,'Fund Research'!$W$6:$W$505,0)),"")</f>
        <v/>
      </c>
    </row>
    <row r="112" ht="15" customHeight="1">
      <c r="A112" s="34">
        <f>IFERROR(IF(INDEX('Fund Research'!$B$6:$B$505,MATCH(107,'Fund Research'!$W$6:$W$505,0))="","",107),"")</f>
        <v/>
      </c>
      <c r="B112" s="35">
        <f>IFERROR(INDEX('Fund Research'!$A$6:$A$505,MATCH(107,'Fund Research'!$W$6:$W$505,0)),"")</f>
        <v/>
      </c>
      <c r="C112" s="35">
        <f>IFERROR(INDEX('Fund Research'!$B$6:$B$505,MATCH(107,'Fund Research'!$W$6:$W$505,0)),"")</f>
        <v/>
      </c>
      <c r="D112" s="35">
        <f>IFERROR(INDEX('Fund Research'!$C$6:$C$505,MATCH(107,'Fund Research'!$W$6:$W$505,0)),"")</f>
        <v/>
      </c>
      <c r="E112" s="36">
        <f>IFERROR(INDEX('Fund Research'!$G$6:$G$505,MATCH(107,'Fund Research'!$W$6:$W$505,0)),"")</f>
        <v/>
      </c>
      <c r="F112" s="36">
        <f>IFERROR(INDEX('Fund Research'!$H$6:$H$505,MATCH(107,'Fund Research'!$W$6:$W$505,0)),"")</f>
        <v/>
      </c>
      <c r="G112" s="36">
        <f>IFERROR(INDEX('Fund Research'!$I$6:$I$505,MATCH(107,'Fund Research'!$W$6:$W$505,0)),"")</f>
        <v/>
      </c>
      <c r="H112" s="37">
        <f>IFERROR(INDEX('Fund Research'!$J$6:$J$505,MATCH(107,'Fund Research'!$W$6:$W$505,0)),"")</f>
        <v/>
      </c>
      <c r="I112" s="40">
        <f>IFERROR(INDEX('Fund Research'!$L$6:$L$505,MATCH(107,'Fund Research'!$W$6:$W$505,0)),"")</f>
        <v/>
      </c>
      <c r="J112" s="37">
        <f>IFERROR(INDEX('Fund Research'!$N$6:$N$505,MATCH(107,'Fund Research'!$W$6:$W$505,0)),"")</f>
        <v/>
      </c>
      <c r="K112" s="37">
        <f>IFERROR(INDEX('Fund Research'!$P$6:$P$505,MATCH(107,'Fund Research'!$W$6:$W$505,0)),"")</f>
        <v/>
      </c>
      <c r="L112" s="35">
        <f>IFERROR(INDEX('Fund Research'!$S$6:$S$505,MATCH(107,'Fund Research'!$W$6:$W$505,0)),"")</f>
        <v/>
      </c>
      <c r="M112" s="35">
        <f>IFERROR(INDEX('Fund Research'!$T$6:$T$505,MATCH(107,'Fund Research'!$W$6:$W$505,0)),"")</f>
        <v/>
      </c>
    </row>
    <row r="113" ht="15" customHeight="1">
      <c r="A113" s="34">
        <f>IFERROR(IF(INDEX('Fund Research'!$B$6:$B$505,MATCH(108,'Fund Research'!$W$6:$W$505,0))="","",108),"")</f>
        <v/>
      </c>
      <c r="B113" s="35">
        <f>IFERROR(INDEX('Fund Research'!$A$6:$A$505,MATCH(108,'Fund Research'!$W$6:$W$505,0)),"")</f>
        <v/>
      </c>
      <c r="C113" s="35">
        <f>IFERROR(INDEX('Fund Research'!$B$6:$B$505,MATCH(108,'Fund Research'!$W$6:$W$505,0)),"")</f>
        <v/>
      </c>
      <c r="D113" s="35">
        <f>IFERROR(INDEX('Fund Research'!$C$6:$C$505,MATCH(108,'Fund Research'!$W$6:$W$505,0)),"")</f>
        <v/>
      </c>
      <c r="E113" s="36">
        <f>IFERROR(INDEX('Fund Research'!$G$6:$G$505,MATCH(108,'Fund Research'!$W$6:$W$505,0)),"")</f>
        <v/>
      </c>
      <c r="F113" s="36">
        <f>IFERROR(INDEX('Fund Research'!$H$6:$H$505,MATCH(108,'Fund Research'!$W$6:$W$505,0)),"")</f>
        <v/>
      </c>
      <c r="G113" s="36">
        <f>IFERROR(INDEX('Fund Research'!$I$6:$I$505,MATCH(108,'Fund Research'!$W$6:$W$505,0)),"")</f>
        <v/>
      </c>
      <c r="H113" s="37">
        <f>IFERROR(INDEX('Fund Research'!$J$6:$J$505,MATCH(108,'Fund Research'!$W$6:$W$505,0)),"")</f>
        <v/>
      </c>
      <c r="I113" s="40">
        <f>IFERROR(INDEX('Fund Research'!$L$6:$L$505,MATCH(108,'Fund Research'!$W$6:$W$505,0)),"")</f>
        <v/>
      </c>
      <c r="J113" s="37">
        <f>IFERROR(INDEX('Fund Research'!$N$6:$N$505,MATCH(108,'Fund Research'!$W$6:$W$505,0)),"")</f>
        <v/>
      </c>
      <c r="K113" s="37">
        <f>IFERROR(INDEX('Fund Research'!$P$6:$P$505,MATCH(108,'Fund Research'!$W$6:$W$505,0)),"")</f>
        <v/>
      </c>
      <c r="L113" s="35">
        <f>IFERROR(INDEX('Fund Research'!$S$6:$S$505,MATCH(108,'Fund Research'!$W$6:$W$505,0)),"")</f>
        <v/>
      </c>
      <c r="M113" s="35">
        <f>IFERROR(INDEX('Fund Research'!$T$6:$T$505,MATCH(108,'Fund Research'!$W$6:$W$505,0)),"")</f>
        <v/>
      </c>
    </row>
    <row r="114" ht="15" customHeight="1">
      <c r="A114" s="34">
        <f>IFERROR(IF(INDEX('Fund Research'!$B$6:$B$505,MATCH(109,'Fund Research'!$W$6:$W$505,0))="","",109),"")</f>
        <v/>
      </c>
      <c r="B114" s="35">
        <f>IFERROR(INDEX('Fund Research'!$A$6:$A$505,MATCH(109,'Fund Research'!$W$6:$W$505,0)),"")</f>
        <v/>
      </c>
      <c r="C114" s="35">
        <f>IFERROR(INDEX('Fund Research'!$B$6:$B$505,MATCH(109,'Fund Research'!$W$6:$W$505,0)),"")</f>
        <v/>
      </c>
      <c r="D114" s="35">
        <f>IFERROR(INDEX('Fund Research'!$C$6:$C$505,MATCH(109,'Fund Research'!$W$6:$W$505,0)),"")</f>
        <v/>
      </c>
      <c r="E114" s="36">
        <f>IFERROR(INDEX('Fund Research'!$G$6:$G$505,MATCH(109,'Fund Research'!$W$6:$W$505,0)),"")</f>
        <v/>
      </c>
      <c r="F114" s="36">
        <f>IFERROR(INDEX('Fund Research'!$H$6:$H$505,MATCH(109,'Fund Research'!$W$6:$W$505,0)),"")</f>
        <v/>
      </c>
      <c r="G114" s="36">
        <f>IFERROR(INDEX('Fund Research'!$I$6:$I$505,MATCH(109,'Fund Research'!$W$6:$W$505,0)),"")</f>
        <v/>
      </c>
      <c r="H114" s="37">
        <f>IFERROR(INDEX('Fund Research'!$J$6:$J$505,MATCH(109,'Fund Research'!$W$6:$W$505,0)),"")</f>
        <v/>
      </c>
      <c r="I114" s="40">
        <f>IFERROR(INDEX('Fund Research'!$L$6:$L$505,MATCH(109,'Fund Research'!$W$6:$W$505,0)),"")</f>
        <v/>
      </c>
      <c r="J114" s="37">
        <f>IFERROR(INDEX('Fund Research'!$N$6:$N$505,MATCH(109,'Fund Research'!$W$6:$W$505,0)),"")</f>
        <v/>
      </c>
      <c r="K114" s="37">
        <f>IFERROR(INDEX('Fund Research'!$P$6:$P$505,MATCH(109,'Fund Research'!$W$6:$W$505,0)),"")</f>
        <v/>
      </c>
      <c r="L114" s="35">
        <f>IFERROR(INDEX('Fund Research'!$S$6:$S$505,MATCH(109,'Fund Research'!$W$6:$W$505,0)),"")</f>
        <v/>
      </c>
      <c r="M114" s="35">
        <f>IFERROR(INDEX('Fund Research'!$T$6:$T$505,MATCH(109,'Fund Research'!$W$6:$W$505,0)),"")</f>
        <v/>
      </c>
    </row>
    <row r="115" ht="15" customHeight="1">
      <c r="A115" s="34">
        <f>IFERROR(IF(INDEX('Fund Research'!$B$6:$B$505,MATCH(110,'Fund Research'!$W$6:$W$505,0))="","",110),"")</f>
        <v/>
      </c>
      <c r="B115" s="35">
        <f>IFERROR(INDEX('Fund Research'!$A$6:$A$505,MATCH(110,'Fund Research'!$W$6:$W$505,0)),"")</f>
        <v/>
      </c>
      <c r="C115" s="35">
        <f>IFERROR(INDEX('Fund Research'!$B$6:$B$505,MATCH(110,'Fund Research'!$W$6:$W$505,0)),"")</f>
        <v/>
      </c>
      <c r="D115" s="35">
        <f>IFERROR(INDEX('Fund Research'!$C$6:$C$505,MATCH(110,'Fund Research'!$W$6:$W$505,0)),"")</f>
        <v/>
      </c>
      <c r="E115" s="36">
        <f>IFERROR(INDEX('Fund Research'!$G$6:$G$505,MATCH(110,'Fund Research'!$W$6:$W$505,0)),"")</f>
        <v/>
      </c>
      <c r="F115" s="36">
        <f>IFERROR(INDEX('Fund Research'!$H$6:$H$505,MATCH(110,'Fund Research'!$W$6:$W$505,0)),"")</f>
        <v/>
      </c>
      <c r="G115" s="36">
        <f>IFERROR(INDEX('Fund Research'!$I$6:$I$505,MATCH(110,'Fund Research'!$W$6:$W$505,0)),"")</f>
        <v/>
      </c>
      <c r="H115" s="37">
        <f>IFERROR(INDEX('Fund Research'!$J$6:$J$505,MATCH(110,'Fund Research'!$W$6:$W$505,0)),"")</f>
        <v/>
      </c>
      <c r="I115" s="40">
        <f>IFERROR(INDEX('Fund Research'!$L$6:$L$505,MATCH(110,'Fund Research'!$W$6:$W$505,0)),"")</f>
        <v/>
      </c>
      <c r="J115" s="37">
        <f>IFERROR(INDEX('Fund Research'!$N$6:$N$505,MATCH(110,'Fund Research'!$W$6:$W$505,0)),"")</f>
        <v/>
      </c>
      <c r="K115" s="37">
        <f>IFERROR(INDEX('Fund Research'!$P$6:$P$505,MATCH(110,'Fund Research'!$W$6:$W$505,0)),"")</f>
        <v/>
      </c>
      <c r="L115" s="35">
        <f>IFERROR(INDEX('Fund Research'!$S$6:$S$505,MATCH(110,'Fund Research'!$W$6:$W$505,0)),"")</f>
        <v/>
      </c>
      <c r="M115" s="35">
        <f>IFERROR(INDEX('Fund Research'!$T$6:$T$505,MATCH(110,'Fund Research'!$W$6:$W$505,0)),"")</f>
        <v/>
      </c>
    </row>
    <row r="116" ht="15" customHeight="1">
      <c r="A116" s="34">
        <f>IFERROR(IF(INDEX('Fund Research'!$B$6:$B$505,MATCH(111,'Fund Research'!$W$6:$W$505,0))="","",111),"")</f>
        <v/>
      </c>
      <c r="B116" s="35">
        <f>IFERROR(INDEX('Fund Research'!$A$6:$A$505,MATCH(111,'Fund Research'!$W$6:$W$505,0)),"")</f>
        <v/>
      </c>
      <c r="C116" s="35">
        <f>IFERROR(INDEX('Fund Research'!$B$6:$B$505,MATCH(111,'Fund Research'!$W$6:$W$505,0)),"")</f>
        <v/>
      </c>
      <c r="D116" s="35">
        <f>IFERROR(INDEX('Fund Research'!$C$6:$C$505,MATCH(111,'Fund Research'!$W$6:$W$505,0)),"")</f>
        <v/>
      </c>
      <c r="E116" s="36">
        <f>IFERROR(INDEX('Fund Research'!$G$6:$G$505,MATCH(111,'Fund Research'!$W$6:$W$505,0)),"")</f>
        <v/>
      </c>
      <c r="F116" s="36">
        <f>IFERROR(INDEX('Fund Research'!$H$6:$H$505,MATCH(111,'Fund Research'!$W$6:$W$505,0)),"")</f>
        <v/>
      </c>
      <c r="G116" s="36">
        <f>IFERROR(INDEX('Fund Research'!$I$6:$I$505,MATCH(111,'Fund Research'!$W$6:$W$505,0)),"")</f>
        <v/>
      </c>
      <c r="H116" s="37">
        <f>IFERROR(INDEX('Fund Research'!$J$6:$J$505,MATCH(111,'Fund Research'!$W$6:$W$505,0)),"")</f>
        <v/>
      </c>
      <c r="I116" s="40">
        <f>IFERROR(INDEX('Fund Research'!$L$6:$L$505,MATCH(111,'Fund Research'!$W$6:$W$505,0)),"")</f>
        <v/>
      </c>
      <c r="J116" s="37">
        <f>IFERROR(INDEX('Fund Research'!$N$6:$N$505,MATCH(111,'Fund Research'!$W$6:$W$505,0)),"")</f>
        <v/>
      </c>
      <c r="K116" s="37">
        <f>IFERROR(INDEX('Fund Research'!$P$6:$P$505,MATCH(111,'Fund Research'!$W$6:$W$505,0)),"")</f>
        <v/>
      </c>
      <c r="L116" s="35">
        <f>IFERROR(INDEX('Fund Research'!$S$6:$S$505,MATCH(111,'Fund Research'!$W$6:$W$505,0)),"")</f>
        <v/>
      </c>
      <c r="M116" s="35">
        <f>IFERROR(INDEX('Fund Research'!$T$6:$T$505,MATCH(111,'Fund Research'!$W$6:$W$505,0)),"")</f>
        <v/>
      </c>
    </row>
    <row r="117" ht="15" customHeight="1">
      <c r="A117" s="34">
        <f>IFERROR(IF(INDEX('Fund Research'!$B$6:$B$505,MATCH(112,'Fund Research'!$W$6:$W$505,0))="","",112),"")</f>
        <v/>
      </c>
      <c r="B117" s="35">
        <f>IFERROR(INDEX('Fund Research'!$A$6:$A$505,MATCH(112,'Fund Research'!$W$6:$W$505,0)),"")</f>
        <v/>
      </c>
      <c r="C117" s="35">
        <f>IFERROR(INDEX('Fund Research'!$B$6:$B$505,MATCH(112,'Fund Research'!$W$6:$W$505,0)),"")</f>
        <v/>
      </c>
      <c r="D117" s="35">
        <f>IFERROR(INDEX('Fund Research'!$C$6:$C$505,MATCH(112,'Fund Research'!$W$6:$W$505,0)),"")</f>
        <v/>
      </c>
      <c r="E117" s="36">
        <f>IFERROR(INDEX('Fund Research'!$G$6:$G$505,MATCH(112,'Fund Research'!$W$6:$W$505,0)),"")</f>
        <v/>
      </c>
      <c r="F117" s="36">
        <f>IFERROR(INDEX('Fund Research'!$H$6:$H$505,MATCH(112,'Fund Research'!$W$6:$W$505,0)),"")</f>
        <v/>
      </c>
      <c r="G117" s="36">
        <f>IFERROR(INDEX('Fund Research'!$I$6:$I$505,MATCH(112,'Fund Research'!$W$6:$W$505,0)),"")</f>
        <v/>
      </c>
      <c r="H117" s="37">
        <f>IFERROR(INDEX('Fund Research'!$J$6:$J$505,MATCH(112,'Fund Research'!$W$6:$W$505,0)),"")</f>
        <v/>
      </c>
      <c r="I117" s="40">
        <f>IFERROR(INDEX('Fund Research'!$L$6:$L$505,MATCH(112,'Fund Research'!$W$6:$W$505,0)),"")</f>
        <v/>
      </c>
      <c r="J117" s="37">
        <f>IFERROR(INDEX('Fund Research'!$N$6:$N$505,MATCH(112,'Fund Research'!$W$6:$W$505,0)),"")</f>
        <v/>
      </c>
      <c r="K117" s="37">
        <f>IFERROR(INDEX('Fund Research'!$P$6:$P$505,MATCH(112,'Fund Research'!$W$6:$W$505,0)),"")</f>
        <v/>
      </c>
      <c r="L117" s="35">
        <f>IFERROR(INDEX('Fund Research'!$S$6:$S$505,MATCH(112,'Fund Research'!$W$6:$W$505,0)),"")</f>
        <v/>
      </c>
      <c r="M117" s="35">
        <f>IFERROR(INDEX('Fund Research'!$T$6:$T$505,MATCH(112,'Fund Research'!$W$6:$W$505,0)),"")</f>
        <v/>
      </c>
    </row>
    <row r="118" ht="15" customHeight="1">
      <c r="A118" s="34">
        <f>IFERROR(IF(INDEX('Fund Research'!$B$6:$B$505,MATCH(113,'Fund Research'!$W$6:$W$505,0))="","",113),"")</f>
        <v/>
      </c>
      <c r="B118" s="35">
        <f>IFERROR(INDEX('Fund Research'!$A$6:$A$505,MATCH(113,'Fund Research'!$W$6:$W$505,0)),"")</f>
        <v/>
      </c>
      <c r="C118" s="35">
        <f>IFERROR(INDEX('Fund Research'!$B$6:$B$505,MATCH(113,'Fund Research'!$W$6:$W$505,0)),"")</f>
        <v/>
      </c>
      <c r="D118" s="35">
        <f>IFERROR(INDEX('Fund Research'!$C$6:$C$505,MATCH(113,'Fund Research'!$W$6:$W$505,0)),"")</f>
        <v/>
      </c>
      <c r="E118" s="36">
        <f>IFERROR(INDEX('Fund Research'!$G$6:$G$505,MATCH(113,'Fund Research'!$W$6:$W$505,0)),"")</f>
        <v/>
      </c>
      <c r="F118" s="36">
        <f>IFERROR(INDEX('Fund Research'!$H$6:$H$505,MATCH(113,'Fund Research'!$W$6:$W$505,0)),"")</f>
        <v/>
      </c>
      <c r="G118" s="36">
        <f>IFERROR(INDEX('Fund Research'!$I$6:$I$505,MATCH(113,'Fund Research'!$W$6:$W$505,0)),"")</f>
        <v/>
      </c>
      <c r="H118" s="37">
        <f>IFERROR(INDEX('Fund Research'!$J$6:$J$505,MATCH(113,'Fund Research'!$W$6:$W$505,0)),"")</f>
        <v/>
      </c>
      <c r="I118" s="40">
        <f>IFERROR(INDEX('Fund Research'!$L$6:$L$505,MATCH(113,'Fund Research'!$W$6:$W$505,0)),"")</f>
        <v/>
      </c>
      <c r="J118" s="37">
        <f>IFERROR(INDEX('Fund Research'!$N$6:$N$505,MATCH(113,'Fund Research'!$W$6:$W$505,0)),"")</f>
        <v/>
      </c>
      <c r="K118" s="37">
        <f>IFERROR(INDEX('Fund Research'!$P$6:$P$505,MATCH(113,'Fund Research'!$W$6:$W$505,0)),"")</f>
        <v/>
      </c>
      <c r="L118" s="35">
        <f>IFERROR(INDEX('Fund Research'!$S$6:$S$505,MATCH(113,'Fund Research'!$W$6:$W$505,0)),"")</f>
        <v/>
      </c>
      <c r="M118" s="35">
        <f>IFERROR(INDEX('Fund Research'!$T$6:$T$505,MATCH(113,'Fund Research'!$W$6:$W$505,0)),"")</f>
        <v/>
      </c>
    </row>
    <row r="119" ht="15" customHeight="1">
      <c r="A119" s="34">
        <f>IFERROR(IF(INDEX('Fund Research'!$B$6:$B$505,MATCH(114,'Fund Research'!$W$6:$W$505,0))="","",114),"")</f>
        <v/>
      </c>
      <c r="B119" s="35">
        <f>IFERROR(INDEX('Fund Research'!$A$6:$A$505,MATCH(114,'Fund Research'!$W$6:$W$505,0)),"")</f>
        <v/>
      </c>
      <c r="C119" s="35">
        <f>IFERROR(INDEX('Fund Research'!$B$6:$B$505,MATCH(114,'Fund Research'!$W$6:$W$505,0)),"")</f>
        <v/>
      </c>
      <c r="D119" s="35">
        <f>IFERROR(INDEX('Fund Research'!$C$6:$C$505,MATCH(114,'Fund Research'!$W$6:$W$505,0)),"")</f>
        <v/>
      </c>
      <c r="E119" s="36">
        <f>IFERROR(INDEX('Fund Research'!$G$6:$G$505,MATCH(114,'Fund Research'!$W$6:$W$505,0)),"")</f>
        <v/>
      </c>
      <c r="F119" s="36">
        <f>IFERROR(INDEX('Fund Research'!$H$6:$H$505,MATCH(114,'Fund Research'!$W$6:$W$505,0)),"")</f>
        <v/>
      </c>
      <c r="G119" s="36">
        <f>IFERROR(INDEX('Fund Research'!$I$6:$I$505,MATCH(114,'Fund Research'!$W$6:$W$505,0)),"")</f>
        <v/>
      </c>
      <c r="H119" s="37">
        <f>IFERROR(INDEX('Fund Research'!$J$6:$J$505,MATCH(114,'Fund Research'!$W$6:$W$505,0)),"")</f>
        <v/>
      </c>
      <c r="I119" s="40">
        <f>IFERROR(INDEX('Fund Research'!$L$6:$L$505,MATCH(114,'Fund Research'!$W$6:$W$505,0)),"")</f>
        <v/>
      </c>
      <c r="J119" s="37">
        <f>IFERROR(INDEX('Fund Research'!$N$6:$N$505,MATCH(114,'Fund Research'!$W$6:$W$505,0)),"")</f>
        <v/>
      </c>
      <c r="K119" s="37">
        <f>IFERROR(INDEX('Fund Research'!$P$6:$P$505,MATCH(114,'Fund Research'!$W$6:$W$505,0)),"")</f>
        <v/>
      </c>
      <c r="L119" s="35">
        <f>IFERROR(INDEX('Fund Research'!$S$6:$S$505,MATCH(114,'Fund Research'!$W$6:$W$505,0)),"")</f>
        <v/>
      </c>
      <c r="M119" s="35">
        <f>IFERROR(INDEX('Fund Research'!$T$6:$T$505,MATCH(114,'Fund Research'!$W$6:$W$505,0)),"")</f>
        <v/>
      </c>
    </row>
    <row r="120" ht="15" customHeight="1">
      <c r="A120" s="34">
        <f>IFERROR(IF(INDEX('Fund Research'!$B$6:$B$505,MATCH(115,'Fund Research'!$W$6:$W$505,0))="","",115),"")</f>
        <v/>
      </c>
      <c r="B120" s="35">
        <f>IFERROR(INDEX('Fund Research'!$A$6:$A$505,MATCH(115,'Fund Research'!$W$6:$W$505,0)),"")</f>
        <v/>
      </c>
      <c r="C120" s="35">
        <f>IFERROR(INDEX('Fund Research'!$B$6:$B$505,MATCH(115,'Fund Research'!$W$6:$W$505,0)),"")</f>
        <v/>
      </c>
      <c r="D120" s="35">
        <f>IFERROR(INDEX('Fund Research'!$C$6:$C$505,MATCH(115,'Fund Research'!$W$6:$W$505,0)),"")</f>
        <v/>
      </c>
      <c r="E120" s="36">
        <f>IFERROR(INDEX('Fund Research'!$G$6:$G$505,MATCH(115,'Fund Research'!$W$6:$W$505,0)),"")</f>
        <v/>
      </c>
      <c r="F120" s="36">
        <f>IFERROR(INDEX('Fund Research'!$H$6:$H$505,MATCH(115,'Fund Research'!$W$6:$W$505,0)),"")</f>
        <v/>
      </c>
      <c r="G120" s="36">
        <f>IFERROR(INDEX('Fund Research'!$I$6:$I$505,MATCH(115,'Fund Research'!$W$6:$W$505,0)),"")</f>
        <v/>
      </c>
      <c r="H120" s="37">
        <f>IFERROR(INDEX('Fund Research'!$J$6:$J$505,MATCH(115,'Fund Research'!$W$6:$W$505,0)),"")</f>
        <v/>
      </c>
      <c r="I120" s="40">
        <f>IFERROR(INDEX('Fund Research'!$L$6:$L$505,MATCH(115,'Fund Research'!$W$6:$W$505,0)),"")</f>
        <v/>
      </c>
      <c r="J120" s="37">
        <f>IFERROR(INDEX('Fund Research'!$N$6:$N$505,MATCH(115,'Fund Research'!$W$6:$W$505,0)),"")</f>
        <v/>
      </c>
      <c r="K120" s="37">
        <f>IFERROR(INDEX('Fund Research'!$P$6:$P$505,MATCH(115,'Fund Research'!$W$6:$W$505,0)),"")</f>
        <v/>
      </c>
      <c r="L120" s="35">
        <f>IFERROR(INDEX('Fund Research'!$S$6:$S$505,MATCH(115,'Fund Research'!$W$6:$W$505,0)),"")</f>
        <v/>
      </c>
      <c r="M120" s="35">
        <f>IFERROR(INDEX('Fund Research'!$T$6:$T$505,MATCH(115,'Fund Research'!$W$6:$W$505,0)),"")</f>
        <v/>
      </c>
    </row>
    <row r="121" ht="15" customHeight="1">
      <c r="A121" s="34">
        <f>IFERROR(IF(INDEX('Fund Research'!$B$6:$B$505,MATCH(116,'Fund Research'!$W$6:$W$505,0))="","",116),"")</f>
        <v/>
      </c>
      <c r="B121" s="35">
        <f>IFERROR(INDEX('Fund Research'!$A$6:$A$505,MATCH(116,'Fund Research'!$W$6:$W$505,0)),"")</f>
        <v/>
      </c>
      <c r="C121" s="35">
        <f>IFERROR(INDEX('Fund Research'!$B$6:$B$505,MATCH(116,'Fund Research'!$W$6:$W$505,0)),"")</f>
        <v/>
      </c>
      <c r="D121" s="35">
        <f>IFERROR(INDEX('Fund Research'!$C$6:$C$505,MATCH(116,'Fund Research'!$W$6:$W$505,0)),"")</f>
        <v/>
      </c>
      <c r="E121" s="36">
        <f>IFERROR(INDEX('Fund Research'!$G$6:$G$505,MATCH(116,'Fund Research'!$W$6:$W$505,0)),"")</f>
        <v/>
      </c>
      <c r="F121" s="36">
        <f>IFERROR(INDEX('Fund Research'!$H$6:$H$505,MATCH(116,'Fund Research'!$W$6:$W$505,0)),"")</f>
        <v/>
      </c>
      <c r="G121" s="36">
        <f>IFERROR(INDEX('Fund Research'!$I$6:$I$505,MATCH(116,'Fund Research'!$W$6:$W$505,0)),"")</f>
        <v/>
      </c>
      <c r="H121" s="37">
        <f>IFERROR(INDEX('Fund Research'!$J$6:$J$505,MATCH(116,'Fund Research'!$W$6:$W$505,0)),"")</f>
        <v/>
      </c>
      <c r="I121" s="40">
        <f>IFERROR(INDEX('Fund Research'!$L$6:$L$505,MATCH(116,'Fund Research'!$W$6:$W$505,0)),"")</f>
        <v/>
      </c>
      <c r="J121" s="37">
        <f>IFERROR(INDEX('Fund Research'!$N$6:$N$505,MATCH(116,'Fund Research'!$W$6:$W$505,0)),"")</f>
        <v/>
      </c>
      <c r="K121" s="37">
        <f>IFERROR(INDEX('Fund Research'!$P$6:$P$505,MATCH(116,'Fund Research'!$W$6:$W$505,0)),"")</f>
        <v/>
      </c>
      <c r="L121" s="35">
        <f>IFERROR(INDEX('Fund Research'!$S$6:$S$505,MATCH(116,'Fund Research'!$W$6:$W$505,0)),"")</f>
        <v/>
      </c>
      <c r="M121" s="35">
        <f>IFERROR(INDEX('Fund Research'!$T$6:$T$505,MATCH(116,'Fund Research'!$W$6:$W$505,0)),"")</f>
        <v/>
      </c>
    </row>
    <row r="122" ht="15" customHeight="1">
      <c r="A122" s="34">
        <f>IFERROR(IF(INDEX('Fund Research'!$B$6:$B$505,MATCH(117,'Fund Research'!$W$6:$W$505,0))="","",117),"")</f>
        <v/>
      </c>
      <c r="B122" s="35">
        <f>IFERROR(INDEX('Fund Research'!$A$6:$A$505,MATCH(117,'Fund Research'!$W$6:$W$505,0)),"")</f>
        <v/>
      </c>
      <c r="C122" s="35">
        <f>IFERROR(INDEX('Fund Research'!$B$6:$B$505,MATCH(117,'Fund Research'!$W$6:$W$505,0)),"")</f>
        <v/>
      </c>
      <c r="D122" s="35">
        <f>IFERROR(INDEX('Fund Research'!$C$6:$C$505,MATCH(117,'Fund Research'!$W$6:$W$505,0)),"")</f>
        <v/>
      </c>
      <c r="E122" s="36">
        <f>IFERROR(INDEX('Fund Research'!$G$6:$G$505,MATCH(117,'Fund Research'!$W$6:$W$505,0)),"")</f>
        <v/>
      </c>
      <c r="F122" s="36">
        <f>IFERROR(INDEX('Fund Research'!$H$6:$H$505,MATCH(117,'Fund Research'!$W$6:$W$505,0)),"")</f>
        <v/>
      </c>
      <c r="G122" s="36">
        <f>IFERROR(INDEX('Fund Research'!$I$6:$I$505,MATCH(117,'Fund Research'!$W$6:$W$505,0)),"")</f>
        <v/>
      </c>
      <c r="H122" s="37">
        <f>IFERROR(INDEX('Fund Research'!$J$6:$J$505,MATCH(117,'Fund Research'!$W$6:$W$505,0)),"")</f>
        <v/>
      </c>
      <c r="I122" s="40">
        <f>IFERROR(INDEX('Fund Research'!$L$6:$L$505,MATCH(117,'Fund Research'!$W$6:$W$505,0)),"")</f>
        <v/>
      </c>
      <c r="J122" s="37">
        <f>IFERROR(INDEX('Fund Research'!$N$6:$N$505,MATCH(117,'Fund Research'!$W$6:$W$505,0)),"")</f>
        <v/>
      </c>
      <c r="K122" s="37">
        <f>IFERROR(INDEX('Fund Research'!$P$6:$P$505,MATCH(117,'Fund Research'!$W$6:$W$505,0)),"")</f>
        <v/>
      </c>
      <c r="L122" s="35">
        <f>IFERROR(INDEX('Fund Research'!$S$6:$S$505,MATCH(117,'Fund Research'!$W$6:$W$505,0)),"")</f>
        <v/>
      </c>
      <c r="M122" s="35">
        <f>IFERROR(INDEX('Fund Research'!$T$6:$T$505,MATCH(117,'Fund Research'!$W$6:$W$505,0)),"")</f>
        <v/>
      </c>
    </row>
    <row r="123" ht="15" customHeight="1">
      <c r="A123" s="34">
        <f>IFERROR(IF(INDEX('Fund Research'!$B$6:$B$505,MATCH(118,'Fund Research'!$W$6:$W$505,0))="","",118),"")</f>
        <v/>
      </c>
      <c r="B123" s="35">
        <f>IFERROR(INDEX('Fund Research'!$A$6:$A$505,MATCH(118,'Fund Research'!$W$6:$W$505,0)),"")</f>
        <v/>
      </c>
      <c r="C123" s="35">
        <f>IFERROR(INDEX('Fund Research'!$B$6:$B$505,MATCH(118,'Fund Research'!$W$6:$W$505,0)),"")</f>
        <v/>
      </c>
      <c r="D123" s="35">
        <f>IFERROR(INDEX('Fund Research'!$C$6:$C$505,MATCH(118,'Fund Research'!$W$6:$W$505,0)),"")</f>
        <v/>
      </c>
      <c r="E123" s="36">
        <f>IFERROR(INDEX('Fund Research'!$G$6:$G$505,MATCH(118,'Fund Research'!$W$6:$W$505,0)),"")</f>
        <v/>
      </c>
      <c r="F123" s="36">
        <f>IFERROR(INDEX('Fund Research'!$H$6:$H$505,MATCH(118,'Fund Research'!$W$6:$W$505,0)),"")</f>
        <v/>
      </c>
      <c r="G123" s="36">
        <f>IFERROR(INDEX('Fund Research'!$I$6:$I$505,MATCH(118,'Fund Research'!$W$6:$W$505,0)),"")</f>
        <v/>
      </c>
      <c r="H123" s="37">
        <f>IFERROR(INDEX('Fund Research'!$J$6:$J$505,MATCH(118,'Fund Research'!$W$6:$W$505,0)),"")</f>
        <v/>
      </c>
      <c r="I123" s="40">
        <f>IFERROR(INDEX('Fund Research'!$L$6:$L$505,MATCH(118,'Fund Research'!$W$6:$W$505,0)),"")</f>
        <v/>
      </c>
      <c r="J123" s="37">
        <f>IFERROR(INDEX('Fund Research'!$N$6:$N$505,MATCH(118,'Fund Research'!$W$6:$W$505,0)),"")</f>
        <v/>
      </c>
      <c r="K123" s="37">
        <f>IFERROR(INDEX('Fund Research'!$P$6:$P$505,MATCH(118,'Fund Research'!$W$6:$W$505,0)),"")</f>
        <v/>
      </c>
      <c r="L123" s="35">
        <f>IFERROR(INDEX('Fund Research'!$S$6:$S$505,MATCH(118,'Fund Research'!$W$6:$W$505,0)),"")</f>
        <v/>
      </c>
      <c r="M123" s="35">
        <f>IFERROR(INDEX('Fund Research'!$T$6:$T$505,MATCH(118,'Fund Research'!$W$6:$W$505,0)),"")</f>
        <v/>
      </c>
    </row>
    <row r="124" ht="15" customHeight="1">
      <c r="A124" s="34">
        <f>IFERROR(IF(INDEX('Fund Research'!$B$6:$B$505,MATCH(119,'Fund Research'!$W$6:$W$505,0))="","",119),"")</f>
        <v/>
      </c>
      <c r="B124" s="35">
        <f>IFERROR(INDEX('Fund Research'!$A$6:$A$505,MATCH(119,'Fund Research'!$W$6:$W$505,0)),"")</f>
        <v/>
      </c>
      <c r="C124" s="35">
        <f>IFERROR(INDEX('Fund Research'!$B$6:$B$505,MATCH(119,'Fund Research'!$W$6:$W$505,0)),"")</f>
        <v/>
      </c>
      <c r="D124" s="35">
        <f>IFERROR(INDEX('Fund Research'!$C$6:$C$505,MATCH(119,'Fund Research'!$W$6:$W$505,0)),"")</f>
        <v/>
      </c>
      <c r="E124" s="36">
        <f>IFERROR(INDEX('Fund Research'!$G$6:$G$505,MATCH(119,'Fund Research'!$W$6:$W$505,0)),"")</f>
        <v/>
      </c>
      <c r="F124" s="36">
        <f>IFERROR(INDEX('Fund Research'!$H$6:$H$505,MATCH(119,'Fund Research'!$W$6:$W$505,0)),"")</f>
        <v/>
      </c>
      <c r="G124" s="36">
        <f>IFERROR(INDEX('Fund Research'!$I$6:$I$505,MATCH(119,'Fund Research'!$W$6:$W$505,0)),"")</f>
        <v/>
      </c>
      <c r="H124" s="37">
        <f>IFERROR(INDEX('Fund Research'!$J$6:$J$505,MATCH(119,'Fund Research'!$W$6:$W$505,0)),"")</f>
        <v/>
      </c>
      <c r="I124" s="40">
        <f>IFERROR(INDEX('Fund Research'!$L$6:$L$505,MATCH(119,'Fund Research'!$W$6:$W$505,0)),"")</f>
        <v/>
      </c>
      <c r="J124" s="37">
        <f>IFERROR(INDEX('Fund Research'!$N$6:$N$505,MATCH(119,'Fund Research'!$W$6:$W$505,0)),"")</f>
        <v/>
      </c>
      <c r="K124" s="37">
        <f>IFERROR(INDEX('Fund Research'!$P$6:$P$505,MATCH(119,'Fund Research'!$W$6:$W$505,0)),"")</f>
        <v/>
      </c>
      <c r="L124" s="35">
        <f>IFERROR(INDEX('Fund Research'!$S$6:$S$505,MATCH(119,'Fund Research'!$W$6:$W$505,0)),"")</f>
        <v/>
      </c>
      <c r="M124" s="35">
        <f>IFERROR(INDEX('Fund Research'!$T$6:$T$505,MATCH(119,'Fund Research'!$W$6:$W$505,0)),"")</f>
        <v/>
      </c>
    </row>
    <row r="125" ht="15" customHeight="1">
      <c r="A125" s="34">
        <f>IFERROR(IF(INDEX('Fund Research'!$B$6:$B$505,MATCH(120,'Fund Research'!$W$6:$W$505,0))="","",120),"")</f>
        <v/>
      </c>
      <c r="B125" s="35">
        <f>IFERROR(INDEX('Fund Research'!$A$6:$A$505,MATCH(120,'Fund Research'!$W$6:$W$505,0)),"")</f>
        <v/>
      </c>
      <c r="C125" s="35">
        <f>IFERROR(INDEX('Fund Research'!$B$6:$B$505,MATCH(120,'Fund Research'!$W$6:$W$505,0)),"")</f>
        <v/>
      </c>
      <c r="D125" s="35">
        <f>IFERROR(INDEX('Fund Research'!$C$6:$C$505,MATCH(120,'Fund Research'!$W$6:$W$505,0)),"")</f>
        <v/>
      </c>
      <c r="E125" s="36">
        <f>IFERROR(INDEX('Fund Research'!$G$6:$G$505,MATCH(120,'Fund Research'!$W$6:$W$505,0)),"")</f>
        <v/>
      </c>
      <c r="F125" s="36">
        <f>IFERROR(INDEX('Fund Research'!$H$6:$H$505,MATCH(120,'Fund Research'!$W$6:$W$505,0)),"")</f>
        <v/>
      </c>
      <c r="G125" s="36">
        <f>IFERROR(INDEX('Fund Research'!$I$6:$I$505,MATCH(120,'Fund Research'!$W$6:$W$505,0)),"")</f>
        <v/>
      </c>
      <c r="H125" s="37">
        <f>IFERROR(INDEX('Fund Research'!$J$6:$J$505,MATCH(120,'Fund Research'!$W$6:$W$505,0)),"")</f>
        <v/>
      </c>
      <c r="I125" s="40">
        <f>IFERROR(INDEX('Fund Research'!$L$6:$L$505,MATCH(120,'Fund Research'!$W$6:$W$505,0)),"")</f>
        <v/>
      </c>
      <c r="J125" s="37">
        <f>IFERROR(INDEX('Fund Research'!$N$6:$N$505,MATCH(120,'Fund Research'!$W$6:$W$505,0)),"")</f>
        <v/>
      </c>
      <c r="K125" s="37">
        <f>IFERROR(INDEX('Fund Research'!$P$6:$P$505,MATCH(120,'Fund Research'!$W$6:$W$505,0)),"")</f>
        <v/>
      </c>
      <c r="L125" s="35">
        <f>IFERROR(INDEX('Fund Research'!$S$6:$S$505,MATCH(120,'Fund Research'!$W$6:$W$505,0)),"")</f>
        <v/>
      </c>
      <c r="M125" s="35">
        <f>IFERROR(INDEX('Fund Research'!$T$6:$T$505,MATCH(120,'Fund Research'!$W$6:$W$505,0)),"")</f>
        <v/>
      </c>
    </row>
    <row r="126" ht="15" customHeight="1">
      <c r="A126" s="34">
        <f>IFERROR(IF(INDEX('Fund Research'!$B$6:$B$505,MATCH(121,'Fund Research'!$W$6:$W$505,0))="","",121),"")</f>
        <v/>
      </c>
      <c r="B126" s="35">
        <f>IFERROR(INDEX('Fund Research'!$A$6:$A$505,MATCH(121,'Fund Research'!$W$6:$W$505,0)),"")</f>
        <v/>
      </c>
      <c r="C126" s="35">
        <f>IFERROR(INDEX('Fund Research'!$B$6:$B$505,MATCH(121,'Fund Research'!$W$6:$W$505,0)),"")</f>
        <v/>
      </c>
      <c r="D126" s="35">
        <f>IFERROR(INDEX('Fund Research'!$C$6:$C$505,MATCH(121,'Fund Research'!$W$6:$W$505,0)),"")</f>
        <v/>
      </c>
      <c r="E126" s="36">
        <f>IFERROR(INDEX('Fund Research'!$G$6:$G$505,MATCH(121,'Fund Research'!$W$6:$W$505,0)),"")</f>
        <v/>
      </c>
      <c r="F126" s="36">
        <f>IFERROR(INDEX('Fund Research'!$H$6:$H$505,MATCH(121,'Fund Research'!$W$6:$W$505,0)),"")</f>
        <v/>
      </c>
      <c r="G126" s="36">
        <f>IFERROR(INDEX('Fund Research'!$I$6:$I$505,MATCH(121,'Fund Research'!$W$6:$W$505,0)),"")</f>
        <v/>
      </c>
      <c r="H126" s="37">
        <f>IFERROR(INDEX('Fund Research'!$J$6:$J$505,MATCH(121,'Fund Research'!$W$6:$W$505,0)),"")</f>
        <v/>
      </c>
      <c r="I126" s="40">
        <f>IFERROR(INDEX('Fund Research'!$L$6:$L$505,MATCH(121,'Fund Research'!$W$6:$W$505,0)),"")</f>
        <v/>
      </c>
      <c r="J126" s="37">
        <f>IFERROR(INDEX('Fund Research'!$N$6:$N$505,MATCH(121,'Fund Research'!$W$6:$W$505,0)),"")</f>
        <v/>
      </c>
      <c r="K126" s="37">
        <f>IFERROR(INDEX('Fund Research'!$P$6:$P$505,MATCH(121,'Fund Research'!$W$6:$W$505,0)),"")</f>
        <v/>
      </c>
      <c r="L126" s="35">
        <f>IFERROR(INDEX('Fund Research'!$S$6:$S$505,MATCH(121,'Fund Research'!$W$6:$W$505,0)),"")</f>
        <v/>
      </c>
      <c r="M126" s="35">
        <f>IFERROR(INDEX('Fund Research'!$T$6:$T$505,MATCH(121,'Fund Research'!$W$6:$W$505,0)),"")</f>
        <v/>
      </c>
    </row>
    <row r="127" ht="15" customHeight="1">
      <c r="A127" s="34">
        <f>IFERROR(IF(INDEX('Fund Research'!$B$6:$B$505,MATCH(122,'Fund Research'!$W$6:$W$505,0))="","",122),"")</f>
        <v/>
      </c>
      <c r="B127" s="35">
        <f>IFERROR(INDEX('Fund Research'!$A$6:$A$505,MATCH(122,'Fund Research'!$W$6:$W$505,0)),"")</f>
        <v/>
      </c>
      <c r="C127" s="35">
        <f>IFERROR(INDEX('Fund Research'!$B$6:$B$505,MATCH(122,'Fund Research'!$W$6:$W$505,0)),"")</f>
        <v/>
      </c>
      <c r="D127" s="35">
        <f>IFERROR(INDEX('Fund Research'!$C$6:$C$505,MATCH(122,'Fund Research'!$W$6:$W$505,0)),"")</f>
        <v/>
      </c>
      <c r="E127" s="36">
        <f>IFERROR(INDEX('Fund Research'!$G$6:$G$505,MATCH(122,'Fund Research'!$W$6:$W$505,0)),"")</f>
        <v/>
      </c>
      <c r="F127" s="36">
        <f>IFERROR(INDEX('Fund Research'!$H$6:$H$505,MATCH(122,'Fund Research'!$W$6:$W$505,0)),"")</f>
        <v/>
      </c>
      <c r="G127" s="36">
        <f>IFERROR(INDEX('Fund Research'!$I$6:$I$505,MATCH(122,'Fund Research'!$W$6:$W$505,0)),"")</f>
        <v/>
      </c>
      <c r="H127" s="37">
        <f>IFERROR(INDEX('Fund Research'!$J$6:$J$505,MATCH(122,'Fund Research'!$W$6:$W$505,0)),"")</f>
        <v/>
      </c>
      <c r="I127" s="40">
        <f>IFERROR(INDEX('Fund Research'!$L$6:$L$505,MATCH(122,'Fund Research'!$W$6:$W$505,0)),"")</f>
        <v/>
      </c>
      <c r="J127" s="37">
        <f>IFERROR(INDEX('Fund Research'!$N$6:$N$505,MATCH(122,'Fund Research'!$W$6:$W$505,0)),"")</f>
        <v/>
      </c>
      <c r="K127" s="37">
        <f>IFERROR(INDEX('Fund Research'!$P$6:$P$505,MATCH(122,'Fund Research'!$W$6:$W$505,0)),"")</f>
        <v/>
      </c>
      <c r="L127" s="35">
        <f>IFERROR(INDEX('Fund Research'!$S$6:$S$505,MATCH(122,'Fund Research'!$W$6:$W$505,0)),"")</f>
        <v/>
      </c>
      <c r="M127" s="35">
        <f>IFERROR(INDEX('Fund Research'!$T$6:$T$505,MATCH(122,'Fund Research'!$W$6:$W$505,0)),"")</f>
        <v/>
      </c>
    </row>
    <row r="128" ht="15" customHeight="1">
      <c r="A128" s="34">
        <f>IFERROR(IF(INDEX('Fund Research'!$B$6:$B$505,MATCH(123,'Fund Research'!$W$6:$W$505,0))="","",123),"")</f>
        <v/>
      </c>
      <c r="B128" s="35">
        <f>IFERROR(INDEX('Fund Research'!$A$6:$A$505,MATCH(123,'Fund Research'!$W$6:$W$505,0)),"")</f>
        <v/>
      </c>
      <c r="C128" s="35">
        <f>IFERROR(INDEX('Fund Research'!$B$6:$B$505,MATCH(123,'Fund Research'!$W$6:$W$505,0)),"")</f>
        <v/>
      </c>
      <c r="D128" s="35">
        <f>IFERROR(INDEX('Fund Research'!$C$6:$C$505,MATCH(123,'Fund Research'!$W$6:$W$505,0)),"")</f>
        <v/>
      </c>
      <c r="E128" s="36">
        <f>IFERROR(INDEX('Fund Research'!$G$6:$G$505,MATCH(123,'Fund Research'!$W$6:$W$505,0)),"")</f>
        <v/>
      </c>
      <c r="F128" s="36">
        <f>IFERROR(INDEX('Fund Research'!$H$6:$H$505,MATCH(123,'Fund Research'!$W$6:$W$505,0)),"")</f>
        <v/>
      </c>
      <c r="G128" s="36">
        <f>IFERROR(INDEX('Fund Research'!$I$6:$I$505,MATCH(123,'Fund Research'!$W$6:$W$505,0)),"")</f>
        <v/>
      </c>
      <c r="H128" s="37">
        <f>IFERROR(INDEX('Fund Research'!$J$6:$J$505,MATCH(123,'Fund Research'!$W$6:$W$505,0)),"")</f>
        <v/>
      </c>
      <c r="I128" s="40">
        <f>IFERROR(INDEX('Fund Research'!$L$6:$L$505,MATCH(123,'Fund Research'!$W$6:$W$505,0)),"")</f>
        <v/>
      </c>
      <c r="J128" s="37">
        <f>IFERROR(INDEX('Fund Research'!$N$6:$N$505,MATCH(123,'Fund Research'!$W$6:$W$505,0)),"")</f>
        <v/>
      </c>
      <c r="K128" s="37">
        <f>IFERROR(INDEX('Fund Research'!$P$6:$P$505,MATCH(123,'Fund Research'!$W$6:$W$505,0)),"")</f>
        <v/>
      </c>
      <c r="L128" s="35">
        <f>IFERROR(INDEX('Fund Research'!$S$6:$S$505,MATCH(123,'Fund Research'!$W$6:$W$505,0)),"")</f>
        <v/>
      </c>
      <c r="M128" s="35">
        <f>IFERROR(INDEX('Fund Research'!$T$6:$T$505,MATCH(123,'Fund Research'!$W$6:$W$505,0)),"")</f>
        <v/>
      </c>
    </row>
    <row r="129" ht="15" customHeight="1">
      <c r="A129" s="34">
        <f>IFERROR(IF(INDEX('Fund Research'!$B$6:$B$505,MATCH(124,'Fund Research'!$W$6:$W$505,0))="","",124),"")</f>
        <v/>
      </c>
      <c r="B129" s="35">
        <f>IFERROR(INDEX('Fund Research'!$A$6:$A$505,MATCH(124,'Fund Research'!$W$6:$W$505,0)),"")</f>
        <v/>
      </c>
      <c r="C129" s="35">
        <f>IFERROR(INDEX('Fund Research'!$B$6:$B$505,MATCH(124,'Fund Research'!$W$6:$W$505,0)),"")</f>
        <v/>
      </c>
      <c r="D129" s="35">
        <f>IFERROR(INDEX('Fund Research'!$C$6:$C$505,MATCH(124,'Fund Research'!$W$6:$W$505,0)),"")</f>
        <v/>
      </c>
      <c r="E129" s="36">
        <f>IFERROR(INDEX('Fund Research'!$G$6:$G$505,MATCH(124,'Fund Research'!$W$6:$W$505,0)),"")</f>
        <v/>
      </c>
      <c r="F129" s="36">
        <f>IFERROR(INDEX('Fund Research'!$H$6:$H$505,MATCH(124,'Fund Research'!$W$6:$W$505,0)),"")</f>
        <v/>
      </c>
      <c r="G129" s="36">
        <f>IFERROR(INDEX('Fund Research'!$I$6:$I$505,MATCH(124,'Fund Research'!$W$6:$W$505,0)),"")</f>
        <v/>
      </c>
      <c r="H129" s="37">
        <f>IFERROR(INDEX('Fund Research'!$J$6:$J$505,MATCH(124,'Fund Research'!$W$6:$W$505,0)),"")</f>
        <v/>
      </c>
      <c r="I129" s="40">
        <f>IFERROR(INDEX('Fund Research'!$L$6:$L$505,MATCH(124,'Fund Research'!$W$6:$W$505,0)),"")</f>
        <v/>
      </c>
      <c r="J129" s="37">
        <f>IFERROR(INDEX('Fund Research'!$N$6:$N$505,MATCH(124,'Fund Research'!$W$6:$W$505,0)),"")</f>
        <v/>
      </c>
      <c r="K129" s="37">
        <f>IFERROR(INDEX('Fund Research'!$P$6:$P$505,MATCH(124,'Fund Research'!$W$6:$W$505,0)),"")</f>
        <v/>
      </c>
      <c r="L129" s="35">
        <f>IFERROR(INDEX('Fund Research'!$S$6:$S$505,MATCH(124,'Fund Research'!$W$6:$W$505,0)),"")</f>
        <v/>
      </c>
      <c r="M129" s="35">
        <f>IFERROR(INDEX('Fund Research'!$T$6:$T$505,MATCH(124,'Fund Research'!$W$6:$W$505,0)),"")</f>
        <v/>
      </c>
    </row>
    <row r="130" ht="15" customHeight="1">
      <c r="A130" s="34">
        <f>IFERROR(IF(INDEX('Fund Research'!$B$6:$B$505,MATCH(125,'Fund Research'!$W$6:$W$505,0))="","",125),"")</f>
        <v/>
      </c>
      <c r="B130" s="35">
        <f>IFERROR(INDEX('Fund Research'!$A$6:$A$505,MATCH(125,'Fund Research'!$W$6:$W$505,0)),"")</f>
        <v/>
      </c>
      <c r="C130" s="35">
        <f>IFERROR(INDEX('Fund Research'!$B$6:$B$505,MATCH(125,'Fund Research'!$W$6:$W$505,0)),"")</f>
        <v/>
      </c>
      <c r="D130" s="35">
        <f>IFERROR(INDEX('Fund Research'!$C$6:$C$505,MATCH(125,'Fund Research'!$W$6:$W$505,0)),"")</f>
        <v/>
      </c>
      <c r="E130" s="36">
        <f>IFERROR(INDEX('Fund Research'!$G$6:$G$505,MATCH(125,'Fund Research'!$W$6:$W$505,0)),"")</f>
        <v/>
      </c>
      <c r="F130" s="36">
        <f>IFERROR(INDEX('Fund Research'!$H$6:$H$505,MATCH(125,'Fund Research'!$W$6:$W$505,0)),"")</f>
        <v/>
      </c>
      <c r="G130" s="36">
        <f>IFERROR(INDEX('Fund Research'!$I$6:$I$505,MATCH(125,'Fund Research'!$W$6:$W$505,0)),"")</f>
        <v/>
      </c>
      <c r="H130" s="37">
        <f>IFERROR(INDEX('Fund Research'!$J$6:$J$505,MATCH(125,'Fund Research'!$W$6:$W$505,0)),"")</f>
        <v/>
      </c>
      <c r="I130" s="40">
        <f>IFERROR(INDEX('Fund Research'!$L$6:$L$505,MATCH(125,'Fund Research'!$W$6:$W$505,0)),"")</f>
        <v/>
      </c>
      <c r="J130" s="37">
        <f>IFERROR(INDEX('Fund Research'!$N$6:$N$505,MATCH(125,'Fund Research'!$W$6:$W$505,0)),"")</f>
        <v/>
      </c>
      <c r="K130" s="37">
        <f>IFERROR(INDEX('Fund Research'!$P$6:$P$505,MATCH(125,'Fund Research'!$W$6:$W$505,0)),"")</f>
        <v/>
      </c>
      <c r="L130" s="35">
        <f>IFERROR(INDEX('Fund Research'!$S$6:$S$505,MATCH(125,'Fund Research'!$W$6:$W$505,0)),"")</f>
        <v/>
      </c>
      <c r="M130" s="35">
        <f>IFERROR(INDEX('Fund Research'!$T$6:$T$505,MATCH(125,'Fund Research'!$W$6:$W$505,0)),"")</f>
        <v/>
      </c>
    </row>
    <row r="131" ht="15" customHeight="1">
      <c r="A131" s="34">
        <f>IFERROR(IF(INDEX('Fund Research'!$B$6:$B$505,MATCH(126,'Fund Research'!$W$6:$W$505,0))="","",126),"")</f>
        <v/>
      </c>
      <c r="B131" s="35">
        <f>IFERROR(INDEX('Fund Research'!$A$6:$A$505,MATCH(126,'Fund Research'!$W$6:$W$505,0)),"")</f>
        <v/>
      </c>
      <c r="C131" s="35">
        <f>IFERROR(INDEX('Fund Research'!$B$6:$B$505,MATCH(126,'Fund Research'!$W$6:$W$505,0)),"")</f>
        <v/>
      </c>
      <c r="D131" s="35">
        <f>IFERROR(INDEX('Fund Research'!$C$6:$C$505,MATCH(126,'Fund Research'!$W$6:$W$505,0)),"")</f>
        <v/>
      </c>
      <c r="E131" s="36">
        <f>IFERROR(INDEX('Fund Research'!$G$6:$G$505,MATCH(126,'Fund Research'!$W$6:$W$505,0)),"")</f>
        <v/>
      </c>
      <c r="F131" s="36">
        <f>IFERROR(INDEX('Fund Research'!$H$6:$H$505,MATCH(126,'Fund Research'!$W$6:$W$505,0)),"")</f>
        <v/>
      </c>
      <c r="G131" s="36">
        <f>IFERROR(INDEX('Fund Research'!$I$6:$I$505,MATCH(126,'Fund Research'!$W$6:$W$505,0)),"")</f>
        <v/>
      </c>
      <c r="H131" s="37">
        <f>IFERROR(INDEX('Fund Research'!$J$6:$J$505,MATCH(126,'Fund Research'!$W$6:$W$505,0)),"")</f>
        <v/>
      </c>
      <c r="I131" s="40">
        <f>IFERROR(INDEX('Fund Research'!$L$6:$L$505,MATCH(126,'Fund Research'!$W$6:$W$505,0)),"")</f>
        <v/>
      </c>
      <c r="J131" s="37">
        <f>IFERROR(INDEX('Fund Research'!$N$6:$N$505,MATCH(126,'Fund Research'!$W$6:$W$505,0)),"")</f>
        <v/>
      </c>
      <c r="K131" s="37">
        <f>IFERROR(INDEX('Fund Research'!$P$6:$P$505,MATCH(126,'Fund Research'!$W$6:$W$505,0)),"")</f>
        <v/>
      </c>
      <c r="L131" s="35">
        <f>IFERROR(INDEX('Fund Research'!$S$6:$S$505,MATCH(126,'Fund Research'!$W$6:$W$505,0)),"")</f>
        <v/>
      </c>
      <c r="M131" s="35">
        <f>IFERROR(INDEX('Fund Research'!$T$6:$T$505,MATCH(126,'Fund Research'!$W$6:$W$505,0)),"")</f>
        <v/>
      </c>
    </row>
    <row r="132" ht="15" customHeight="1">
      <c r="A132" s="34">
        <f>IFERROR(IF(INDEX('Fund Research'!$B$6:$B$505,MATCH(127,'Fund Research'!$W$6:$W$505,0))="","",127),"")</f>
        <v/>
      </c>
      <c r="B132" s="35">
        <f>IFERROR(INDEX('Fund Research'!$A$6:$A$505,MATCH(127,'Fund Research'!$W$6:$W$505,0)),"")</f>
        <v/>
      </c>
      <c r="C132" s="35">
        <f>IFERROR(INDEX('Fund Research'!$B$6:$B$505,MATCH(127,'Fund Research'!$W$6:$W$505,0)),"")</f>
        <v/>
      </c>
      <c r="D132" s="35">
        <f>IFERROR(INDEX('Fund Research'!$C$6:$C$505,MATCH(127,'Fund Research'!$W$6:$W$505,0)),"")</f>
        <v/>
      </c>
      <c r="E132" s="36">
        <f>IFERROR(INDEX('Fund Research'!$G$6:$G$505,MATCH(127,'Fund Research'!$W$6:$W$505,0)),"")</f>
        <v/>
      </c>
      <c r="F132" s="36">
        <f>IFERROR(INDEX('Fund Research'!$H$6:$H$505,MATCH(127,'Fund Research'!$W$6:$W$505,0)),"")</f>
        <v/>
      </c>
      <c r="G132" s="36">
        <f>IFERROR(INDEX('Fund Research'!$I$6:$I$505,MATCH(127,'Fund Research'!$W$6:$W$505,0)),"")</f>
        <v/>
      </c>
      <c r="H132" s="37">
        <f>IFERROR(INDEX('Fund Research'!$J$6:$J$505,MATCH(127,'Fund Research'!$W$6:$W$505,0)),"")</f>
        <v/>
      </c>
      <c r="I132" s="40">
        <f>IFERROR(INDEX('Fund Research'!$L$6:$L$505,MATCH(127,'Fund Research'!$W$6:$W$505,0)),"")</f>
        <v/>
      </c>
      <c r="J132" s="37">
        <f>IFERROR(INDEX('Fund Research'!$N$6:$N$505,MATCH(127,'Fund Research'!$W$6:$W$505,0)),"")</f>
        <v/>
      </c>
      <c r="K132" s="37">
        <f>IFERROR(INDEX('Fund Research'!$P$6:$P$505,MATCH(127,'Fund Research'!$W$6:$W$505,0)),"")</f>
        <v/>
      </c>
      <c r="L132" s="35">
        <f>IFERROR(INDEX('Fund Research'!$S$6:$S$505,MATCH(127,'Fund Research'!$W$6:$W$505,0)),"")</f>
        <v/>
      </c>
      <c r="M132" s="35">
        <f>IFERROR(INDEX('Fund Research'!$T$6:$T$505,MATCH(127,'Fund Research'!$W$6:$W$505,0)),"")</f>
        <v/>
      </c>
    </row>
    <row r="133" ht="15" customHeight="1">
      <c r="A133" s="34">
        <f>IFERROR(IF(INDEX('Fund Research'!$B$6:$B$505,MATCH(128,'Fund Research'!$W$6:$W$505,0))="","",128),"")</f>
        <v/>
      </c>
      <c r="B133" s="35">
        <f>IFERROR(INDEX('Fund Research'!$A$6:$A$505,MATCH(128,'Fund Research'!$W$6:$W$505,0)),"")</f>
        <v/>
      </c>
      <c r="C133" s="35">
        <f>IFERROR(INDEX('Fund Research'!$B$6:$B$505,MATCH(128,'Fund Research'!$W$6:$W$505,0)),"")</f>
        <v/>
      </c>
      <c r="D133" s="35">
        <f>IFERROR(INDEX('Fund Research'!$C$6:$C$505,MATCH(128,'Fund Research'!$W$6:$W$505,0)),"")</f>
        <v/>
      </c>
      <c r="E133" s="36">
        <f>IFERROR(INDEX('Fund Research'!$G$6:$G$505,MATCH(128,'Fund Research'!$W$6:$W$505,0)),"")</f>
        <v/>
      </c>
      <c r="F133" s="36">
        <f>IFERROR(INDEX('Fund Research'!$H$6:$H$505,MATCH(128,'Fund Research'!$W$6:$W$505,0)),"")</f>
        <v/>
      </c>
      <c r="G133" s="36">
        <f>IFERROR(INDEX('Fund Research'!$I$6:$I$505,MATCH(128,'Fund Research'!$W$6:$W$505,0)),"")</f>
        <v/>
      </c>
      <c r="H133" s="37">
        <f>IFERROR(INDEX('Fund Research'!$J$6:$J$505,MATCH(128,'Fund Research'!$W$6:$W$505,0)),"")</f>
        <v/>
      </c>
      <c r="I133" s="40">
        <f>IFERROR(INDEX('Fund Research'!$L$6:$L$505,MATCH(128,'Fund Research'!$W$6:$W$505,0)),"")</f>
        <v/>
      </c>
      <c r="J133" s="37">
        <f>IFERROR(INDEX('Fund Research'!$N$6:$N$505,MATCH(128,'Fund Research'!$W$6:$W$505,0)),"")</f>
        <v/>
      </c>
      <c r="K133" s="37">
        <f>IFERROR(INDEX('Fund Research'!$P$6:$P$505,MATCH(128,'Fund Research'!$W$6:$W$505,0)),"")</f>
        <v/>
      </c>
      <c r="L133" s="35">
        <f>IFERROR(INDEX('Fund Research'!$S$6:$S$505,MATCH(128,'Fund Research'!$W$6:$W$505,0)),"")</f>
        <v/>
      </c>
      <c r="M133" s="35">
        <f>IFERROR(INDEX('Fund Research'!$T$6:$T$505,MATCH(128,'Fund Research'!$W$6:$W$505,0)),"")</f>
        <v/>
      </c>
    </row>
    <row r="134" ht="15" customHeight="1">
      <c r="A134" s="34">
        <f>IFERROR(IF(INDEX('Fund Research'!$B$6:$B$505,MATCH(129,'Fund Research'!$W$6:$W$505,0))="","",129),"")</f>
        <v/>
      </c>
      <c r="B134" s="35">
        <f>IFERROR(INDEX('Fund Research'!$A$6:$A$505,MATCH(129,'Fund Research'!$W$6:$W$505,0)),"")</f>
        <v/>
      </c>
      <c r="C134" s="35">
        <f>IFERROR(INDEX('Fund Research'!$B$6:$B$505,MATCH(129,'Fund Research'!$W$6:$W$505,0)),"")</f>
        <v/>
      </c>
      <c r="D134" s="35">
        <f>IFERROR(INDEX('Fund Research'!$C$6:$C$505,MATCH(129,'Fund Research'!$W$6:$W$505,0)),"")</f>
        <v/>
      </c>
      <c r="E134" s="36">
        <f>IFERROR(INDEX('Fund Research'!$G$6:$G$505,MATCH(129,'Fund Research'!$W$6:$W$505,0)),"")</f>
        <v/>
      </c>
      <c r="F134" s="36">
        <f>IFERROR(INDEX('Fund Research'!$H$6:$H$505,MATCH(129,'Fund Research'!$W$6:$W$505,0)),"")</f>
        <v/>
      </c>
      <c r="G134" s="36">
        <f>IFERROR(INDEX('Fund Research'!$I$6:$I$505,MATCH(129,'Fund Research'!$W$6:$W$505,0)),"")</f>
        <v/>
      </c>
      <c r="H134" s="37">
        <f>IFERROR(INDEX('Fund Research'!$J$6:$J$505,MATCH(129,'Fund Research'!$W$6:$W$505,0)),"")</f>
        <v/>
      </c>
      <c r="I134" s="40">
        <f>IFERROR(INDEX('Fund Research'!$L$6:$L$505,MATCH(129,'Fund Research'!$W$6:$W$505,0)),"")</f>
        <v/>
      </c>
      <c r="J134" s="37">
        <f>IFERROR(INDEX('Fund Research'!$N$6:$N$505,MATCH(129,'Fund Research'!$W$6:$W$505,0)),"")</f>
        <v/>
      </c>
      <c r="K134" s="37">
        <f>IFERROR(INDEX('Fund Research'!$P$6:$P$505,MATCH(129,'Fund Research'!$W$6:$W$505,0)),"")</f>
        <v/>
      </c>
      <c r="L134" s="35">
        <f>IFERROR(INDEX('Fund Research'!$S$6:$S$505,MATCH(129,'Fund Research'!$W$6:$W$505,0)),"")</f>
        <v/>
      </c>
      <c r="M134" s="35">
        <f>IFERROR(INDEX('Fund Research'!$T$6:$T$505,MATCH(129,'Fund Research'!$W$6:$W$505,0)),"")</f>
        <v/>
      </c>
    </row>
    <row r="135" ht="15" customHeight="1">
      <c r="A135" s="34">
        <f>IFERROR(IF(INDEX('Fund Research'!$B$6:$B$505,MATCH(130,'Fund Research'!$W$6:$W$505,0))="","",130),"")</f>
        <v/>
      </c>
      <c r="B135" s="35">
        <f>IFERROR(INDEX('Fund Research'!$A$6:$A$505,MATCH(130,'Fund Research'!$W$6:$W$505,0)),"")</f>
        <v/>
      </c>
      <c r="C135" s="35">
        <f>IFERROR(INDEX('Fund Research'!$B$6:$B$505,MATCH(130,'Fund Research'!$W$6:$W$505,0)),"")</f>
        <v/>
      </c>
      <c r="D135" s="35">
        <f>IFERROR(INDEX('Fund Research'!$C$6:$C$505,MATCH(130,'Fund Research'!$W$6:$W$505,0)),"")</f>
        <v/>
      </c>
      <c r="E135" s="36">
        <f>IFERROR(INDEX('Fund Research'!$G$6:$G$505,MATCH(130,'Fund Research'!$W$6:$W$505,0)),"")</f>
        <v/>
      </c>
      <c r="F135" s="36">
        <f>IFERROR(INDEX('Fund Research'!$H$6:$H$505,MATCH(130,'Fund Research'!$W$6:$W$505,0)),"")</f>
        <v/>
      </c>
      <c r="G135" s="36">
        <f>IFERROR(INDEX('Fund Research'!$I$6:$I$505,MATCH(130,'Fund Research'!$W$6:$W$505,0)),"")</f>
        <v/>
      </c>
      <c r="H135" s="37">
        <f>IFERROR(INDEX('Fund Research'!$J$6:$J$505,MATCH(130,'Fund Research'!$W$6:$W$505,0)),"")</f>
        <v/>
      </c>
      <c r="I135" s="40">
        <f>IFERROR(INDEX('Fund Research'!$L$6:$L$505,MATCH(130,'Fund Research'!$W$6:$W$505,0)),"")</f>
        <v/>
      </c>
      <c r="J135" s="37">
        <f>IFERROR(INDEX('Fund Research'!$N$6:$N$505,MATCH(130,'Fund Research'!$W$6:$W$505,0)),"")</f>
        <v/>
      </c>
      <c r="K135" s="37">
        <f>IFERROR(INDEX('Fund Research'!$P$6:$P$505,MATCH(130,'Fund Research'!$W$6:$W$505,0)),"")</f>
        <v/>
      </c>
      <c r="L135" s="35">
        <f>IFERROR(INDEX('Fund Research'!$S$6:$S$505,MATCH(130,'Fund Research'!$W$6:$W$505,0)),"")</f>
        <v/>
      </c>
      <c r="M135" s="35">
        <f>IFERROR(INDEX('Fund Research'!$T$6:$T$505,MATCH(130,'Fund Research'!$W$6:$W$505,0)),"")</f>
        <v/>
      </c>
    </row>
    <row r="136" ht="15" customHeight="1">
      <c r="A136" s="34">
        <f>IFERROR(IF(INDEX('Fund Research'!$B$6:$B$505,MATCH(131,'Fund Research'!$W$6:$W$505,0))="","",131),"")</f>
        <v/>
      </c>
      <c r="B136" s="35">
        <f>IFERROR(INDEX('Fund Research'!$A$6:$A$505,MATCH(131,'Fund Research'!$W$6:$W$505,0)),"")</f>
        <v/>
      </c>
      <c r="C136" s="35">
        <f>IFERROR(INDEX('Fund Research'!$B$6:$B$505,MATCH(131,'Fund Research'!$W$6:$W$505,0)),"")</f>
        <v/>
      </c>
      <c r="D136" s="35">
        <f>IFERROR(INDEX('Fund Research'!$C$6:$C$505,MATCH(131,'Fund Research'!$W$6:$W$505,0)),"")</f>
        <v/>
      </c>
      <c r="E136" s="36">
        <f>IFERROR(INDEX('Fund Research'!$G$6:$G$505,MATCH(131,'Fund Research'!$W$6:$W$505,0)),"")</f>
        <v/>
      </c>
      <c r="F136" s="36">
        <f>IFERROR(INDEX('Fund Research'!$H$6:$H$505,MATCH(131,'Fund Research'!$W$6:$W$505,0)),"")</f>
        <v/>
      </c>
      <c r="G136" s="36">
        <f>IFERROR(INDEX('Fund Research'!$I$6:$I$505,MATCH(131,'Fund Research'!$W$6:$W$505,0)),"")</f>
        <v/>
      </c>
      <c r="H136" s="37">
        <f>IFERROR(INDEX('Fund Research'!$J$6:$J$505,MATCH(131,'Fund Research'!$W$6:$W$505,0)),"")</f>
        <v/>
      </c>
      <c r="I136" s="40">
        <f>IFERROR(INDEX('Fund Research'!$L$6:$L$505,MATCH(131,'Fund Research'!$W$6:$W$505,0)),"")</f>
        <v/>
      </c>
      <c r="J136" s="37">
        <f>IFERROR(INDEX('Fund Research'!$N$6:$N$505,MATCH(131,'Fund Research'!$W$6:$W$505,0)),"")</f>
        <v/>
      </c>
      <c r="K136" s="37">
        <f>IFERROR(INDEX('Fund Research'!$P$6:$P$505,MATCH(131,'Fund Research'!$W$6:$W$505,0)),"")</f>
        <v/>
      </c>
      <c r="L136" s="35">
        <f>IFERROR(INDEX('Fund Research'!$S$6:$S$505,MATCH(131,'Fund Research'!$W$6:$W$505,0)),"")</f>
        <v/>
      </c>
      <c r="M136" s="35">
        <f>IFERROR(INDEX('Fund Research'!$T$6:$T$505,MATCH(131,'Fund Research'!$W$6:$W$505,0)),"")</f>
        <v/>
      </c>
    </row>
    <row r="137" ht="15" customHeight="1">
      <c r="A137" s="34">
        <f>IFERROR(IF(INDEX('Fund Research'!$B$6:$B$505,MATCH(132,'Fund Research'!$W$6:$W$505,0))="","",132),"")</f>
        <v/>
      </c>
      <c r="B137" s="35">
        <f>IFERROR(INDEX('Fund Research'!$A$6:$A$505,MATCH(132,'Fund Research'!$W$6:$W$505,0)),"")</f>
        <v/>
      </c>
      <c r="C137" s="35">
        <f>IFERROR(INDEX('Fund Research'!$B$6:$B$505,MATCH(132,'Fund Research'!$W$6:$W$505,0)),"")</f>
        <v/>
      </c>
      <c r="D137" s="35">
        <f>IFERROR(INDEX('Fund Research'!$C$6:$C$505,MATCH(132,'Fund Research'!$W$6:$W$505,0)),"")</f>
        <v/>
      </c>
      <c r="E137" s="36">
        <f>IFERROR(INDEX('Fund Research'!$G$6:$G$505,MATCH(132,'Fund Research'!$W$6:$W$505,0)),"")</f>
        <v/>
      </c>
      <c r="F137" s="36">
        <f>IFERROR(INDEX('Fund Research'!$H$6:$H$505,MATCH(132,'Fund Research'!$W$6:$W$505,0)),"")</f>
        <v/>
      </c>
      <c r="G137" s="36">
        <f>IFERROR(INDEX('Fund Research'!$I$6:$I$505,MATCH(132,'Fund Research'!$W$6:$W$505,0)),"")</f>
        <v/>
      </c>
      <c r="H137" s="37">
        <f>IFERROR(INDEX('Fund Research'!$J$6:$J$505,MATCH(132,'Fund Research'!$W$6:$W$505,0)),"")</f>
        <v/>
      </c>
      <c r="I137" s="40">
        <f>IFERROR(INDEX('Fund Research'!$L$6:$L$505,MATCH(132,'Fund Research'!$W$6:$W$505,0)),"")</f>
        <v/>
      </c>
      <c r="J137" s="37">
        <f>IFERROR(INDEX('Fund Research'!$N$6:$N$505,MATCH(132,'Fund Research'!$W$6:$W$505,0)),"")</f>
        <v/>
      </c>
      <c r="K137" s="37">
        <f>IFERROR(INDEX('Fund Research'!$P$6:$P$505,MATCH(132,'Fund Research'!$W$6:$W$505,0)),"")</f>
        <v/>
      </c>
      <c r="L137" s="35">
        <f>IFERROR(INDEX('Fund Research'!$S$6:$S$505,MATCH(132,'Fund Research'!$W$6:$W$505,0)),"")</f>
        <v/>
      </c>
      <c r="M137" s="35">
        <f>IFERROR(INDEX('Fund Research'!$T$6:$T$505,MATCH(132,'Fund Research'!$W$6:$W$505,0)),"")</f>
        <v/>
      </c>
    </row>
    <row r="138" ht="15" customHeight="1">
      <c r="A138" s="34">
        <f>IFERROR(IF(INDEX('Fund Research'!$B$6:$B$505,MATCH(133,'Fund Research'!$W$6:$W$505,0))="","",133),"")</f>
        <v/>
      </c>
      <c r="B138" s="35">
        <f>IFERROR(INDEX('Fund Research'!$A$6:$A$505,MATCH(133,'Fund Research'!$W$6:$W$505,0)),"")</f>
        <v/>
      </c>
      <c r="C138" s="35">
        <f>IFERROR(INDEX('Fund Research'!$B$6:$B$505,MATCH(133,'Fund Research'!$W$6:$W$505,0)),"")</f>
        <v/>
      </c>
      <c r="D138" s="35">
        <f>IFERROR(INDEX('Fund Research'!$C$6:$C$505,MATCH(133,'Fund Research'!$W$6:$W$505,0)),"")</f>
        <v/>
      </c>
      <c r="E138" s="36">
        <f>IFERROR(INDEX('Fund Research'!$G$6:$G$505,MATCH(133,'Fund Research'!$W$6:$W$505,0)),"")</f>
        <v/>
      </c>
      <c r="F138" s="36">
        <f>IFERROR(INDEX('Fund Research'!$H$6:$H$505,MATCH(133,'Fund Research'!$W$6:$W$505,0)),"")</f>
        <v/>
      </c>
      <c r="G138" s="36">
        <f>IFERROR(INDEX('Fund Research'!$I$6:$I$505,MATCH(133,'Fund Research'!$W$6:$W$505,0)),"")</f>
        <v/>
      </c>
      <c r="H138" s="37">
        <f>IFERROR(INDEX('Fund Research'!$J$6:$J$505,MATCH(133,'Fund Research'!$W$6:$W$505,0)),"")</f>
        <v/>
      </c>
      <c r="I138" s="40">
        <f>IFERROR(INDEX('Fund Research'!$L$6:$L$505,MATCH(133,'Fund Research'!$W$6:$W$505,0)),"")</f>
        <v/>
      </c>
      <c r="J138" s="37">
        <f>IFERROR(INDEX('Fund Research'!$N$6:$N$505,MATCH(133,'Fund Research'!$W$6:$W$505,0)),"")</f>
        <v/>
      </c>
      <c r="K138" s="37">
        <f>IFERROR(INDEX('Fund Research'!$P$6:$P$505,MATCH(133,'Fund Research'!$W$6:$W$505,0)),"")</f>
        <v/>
      </c>
      <c r="L138" s="35">
        <f>IFERROR(INDEX('Fund Research'!$S$6:$S$505,MATCH(133,'Fund Research'!$W$6:$W$505,0)),"")</f>
        <v/>
      </c>
      <c r="M138" s="35">
        <f>IFERROR(INDEX('Fund Research'!$T$6:$T$505,MATCH(133,'Fund Research'!$W$6:$W$505,0)),"")</f>
        <v/>
      </c>
    </row>
    <row r="139" ht="15" customHeight="1">
      <c r="A139" s="34">
        <f>IFERROR(IF(INDEX('Fund Research'!$B$6:$B$505,MATCH(134,'Fund Research'!$W$6:$W$505,0))="","",134),"")</f>
        <v/>
      </c>
      <c r="B139" s="35">
        <f>IFERROR(INDEX('Fund Research'!$A$6:$A$505,MATCH(134,'Fund Research'!$W$6:$W$505,0)),"")</f>
        <v/>
      </c>
      <c r="C139" s="35">
        <f>IFERROR(INDEX('Fund Research'!$B$6:$B$505,MATCH(134,'Fund Research'!$W$6:$W$505,0)),"")</f>
        <v/>
      </c>
      <c r="D139" s="35">
        <f>IFERROR(INDEX('Fund Research'!$C$6:$C$505,MATCH(134,'Fund Research'!$W$6:$W$505,0)),"")</f>
        <v/>
      </c>
      <c r="E139" s="36">
        <f>IFERROR(INDEX('Fund Research'!$G$6:$G$505,MATCH(134,'Fund Research'!$W$6:$W$505,0)),"")</f>
        <v/>
      </c>
      <c r="F139" s="36">
        <f>IFERROR(INDEX('Fund Research'!$H$6:$H$505,MATCH(134,'Fund Research'!$W$6:$W$505,0)),"")</f>
        <v/>
      </c>
      <c r="G139" s="36">
        <f>IFERROR(INDEX('Fund Research'!$I$6:$I$505,MATCH(134,'Fund Research'!$W$6:$W$505,0)),"")</f>
        <v/>
      </c>
      <c r="H139" s="37">
        <f>IFERROR(INDEX('Fund Research'!$J$6:$J$505,MATCH(134,'Fund Research'!$W$6:$W$505,0)),"")</f>
        <v/>
      </c>
      <c r="I139" s="40">
        <f>IFERROR(INDEX('Fund Research'!$L$6:$L$505,MATCH(134,'Fund Research'!$W$6:$W$505,0)),"")</f>
        <v/>
      </c>
      <c r="J139" s="37">
        <f>IFERROR(INDEX('Fund Research'!$N$6:$N$505,MATCH(134,'Fund Research'!$W$6:$W$505,0)),"")</f>
        <v/>
      </c>
      <c r="K139" s="37">
        <f>IFERROR(INDEX('Fund Research'!$P$6:$P$505,MATCH(134,'Fund Research'!$W$6:$W$505,0)),"")</f>
        <v/>
      </c>
      <c r="L139" s="35">
        <f>IFERROR(INDEX('Fund Research'!$S$6:$S$505,MATCH(134,'Fund Research'!$W$6:$W$505,0)),"")</f>
        <v/>
      </c>
      <c r="M139" s="35">
        <f>IFERROR(INDEX('Fund Research'!$T$6:$T$505,MATCH(134,'Fund Research'!$W$6:$W$505,0)),"")</f>
        <v/>
      </c>
    </row>
    <row r="140" ht="15" customHeight="1">
      <c r="A140" s="34">
        <f>IFERROR(IF(INDEX('Fund Research'!$B$6:$B$505,MATCH(135,'Fund Research'!$W$6:$W$505,0))="","",135),"")</f>
        <v/>
      </c>
      <c r="B140" s="35">
        <f>IFERROR(INDEX('Fund Research'!$A$6:$A$505,MATCH(135,'Fund Research'!$W$6:$W$505,0)),"")</f>
        <v/>
      </c>
      <c r="C140" s="35">
        <f>IFERROR(INDEX('Fund Research'!$B$6:$B$505,MATCH(135,'Fund Research'!$W$6:$W$505,0)),"")</f>
        <v/>
      </c>
      <c r="D140" s="35">
        <f>IFERROR(INDEX('Fund Research'!$C$6:$C$505,MATCH(135,'Fund Research'!$W$6:$W$505,0)),"")</f>
        <v/>
      </c>
      <c r="E140" s="36">
        <f>IFERROR(INDEX('Fund Research'!$G$6:$G$505,MATCH(135,'Fund Research'!$W$6:$W$505,0)),"")</f>
        <v/>
      </c>
      <c r="F140" s="36">
        <f>IFERROR(INDEX('Fund Research'!$H$6:$H$505,MATCH(135,'Fund Research'!$W$6:$W$505,0)),"")</f>
        <v/>
      </c>
      <c r="G140" s="36">
        <f>IFERROR(INDEX('Fund Research'!$I$6:$I$505,MATCH(135,'Fund Research'!$W$6:$W$505,0)),"")</f>
        <v/>
      </c>
      <c r="H140" s="37">
        <f>IFERROR(INDEX('Fund Research'!$J$6:$J$505,MATCH(135,'Fund Research'!$W$6:$W$505,0)),"")</f>
        <v/>
      </c>
      <c r="I140" s="40">
        <f>IFERROR(INDEX('Fund Research'!$L$6:$L$505,MATCH(135,'Fund Research'!$W$6:$W$505,0)),"")</f>
        <v/>
      </c>
      <c r="J140" s="37">
        <f>IFERROR(INDEX('Fund Research'!$N$6:$N$505,MATCH(135,'Fund Research'!$W$6:$W$505,0)),"")</f>
        <v/>
      </c>
      <c r="K140" s="37">
        <f>IFERROR(INDEX('Fund Research'!$P$6:$P$505,MATCH(135,'Fund Research'!$W$6:$W$505,0)),"")</f>
        <v/>
      </c>
      <c r="L140" s="35">
        <f>IFERROR(INDEX('Fund Research'!$S$6:$S$505,MATCH(135,'Fund Research'!$W$6:$W$505,0)),"")</f>
        <v/>
      </c>
      <c r="M140" s="35">
        <f>IFERROR(INDEX('Fund Research'!$T$6:$T$505,MATCH(135,'Fund Research'!$W$6:$W$505,0)),"")</f>
        <v/>
      </c>
    </row>
    <row r="141" ht="15" customHeight="1">
      <c r="A141" s="34">
        <f>IFERROR(IF(INDEX('Fund Research'!$B$6:$B$505,MATCH(136,'Fund Research'!$W$6:$W$505,0))="","",136),"")</f>
        <v/>
      </c>
      <c r="B141" s="35">
        <f>IFERROR(INDEX('Fund Research'!$A$6:$A$505,MATCH(136,'Fund Research'!$W$6:$W$505,0)),"")</f>
        <v/>
      </c>
      <c r="C141" s="35">
        <f>IFERROR(INDEX('Fund Research'!$B$6:$B$505,MATCH(136,'Fund Research'!$W$6:$W$505,0)),"")</f>
        <v/>
      </c>
      <c r="D141" s="35">
        <f>IFERROR(INDEX('Fund Research'!$C$6:$C$505,MATCH(136,'Fund Research'!$W$6:$W$505,0)),"")</f>
        <v/>
      </c>
      <c r="E141" s="36">
        <f>IFERROR(INDEX('Fund Research'!$G$6:$G$505,MATCH(136,'Fund Research'!$W$6:$W$505,0)),"")</f>
        <v/>
      </c>
      <c r="F141" s="36">
        <f>IFERROR(INDEX('Fund Research'!$H$6:$H$505,MATCH(136,'Fund Research'!$W$6:$W$505,0)),"")</f>
        <v/>
      </c>
      <c r="G141" s="36">
        <f>IFERROR(INDEX('Fund Research'!$I$6:$I$505,MATCH(136,'Fund Research'!$W$6:$W$505,0)),"")</f>
        <v/>
      </c>
      <c r="H141" s="37">
        <f>IFERROR(INDEX('Fund Research'!$J$6:$J$505,MATCH(136,'Fund Research'!$W$6:$W$505,0)),"")</f>
        <v/>
      </c>
      <c r="I141" s="40">
        <f>IFERROR(INDEX('Fund Research'!$L$6:$L$505,MATCH(136,'Fund Research'!$W$6:$W$505,0)),"")</f>
        <v/>
      </c>
      <c r="J141" s="37">
        <f>IFERROR(INDEX('Fund Research'!$N$6:$N$505,MATCH(136,'Fund Research'!$W$6:$W$505,0)),"")</f>
        <v/>
      </c>
      <c r="K141" s="37">
        <f>IFERROR(INDEX('Fund Research'!$P$6:$P$505,MATCH(136,'Fund Research'!$W$6:$W$505,0)),"")</f>
        <v/>
      </c>
      <c r="L141" s="35">
        <f>IFERROR(INDEX('Fund Research'!$S$6:$S$505,MATCH(136,'Fund Research'!$W$6:$W$505,0)),"")</f>
        <v/>
      </c>
      <c r="M141" s="35">
        <f>IFERROR(INDEX('Fund Research'!$T$6:$T$505,MATCH(136,'Fund Research'!$W$6:$W$505,0)),"")</f>
        <v/>
      </c>
    </row>
    <row r="142" ht="15" customHeight="1">
      <c r="A142" s="34">
        <f>IFERROR(IF(INDEX('Fund Research'!$B$6:$B$505,MATCH(137,'Fund Research'!$W$6:$W$505,0))="","",137),"")</f>
        <v/>
      </c>
      <c r="B142" s="35">
        <f>IFERROR(INDEX('Fund Research'!$A$6:$A$505,MATCH(137,'Fund Research'!$W$6:$W$505,0)),"")</f>
        <v/>
      </c>
      <c r="C142" s="35">
        <f>IFERROR(INDEX('Fund Research'!$B$6:$B$505,MATCH(137,'Fund Research'!$W$6:$W$505,0)),"")</f>
        <v/>
      </c>
      <c r="D142" s="35">
        <f>IFERROR(INDEX('Fund Research'!$C$6:$C$505,MATCH(137,'Fund Research'!$W$6:$W$505,0)),"")</f>
        <v/>
      </c>
      <c r="E142" s="36">
        <f>IFERROR(INDEX('Fund Research'!$G$6:$G$505,MATCH(137,'Fund Research'!$W$6:$W$505,0)),"")</f>
        <v/>
      </c>
      <c r="F142" s="36">
        <f>IFERROR(INDEX('Fund Research'!$H$6:$H$505,MATCH(137,'Fund Research'!$W$6:$W$505,0)),"")</f>
        <v/>
      </c>
      <c r="G142" s="36">
        <f>IFERROR(INDEX('Fund Research'!$I$6:$I$505,MATCH(137,'Fund Research'!$W$6:$W$505,0)),"")</f>
        <v/>
      </c>
      <c r="H142" s="37">
        <f>IFERROR(INDEX('Fund Research'!$J$6:$J$505,MATCH(137,'Fund Research'!$W$6:$W$505,0)),"")</f>
        <v/>
      </c>
      <c r="I142" s="40">
        <f>IFERROR(INDEX('Fund Research'!$L$6:$L$505,MATCH(137,'Fund Research'!$W$6:$W$505,0)),"")</f>
        <v/>
      </c>
      <c r="J142" s="37">
        <f>IFERROR(INDEX('Fund Research'!$N$6:$N$505,MATCH(137,'Fund Research'!$W$6:$W$505,0)),"")</f>
        <v/>
      </c>
      <c r="K142" s="37">
        <f>IFERROR(INDEX('Fund Research'!$P$6:$P$505,MATCH(137,'Fund Research'!$W$6:$W$505,0)),"")</f>
        <v/>
      </c>
      <c r="L142" s="35">
        <f>IFERROR(INDEX('Fund Research'!$S$6:$S$505,MATCH(137,'Fund Research'!$W$6:$W$505,0)),"")</f>
        <v/>
      </c>
      <c r="M142" s="35">
        <f>IFERROR(INDEX('Fund Research'!$T$6:$T$505,MATCH(137,'Fund Research'!$W$6:$W$505,0)),"")</f>
        <v/>
      </c>
    </row>
    <row r="143" ht="15" customHeight="1">
      <c r="A143" s="34">
        <f>IFERROR(IF(INDEX('Fund Research'!$B$6:$B$505,MATCH(138,'Fund Research'!$W$6:$W$505,0))="","",138),"")</f>
        <v/>
      </c>
      <c r="B143" s="35">
        <f>IFERROR(INDEX('Fund Research'!$A$6:$A$505,MATCH(138,'Fund Research'!$W$6:$W$505,0)),"")</f>
        <v/>
      </c>
      <c r="C143" s="35">
        <f>IFERROR(INDEX('Fund Research'!$B$6:$B$505,MATCH(138,'Fund Research'!$W$6:$W$505,0)),"")</f>
        <v/>
      </c>
      <c r="D143" s="35">
        <f>IFERROR(INDEX('Fund Research'!$C$6:$C$505,MATCH(138,'Fund Research'!$W$6:$W$505,0)),"")</f>
        <v/>
      </c>
      <c r="E143" s="36">
        <f>IFERROR(INDEX('Fund Research'!$G$6:$G$505,MATCH(138,'Fund Research'!$W$6:$W$505,0)),"")</f>
        <v/>
      </c>
      <c r="F143" s="36">
        <f>IFERROR(INDEX('Fund Research'!$H$6:$H$505,MATCH(138,'Fund Research'!$W$6:$W$505,0)),"")</f>
        <v/>
      </c>
      <c r="G143" s="36">
        <f>IFERROR(INDEX('Fund Research'!$I$6:$I$505,MATCH(138,'Fund Research'!$W$6:$W$505,0)),"")</f>
        <v/>
      </c>
      <c r="H143" s="37">
        <f>IFERROR(INDEX('Fund Research'!$J$6:$J$505,MATCH(138,'Fund Research'!$W$6:$W$505,0)),"")</f>
        <v/>
      </c>
      <c r="I143" s="40">
        <f>IFERROR(INDEX('Fund Research'!$L$6:$L$505,MATCH(138,'Fund Research'!$W$6:$W$505,0)),"")</f>
        <v/>
      </c>
      <c r="J143" s="37">
        <f>IFERROR(INDEX('Fund Research'!$N$6:$N$505,MATCH(138,'Fund Research'!$W$6:$W$505,0)),"")</f>
        <v/>
      </c>
      <c r="K143" s="37">
        <f>IFERROR(INDEX('Fund Research'!$P$6:$P$505,MATCH(138,'Fund Research'!$W$6:$W$505,0)),"")</f>
        <v/>
      </c>
      <c r="L143" s="35">
        <f>IFERROR(INDEX('Fund Research'!$S$6:$S$505,MATCH(138,'Fund Research'!$W$6:$W$505,0)),"")</f>
        <v/>
      </c>
      <c r="M143" s="35">
        <f>IFERROR(INDEX('Fund Research'!$T$6:$T$505,MATCH(138,'Fund Research'!$W$6:$W$505,0)),"")</f>
        <v/>
      </c>
    </row>
    <row r="144" ht="15" customHeight="1">
      <c r="A144" s="34">
        <f>IFERROR(IF(INDEX('Fund Research'!$B$6:$B$505,MATCH(139,'Fund Research'!$W$6:$W$505,0))="","",139),"")</f>
        <v/>
      </c>
      <c r="B144" s="35">
        <f>IFERROR(INDEX('Fund Research'!$A$6:$A$505,MATCH(139,'Fund Research'!$W$6:$W$505,0)),"")</f>
        <v/>
      </c>
      <c r="C144" s="35">
        <f>IFERROR(INDEX('Fund Research'!$B$6:$B$505,MATCH(139,'Fund Research'!$W$6:$W$505,0)),"")</f>
        <v/>
      </c>
      <c r="D144" s="35">
        <f>IFERROR(INDEX('Fund Research'!$C$6:$C$505,MATCH(139,'Fund Research'!$W$6:$W$505,0)),"")</f>
        <v/>
      </c>
      <c r="E144" s="36">
        <f>IFERROR(INDEX('Fund Research'!$G$6:$G$505,MATCH(139,'Fund Research'!$W$6:$W$505,0)),"")</f>
        <v/>
      </c>
      <c r="F144" s="36">
        <f>IFERROR(INDEX('Fund Research'!$H$6:$H$505,MATCH(139,'Fund Research'!$W$6:$W$505,0)),"")</f>
        <v/>
      </c>
      <c r="G144" s="36">
        <f>IFERROR(INDEX('Fund Research'!$I$6:$I$505,MATCH(139,'Fund Research'!$W$6:$W$505,0)),"")</f>
        <v/>
      </c>
      <c r="H144" s="37">
        <f>IFERROR(INDEX('Fund Research'!$J$6:$J$505,MATCH(139,'Fund Research'!$W$6:$W$505,0)),"")</f>
        <v/>
      </c>
      <c r="I144" s="40">
        <f>IFERROR(INDEX('Fund Research'!$L$6:$L$505,MATCH(139,'Fund Research'!$W$6:$W$505,0)),"")</f>
        <v/>
      </c>
      <c r="J144" s="37">
        <f>IFERROR(INDEX('Fund Research'!$N$6:$N$505,MATCH(139,'Fund Research'!$W$6:$W$505,0)),"")</f>
        <v/>
      </c>
      <c r="K144" s="37">
        <f>IFERROR(INDEX('Fund Research'!$P$6:$P$505,MATCH(139,'Fund Research'!$W$6:$W$505,0)),"")</f>
        <v/>
      </c>
      <c r="L144" s="35">
        <f>IFERROR(INDEX('Fund Research'!$S$6:$S$505,MATCH(139,'Fund Research'!$W$6:$W$505,0)),"")</f>
        <v/>
      </c>
      <c r="M144" s="35">
        <f>IFERROR(INDEX('Fund Research'!$T$6:$T$505,MATCH(139,'Fund Research'!$W$6:$W$505,0)),"")</f>
        <v/>
      </c>
    </row>
    <row r="145" ht="15" customHeight="1">
      <c r="A145" s="34">
        <f>IFERROR(IF(INDEX('Fund Research'!$B$6:$B$505,MATCH(140,'Fund Research'!$W$6:$W$505,0))="","",140),"")</f>
        <v/>
      </c>
      <c r="B145" s="35">
        <f>IFERROR(INDEX('Fund Research'!$A$6:$A$505,MATCH(140,'Fund Research'!$W$6:$W$505,0)),"")</f>
        <v/>
      </c>
      <c r="C145" s="35">
        <f>IFERROR(INDEX('Fund Research'!$B$6:$B$505,MATCH(140,'Fund Research'!$W$6:$W$505,0)),"")</f>
        <v/>
      </c>
      <c r="D145" s="35">
        <f>IFERROR(INDEX('Fund Research'!$C$6:$C$505,MATCH(140,'Fund Research'!$W$6:$W$505,0)),"")</f>
        <v/>
      </c>
      <c r="E145" s="36">
        <f>IFERROR(INDEX('Fund Research'!$G$6:$G$505,MATCH(140,'Fund Research'!$W$6:$W$505,0)),"")</f>
        <v/>
      </c>
      <c r="F145" s="36">
        <f>IFERROR(INDEX('Fund Research'!$H$6:$H$505,MATCH(140,'Fund Research'!$W$6:$W$505,0)),"")</f>
        <v/>
      </c>
      <c r="G145" s="36">
        <f>IFERROR(INDEX('Fund Research'!$I$6:$I$505,MATCH(140,'Fund Research'!$W$6:$W$505,0)),"")</f>
        <v/>
      </c>
      <c r="H145" s="37">
        <f>IFERROR(INDEX('Fund Research'!$J$6:$J$505,MATCH(140,'Fund Research'!$W$6:$W$505,0)),"")</f>
        <v/>
      </c>
      <c r="I145" s="40">
        <f>IFERROR(INDEX('Fund Research'!$L$6:$L$505,MATCH(140,'Fund Research'!$W$6:$W$505,0)),"")</f>
        <v/>
      </c>
      <c r="J145" s="37">
        <f>IFERROR(INDEX('Fund Research'!$N$6:$N$505,MATCH(140,'Fund Research'!$W$6:$W$505,0)),"")</f>
        <v/>
      </c>
      <c r="K145" s="37">
        <f>IFERROR(INDEX('Fund Research'!$P$6:$P$505,MATCH(140,'Fund Research'!$W$6:$W$505,0)),"")</f>
        <v/>
      </c>
      <c r="L145" s="35">
        <f>IFERROR(INDEX('Fund Research'!$S$6:$S$505,MATCH(140,'Fund Research'!$W$6:$W$505,0)),"")</f>
        <v/>
      </c>
      <c r="M145" s="35">
        <f>IFERROR(INDEX('Fund Research'!$T$6:$T$505,MATCH(140,'Fund Research'!$W$6:$W$505,0)),"")</f>
        <v/>
      </c>
    </row>
    <row r="146" ht="15" customHeight="1">
      <c r="A146" s="34">
        <f>IFERROR(IF(INDEX('Fund Research'!$B$6:$B$505,MATCH(141,'Fund Research'!$W$6:$W$505,0))="","",141),"")</f>
        <v/>
      </c>
      <c r="B146" s="35">
        <f>IFERROR(INDEX('Fund Research'!$A$6:$A$505,MATCH(141,'Fund Research'!$W$6:$W$505,0)),"")</f>
        <v/>
      </c>
      <c r="C146" s="35">
        <f>IFERROR(INDEX('Fund Research'!$B$6:$B$505,MATCH(141,'Fund Research'!$W$6:$W$505,0)),"")</f>
        <v/>
      </c>
      <c r="D146" s="35">
        <f>IFERROR(INDEX('Fund Research'!$C$6:$C$505,MATCH(141,'Fund Research'!$W$6:$W$505,0)),"")</f>
        <v/>
      </c>
      <c r="E146" s="36">
        <f>IFERROR(INDEX('Fund Research'!$G$6:$G$505,MATCH(141,'Fund Research'!$W$6:$W$505,0)),"")</f>
        <v/>
      </c>
      <c r="F146" s="36">
        <f>IFERROR(INDEX('Fund Research'!$H$6:$H$505,MATCH(141,'Fund Research'!$W$6:$W$505,0)),"")</f>
        <v/>
      </c>
      <c r="G146" s="36">
        <f>IFERROR(INDEX('Fund Research'!$I$6:$I$505,MATCH(141,'Fund Research'!$W$6:$W$505,0)),"")</f>
        <v/>
      </c>
      <c r="H146" s="37">
        <f>IFERROR(INDEX('Fund Research'!$J$6:$J$505,MATCH(141,'Fund Research'!$W$6:$W$505,0)),"")</f>
        <v/>
      </c>
      <c r="I146" s="40">
        <f>IFERROR(INDEX('Fund Research'!$L$6:$L$505,MATCH(141,'Fund Research'!$W$6:$W$505,0)),"")</f>
        <v/>
      </c>
      <c r="J146" s="37">
        <f>IFERROR(INDEX('Fund Research'!$N$6:$N$505,MATCH(141,'Fund Research'!$W$6:$W$505,0)),"")</f>
        <v/>
      </c>
      <c r="K146" s="37">
        <f>IFERROR(INDEX('Fund Research'!$P$6:$P$505,MATCH(141,'Fund Research'!$W$6:$W$505,0)),"")</f>
        <v/>
      </c>
      <c r="L146" s="35">
        <f>IFERROR(INDEX('Fund Research'!$S$6:$S$505,MATCH(141,'Fund Research'!$W$6:$W$505,0)),"")</f>
        <v/>
      </c>
      <c r="M146" s="35">
        <f>IFERROR(INDEX('Fund Research'!$T$6:$T$505,MATCH(141,'Fund Research'!$W$6:$W$505,0)),"")</f>
        <v/>
      </c>
    </row>
    <row r="147" ht="15" customHeight="1">
      <c r="A147" s="34">
        <f>IFERROR(IF(INDEX('Fund Research'!$B$6:$B$505,MATCH(142,'Fund Research'!$W$6:$W$505,0))="","",142),"")</f>
        <v/>
      </c>
      <c r="B147" s="35">
        <f>IFERROR(INDEX('Fund Research'!$A$6:$A$505,MATCH(142,'Fund Research'!$W$6:$W$505,0)),"")</f>
        <v/>
      </c>
      <c r="C147" s="35">
        <f>IFERROR(INDEX('Fund Research'!$B$6:$B$505,MATCH(142,'Fund Research'!$W$6:$W$505,0)),"")</f>
        <v/>
      </c>
      <c r="D147" s="35">
        <f>IFERROR(INDEX('Fund Research'!$C$6:$C$505,MATCH(142,'Fund Research'!$W$6:$W$505,0)),"")</f>
        <v/>
      </c>
      <c r="E147" s="36">
        <f>IFERROR(INDEX('Fund Research'!$G$6:$G$505,MATCH(142,'Fund Research'!$W$6:$W$505,0)),"")</f>
        <v/>
      </c>
      <c r="F147" s="36">
        <f>IFERROR(INDEX('Fund Research'!$H$6:$H$505,MATCH(142,'Fund Research'!$W$6:$W$505,0)),"")</f>
        <v/>
      </c>
      <c r="G147" s="36">
        <f>IFERROR(INDEX('Fund Research'!$I$6:$I$505,MATCH(142,'Fund Research'!$W$6:$W$505,0)),"")</f>
        <v/>
      </c>
      <c r="H147" s="37">
        <f>IFERROR(INDEX('Fund Research'!$J$6:$J$505,MATCH(142,'Fund Research'!$W$6:$W$505,0)),"")</f>
        <v/>
      </c>
      <c r="I147" s="40">
        <f>IFERROR(INDEX('Fund Research'!$L$6:$L$505,MATCH(142,'Fund Research'!$W$6:$W$505,0)),"")</f>
        <v/>
      </c>
      <c r="J147" s="37">
        <f>IFERROR(INDEX('Fund Research'!$N$6:$N$505,MATCH(142,'Fund Research'!$W$6:$W$505,0)),"")</f>
        <v/>
      </c>
      <c r="K147" s="37">
        <f>IFERROR(INDEX('Fund Research'!$P$6:$P$505,MATCH(142,'Fund Research'!$W$6:$W$505,0)),"")</f>
        <v/>
      </c>
      <c r="L147" s="35">
        <f>IFERROR(INDEX('Fund Research'!$S$6:$S$505,MATCH(142,'Fund Research'!$W$6:$W$505,0)),"")</f>
        <v/>
      </c>
      <c r="M147" s="35">
        <f>IFERROR(INDEX('Fund Research'!$T$6:$T$505,MATCH(142,'Fund Research'!$W$6:$W$505,0)),"")</f>
        <v/>
      </c>
    </row>
    <row r="148" ht="15" customHeight="1">
      <c r="A148" s="34">
        <f>IFERROR(IF(INDEX('Fund Research'!$B$6:$B$505,MATCH(143,'Fund Research'!$W$6:$W$505,0))="","",143),"")</f>
        <v/>
      </c>
      <c r="B148" s="35">
        <f>IFERROR(INDEX('Fund Research'!$A$6:$A$505,MATCH(143,'Fund Research'!$W$6:$W$505,0)),"")</f>
        <v/>
      </c>
      <c r="C148" s="35">
        <f>IFERROR(INDEX('Fund Research'!$B$6:$B$505,MATCH(143,'Fund Research'!$W$6:$W$505,0)),"")</f>
        <v/>
      </c>
      <c r="D148" s="35">
        <f>IFERROR(INDEX('Fund Research'!$C$6:$C$505,MATCH(143,'Fund Research'!$W$6:$W$505,0)),"")</f>
        <v/>
      </c>
      <c r="E148" s="36">
        <f>IFERROR(INDEX('Fund Research'!$G$6:$G$505,MATCH(143,'Fund Research'!$W$6:$W$505,0)),"")</f>
        <v/>
      </c>
      <c r="F148" s="36">
        <f>IFERROR(INDEX('Fund Research'!$H$6:$H$505,MATCH(143,'Fund Research'!$W$6:$W$505,0)),"")</f>
        <v/>
      </c>
      <c r="G148" s="36">
        <f>IFERROR(INDEX('Fund Research'!$I$6:$I$505,MATCH(143,'Fund Research'!$W$6:$W$505,0)),"")</f>
        <v/>
      </c>
      <c r="H148" s="37">
        <f>IFERROR(INDEX('Fund Research'!$J$6:$J$505,MATCH(143,'Fund Research'!$W$6:$W$505,0)),"")</f>
        <v/>
      </c>
      <c r="I148" s="40">
        <f>IFERROR(INDEX('Fund Research'!$L$6:$L$505,MATCH(143,'Fund Research'!$W$6:$W$505,0)),"")</f>
        <v/>
      </c>
      <c r="J148" s="37">
        <f>IFERROR(INDEX('Fund Research'!$N$6:$N$505,MATCH(143,'Fund Research'!$W$6:$W$505,0)),"")</f>
        <v/>
      </c>
      <c r="K148" s="37">
        <f>IFERROR(INDEX('Fund Research'!$P$6:$P$505,MATCH(143,'Fund Research'!$W$6:$W$505,0)),"")</f>
        <v/>
      </c>
      <c r="L148" s="35">
        <f>IFERROR(INDEX('Fund Research'!$S$6:$S$505,MATCH(143,'Fund Research'!$W$6:$W$505,0)),"")</f>
        <v/>
      </c>
      <c r="M148" s="35">
        <f>IFERROR(INDEX('Fund Research'!$T$6:$T$505,MATCH(143,'Fund Research'!$W$6:$W$505,0)),"")</f>
        <v/>
      </c>
    </row>
    <row r="149" ht="15" customHeight="1">
      <c r="A149" s="34">
        <f>IFERROR(IF(INDEX('Fund Research'!$B$6:$B$505,MATCH(144,'Fund Research'!$W$6:$W$505,0))="","",144),"")</f>
        <v/>
      </c>
      <c r="B149" s="35">
        <f>IFERROR(INDEX('Fund Research'!$A$6:$A$505,MATCH(144,'Fund Research'!$W$6:$W$505,0)),"")</f>
        <v/>
      </c>
      <c r="C149" s="35">
        <f>IFERROR(INDEX('Fund Research'!$B$6:$B$505,MATCH(144,'Fund Research'!$W$6:$W$505,0)),"")</f>
        <v/>
      </c>
      <c r="D149" s="35">
        <f>IFERROR(INDEX('Fund Research'!$C$6:$C$505,MATCH(144,'Fund Research'!$W$6:$W$505,0)),"")</f>
        <v/>
      </c>
      <c r="E149" s="36">
        <f>IFERROR(INDEX('Fund Research'!$G$6:$G$505,MATCH(144,'Fund Research'!$W$6:$W$505,0)),"")</f>
        <v/>
      </c>
      <c r="F149" s="36">
        <f>IFERROR(INDEX('Fund Research'!$H$6:$H$505,MATCH(144,'Fund Research'!$W$6:$W$505,0)),"")</f>
        <v/>
      </c>
      <c r="G149" s="36">
        <f>IFERROR(INDEX('Fund Research'!$I$6:$I$505,MATCH(144,'Fund Research'!$W$6:$W$505,0)),"")</f>
        <v/>
      </c>
      <c r="H149" s="37">
        <f>IFERROR(INDEX('Fund Research'!$J$6:$J$505,MATCH(144,'Fund Research'!$W$6:$W$505,0)),"")</f>
        <v/>
      </c>
      <c r="I149" s="40">
        <f>IFERROR(INDEX('Fund Research'!$L$6:$L$505,MATCH(144,'Fund Research'!$W$6:$W$505,0)),"")</f>
        <v/>
      </c>
      <c r="J149" s="37">
        <f>IFERROR(INDEX('Fund Research'!$N$6:$N$505,MATCH(144,'Fund Research'!$W$6:$W$505,0)),"")</f>
        <v/>
      </c>
      <c r="K149" s="37">
        <f>IFERROR(INDEX('Fund Research'!$P$6:$P$505,MATCH(144,'Fund Research'!$W$6:$W$505,0)),"")</f>
        <v/>
      </c>
      <c r="L149" s="35">
        <f>IFERROR(INDEX('Fund Research'!$S$6:$S$505,MATCH(144,'Fund Research'!$W$6:$W$505,0)),"")</f>
        <v/>
      </c>
      <c r="M149" s="35">
        <f>IFERROR(INDEX('Fund Research'!$T$6:$T$505,MATCH(144,'Fund Research'!$W$6:$W$505,0)),"")</f>
        <v/>
      </c>
    </row>
    <row r="150" ht="15" customHeight="1">
      <c r="A150" s="34">
        <f>IFERROR(IF(INDEX('Fund Research'!$B$6:$B$505,MATCH(145,'Fund Research'!$W$6:$W$505,0))="","",145),"")</f>
        <v/>
      </c>
      <c r="B150" s="35">
        <f>IFERROR(INDEX('Fund Research'!$A$6:$A$505,MATCH(145,'Fund Research'!$W$6:$W$505,0)),"")</f>
        <v/>
      </c>
      <c r="C150" s="35">
        <f>IFERROR(INDEX('Fund Research'!$B$6:$B$505,MATCH(145,'Fund Research'!$W$6:$W$505,0)),"")</f>
        <v/>
      </c>
      <c r="D150" s="35">
        <f>IFERROR(INDEX('Fund Research'!$C$6:$C$505,MATCH(145,'Fund Research'!$W$6:$W$505,0)),"")</f>
        <v/>
      </c>
      <c r="E150" s="36">
        <f>IFERROR(INDEX('Fund Research'!$G$6:$G$505,MATCH(145,'Fund Research'!$W$6:$W$505,0)),"")</f>
        <v/>
      </c>
      <c r="F150" s="36">
        <f>IFERROR(INDEX('Fund Research'!$H$6:$H$505,MATCH(145,'Fund Research'!$W$6:$W$505,0)),"")</f>
        <v/>
      </c>
      <c r="G150" s="36">
        <f>IFERROR(INDEX('Fund Research'!$I$6:$I$505,MATCH(145,'Fund Research'!$W$6:$W$505,0)),"")</f>
        <v/>
      </c>
      <c r="H150" s="37">
        <f>IFERROR(INDEX('Fund Research'!$J$6:$J$505,MATCH(145,'Fund Research'!$W$6:$W$505,0)),"")</f>
        <v/>
      </c>
      <c r="I150" s="40">
        <f>IFERROR(INDEX('Fund Research'!$L$6:$L$505,MATCH(145,'Fund Research'!$W$6:$W$505,0)),"")</f>
        <v/>
      </c>
      <c r="J150" s="37">
        <f>IFERROR(INDEX('Fund Research'!$N$6:$N$505,MATCH(145,'Fund Research'!$W$6:$W$505,0)),"")</f>
        <v/>
      </c>
      <c r="K150" s="37">
        <f>IFERROR(INDEX('Fund Research'!$P$6:$P$505,MATCH(145,'Fund Research'!$W$6:$W$505,0)),"")</f>
        <v/>
      </c>
      <c r="L150" s="35">
        <f>IFERROR(INDEX('Fund Research'!$S$6:$S$505,MATCH(145,'Fund Research'!$W$6:$W$505,0)),"")</f>
        <v/>
      </c>
      <c r="M150" s="35">
        <f>IFERROR(INDEX('Fund Research'!$T$6:$T$505,MATCH(145,'Fund Research'!$W$6:$W$505,0)),"")</f>
        <v/>
      </c>
    </row>
    <row r="151" ht="15" customHeight="1">
      <c r="A151" s="34">
        <f>IFERROR(IF(INDEX('Fund Research'!$B$6:$B$505,MATCH(146,'Fund Research'!$W$6:$W$505,0))="","",146),"")</f>
        <v/>
      </c>
      <c r="B151" s="35">
        <f>IFERROR(INDEX('Fund Research'!$A$6:$A$505,MATCH(146,'Fund Research'!$W$6:$W$505,0)),"")</f>
        <v/>
      </c>
      <c r="C151" s="35">
        <f>IFERROR(INDEX('Fund Research'!$B$6:$B$505,MATCH(146,'Fund Research'!$W$6:$W$505,0)),"")</f>
        <v/>
      </c>
      <c r="D151" s="35">
        <f>IFERROR(INDEX('Fund Research'!$C$6:$C$505,MATCH(146,'Fund Research'!$W$6:$W$505,0)),"")</f>
        <v/>
      </c>
      <c r="E151" s="36">
        <f>IFERROR(INDEX('Fund Research'!$G$6:$G$505,MATCH(146,'Fund Research'!$W$6:$W$505,0)),"")</f>
        <v/>
      </c>
      <c r="F151" s="36">
        <f>IFERROR(INDEX('Fund Research'!$H$6:$H$505,MATCH(146,'Fund Research'!$W$6:$W$505,0)),"")</f>
        <v/>
      </c>
      <c r="G151" s="36">
        <f>IFERROR(INDEX('Fund Research'!$I$6:$I$505,MATCH(146,'Fund Research'!$W$6:$W$505,0)),"")</f>
        <v/>
      </c>
      <c r="H151" s="37">
        <f>IFERROR(INDEX('Fund Research'!$J$6:$J$505,MATCH(146,'Fund Research'!$W$6:$W$505,0)),"")</f>
        <v/>
      </c>
      <c r="I151" s="40">
        <f>IFERROR(INDEX('Fund Research'!$L$6:$L$505,MATCH(146,'Fund Research'!$W$6:$W$505,0)),"")</f>
        <v/>
      </c>
      <c r="J151" s="37">
        <f>IFERROR(INDEX('Fund Research'!$N$6:$N$505,MATCH(146,'Fund Research'!$W$6:$W$505,0)),"")</f>
        <v/>
      </c>
      <c r="K151" s="37">
        <f>IFERROR(INDEX('Fund Research'!$P$6:$P$505,MATCH(146,'Fund Research'!$W$6:$W$505,0)),"")</f>
        <v/>
      </c>
      <c r="L151" s="35">
        <f>IFERROR(INDEX('Fund Research'!$S$6:$S$505,MATCH(146,'Fund Research'!$W$6:$W$505,0)),"")</f>
        <v/>
      </c>
      <c r="M151" s="35">
        <f>IFERROR(INDEX('Fund Research'!$T$6:$T$505,MATCH(146,'Fund Research'!$W$6:$W$505,0)),"")</f>
        <v/>
      </c>
    </row>
    <row r="152" ht="15" customHeight="1">
      <c r="A152" s="34">
        <f>IFERROR(IF(INDEX('Fund Research'!$B$6:$B$505,MATCH(147,'Fund Research'!$W$6:$W$505,0))="","",147),"")</f>
        <v/>
      </c>
      <c r="B152" s="35">
        <f>IFERROR(INDEX('Fund Research'!$A$6:$A$505,MATCH(147,'Fund Research'!$W$6:$W$505,0)),"")</f>
        <v/>
      </c>
      <c r="C152" s="35">
        <f>IFERROR(INDEX('Fund Research'!$B$6:$B$505,MATCH(147,'Fund Research'!$W$6:$W$505,0)),"")</f>
        <v/>
      </c>
      <c r="D152" s="35">
        <f>IFERROR(INDEX('Fund Research'!$C$6:$C$505,MATCH(147,'Fund Research'!$W$6:$W$505,0)),"")</f>
        <v/>
      </c>
      <c r="E152" s="36">
        <f>IFERROR(INDEX('Fund Research'!$G$6:$G$505,MATCH(147,'Fund Research'!$W$6:$W$505,0)),"")</f>
        <v/>
      </c>
      <c r="F152" s="36">
        <f>IFERROR(INDEX('Fund Research'!$H$6:$H$505,MATCH(147,'Fund Research'!$W$6:$W$505,0)),"")</f>
        <v/>
      </c>
      <c r="G152" s="36">
        <f>IFERROR(INDEX('Fund Research'!$I$6:$I$505,MATCH(147,'Fund Research'!$W$6:$W$505,0)),"")</f>
        <v/>
      </c>
      <c r="H152" s="37">
        <f>IFERROR(INDEX('Fund Research'!$J$6:$J$505,MATCH(147,'Fund Research'!$W$6:$W$505,0)),"")</f>
        <v/>
      </c>
      <c r="I152" s="40">
        <f>IFERROR(INDEX('Fund Research'!$L$6:$L$505,MATCH(147,'Fund Research'!$W$6:$W$505,0)),"")</f>
        <v/>
      </c>
      <c r="J152" s="37">
        <f>IFERROR(INDEX('Fund Research'!$N$6:$N$505,MATCH(147,'Fund Research'!$W$6:$W$505,0)),"")</f>
        <v/>
      </c>
      <c r="K152" s="37">
        <f>IFERROR(INDEX('Fund Research'!$P$6:$P$505,MATCH(147,'Fund Research'!$W$6:$W$505,0)),"")</f>
        <v/>
      </c>
      <c r="L152" s="35">
        <f>IFERROR(INDEX('Fund Research'!$S$6:$S$505,MATCH(147,'Fund Research'!$W$6:$W$505,0)),"")</f>
        <v/>
      </c>
      <c r="M152" s="35">
        <f>IFERROR(INDEX('Fund Research'!$T$6:$T$505,MATCH(147,'Fund Research'!$W$6:$W$505,0)),"")</f>
        <v/>
      </c>
    </row>
    <row r="153" ht="15" customHeight="1">
      <c r="A153" s="34">
        <f>IFERROR(IF(INDEX('Fund Research'!$B$6:$B$505,MATCH(148,'Fund Research'!$W$6:$W$505,0))="","",148),"")</f>
        <v/>
      </c>
      <c r="B153" s="35">
        <f>IFERROR(INDEX('Fund Research'!$A$6:$A$505,MATCH(148,'Fund Research'!$W$6:$W$505,0)),"")</f>
        <v/>
      </c>
      <c r="C153" s="35">
        <f>IFERROR(INDEX('Fund Research'!$B$6:$B$505,MATCH(148,'Fund Research'!$W$6:$W$505,0)),"")</f>
        <v/>
      </c>
      <c r="D153" s="35">
        <f>IFERROR(INDEX('Fund Research'!$C$6:$C$505,MATCH(148,'Fund Research'!$W$6:$W$505,0)),"")</f>
        <v/>
      </c>
      <c r="E153" s="36">
        <f>IFERROR(INDEX('Fund Research'!$G$6:$G$505,MATCH(148,'Fund Research'!$W$6:$W$505,0)),"")</f>
        <v/>
      </c>
      <c r="F153" s="36">
        <f>IFERROR(INDEX('Fund Research'!$H$6:$H$505,MATCH(148,'Fund Research'!$W$6:$W$505,0)),"")</f>
        <v/>
      </c>
      <c r="G153" s="36">
        <f>IFERROR(INDEX('Fund Research'!$I$6:$I$505,MATCH(148,'Fund Research'!$W$6:$W$505,0)),"")</f>
        <v/>
      </c>
      <c r="H153" s="37">
        <f>IFERROR(INDEX('Fund Research'!$J$6:$J$505,MATCH(148,'Fund Research'!$W$6:$W$505,0)),"")</f>
        <v/>
      </c>
      <c r="I153" s="40">
        <f>IFERROR(INDEX('Fund Research'!$L$6:$L$505,MATCH(148,'Fund Research'!$W$6:$W$505,0)),"")</f>
        <v/>
      </c>
      <c r="J153" s="37">
        <f>IFERROR(INDEX('Fund Research'!$N$6:$N$505,MATCH(148,'Fund Research'!$W$6:$W$505,0)),"")</f>
        <v/>
      </c>
      <c r="K153" s="37">
        <f>IFERROR(INDEX('Fund Research'!$P$6:$P$505,MATCH(148,'Fund Research'!$W$6:$W$505,0)),"")</f>
        <v/>
      </c>
      <c r="L153" s="35">
        <f>IFERROR(INDEX('Fund Research'!$S$6:$S$505,MATCH(148,'Fund Research'!$W$6:$W$505,0)),"")</f>
        <v/>
      </c>
      <c r="M153" s="35">
        <f>IFERROR(INDEX('Fund Research'!$T$6:$T$505,MATCH(148,'Fund Research'!$W$6:$W$505,0)),"")</f>
        <v/>
      </c>
    </row>
    <row r="154" ht="15" customHeight="1">
      <c r="A154" s="34">
        <f>IFERROR(IF(INDEX('Fund Research'!$B$6:$B$505,MATCH(149,'Fund Research'!$W$6:$W$505,0))="","",149),"")</f>
        <v/>
      </c>
      <c r="B154" s="35">
        <f>IFERROR(INDEX('Fund Research'!$A$6:$A$505,MATCH(149,'Fund Research'!$W$6:$W$505,0)),"")</f>
        <v/>
      </c>
      <c r="C154" s="35">
        <f>IFERROR(INDEX('Fund Research'!$B$6:$B$505,MATCH(149,'Fund Research'!$W$6:$W$505,0)),"")</f>
        <v/>
      </c>
      <c r="D154" s="35">
        <f>IFERROR(INDEX('Fund Research'!$C$6:$C$505,MATCH(149,'Fund Research'!$W$6:$W$505,0)),"")</f>
        <v/>
      </c>
      <c r="E154" s="36">
        <f>IFERROR(INDEX('Fund Research'!$G$6:$G$505,MATCH(149,'Fund Research'!$W$6:$W$505,0)),"")</f>
        <v/>
      </c>
      <c r="F154" s="36">
        <f>IFERROR(INDEX('Fund Research'!$H$6:$H$505,MATCH(149,'Fund Research'!$W$6:$W$505,0)),"")</f>
        <v/>
      </c>
      <c r="G154" s="36">
        <f>IFERROR(INDEX('Fund Research'!$I$6:$I$505,MATCH(149,'Fund Research'!$W$6:$W$505,0)),"")</f>
        <v/>
      </c>
      <c r="H154" s="37">
        <f>IFERROR(INDEX('Fund Research'!$J$6:$J$505,MATCH(149,'Fund Research'!$W$6:$W$505,0)),"")</f>
        <v/>
      </c>
      <c r="I154" s="40">
        <f>IFERROR(INDEX('Fund Research'!$L$6:$L$505,MATCH(149,'Fund Research'!$W$6:$W$505,0)),"")</f>
        <v/>
      </c>
      <c r="J154" s="37">
        <f>IFERROR(INDEX('Fund Research'!$N$6:$N$505,MATCH(149,'Fund Research'!$W$6:$W$505,0)),"")</f>
        <v/>
      </c>
      <c r="K154" s="37">
        <f>IFERROR(INDEX('Fund Research'!$P$6:$P$505,MATCH(149,'Fund Research'!$W$6:$W$505,0)),"")</f>
        <v/>
      </c>
      <c r="L154" s="35">
        <f>IFERROR(INDEX('Fund Research'!$S$6:$S$505,MATCH(149,'Fund Research'!$W$6:$W$505,0)),"")</f>
        <v/>
      </c>
      <c r="M154" s="35">
        <f>IFERROR(INDEX('Fund Research'!$T$6:$T$505,MATCH(149,'Fund Research'!$W$6:$W$505,0)),"")</f>
        <v/>
      </c>
    </row>
    <row r="155" ht="15" customHeight="1">
      <c r="A155" s="34">
        <f>IFERROR(IF(INDEX('Fund Research'!$B$6:$B$505,MATCH(150,'Fund Research'!$W$6:$W$505,0))="","",150),"")</f>
        <v/>
      </c>
      <c r="B155" s="35">
        <f>IFERROR(INDEX('Fund Research'!$A$6:$A$505,MATCH(150,'Fund Research'!$W$6:$W$505,0)),"")</f>
        <v/>
      </c>
      <c r="C155" s="35">
        <f>IFERROR(INDEX('Fund Research'!$B$6:$B$505,MATCH(150,'Fund Research'!$W$6:$W$505,0)),"")</f>
        <v/>
      </c>
      <c r="D155" s="35">
        <f>IFERROR(INDEX('Fund Research'!$C$6:$C$505,MATCH(150,'Fund Research'!$W$6:$W$505,0)),"")</f>
        <v/>
      </c>
      <c r="E155" s="36">
        <f>IFERROR(INDEX('Fund Research'!$G$6:$G$505,MATCH(150,'Fund Research'!$W$6:$W$505,0)),"")</f>
        <v/>
      </c>
      <c r="F155" s="36">
        <f>IFERROR(INDEX('Fund Research'!$H$6:$H$505,MATCH(150,'Fund Research'!$W$6:$W$505,0)),"")</f>
        <v/>
      </c>
      <c r="G155" s="36">
        <f>IFERROR(INDEX('Fund Research'!$I$6:$I$505,MATCH(150,'Fund Research'!$W$6:$W$505,0)),"")</f>
        <v/>
      </c>
      <c r="H155" s="37">
        <f>IFERROR(INDEX('Fund Research'!$J$6:$J$505,MATCH(150,'Fund Research'!$W$6:$W$505,0)),"")</f>
        <v/>
      </c>
      <c r="I155" s="40">
        <f>IFERROR(INDEX('Fund Research'!$L$6:$L$505,MATCH(150,'Fund Research'!$W$6:$W$505,0)),"")</f>
        <v/>
      </c>
      <c r="J155" s="37">
        <f>IFERROR(INDEX('Fund Research'!$N$6:$N$505,MATCH(150,'Fund Research'!$W$6:$W$505,0)),"")</f>
        <v/>
      </c>
      <c r="K155" s="37">
        <f>IFERROR(INDEX('Fund Research'!$P$6:$P$505,MATCH(150,'Fund Research'!$W$6:$W$505,0)),"")</f>
        <v/>
      </c>
      <c r="L155" s="35">
        <f>IFERROR(INDEX('Fund Research'!$S$6:$S$505,MATCH(150,'Fund Research'!$W$6:$W$505,0)),"")</f>
        <v/>
      </c>
      <c r="M155" s="35">
        <f>IFERROR(INDEX('Fund Research'!$T$6:$T$505,MATCH(150,'Fund Research'!$W$6:$W$505,0)),"")</f>
        <v/>
      </c>
    </row>
    <row r="156" ht="15" customHeight="1">
      <c r="A156" s="34">
        <f>IFERROR(IF(INDEX('Fund Research'!$B$6:$B$505,MATCH(151,'Fund Research'!$W$6:$W$505,0))="","",151),"")</f>
        <v/>
      </c>
      <c r="B156" s="35">
        <f>IFERROR(INDEX('Fund Research'!$A$6:$A$505,MATCH(151,'Fund Research'!$W$6:$W$505,0)),"")</f>
        <v/>
      </c>
      <c r="C156" s="35">
        <f>IFERROR(INDEX('Fund Research'!$B$6:$B$505,MATCH(151,'Fund Research'!$W$6:$W$505,0)),"")</f>
        <v/>
      </c>
      <c r="D156" s="35">
        <f>IFERROR(INDEX('Fund Research'!$C$6:$C$505,MATCH(151,'Fund Research'!$W$6:$W$505,0)),"")</f>
        <v/>
      </c>
      <c r="E156" s="36">
        <f>IFERROR(INDEX('Fund Research'!$G$6:$G$505,MATCH(151,'Fund Research'!$W$6:$W$505,0)),"")</f>
        <v/>
      </c>
      <c r="F156" s="36">
        <f>IFERROR(INDEX('Fund Research'!$H$6:$H$505,MATCH(151,'Fund Research'!$W$6:$W$505,0)),"")</f>
        <v/>
      </c>
      <c r="G156" s="36">
        <f>IFERROR(INDEX('Fund Research'!$I$6:$I$505,MATCH(151,'Fund Research'!$W$6:$W$505,0)),"")</f>
        <v/>
      </c>
      <c r="H156" s="37">
        <f>IFERROR(INDEX('Fund Research'!$J$6:$J$505,MATCH(151,'Fund Research'!$W$6:$W$505,0)),"")</f>
        <v/>
      </c>
      <c r="I156" s="40">
        <f>IFERROR(INDEX('Fund Research'!$L$6:$L$505,MATCH(151,'Fund Research'!$W$6:$W$505,0)),"")</f>
        <v/>
      </c>
      <c r="J156" s="37">
        <f>IFERROR(INDEX('Fund Research'!$N$6:$N$505,MATCH(151,'Fund Research'!$W$6:$W$505,0)),"")</f>
        <v/>
      </c>
      <c r="K156" s="37">
        <f>IFERROR(INDEX('Fund Research'!$P$6:$P$505,MATCH(151,'Fund Research'!$W$6:$W$505,0)),"")</f>
        <v/>
      </c>
      <c r="L156" s="35">
        <f>IFERROR(INDEX('Fund Research'!$S$6:$S$505,MATCH(151,'Fund Research'!$W$6:$W$505,0)),"")</f>
        <v/>
      </c>
      <c r="M156" s="35">
        <f>IFERROR(INDEX('Fund Research'!$T$6:$T$505,MATCH(151,'Fund Research'!$W$6:$W$505,0)),"")</f>
        <v/>
      </c>
    </row>
    <row r="157" ht="15" customHeight="1">
      <c r="A157" s="34">
        <f>IFERROR(IF(INDEX('Fund Research'!$B$6:$B$505,MATCH(152,'Fund Research'!$W$6:$W$505,0))="","",152),"")</f>
        <v/>
      </c>
      <c r="B157" s="35">
        <f>IFERROR(INDEX('Fund Research'!$A$6:$A$505,MATCH(152,'Fund Research'!$W$6:$W$505,0)),"")</f>
        <v/>
      </c>
      <c r="C157" s="35">
        <f>IFERROR(INDEX('Fund Research'!$B$6:$B$505,MATCH(152,'Fund Research'!$W$6:$W$505,0)),"")</f>
        <v/>
      </c>
      <c r="D157" s="35">
        <f>IFERROR(INDEX('Fund Research'!$C$6:$C$505,MATCH(152,'Fund Research'!$W$6:$W$505,0)),"")</f>
        <v/>
      </c>
      <c r="E157" s="36">
        <f>IFERROR(INDEX('Fund Research'!$G$6:$G$505,MATCH(152,'Fund Research'!$W$6:$W$505,0)),"")</f>
        <v/>
      </c>
      <c r="F157" s="36">
        <f>IFERROR(INDEX('Fund Research'!$H$6:$H$505,MATCH(152,'Fund Research'!$W$6:$W$505,0)),"")</f>
        <v/>
      </c>
      <c r="G157" s="36">
        <f>IFERROR(INDEX('Fund Research'!$I$6:$I$505,MATCH(152,'Fund Research'!$W$6:$W$505,0)),"")</f>
        <v/>
      </c>
      <c r="H157" s="37">
        <f>IFERROR(INDEX('Fund Research'!$J$6:$J$505,MATCH(152,'Fund Research'!$W$6:$W$505,0)),"")</f>
        <v/>
      </c>
      <c r="I157" s="40">
        <f>IFERROR(INDEX('Fund Research'!$L$6:$L$505,MATCH(152,'Fund Research'!$W$6:$W$505,0)),"")</f>
        <v/>
      </c>
      <c r="J157" s="37">
        <f>IFERROR(INDEX('Fund Research'!$N$6:$N$505,MATCH(152,'Fund Research'!$W$6:$W$505,0)),"")</f>
        <v/>
      </c>
      <c r="K157" s="37">
        <f>IFERROR(INDEX('Fund Research'!$P$6:$P$505,MATCH(152,'Fund Research'!$W$6:$W$505,0)),"")</f>
        <v/>
      </c>
      <c r="L157" s="35">
        <f>IFERROR(INDEX('Fund Research'!$S$6:$S$505,MATCH(152,'Fund Research'!$W$6:$W$505,0)),"")</f>
        <v/>
      </c>
      <c r="M157" s="35">
        <f>IFERROR(INDEX('Fund Research'!$T$6:$T$505,MATCH(152,'Fund Research'!$W$6:$W$505,0)),"")</f>
        <v/>
      </c>
    </row>
    <row r="158" ht="15" customHeight="1">
      <c r="A158" s="34">
        <f>IFERROR(IF(INDEX('Fund Research'!$B$6:$B$505,MATCH(153,'Fund Research'!$W$6:$W$505,0))="","",153),"")</f>
        <v/>
      </c>
      <c r="B158" s="35">
        <f>IFERROR(INDEX('Fund Research'!$A$6:$A$505,MATCH(153,'Fund Research'!$W$6:$W$505,0)),"")</f>
        <v/>
      </c>
      <c r="C158" s="35">
        <f>IFERROR(INDEX('Fund Research'!$B$6:$B$505,MATCH(153,'Fund Research'!$W$6:$W$505,0)),"")</f>
        <v/>
      </c>
      <c r="D158" s="35">
        <f>IFERROR(INDEX('Fund Research'!$C$6:$C$505,MATCH(153,'Fund Research'!$W$6:$W$505,0)),"")</f>
        <v/>
      </c>
      <c r="E158" s="36">
        <f>IFERROR(INDEX('Fund Research'!$G$6:$G$505,MATCH(153,'Fund Research'!$W$6:$W$505,0)),"")</f>
        <v/>
      </c>
      <c r="F158" s="36">
        <f>IFERROR(INDEX('Fund Research'!$H$6:$H$505,MATCH(153,'Fund Research'!$W$6:$W$505,0)),"")</f>
        <v/>
      </c>
      <c r="G158" s="36">
        <f>IFERROR(INDEX('Fund Research'!$I$6:$I$505,MATCH(153,'Fund Research'!$W$6:$W$505,0)),"")</f>
        <v/>
      </c>
      <c r="H158" s="37">
        <f>IFERROR(INDEX('Fund Research'!$J$6:$J$505,MATCH(153,'Fund Research'!$W$6:$W$505,0)),"")</f>
        <v/>
      </c>
      <c r="I158" s="40">
        <f>IFERROR(INDEX('Fund Research'!$L$6:$L$505,MATCH(153,'Fund Research'!$W$6:$W$505,0)),"")</f>
        <v/>
      </c>
      <c r="J158" s="37">
        <f>IFERROR(INDEX('Fund Research'!$N$6:$N$505,MATCH(153,'Fund Research'!$W$6:$W$505,0)),"")</f>
        <v/>
      </c>
      <c r="K158" s="37">
        <f>IFERROR(INDEX('Fund Research'!$P$6:$P$505,MATCH(153,'Fund Research'!$W$6:$W$505,0)),"")</f>
        <v/>
      </c>
      <c r="L158" s="35">
        <f>IFERROR(INDEX('Fund Research'!$S$6:$S$505,MATCH(153,'Fund Research'!$W$6:$W$505,0)),"")</f>
        <v/>
      </c>
      <c r="M158" s="35">
        <f>IFERROR(INDEX('Fund Research'!$T$6:$T$505,MATCH(153,'Fund Research'!$W$6:$W$505,0)),"")</f>
        <v/>
      </c>
    </row>
    <row r="159" ht="15" customHeight="1">
      <c r="A159" s="34">
        <f>IFERROR(IF(INDEX('Fund Research'!$B$6:$B$505,MATCH(154,'Fund Research'!$W$6:$W$505,0))="","",154),"")</f>
        <v/>
      </c>
      <c r="B159" s="35">
        <f>IFERROR(INDEX('Fund Research'!$A$6:$A$505,MATCH(154,'Fund Research'!$W$6:$W$505,0)),"")</f>
        <v/>
      </c>
      <c r="C159" s="35">
        <f>IFERROR(INDEX('Fund Research'!$B$6:$B$505,MATCH(154,'Fund Research'!$W$6:$W$505,0)),"")</f>
        <v/>
      </c>
      <c r="D159" s="35">
        <f>IFERROR(INDEX('Fund Research'!$C$6:$C$505,MATCH(154,'Fund Research'!$W$6:$W$505,0)),"")</f>
        <v/>
      </c>
      <c r="E159" s="36">
        <f>IFERROR(INDEX('Fund Research'!$G$6:$G$505,MATCH(154,'Fund Research'!$W$6:$W$505,0)),"")</f>
        <v/>
      </c>
      <c r="F159" s="36">
        <f>IFERROR(INDEX('Fund Research'!$H$6:$H$505,MATCH(154,'Fund Research'!$W$6:$W$505,0)),"")</f>
        <v/>
      </c>
      <c r="G159" s="36">
        <f>IFERROR(INDEX('Fund Research'!$I$6:$I$505,MATCH(154,'Fund Research'!$W$6:$W$505,0)),"")</f>
        <v/>
      </c>
      <c r="H159" s="37">
        <f>IFERROR(INDEX('Fund Research'!$J$6:$J$505,MATCH(154,'Fund Research'!$W$6:$W$505,0)),"")</f>
        <v/>
      </c>
      <c r="I159" s="40">
        <f>IFERROR(INDEX('Fund Research'!$L$6:$L$505,MATCH(154,'Fund Research'!$W$6:$W$505,0)),"")</f>
        <v/>
      </c>
      <c r="J159" s="37">
        <f>IFERROR(INDEX('Fund Research'!$N$6:$N$505,MATCH(154,'Fund Research'!$W$6:$W$505,0)),"")</f>
        <v/>
      </c>
      <c r="K159" s="37">
        <f>IFERROR(INDEX('Fund Research'!$P$6:$P$505,MATCH(154,'Fund Research'!$W$6:$W$505,0)),"")</f>
        <v/>
      </c>
      <c r="L159" s="35">
        <f>IFERROR(INDEX('Fund Research'!$S$6:$S$505,MATCH(154,'Fund Research'!$W$6:$W$505,0)),"")</f>
        <v/>
      </c>
      <c r="M159" s="35">
        <f>IFERROR(INDEX('Fund Research'!$T$6:$T$505,MATCH(154,'Fund Research'!$W$6:$W$505,0)),"")</f>
        <v/>
      </c>
    </row>
    <row r="160" ht="15" customHeight="1">
      <c r="A160" s="34">
        <f>IFERROR(IF(INDEX('Fund Research'!$B$6:$B$505,MATCH(155,'Fund Research'!$W$6:$W$505,0))="","",155),"")</f>
        <v/>
      </c>
      <c r="B160" s="35">
        <f>IFERROR(INDEX('Fund Research'!$A$6:$A$505,MATCH(155,'Fund Research'!$W$6:$W$505,0)),"")</f>
        <v/>
      </c>
      <c r="C160" s="35">
        <f>IFERROR(INDEX('Fund Research'!$B$6:$B$505,MATCH(155,'Fund Research'!$W$6:$W$505,0)),"")</f>
        <v/>
      </c>
      <c r="D160" s="35">
        <f>IFERROR(INDEX('Fund Research'!$C$6:$C$505,MATCH(155,'Fund Research'!$W$6:$W$505,0)),"")</f>
        <v/>
      </c>
      <c r="E160" s="36">
        <f>IFERROR(INDEX('Fund Research'!$G$6:$G$505,MATCH(155,'Fund Research'!$W$6:$W$505,0)),"")</f>
        <v/>
      </c>
      <c r="F160" s="36">
        <f>IFERROR(INDEX('Fund Research'!$H$6:$H$505,MATCH(155,'Fund Research'!$W$6:$W$505,0)),"")</f>
        <v/>
      </c>
      <c r="G160" s="36">
        <f>IFERROR(INDEX('Fund Research'!$I$6:$I$505,MATCH(155,'Fund Research'!$W$6:$W$505,0)),"")</f>
        <v/>
      </c>
      <c r="H160" s="37">
        <f>IFERROR(INDEX('Fund Research'!$J$6:$J$505,MATCH(155,'Fund Research'!$W$6:$W$505,0)),"")</f>
        <v/>
      </c>
      <c r="I160" s="40">
        <f>IFERROR(INDEX('Fund Research'!$L$6:$L$505,MATCH(155,'Fund Research'!$W$6:$W$505,0)),"")</f>
        <v/>
      </c>
      <c r="J160" s="37">
        <f>IFERROR(INDEX('Fund Research'!$N$6:$N$505,MATCH(155,'Fund Research'!$W$6:$W$505,0)),"")</f>
        <v/>
      </c>
      <c r="K160" s="37">
        <f>IFERROR(INDEX('Fund Research'!$P$6:$P$505,MATCH(155,'Fund Research'!$W$6:$W$505,0)),"")</f>
        <v/>
      </c>
      <c r="L160" s="35">
        <f>IFERROR(INDEX('Fund Research'!$S$6:$S$505,MATCH(155,'Fund Research'!$W$6:$W$505,0)),"")</f>
        <v/>
      </c>
      <c r="M160" s="35">
        <f>IFERROR(INDEX('Fund Research'!$T$6:$T$505,MATCH(155,'Fund Research'!$W$6:$W$505,0)),"")</f>
        <v/>
      </c>
    </row>
    <row r="161" ht="15" customHeight="1">
      <c r="A161" s="34">
        <f>IFERROR(IF(INDEX('Fund Research'!$B$6:$B$505,MATCH(156,'Fund Research'!$W$6:$W$505,0))="","",156),"")</f>
        <v/>
      </c>
      <c r="B161" s="35">
        <f>IFERROR(INDEX('Fund Research'!$A$6:$A$505,MATCH(156,'Fund Research'!$W$6:$W$505,0)),"")</f>
        <v/>
      </c>
      <c r="C161" s="35">
        <f>IFERROR(INDEX('Fund Research'!$B$6:$B$505,MATCH(156,'Fund Research'!$W$6:$W$505,0)),"")</f>
        <v/>
      </c>
      <c r="D161" s="35">
        <f>IFERROR(INDEX('Fund Research'!$C$6:$C$505,MATCH(156,'Fund Research'!$W$6:$W$505,0)),"")</f>
        <v/>
      </c>
      <c r="E161" s="36">
        <f>IFERROR(INDEX('Fund Research'!$G$6:$G$505,MATCH(156,'Fund Research'!$W$6:$W$505,0)),"")</f>
        <v/>
      </c>
      <c r="F161" s="36">
        <f>IFERROR(INDEX('Fund Research'!$H$6:$H$505,MATCH(156,'Fund Research'!$W$6:$W$505,0)),"")</f>
        <v/>
      </c>
      <c r="G161" s="36">
        <f>IFERROR(INDEX('Fund Research'!$I$6:$I$505,MATCH(156,'Fund Research'!$W$6:$W$505,0)),"")</f>
        <v/>
      </c>
      <c r="H161" s="37">
        <f>IFERROR(INDEX('Fund Research'!$J$6:$J$505,MATCH(156,'Fund Research'!$W$6:$W$505,0)),"")</f>
        <v/>
      </c>
      <c r="I161" s="40">
        <f>IFERROR(INDEX('Fund Research'!$L$6:$L$505,MATCH(156,'Fund Research'!$W$6:$W$505,0)),"")</f>
        <v/>
      </c>
      <c r="J161" s="37">
        <f>IFERROR(INDEX('Fund Research'!$N$6:$N$505,MATCH(156,'Fund Research'!$W$6:$W$505,0)),"")</f>
        <v/>
      </c>
      <c r="K161" s="37">
        <f>IFERROR(INDEX('Fund Research'!$P$6:$P$505,MATCH(156,'Fund Research'!$W$6:$W$505,0)),"")</f>
        <v/>
      </c>
      <c r="L161" s="35">
        <f>IFERROR(INDEX('Fund Research'!$S$6:$S$505,MATCH(156,'Fund Research'!$W$6:$W$505,0)),"")</f>
        <v/>
      </c>
      <c r="M161" s="35">
        <f>IFERROR(INDEX('Fund Research'!$T$6:$T$505,MATCH(156,'Fund Research'!$W$6:$W$505,0)),"")</f>
        <v/>
      </c>
    </row>
    <row r="162" ht="15" customHeight="1">
      <c r="A162" s="34">
        <f>IFERROR(IF(INDEX('Fund Research'!$B$6:$B$505,MATCH(157,'Fund Research'!$W$6:$W$505,0))="","",157),"")</f>
        <v/>
      </c>
      <c r="B162" s="35">
        <f>IFERROR(INDEX('Fund Research'!$A$6:$A$505,MATCH(157,'Fund Research'!$W$6:$W$505,0)),"")</f>
        <v/>
      </c>
      <c r="C162" s="35">
        <f>IFERROR(INDEX('Fund Research'!$B$6:$B$505,MATCH(157,'Fund Research'!$W$6:$W$505,0)),"")</f>
        <v/>
      </c>
      <c r="D162" s="35">
        <f>IFERROR(INDEX('Fund Research'!$C$6:$C$505,MATCH(157,'Fund Research'!$W$6:$W$505,0)),"")</f>
        <v/>
      </c>
      <c r="E162" s="36">
        <f>IFERROR(INDEX('Fund Research'!$G$6:$G$505,MATCH(157,'Fund Research'!$W$6:$W$505,0)),"")</f>
        <v/>
      </c>
      <c r="F162" s="36">
        <f>IFERROR(INDEX('Fund Research'!$H$6:$H$505,MATCH(157,'Fund Research'!$W$6:$W$505,0)),"")</f>
        <v/>
      </c>
      <c r="G162" s="36">
        <f>IFERROR(INDEX('Fund Research'!$I$6:$I$505,MATCH(157,'Fund Research'!$W$6:$W$505,0)),"")</f>
        <v/>
      </c>
      <c r="H162" s="37">
        <f>IFERROR(INDEX('Fund Research'!$J$6:$J$505,MATCH(157,'Fund Research'!$W$6:$W$505,0)),"")</f>
        <v/>
      </c>
      <c r="I162" s="40">
        <f>IFERROR(INDEX('Fund Research'!$L$6:$L$505,MATCH(157,'Fund Research'!$W$6:$W$505,0)),"")</f>
        <v/>
      </c>
      <c r="J162" s="37">
        <f>IFERROR(INDEX('Fund Research'!$N$6:$N$505,MATCH(157,'Fund Research'!$W$6:$W$505,0)),"")</f>
        <v/>
      </c>
      <c r="K162" s="37">
        <f>IFERROR(INDEX('Fund Research'!$P$6:$P$505,MATCH(157,'Fund Research'!$W$6:$W$505,0)),"")</f>
        <v/>
      </c>
      <c r="L162" s="35">
        <f>IFERROR(INDEX('Fund Research'!$S$6:$S$505,MATCH(157,'Fund Research'!$W$6:$W$505,0)),"")</f>
        <v/>
      </c>
      <c r="M162" s="35">
        <f>IFERROR(INDEX('Fund Research'!$T$6:$T$505,MATCH(157,'Fund Research'!$W$6:$W$505,0)),"")</f>
        <v/>
      </c>
    </row>
    <row r="163" ht="15" customHeight="1">
      <c r="A163" s="34">
        <f>IFERROR(IF(INDEX('Fund Research'!$B$6:$B$505,MATCH(158,'Fund Research'!$W$6:$W$505,0))="","",158),"")</f>
        <v/>
      </c>
      <c r="B163" s="35">
        <f>IFERROR(INDEX('Fund Research'!$A$6:$A$505,MATCH(158,'Fund Research'!$W$6:$W$505,0)),"")</f>
        <v/>
      </c>
      <c r="C163" s="35">
        <f>IFERROR(INDEX('Fund Research'!$B$6:$B$505,MATCH(158,'Fund Research'!$W$6:$W$505,0)),"")</f>
        <v/>
      </c>
      <c r="D163" s="35">
        <f>IFERROR(INDEX('Fund Research'!$C$6:$C$505,MATCH(158,'Fund Research'!$W$6:$W$505,0)),"")</f>
        <v/>
      </c>
      <c r="E163" s="36">
        <f>IFERROR(INDEX('Fund Research'!$G$6:$G$505,MATCH(158,'Fund Research'!$W$6:$W$505,0)),"")</f>
        <v/>
      </c>
      <c r="F163" s="36">
        <f>IFERROR(INDEX('Fund Research'!$H$6:$H$505,MATCH(158,'Fund Research'!$W$6:$W$505,0)),"")</f>
        <v/>
      </c>
      <c r="G163" s="36">
        <f>IFERROR(INDEX('Fund Research'!$I$6:$I$505,MATCH(158,'Fund Research'!$W$6:$W$505,0)),"")</f>
        <v/>
      </c>
      <c r="H163" s="37">
        <f>IFERROR(INDEX('Fund Research'!$J$6:$J$505,MATCH(158,'Fund Research'!$W$6:$W$505,0)),"")</f>
        <v/>
      </c>
      <c r="I163" s="40">
        <f>IFERROR(INDEX('Fund Research'!$L$6:$L$505,MATCH(158,'Fund Research'!$W$6:$W$505,0)),"")</f>
        <v/>
      </c>
      <c r="J163" s="37">
        <f>IFERROR(INDEX('Fund Research'!$N$6:$N$505,MATCH(158,'Fund Research'!$W$6:$W$505,0)),"")</f>
        <v/>
      </c>
      <c r="K163" s="37">
        <f>IFERROR(INDEX('Fund Research'!$P$6:$P$505,MATCH(158,'Fund Research'!$W$6:$W$505,0)),"")</f>
        <v/>
      </c>
      <c r="L163" s="35">
        <f>IFERROR(INDEX('Fund Research'!$S$6:$S$505,MATCH(158,'Fund Research'!$W$6:$W$505,0)),"")</f>
        <v/>
      </c>
      <c r="M163" s="35">
        <f>IFERROR(INDEX('Fund Research'!$T$6:$T$505,MATCH(158,'Fund Research'!$W$6:$W$505,0)),"")</f>
        <v/>
      </c>
    </row>
    <row r="164" ht="15" customHeight="1">
      <c r="A164" s="34">
        <f>IFERROR(IF(INDEX('Fund Research'!$B$6:$B$505,MATCH(159,'Fund Research'!$W$6:$W$505,0))="","",159),"")</f>
        <v/>
      </c>
      <c r="B164" s="35">
        <f>IFERROR(INDEX('Fund Research'!$A$6:$A$505,MATCH(159,'Fund Research'!$W$6:$W$505,0)),"")</f>
        <v/>
      </c>
      <c r="C164" s="35">
        <f>IFERROR(INDEX('Fund Research'!$B$6:$B$505,MATCH(159,'Fund Research'!$W$6:$W$505,0)),"")</f>
        <v/>
      </c>
      <c r="D164" s="35">
        <f>IFERROR(INDEX('Fund Research'!$C$6:$C$505,MATCH(159,'Fund Research'!$W$6:$W$505,0)),"")</f>
        <v/>
      </c>
      <c r="E164" s="36">
        <f>IFERROR(INDEX('Fund Research'!$G$6:$G$505,MATCH(159,'Fund Research'!$W$6:$W$505,0)),"")</f>
        <v/>
      </c>
      <c r="F164" s="36">
        <f>IFERROR(INDEX('Fund Research'!$H$6:$H$505,MATCH(159,'Fund Research'!$W$6:$W$505,0)),"")</f>
        <v/>
      </c>
      <c r="G164" s="36">
        <f>IFERROR(INDEX('Fund Research'!$I$6:$I$505,MATCH(159,'Fund Research'!$W$6:$W$505,0)),"")</f>
        <v/>
      </c>
      <c r="H164" s="37">
        <f>IFERROR(INDEX('Fund Research'!$J$6:$J$505,MATCH(159,'Fund Research'!$W$6:$W$505,0)),"")</f>
        <v/>
      </c>
      <c r="I164" s="40">
        <f>IFERROR(INDEX('Fund Research'!$L$6:$L$505,MATCH(159,'Fund Research'!$W$6:$W$505,0)),"")</f>
        <v/>
      </c>
      <c r="J164" s="37">
        <f>IFERROR(INDEX('Fund Research'!$N$6:$N$505,MATCH(159,'Fund Research'!$W$6:$W$505,0)),"")</f>
        <v/>
      </c>
      <c r="K164" s="37">
        <f>IFERROR(INDEX('Fund Research'!$P$6:$P$505,MATCH(159,'Fund Research'!$W$6:$W$505,0)),"")</f>
        <v/>
      </c>
      <c r="L164" s="35">
        <f>IFERROR(INDEX('Fund Research'!$S$6:$S$505,MATCH(159,'Fund Research'!$W$6:$W$505,0)),"")</f>
        <v/>
      </c>
      <c r="M164" s="35">
        <f>IFERROR(INDEX('Fund Research'!$T$6:$T$505,MATCH(159,'Fund Research'!$W$6:$W$505,0)),"")</f>
        <v/>
      </c>
    </row>
    <row r="165" ht="15" customHeight="1">
      <c r="A165" s="34">
        <f>IFERROR(IF(INDEX('Fund Research'!$B$6:$B$505,MATCH(160,'Fund Research'!$W$6:$W$505,0))="","",160),"")</f>
        <v/>
      </c>
      <c r="B165" s="35">
        <f>IFERROR(INDEX('Fund Research'!$A$6:$A$505,MATCH(160,'Fund Research'!$W$6:$W$505,0)),"")</f>
        <v/>
      </c>
      <c r="C165" s="35">
        <f>IFERROR(INDEX('Fund Research'!$B$6:$B$505,MATCH(160,'Fund Research'!$W$6:$W$505,0)),"")</f>
        <v/>
      </c>
      <c r="D165" s="35">
        <f>IFERROR(INDEX('Fund Research'!$C$6:$C$505,MATCH(160,'Fund Research'!$W$6:$W$505,0)),"")</f>
        <v/>
      </c>
      <c r="E165" s="36">
        <f>IFERROR(INDEX('Fund Research'!$G$6:$G$505,MATCH(160,'Fund Research'!$W$6:$W$505,0)),"")</f>
        <v/>
      </c>
      <c r="F165" s="36">
        <f>IFERROR(INDEX('Fund Research'!$H$6:$H$505,MATCH(160,'Fund Research'!$W$6:$W$505,0)),"")</f>
        <v/>
      </c>
      <c r="G165" s="36">
        <f>IFERROR(INDEX('Fund Research'!$I$6:$I$505,MATCH(160,'Fund Research'!$W$6:$W$505,0)),"")</f>
        <v/>
      </c>
      <c r="H165" s="37">
        <f>IFERROR(INDEX('Fund Research'!$J$6:$J$505,MATCH(160,'Fund Research'!$W$6:$W$505,0)),"")</f>
        <v/>
      </c>
      <c r="I165" s="40">
        <f>IFERROR(INDEX('Fund Research'!$L$6:$L$505,MATCH(160,'Fund Research'!$W$6:$W$505,0)),"")</f>
        <v/>
      </c>
      <c r="J165" s="37">
        <f>IFERROR(INDEX('Fund Research'!$N$6:$N$505,MATCH(160,'Fund Research'!$W$6:$W$505,0)),"")</f>
        <v/>
      </c>
      <c r="K165" s="37">
        <f>IFERROR(INDEX('Fund Research'!$P$6:$P$505,MATCH(160,'Fund Research'!$W$6:$W$505,0)),"")</f>
        <v/>
      </c>
      <c r="L165" s="35">
        <f>IFERROR(INDEX('Fund Research'!$S$6:$S$505,MATCH(160,'Fund Research'!$W$6:$W$505,0)),"")</f>
        <v/>
      </c>
      <c r="M165" s="35">
        <f>IFERROR(INDEX('Fund Research'!$T$6:$T$505,MATCH(160,'Fund Research'!$W$6:$W$505,0)),"")</f>
        <v/>
      </c>
    </row>
    <row r="166" ht="15" customHeight="1">
      <c r="A166" s="34">
        <f>IFERROR(IF(INDEX('Fund Research'!$B$6:$B$505,MATCH(161,'Fund Research'!$W$6:$W$505,0))="","",161),"")</f>
        <v/>
      </c>
      <c r="B166" s="35">
        <f>IFERROR(INDEX('Fund Research'!$A$6:$A$505,MATCH(161,'Fund Research'!$W$6:$W$505,0)),"")</f>
        <v/>
      </c>
      <c r="C166" s="35">
        <f>IFERROR(INDEX('Fund Research'!$B$6:$B$505,MATCH(161,'Fund Research'!$W$6:$W$505,0)),"")</f>
        <v/>
      </c>
      <c r="D166" s="35">
        <f>IFERROR(INDEX('Fund Research'!$C$6:$C$505,MATCH(161,'Fund Research'!$W$6:$W$505,0)),"")</f>
        <v/>
      </c>
      <c r="E166" s="36">
        <f>IFERROR(INDEX('Fund Research'!$G$6:$G$505,MATCH(161,'Fund Research'!$W$6:$W$505,0)),"")</f>
        <v/>
      </c>
      <c r="F166" s="36">
        <f>IFERROR(INDEX('Fund Research'!$H$6:$H$505,MATCH(161,'Fund Research'!$W$6:$W$505,0)),"")</f>
        <v/>
      </c>
      <c r="G166" s="36">
        <f>IFERROR(INDEX('Fund Research'!$I$6:$I$505,MATCH(161,'Fund Research'!$W$6:$W$505,0)),"")</f>
        <v/>
      </c>
      <c r="H166" s="37">
        <f>IFERROR(INDEX('Fund Research'!$J$6:$J$505,MATCH(161,'Fund Research'!$W$6:$W$505,0)),"")</f>
        <v/>
      </c>
      <c r="I166" s="40">
        <f>IFERROR(INDEX('Fund Research'!$L$6:$L$505,MATCH(161,'Fund Research'!$W$6:$W$505,0)),"")</f>
        <v/>
      </c>
      <c r="J166" s="37">
        <f>IFERROR(INDEX('Fund Research'!$N$6:$N$505,MATCH(161,'Fund Research'!$W$6:$W$505,0)),"")</f>
        <v/>
      </c>
      <c r="K166" s="37">
        <f>IFERROR(INDEX('Fund Research'!$P$6:$P$505,MATCH(161,'Fund Research'!$W$6:$W$505,0)),"")</f>
        <v/>
      </c>
      <c r="L166" s="35">
        <f>IFERROR(INDEX('Fund Research'!$S$6:$S$505,MATCH(161,'Fund Research'!$W$6:$W$505,0)),"")</f>
        <v/>
      </c>
      <c r="M166" s="35">
        <f>IFERROR(INDEX('Fund Research'!$T$6:$T$505,MATCH(161,'Fund Research'!$W$6:$W$505,0)),"")</f>
        <v/>
      </c>
    </row>
    <row r="167" ht="15" customHeight="1">
      <c r="A167" s="34">
        <f>IFERROR(IF(INDEX('Fund Research'!$B$6:$B$505,MATCH(162,'Fund Research'!$W$6:$W$505,0))="","",162),"")</f>
        <v/>
      </c>
      <c r="B167" s="35">
        <f>IFERROR(INDEX('Fund Research'!$A$6:$A$505,MATCH(162,'Fund Research'!$W$6:$W$505,0)),"")</f>
        <v/>
      </c>
      <c r="C167" s="35">
        <f>IFERROR(INDEX('Fund Research'!$B$6:$B$505,MATCH(162,'Fund Research'!$W$6:$W$505,0)),"")</f>
        <v/>
      </c>
      <c r="D167" s="35">
        <f>IFERROR(INDEX('Fund Research'!$C$6:$C$505,MATCH(162,'Fund Research'!$W$6:$W$505,0)),"")</f>
        <v/>
      </c>
      <c r="E167" s="36">
        <f>IFERROR(INDEX('Fund Research'!$G$6:$G$505,MATCH(162,'Fund Research'!$W$6:$W$505,0)),"")</f>
        <v/>
      </c>
      <c r="F167" s="36">
        <f>IFERROR(INDEX('Fund Research'!$H$6:$H$505,MATCH(162,'Fund Research'!$W$6:$W$505,0)),"")</f>
        <v/>
      </c>
      <c r="G167" s="36">
        <f>IFERROR(INDEX('Fund Research'!$I$6:$I$505,MATCH(162,'Fund Research'!$W$6:$W$505,0)),"")</f>
        <v/>
      </c>
      <c r="H167" s="37">
        <f>IFERROR(INDEX('Fund Research'!$J$6:$J$505,MATCH(162,'Fund Research'!$W$6:$W$505,0)),"")</f>
        <v/>
      </c>
      <c r="I167" s="40">
        <f>IFERROR(INDEX('Fund Research'!$L$6:$L$505,MATCH(162,'Fund Research'!$W$6:$W$505,0)),"")</f>
        <v/>
      </c>
      <c r="J167" s="37">
        <f>IFERROR(INDEX('Fund Research'!$N$6:$N$505,MATCH(162,'Fund Research'!$W$6:$W$505,0)),"")</f>
        <v/>
      </c>
      <c r="K167" s="37">
        <f>IFERROR(INDEX('Fund Research'!$P$6:$P$505,MATCH(162,'Fund Research'!$W$6:$W$505,0)),"")</f>
        <v/>
      </c>
      <c r="L167" s="35">
        <f>IFERROR(INDEX('Fund Research'!$S$6:$S$505,MATCH(162,'Fund Research'!$W$6:$W$505,0)),"")</f>
        <v/>
      </c>
      <c r="M167" s="35">
        <f>IFERROR(INDEX('Fund Research'!$T$6:$T$505,MATCH(162,'Fund Research'!$W$6:$W$505,0)),"")</f>
        <v/>
      </c>
    </row>
    <row r="168" ht="15" customHeight="1">
      <c r="A168" s="34">
        <f>IFERROR(IF(INDEX('Fund Research'!$B$6:$B$505,MATCH(163,'Fund Research'!$W$6:$W$505,0))="","",163),"")</f>
        <v/>
      </c>
      <c r="B168" s="35">
        <f>IFERROR(INDEX('Fund Research'!$A$6:$A$505,MATCH(163,'Fund Research'!$W$6:$W$505,0)),"")</f>
        <v/>
      </c>
      <c r="C168" s="35">
        <f>IFERROR(INDEX('Fund Research'!$B$6:$B$505,MATCH(163,'Fund Research'!$W$6:$W$505,0)),"")</f>
        <v/>
      </c>
      <c r="D168" s="35">
        <f>IFERROR(INDEX('Fund Research'!$C$6:$C$505,MATCH(163,'Fund Research'!$W$6:$W$505,0)),"")</f>
        <v/>
      </c>
      <c r="E168" s="36">
        <f>IFERROR(INDEX('Fund Research'!$G$6:$G$505,MATCH(163,'Fund Research'!$W$6:$W$505,0)),"")</f>
        <v/>
      </c>
      <c r="F168" s="36">
        <f>IFERROR(INDEX('Fund Research'!$H$6:$H$505,MATCH(163,'Fund Research'!$W$6:$W$505,0)),"")</f>
        <v/>
      </c>
      <c r="G168" s="36">
        <f>IFERROR(INDEX('Fund Research'!$I$6:$I$505,MATCH(163,'Fund Research'!$W$6:$W$505,0)),"")</f>
        <v/>
      </c>
      <c r="H168" s="37">
        <f>IFERROR(INDEX('Fund Research'!$J$6:$J$505,MATCH(163,'Fund Research'!$W$6:$W$505,0)),"")</f>
        <v/>
      </c>
      <c r="I168" s="40">
        <f>IFERROR(INDEX('Fund Research'!$L$6:$L$505,MATCH(163,'Fund Research'!$W$6:$W$505,0)),"")</f>
        <v/>
      </c>
      <c r="J168" s="37">
        <f>IFERROR(INDEX('Fund Research'!$N$6:$N$505,MATCH(163,'Fund Research'!$W$6:$W$505,0)),"")</f>
        <v/>
      </c>
      <c r="K168" s="37">
        <f>IFERROR(INDEX('Fund Research'!$P$6:$P$505,MATCH(163,'Fund Research'!$W$6:$W$505,0)),"")</f>
        <v/>
      </c>
      <c r="L168" s="35">
        <f>IFERROR(INDEX('Fund Research'!$S$6:$S$505,MATCH(163,'Fund Research'!$W$6:$W$505,0)),"")</f>
        <v/>
      </c>
      <c r="M168" s="35">
        <f>IFERROR(INDEX('Fund Research'!$T$6:$T$505,MATCH(163,'Fund Research'!$W$6:$W$505,0)),"")</f>
        <v/>
      </c>
    </row>
    <row r="169" ht="15" customHeight="1">
      <c r="A169" s="34">
        <f>IFERROR(IF(INDEX('Fund Research'!$B$6:$B$505,MATCH(164,'Fund Research'!$W$6:$W$505,0))="","",164),"")</f>
        <v/>
      </c>
      <c r="B169" s="35">
        <f>IFERROR(INDEX('Fund Research'!$A$6:$A$505,MATCH(164,'Fund Research'!$W$6:$W$505,0)),"")</f>
        <v/>
      </c>
      <c r="C169" s="35">
        <f>IFERROR(INDEX('Fund Research'!$B$6:$B$505,MATCH(164,'Fund Research'!$W$6:$W$505,0)),"")</f>
        <v/>
      </c>
      <c r="D169" s="35">
        <f>IFERROR(INDEX('Fund Research'!$C$6:$C$505,MATCH(164,'Fund Research'!$W$6:$W$505,0)),"")</f>
        <v/>
      </c>
      <c r="E169" s="36">
        <f>IFERROR(INDEX('Fund Research'!$G$6:$G$505,MATCH(164,'Fund Research'!$W$6:$W$505,0)),"")</f>
        <v/>
      </c>
      <c r="F169" s="36">
        <f>IFERROR(INDEX('Fund Research'!$H$6:$H$505,MATCH(164,'Fund Research'!$W$6:$W$505,0)),"")</f>
        <v/>
      </c>
      <c r="G169" s="36">
        <f>IFERROR(INDEX('Fund Research'!$I$6:$I$505,MATCH(164,'Fund Research'!$W$6:$W$505,0)),"")</f>
        <v/>
      </c>
      <c r="H169" s="37">
        <f>IFERROR(INDEX('Fund Research'!$J$6:$J$505,MATCH(164,'Fund Research'!$W$6:$W$505,0)),"")</f>
        <v/>
      </c>
      <c r="I169" s="40">
        <f>IFERROR(INDEX('Fund Research'!$L$6:$L$505,MATCH(164,'Fund Research'!$W$6:$W$505,0)),"")</f>
        <v/>
      </c>
      <c r="J169" s="37">
        <f>IFERROR(INDEX('Fund Research'!$N$6:$N$505,MATCH(164,'Fund Research'!$W$6:$W$505,0)),"")</f>
        <v/>
      </c>
      <c r="K169" s="37">
        <f>IFERROR(INDEX('Fund Research'!$P$6:$P$505,MATCH(164,'Fund Research'!$W$6:$W$505,0)),"")</f>
        <v/>
      </c>
      <c r="L169" s="35">
        <f>IFERROR(INDEX('Fund Research'!$S$6:$S$505,MATCH(164,'Fund Research'!$W$6:$W$505,0)),"")</f>
        <v/>
      </c>
      <c r="M169" s="35">
        <f>IFERROR(INDEX('Fund Research'!$T$6:$T$505,MATCH(164,'Fund Research'!$W$6:$W$505,0)),"")</f>
        <v/>
      </c>
    </row>
    <row r="170" ht="15" customHeight="1">
      <c r="A170" s="34">
        <f>IFERROR(IF(INDEX('Fund Research'!$B$6:$B$505,MATCH(165,'Fund Research'!$W$6:$W$505,0))="","",165),"")</f>
        <v/>
      </c>
      <c r="B170" s="35">
        <f>IFERROR(INDEX('Fund Research'!$A$6:$A$505,MATCH(165,'Fund Research'!$W$6:$W$505,0)),"")</f>
        <v/>
      </c>
      <c r="C170" s="35">
        <f>IFERROR(INDEX('Fund Research'!$B$6:$B$505,MATCH(165,'Fund Research'!$W$6:$W$505,0)),"")</f>
        <v/>
      </c>
      <c r="D170" s="35">
        <f>IFERROR(INDEX('Fund Research'!$C$6:$C$505,MATCH(165,'Fund Research'!$W$6:$W$505,0)),"")</f>
        <v/>
      </c>
      <c r="E170" s="36">
        <f>IFERROR(INDEX('Fund Research'!$G$6:$G$505,MATCH(165,'Fund Research'!$W$6:$W$505,0)),"")</f>
        <v/>
      </c>
      <c r="F170" s="36">
        <f>IFERROR(INDEX('Fund Research'!$H$6:$H$505,MATCH(165,'Fund Research'!$W$6:$W$505,0)),"")</f>
        <v/>
      </c>
      <c r="G170" s="36">
        <f>IFERROR(INDEX('Fund Research'!$I$6:$I$505,MATCH(165,'Fund Research'!$W$6:$W$505,0)),"")</f>
        <v/>
      </c>
      <c r="H170" s="37">
        <f>IFERROR(INDEX('Fund Research'!$J$6:$J$505,MATCH(165,'Fund Research'!$W$6:$W$505,0)),"")</f>
        <v/>
      </c>
      <c r="I170" s="40">
        <f>IFERROR(INDEX('Fund Research'!$L$6:$L$505,MATCH(165,'Fund Research'!$W$6:$W$505,0)),"")</f>
        <v/>
      </c>
      <c r="J170" s="37">
        <f>IFERROR(INDEX('Fund Research'!$N$6:$N$505,MATCH(165,'Fund Research'!$W$6:$W$505,0)),"")</f>
        <v/>
      </c>
      <c r="K170" s="37">
        <f>IFERROR(INDEX('Fund Research'!$P$6:$P$505,MATCH(165,'Fund Research'!$W$6:$W$505,0)),"")</f>
        <v/>
      </c>
      <c r="L170" s="35">
        <f>IFERROR(INDEX('Fund Research'!$S$6:$S$505,MATCH(165,'Fund Research'!$W$6:$W$505,0)),"")</f>
        <v/>
      </c>
      <c r="M170" s="35">
        <f>IFERROR(INDEX('Fund Research'!$T$6:$T$505,MATCH(165,'Fund Research'!$W$6:$W$505,0)),"")</f>
        <v/>
      </c>
    </row>
    <row r="171" ht="15" customHeight="1">
      <c r="A171" s="34">
        <f>IFERROR(IF(INDEX('Fund Research'!$B$6:$B$505,MATCH(166,'Fund Research'!$W$6:$W$505,0))="","",166),"")</f>
        <v/>
      </c>
      <c r="B171" s="35">
        <f>IFERROR(INDEX('Fund Research'!$A$6:$A$505,MATCH(166,'Fund Research'!$W$6:$W$505,0)),"")</f>
        <v/>
      </c>
      <c r="C171" s="35">
        <f>IFERROR(INDEX('Fund Research'!$B$6:$B$505,MATCH(166,'Fund Research'!$W$6:$W$505,0)),"")</f>
        <v/>
      </c>
      <c r="D171" s="35">
        <f>IFERROR(INDEX('Fund Research'!$C$6:$C$505,MATCH(166,'Fund Research'!$W$6:$W$505,0)),"")</f>
        <v/>
      </c>
      <c r="E171" s="36">
        <f>IFERROR(INDEX('Fund Research'!$G$6:$G$505,MATCH(166,'Fund Research'!$W$6:$W$505,0)),"")</f>
        <v/>
      </c>
      <c r="F171" s="36">
        <f>IFERROR(INDEX('Fund Research'!$H$6:$H$505,MATCH(166,'Fund Research'!$W$6:$W$505,0)),"")</f>
        <v/>
      </c>
      <c r="G171" s="36">
        <f>IFERROR(INDEX('Fund Research'!$I$6:$I$505,MATCH(166,'Fund Research'!$W$6:$W$505,0)),"")</f>
        <v/>
      </c>
      <c r="H171" s="37">
        <f>IFERROR(INDEX('Fund Research'!$J$6:$J$505,MATCH(166,'Fund Research'!$W$6:$W$505,0)),"")</f>
        <v/>
      </c>
      <c r="I171" s="40">
        <f>IFERROR(INDEX('Fund Research'!$L$6:$L$505,MATCH(166,'Fund Research'!$W$6:$W$505,0)),"")</f>
        <v/>
      </c>
      <c r="J171" s="37">
        <f>IFERROR(INDEX('Fund Research'!$N$6:$N$505,MATCH(166,'Fund Research'!$W$6:$W$505,0)),"")</f>
        <v/>
      </c>
      <c r="K171" s="37">
        <f>IFERROR(INDEX('Fund Research'!$P$6:$P$505,MATCH(166,'Fund Research'!$W$6:$W$505,0)),"")</f>
        <v/>
      </c>
      <c r="L171" s="35">
        <f>IFERROR(INDEX('Fund Research'!$S$6:$S$505,MATCH(166,'Fund Research'!$W$6:$W$505,0)),"")</f>
        <v/>
      </c>
      <c r="M171" s="35">
        <f>IFERROR(INDEX('Fund Research'!$T$6:$T$505,MATCH(166,'Fund Research'!$W$6:$W$505,0)),"")</f>
        <v/>
      </c>
    </row>
    <row r="172" ht="15" customHeight="1">
      <c r="A172" s="34">
        <f>IFERROR(IF(INDEX('Fund Research'!$B$6:$B$505,MATCH(167,'Fund Research'!$W$6:$W$505,0))="","",167),"")</f>
        <v/>
      </c>
      <c r="B172" s="35">
        <f>IFERROR(INDEX('Fund Research'!$A$6:$A$505,MATCH(167,'Fund Research'!$W$6:$W$505,0)),"")</f>
        <v/>
      </c>
      <c r="C172" s="35">
        <f>IFERROR(INDEX('Fund Research'!$B$6:$B$505,MATCH(167,'Fund Research'!$W$6:$W$505,0)),"")</f>
        <v/>
      </c>
      <c r="D172" s="35">
        <f>IFERROR(INDEX('Fund Research'!$C$6:$C$505,MATCH(167,'Fund Research'!$W$6:$W$505,0)),"")</f>
        <v/>
      </c>
      <c r="E172" s="36">
        <f>IFERROR(INDEX('Fund Research'!$G$6:$G$505,MATCH(167,'Fund Research'!$W$6:$W$505,0)),"")</f>
        <v/>
      </c>
      <c r="F172" s="36">
        <f>IFERROR(INDEX('Fund Research'!$H$6:$H$505,MATCH(167,'Fund Research'!$W$6:$W$505,0)),"")</f>
        <v/>
      </c>
      <c r="G172" s="36">
        <f>IFERROR(INDEX('Fund Research'!$I$6:$I$505,MATCH(167,'Fund Research'!$W$6:$W$505,0)),"")</f>
        <v/>
      </c>
      <c r="H172" s="37">
        <f>IFERROR(INDEX('Fund Research'!$J$6:$J$505,MATCH(167,'Fund Research'!$W$6:$W$505,0)),"")</f>
        <v/>
      </c>
      <c r="I172" s="40">
        <f>IFERROR(INDEX('Fund Research'!$L$6:$L$505,MATCH(167,'Fund Research'!$W$6:$W$505,0)),"")</f>
        <v/>
      </c>
      <c r="J172" s="37">
        <f>IFERROR(INDEX('Fund Research'!$N$6:$N$505,MATCH(167,'Fund Research'!$W$6:$W$505,0)),"")</f>
        <v/>
      </c>
      <c r="K172" s="37">
        <f>IFERROR(INDEX('Fund Research'!$P$6:$P$505,MATCH(167,'Fund Research'!$W$6:$W$505,0)),"")</f>
        <v/>
      </c>
      <c r="L172" s="35">
        <f>IFERROR(INDEX('Fund Research'!$S$6:$S$505,MATCH(167,'Fund Research'!$W$6:$W$505,0)),"")</f>
        <v/>
      </c>
      <c r="M172" s="35">
        <f>IFERROR(INDEX('Fund Research'!$T$6:$T$505,MATCH(167,'Fund Research'!$W$6:$W$505,0)),"")</f>
        <v/>
      </c>
    </row>
    <row r="173" ht="15" customHeight="1">
      <c r="A173" s="34">
        <f>IFERROR(IF(INDEX('Fund Research'!$B$6:$B$505,MATCH(168,'Fund Research'!$W$6:$W$505,0))="","",168),"")</f>
        <v/>
      </c>
      <c r="B173" s="35">
        <f>IFERROR(INDEX('Fund Research'!$A$6:$A$505,MATCH(168,'Fund Research'!$W$6:$W$505,0)),"")</f>
        <v/>
      </c>
      <c r="C173" s="35">
        <f>IFERROR(INDEX('Fund Research'!$B$6:$B$505,MATCH(168,'Fund Research'!$W$6:$W$505,0)),"")</f>
        <v/>
      </c>
      <c r="D173" s="35">
        <f>IFERROR(INDEX('Fund Research'!$C$6:$C$505,MATCH(168,'Fund Research'!$W$6:$W$505,0)),"")</f>
        <v/>
      </c>
      <c r="E173" s="36">
        <f>IFERROR(INDEX('Fund Research'!$G$6:$G$505,MATCH(168,'Fund Research'!$W$6:$W$505,0)),"")</f>
        <v/>
      </c>
      <c r="F173" s="36">
        <f>IFERROR(INDEX('Fund Research'!$H$6:$H$505,MATCH(168,'Fund Research'!$W$6:$W$505,0)),"")</f>
        <v/>
      </c>
      <c r="G173" s="36">
        <f>IFERROR(INDEX('Fund Research'!$I$6:$I$505,MATCH(168,'Fund Research'!$W$6:$W$505,0)),"")</f>
        <v/>
      </c>
      <c r="H173" s="37">
        <f>IFERROR(INDEX('Fund Research'!$J$6:$J$505,MATCH(168,'Fund Research'!$W$6:$W$505,0)),"")</f>
        <v/>
      </c>
      <c r="I173" s="40">
        <f>IFERROR(INDEX('Fund Research'!$L$6:$L$505,MATCH(168,'Fund Research'!$W$6:$W$505,0)),"")</f>
        <v/>
      </c>
      <c r="J173" s="37">
        <f>IFERROR(INDEX('Fund Research'!$N$6:$N$505,MATCH(168,'Fund Research'!$W$6:$W$505,0)),"")</f>
        <v/>
      </c>
      <c r="K173" s="37">
        <f>IFERROR(INDEX('Fund Research'!$P$6:$P$505,MATCH(168,'Fund Research'!$W$6:$W$505,0)),"")</f>
        <v/>
      </c>
      <c r="L173" s="35">
        <f>IFERROR(INDEX('Fund Research'!$S$6:$S$505,MATCH(168,'Fund Research'!$W$6:$W$505,0)),"")</f>
        <v/>
      </c>
      <c r="M173" s="35">
        <f>IFERROR(INDEX('Fund Research'!$T$6:$T$505,MATCH(168,'Fund Research'!$W$6:$W$505,0)),"")</f>
        <v/>
      </c>
    </row>
    <row r="174" ht="15" customHeight="1">
      <c r="A174" s="34">
        <f>IFERROR(IF(INDEX('Fund Research'!$B$6:$B$505,MATCH(169,'Fund Research'!$W$6:$W$505,0))="","",169),"")</f>
        <v/>
      </c>
      <c r="B174" s="35">
        <f>IFERROR(INDEX('Fund Research'!$A$6:$A$505,MATCH(169,'Fund Research'!$W$6:$W$505,0)),"")</f>
        <v/>
      </c>
      <c r="C174" s="35">
        <f>IFERROR(INDEX('Fund Research'!$B$6:$B$505,MATCH(169,'Fund Research'!$W$6:$W$505,0)),"")</f>
        <v/>
      </c>
      <c r="D174" s="35">
        <f>IFERROR(INDEX('Fund Research'!$C$6:$C$505,MATCH(169,'Fund Research'!$W$6:$W$505,0)),"")</f>
        <v/>
      </c>
      <c r="E174" s="36">
        <f>IFERROR(INDEX('Fund Research'!$G$6:$G$505,MATCH(169,'Fund Research'!$W$6:$W$505,0)),"")</f>
        <v/>
      </c>
      <c r="F174" s="36">
        <f>IFERROR(INDEX('Fund Research'!$H$6:$H$505,MATCH(169,'Fund Research'!$W$6:$W$505,0)),"")</f>
        <v/>
      </c>
      <c r="G174" s="36">
        <f>IFERROR(INDEX('Fund Research'!$I$6:$I$505,MATCH(169,'Fund Research'!$W$6:$W$505,0)),"")</f>
        <v/>
      </c>
      <c r="H174" s="37">
        <f>IFERROR(INDEX('Fund Research'!$J$6:$J$505,MATCH(169,'Fund Research'!$W$6:$W$505,0)),"")</f>
        <v/>
      </c>
      <c r="I174" s="40">
        <f>IFERROR(INDEX('Fund Research'!$L$6:$L$505,MATCH(169,'Fund Research'!$W$6:$W$505,0)),"")</f>
        <v/>
      </c>
      <c r="J174" s="37">
        <f>IFERROR(INDEX('Fund Research'!$N$6:$N$505,MATCH(169,'Fund Research'!$W$6:$W$505,0)),"")</f>
        <v/>
      </c>
      <c r="K174" s="37">
        <f>IFERROR(INDEX('Fund Research'!$P$6:$P$505,MATCH(169,'Fund Research'!$W$6:$W$505,0)),"")</f>
        <v/>
      </c>
      <c r="L174" s="35">
        <f>IFERROR(INDEX('Fund Research'!$S$6:$S$505,MATCH(169,'Fund Research'!$W$6:$W$505,0)),"")</f>
        <v/>
      </c>
      <c r="M174" s="35">
        <f>IFERROR(INDEX('Fund Research'!$T$6:$T$505,MATCH(169,'Fund Research'!$W$6:$W$505,0)),"")</f>
        <v/>
      </c>
    </row>
    <row r="175" ht="15" customHeight="1">
      <c r="A175" s="34">
        <f>IFERROR(IF(INDEX('Fund Research'!$B$6:$B$505,MATCH(170,'Fund Research'!$W$6:$W$505,0))="","",170),"")</f>
        <v/>
      </c>
      <c r="B175" s="35">
        <f>IFERROR(INDEX('Fund Research'!$A$6:$A$505,MATCH(170,'Fund Research'!$W$6:$W$505,0)),"")</f>
        <v/>
      </c>
      <c r="C175" s="35">
        <f>IFERROR(INDEX('Fund Research'!$B$6:$B$505,MATCH(170,'Fund Research'!$W$6:$W$505,0)),"")</f>
        <v/>
      </c>
      <c r="D175" s="35">
        <f>IFERROR(INDEX('Fund Research'!$C$6:$C$505,MATCH(170,'Fund Research'!$W$6:$W$505,0)),"")</f>
        <v/>
      </c>
      <c r="E175" s="36">
        <f>IFERROR(INDEX('Fund Research'!$G$6:$G$505,MATCH(170,'Fund Research'!$W$6:$W$505,0)),"")</f>
        <v/>
      </c>
      <c r="F175" s="36">
        <f>IFERROR(INDEX('Fund Research'!$H$6:$H$505,MATCH(170,'Fund Research'!$W$6:$W$505,0)),"")</f>
        <v/>
      </c>
      <c r="G175" s="36">
        <f>IFERROR(INDEX('Fund Research'!$I$6:$I$505,MATCH(170,'Fund Research'!$W$6:$W$505,0)),"")</f>
        <v/>
      </c>
      <c r="H175" s="37">
        <f>IFERROR(INDEX('Fund Research'!$J$6:$J$505,MATCH(170,'Fund Research'!$W$6:$W$505,0)),"")</f>
        <v/>
      </c>
      <c r="I175" s="40">
        <f>IFERROR(INDEX('Fund Research'!$L$6:$L$505,MATCH(170,'Fund Research'!$W$6:$W$505,0)),"")</f>
        <v/>
      </c>
      <c r="J175" s="37">
        <f>IFERROR(INDEX('Fund Research'!$N$6:$N$505,MATCH(170,'Fund Research'!$W$6:$W$505,0)),"")</f>
        <v/>
      </c>
      <c r="K175" s="37">
        <f>IFERROR(INDEX('Fund Research'!$P$6:$P$505,MATCH(170,'Fund Research'!$W$6:$W$505,0)),"")</f>
        <v/>
      </c>
      <c r="L175" s="35">
        <f>IFERROR(INDEX('Fund Research'!$S$6:$S$505,MATCH(170,'Fund Research'!$W$6:$W$505,0)),"")</f>
        <v/>
      </c>
      <c r="M175" s="35">
        <f>IFERROR(INDEX('Fund Research'!$T$6:$T$505,MATCH(170,'Fund Research'!$W$6:$W$505,0)),"")</f>
        <v/>
      </c>
    </row>
    <row r="176" ht="15" customHeight="1">
      <c r="A176" s="34">
        <f>IFERROR(IF(INDEX('Fund Research'!$B$6:$B$505,MATCH(171,'Fund Research'!$W$6:$W$505,0))="","",171),"")</f>
        <v/>
      </c>
      <c r="B176" s="35">
        <f>IFERROR(INDEX('Fund Research'!$A$6:$A$505,MATCH(171,'Fund Research'!$W$6:$W$505,0)),"")</f>
        <v/>
      </c>
      <c r="C176" s="35">
        <f>IFERROR(INDEX('Fund Research'!$B$6:$B$505,MATCH(171,'Fund Research'!$W$6:$W$505,0)),"")</f>
        <v/>
      </c>
      <c r="D176" s="35">
        <f>IFERROR(INDEX('Fund Research'!$C$6:$C$505,MATCH(171,'Fund Research'!$W$6:$W$505,0)),"")</f>
        <v/>
      </c>
      <c r="E176" s="36">
        <f>IFERROR(INDEX('Fund Research'!$G$6:$G$505,MATCH(171,'Fund Research'!$W$6:$W$505,0)),"")</f>
        <v/>
      </c>
      <c r="F176" s="36">
        <f>IFERROR(INDEX('Fund Research'!$H$6:$H$505,MATCH(171,'Fund Research'!$W$6:$W$505,0)),"")</f>
        <v/>
      </c>
      <c r="G176" s="36">
        <f>IFERROR(INDEX('Fund Research'!$I$6:$I$505,MATCH(171,'Fund Research'!$W$6:$W$505,0)),"")</f>
        <v/>
      </c>
      <c r="H176" s="37">
        <f>IFERROR(INDEX('Fund Research'!$J$6:$J$505,MATCH(171,'Fund Research'!$W$6:$W$505,0)),"")</f>
        <v/>
      </c>
      <c r="I176" s="40">
        <f>IFERROR(INDEX('Fund Research'!$L$6:$L$505,MATCH(171,'Fund Research'!$W$6:$W$505,0)),"")</f>
        <v/>
      </c>
      <c r="J176" s="37">
        <f>IFERROR(INDEX('Fund Research'!$N$6:$N$505,MATCH(171,'Fund Research'!$W$6:$W$505,0)),"")</f>
        <v/>
      </c>
      <c r="K176" s="37">
        <f>IFERROR(INDEX('Fund Research'!$P$6:$P$505,MATCH(171,'Fund Research'!$W$6:$W$505,0)),"")</f>
        <v/>
      </c>
      <c r="L176" s="35">
        <f>IFERROR(INDEX('Fund Research'!$S$6:$S$505,MATCH(171,'Fund Research'!$W$6:$W$505,0)),"")</f>
        <v/>
      </c>
      <c r="M176" s="35">
        <f>IFERROR(INDEX('Fund Research'!$T$6:$T$505,MATCH(171,'Fund Research'!$W$6:$W$505,0)),"")</f>
        <v/>
      </c>
    </row>
    <row r="177" ht="15" customHeight="1">
      <c r="A177" s="34">
        <f>IFERROR(IF(INDEX('Fund Research'!$B$6:$B$505,MATCH(172,'Fund Research'!$W$6:$W$505,0))="","",172),"")</f>
        <v/>
      </c>
      <c r="B177" s="35">
        <f>IFERROR(INDEX('Fund Research'!$A$6:$A$505,MATCH(172,'Fund Research'!$W$6:$W$505,0)),"")</f>
        <v/>
      </c>
      <c r="C177" s="35">
        <f>IFERROR(INDEX('Fund Research'!$B$6:$B$505,MATCH(172,'Fund Research'!$W$6:$W$505,0)),"")</f>
        <v/>
      </c>
      <c r="D177" s="35">
        <f>IFERROR(INDEX('Fund Research'!$C$6:$C$505,MATCH(172,'Fund Research'!$W$6:$W$505,0)),"")</f>
        <v/>
      </c>
      <c r="E177" s="36">
        <f>IFERROR(INDEX('Fund Research'!$G$6:$G$505,MATCH(172,'Fund Research'!$W$6:$W$505,0)),"")</f>
        <v/>
      </c>
      <c r="F177" s="36">
        <f>IFERROR(INDEX('Fund Research'!$H$6:$H$505,MATCH(172,'Fund Research'!$W$6:$W$505,0)),"")</f>
        <v/>
      </c>
      <c r="G177" s="36">
        <f>IFERROR(INDEX('Fund Research'!$I$6:$I$505,MATCH(172,'Fund Research'!$W$6:$W$505,0)),"")</f>
        <v/>
      </c>
      <c r="H177" s="37">
        <f>IFERROR(INDEX('Fund Research'!$J$6:$J$505,MATCH(172,'Fund Research'!$W$6:$W$505,0)),"")</f>
        <v/>
      </c>
      <c r="I177" s="40">
        <f>IFERROR(INDEX('Fund Research'!$L$6:$L$505,MATCH(172,'Fund Research'!$W$6:$W$505,0)),"")</f>
        <v/>
      </c>
      <c r="J177" s="37">
        <f>IFERROR(INDEX('Fund Research'!$N$6:$N$505,MATCH(172,'Fund Research'!$W$6:$W$505,0)),"")</f>
        <v/>
      </c>
      <c r="K177" s="37">
        <f>IFERROR(INDEX('Fund Research'!$P$6:$P$505,MATCH(172,'Fund Research'!$W$6:$W$505,0)),"")</f>
        <v/>
      </c>
      <c r="L177" s="35">
        <f>IFERROR(INDEX('Fund Research'!$S$6:$S$505,MATCH(172,'Fund Research'!$W$6:$W$505,0)),"")</f>
        <v/>
      </c>
      <c r="M177" s="35">
        <f>IFERROR(INDEX('Fund Research'!$T$6:$T$505,MATCH(172,'Fund Research'!$W$6:$W$505,0)),"")</f>
        <v/>
      </c>
    </row>
    <row r="178" ht="15" customHeight="1">
      <c r="A178" s="34">
        <f>IFERROR(IF(INDEX('Fund Research'!$B$6:$B$505,MATCH(173,'Fund Research'!$W$6:$W$505,0))="","",173),"")</f>
        <v/>
      </c>
      <c r="B178" s="35">
        <f>IFERROR(INDEX('Fund Research'!$A$6:$A$505,MATCH(173,'Fund Research'!$W$6:$W$505,0)),"")</f>
        <v/>
      </c>
      <c r="C178" s="35">
        <f>IFERROR(INDEX('Fund Research'!$B$6:$B$505,MATCH(173,'Fund Research'!$W$6:$W$505,0)),"")</f>
        <v/>
      </c>
      <c r="D178" s="35">
        <f>IFERROR(INDEX('Fund Research'!$C$6:$C$505,MATCH(173,'Fund Research'!$W$6:$W$505,0)),"")</f>
        <v/>
      </c>
      <c r="E178" s="36">
        <f>IFERROR(INDEX('Fund Research'!$G$6:$G$505,MATCH(173,'Fund Research'!$W$6:$W$505,0)),"")</f>
        <v/>
      </c>
      <c r="F178" s="36">
        <f>IFERROR(INDEX('Fund Research'!$H$6:$H$505,MATCH(173,'Fund Research'!$W$6:$W$505,0)),"")</f>
        <v/>
      </c>
      <c r="G178" s="36">
        <f>IFERROR(INDEX('Fund Research'!$I$6:$I$505,MATCH(173,'Fund Research'!$W$6:$W$505,0)),"")</f>
        <v/>
      </c>
      <c r="H178" s="37">
        <f>IFERROR(INDEX('Fund Research'!$J$6:$J$505,MATCH(173,'Fund Research'!$W$6:$W$505,0)),"")</f>
        <v/>
      </c>
      <c r="I178" s="40">
        <f>IFERROR(INDEX('Fund Research'!$L$6:$L$505,MATCH(173,'Fund Research'!$W$6:$W$505,0)),"")</f>
        <v/>
      </c>
      <c r="J178" s="37">
        <f>IFERROR(INDEX('Fund Research'!$N$6:$N$505,MATCH(173,'Fund Research'!$W$6:$W$505,0)),"")</f>
        <v/>
      </c>
      <c r="K178" s="37">
        <f>IFERROR(INDEX('Fund Research'!$P$6:$P$505,MATCH(173,'Fund Research'!$W$6:$W$505,0)),"")</f>
        <v/>
      </c>
      <c r="L178" s="35">
        <f>IFERROR(INDEX('Fund Research'!$S$6:$S$505,MATCH(173,'Fund Research'!$W$6:$W$505,0)),"")</f>
        <v/>
      </c>
      <c r="M178" s="35">
        <f>IFERROR(INDEX('Fund Research'!$T$6:$T$505,MATCH(173,'Fund Research'!$W$6:$W$505,0)),"")</f>
        <v/>
      </c>
    </row>
    <row r="179" ht="15" customHeight="1">
      <c r="A179" s="34">
        <f>IFERROR(IF(INDEX('Fund Research'!$B$6:$B$505,MATCH(174,'Fund Research'!$W$6:$W$505,0))="","",174),"")</f>
        <v/>
      </c>
      <c r="B179" s="35">
        <f>IFERROR(INDEX('Fund Research'!$A$6:$A$505,MATCH(174,'Fund Research'!$W$6:$W$505,0)),"")</f>
        <v/>
      </c>
      <c r="C179" s="35">
        <f>IFERROR(INDEX('Fund Research'!$B$6:$B$505,MATCH(174,'Fund Research'!$W$6:$W$505,0)),"")</f>
        <v/>
      </c>
      <c r="D179" s="35">
        <f>IFERROR(INDEX('Fund Research'!$C$6:$C$505,MATCH(174,'Fund Research'!$W$6:$W$505,0)),"")</f>
        <v/>
      </c>
      <c r="E179" s="36">
        <f>IFERROR(INDEX('Fund Research'!$G$6:$G$505,MATCH(174,'Fund Research'!$W$6:$W$505,0)),"")</f>
        <v/>
      </c>
      <c r="F179" s="36">
        <f>IFERROR(INDEX('Fund Research'!$H$6:$H$505,MATCH(174,'Fund Research'!$W$6:$W$505,0)),"")</f>
        <v/>
      </c>
      <c r="G179" s="36">
        <f>IFERROR(INDEX('Fund Research'!$I$6:$I$505,MATCH(174,'Fund Research'!$W$6:$W$505,0)),"")</f>
        <v/>
      </c>
      <c r="H179" s="37">
        <f>IFERROR(INDEX('Fund Research'!$J$6:$J$505,MATCH(174,'Fund Research'!$W$6:$W$505,0)),"")</f>
        <v/>
      </c>
      <c r="I179" s="40">
        <f>IFERROR(INDEX('Fund Research'!$L$6:$L$505,MATCH(174,'Fund Research'!$W$6:$W$505,0)),"")</f>
        <v/>
      </c>
      <c r="J179" s="37">
        <f>IFERROR(INDEX('Fund Research'!$N$6:$N$505,MATCH(174,'Fund Research'!$W$6:$W$505,0)),"")</f>
        <v/>
      </c>
      <c r="K179" s="37">
        <f>IFERROR(INDEX('Fund Research'!$P$6:$P$505,MATCH(174,'Fund Research'!$W$6:$W$505,0)),"")</f>
        <v/>
      </c>
      <c r="L179" s="35">
        <f>IFERROR(INDEX('Fund Research'!$S$6:$S$505,MATCH(174,'Fund Research'!$W$6:$W$505,0)),"")</f>
        <v/>
      </c>
      <c r="M179" s="35">
        <f>IFERROR(INDEX('Fund Research'!$T$6:$T$505,MATCH(174,'Fund Research'!$W$6:$W$505,0)),"")</f>
        <v/>
      </c>
    </row>
    <row r="180" ht="15" customHeight="1">
      <c r="A180" s="34">
        <f>IFERROR(IF(INDEX('Fund Research'!$B$6:$B$505,MATCH(175,'Fund Research'!$W$6:$W$505,0))="","",175),"")</f>
        <v/>
      </c>
      <c r="B180" s="35">
        <f>IFERROR(INDEX('Fund Research'!$A$6:$A$505,MATCH(175,'Fund Research'!$W$6:$W$505,0)),"")</f>
        <v/>
      </c>
      <c r="C180" s="35">
        <f>IFERROR(INDEX('Fund Research'!$B$6:$B$505,MATCH(175,'Fund Research'!$W$6:$W$505,0)),"")</f>
        <v/>
      </c>
      <c r="D180" s="35">
        <f>IFERROR(INDEX('Fund Research'!$C$6:$C$505,MATCH(175,'Fund Research'!$W$6:$W$505,0)),"")</f>
        <v/>
      </c>
      <c r="E180" s="36">
        <f>IFERROR(INDEX('Fund Research'!$G$6:$G$505,MATCH(175,'Fund Research'!$W$6:$W$505,0)),"")</f>
        <v/>
      </c>
      <c r="F180" s="36">
        <f>IFERROR(INDEX('Fund Research'!$H$6:$H$505,MATCH(175,'Fund Research'!$W$6:$W$505,0)),"")</f>
        <v/>
      </c>
      <c r="G180" s="36">
        <f>IFERROR(INDEX('Fund Research'!$I$6:$I$505,MATCH(175,'Fund Research'!$W$6:$W$505,0)),"")</f>
        <v/>
      </c>
      <c r="H180" s="37">
        <f>IFERROR(INDEX('Fund Research'!$J$6:$J$505,MATCH(175,'Fund Research'!$W$6:$W$505,0)),"")</f>
        <v/>
      </c>
      <c r="I180" s="40">
        <f>IFERROR(INDEX('Fund Research'!$L$6:$L$505,MATCH(175,'Fund Research'!$W$6:$W$505,0)),"")</f>
        <v/>
      </c>
      <c r="J180" s="37">
        <f>IFERROR(INDEX('Fund Research'!$N$6:$N$505,MATCH(175,'Fund Research'!$W$6:$W$505,0)),"")</f>
        <v/>
      </c>
      <c r="K180" s="37">
        <f>IFERROR(INDEX('Fund Research'!$P$6:$P$505,MATCH(175,'Fund Research'!$W$6:$W$505,0)),"")</f>
        <v/>
      </c>
      <c r="L180" s="35">
        <f>IFERROR(INDEX('Fund Research'!$S$6:$S$505,MATCH(175,'Fund Research'!$W$6:$W$505,0)),"")</f>
        <v/>
      </c>
      <c r="M180" s="35">
        <f>IFERROR(INDEX('Fund Research'!$T$6:$T$505,MATCH(175,'Fund Research'!$W$6:$W$505,0)),"")</f>
        <v/>
      </c>
    </row>
    <row r="181" ht="15" customHeight="1">
      <c r="A181" s="34">
        <f>IFERROR(IF(INDEX('Fund Research'!$B$6:$B$505,MATCH(176,'Fund Research'!$W$6:$W$505,0))="","",176),"")</f>
        <v/>
      </c>
      <c r="B181" s="35">
        <f>IFERROR(INDEX('Fund Research'!$A$6:$A$505,MATCH(176,'Fund Research'!$W$6:$W$505,0)),"")</f>
        <v/>
      </c>
      <c r="C181" s="35">
        <f>IFERROR(INDEX('Fund Research'!$B$6:$B$505,MATCH(176,'Fund Research'!$W$6:$W$505,0)),"")</f>
        <v/>
      </c>
      <c r="D181" s="35">
        <f>IFERROR(INDEX('Fund Research'!$C$6:$C$505,MATCH(176,'Fund Research'!$W$6:$W$505,0)),"")</f>
        <v/>
      </c>
      <c r="E181" s="36">
        <f>IFERROR(INDEX('Fund Research'!$G$6:$G$505,MATCH(176,'Fund Research'!$W$6:$W$505,0)),"")</f>
        <v/>
      </c>
      <c r="F181" s="36">
        <f>IFERROR(INDEX('Fund Research'!$H$6:$H$505,MATCH(176,'Fund Research'!$W$6:$W$505,0)),"")</f>
        <v/>
      </c>
      <c r="G181" s="36">
        <f>IFERROR(INDEX('Fund Research'!$I$6:$I$505,MATCH(176,'Fund Research'!$W$6:$W$505,0)),"")</f>
        <v/>
      </c>
      <c r="H181" s="37">
        <f>IFERROR(INDEX('Fund Research'!$J$6:$J$505,MATCH(176,'Fund Research'!$W$6:$W$505,0)),"")</f>
        <v/>
      </c>
      <c r="I181" s="40">
        <f>IFERROR(INDEX('Fund Research'!$L$6:$L$505,MATCH(176,'Fund Research'!$W$6:$W$505,0)),"")</f>
        <v/>
      </c>
      <c r="J181" s="37">
        <f>IFERROR(INDEX('Fund Research'!$N$6:$N$505,MATCH(176,'Fund Research'!$W$6:$W$505,0)),"")</f>
        <v/>
      </c>
      <c r="K181" s="37">
        <f>IFERROR(INDEX('Fund Research'!$P$6:$P$505,MATCH(176,'Fund Research'!$W$6:$W$505,0)),"")</f>
        <v/>
      </c>
      <c r="L181" s="35">
        <f>IFERROR(INDEX('Fund Research'!$S$6:$S$505,MATCH(176,'Fund Research'!$W$6:$W$505,0)),"")</f>
        <v/>
      </c>
      <c r="M181" s="35">
        <f>IFERROR(INDEX('Fund Research'!$T$6:$T$505,MATCH(176,'Fund Research'!$W$6:$W$505,0)),"")</f>
        <v/>
      </c>
    </row>
    <row r="182" ht="15" customHeight="1">
      <c r="A182" s="34">
        <f>IFERROR(IF(INDEX('Fund Research'!$B$6:$B$505,MATCH(177,'Fund Research'!$W$6:$W$505,0))="","",177),"")</f>
        <v/>
      </c>
      <c r="B182" s="35">
        <f>IFERROR(INDEX('Fund Research'!$A$6:$A$505,MATCH(177,'Fund Research'!$W$6:$W$505,0)),"")</f>
        <v/>
      </c>
      <c r="C182" s="35">
        <f>IFERROR(INDEX('Fund Research'!$B$6:$B$505,MATCH(177,'Fund Research'!$W$6:$W$505,0)),"")</f>
        <v/>
      </c>
      <c r="D182" s="35">
        <f>IFERROR(INDEX('Fund Research'!$C$6:$C$505,MATCH(177,'Fund Research'!$W$6:$W$505,0)),"")</f>
        <v/>
      </c>
      <c r="E182" s="36">
        <f>IFERROR(INDEX('Fund Research'!$G$6:$G$505,MATCH(177,'Fund Research'!$W$6:$W$505,0)),"")</f>
        <v/>
      </c>
      <c r="F182" s="36">
        <f>IFERROR(INDEX('Fund Research'!$H$6:$H$505,MATCH(177,'Fund Research'!$W$6:$W$505,0)),"")</f>
        <v/>
      </c>
      <c r="G182" s="36">
        <f>IFERROR(INDEX('Fund Research'!$I$6:$I$505,MATCH(177,'Fund Research'!$W$6:$W$505,0)),"")</f>
        <v/>
      </c>
      <c r="H182" s="37">
        <f>IFERROR(INDEX('Fund Research'!$J$6:$J$505,MATCH(177,'Fund Research'!$W$6:$W$505,0)),"")</f>
        <v/>
      </c>
      <c r="I182" s="40">
        <f>IFERROR(INDEX('Fund Research'!$L$6:$L$505,MATCH(177,'Fund Research'!$W$6:$W$505,0)),"")</f>
        <v/>
      </c>
      <c r="J182" s="37">
        <f>IFERROR(INDEX('Fund Research'!$N$6:$N$505,MATCH(177,'Fund Research'!$W$6:$W$505,0)),"")</f>
        <v/>
      </c>
      <c r="K182" s="37">
        <f>IFERROR(INDEX('Fund Research'!$P$6:$P$505,MATCH(177,'Fund Research'!$W$6:$W$505,0)),"")</f>
        <v/>
      </c>
      <c r="L182" s="35">
        <f>IFERROR(INDEX('Fund Research'!$S$6:$S$505,MATCH(177,'Fund Research'!$W$6:$W$505,0)),"")</f>
        <v/>
      </c>
      <c r="M182" s="35">
        <f>IFERROR(INDEX('Fund Research'!$T$6:$T$505,MATCH(177,'Fund Research'!$W$6:$W$505,0)),"")</f>
        <v/>
      </c>
    </row>
    <row r="183" ht="15" customHeight="1">
      <c r="A183" s="34">
        <f>IFERROR(IF(INDEX('Fund Research'!$B$6:$B$505,MATCH(178,'Fund Research'!$W$6:$W$505,0))="","",178),"")</f>
        <v/>
      </c>
      <c r="B183" s="35">
        <f>IFERROR(INDEX('Fund Research'!$A$6:$A$505,MATCH(178,'Fund Research'!$W$6:$W$505,0)),"")</f>
        <v/>
      </c>
      <c r="C183" s="35">
        <f>IFERROR(INDEX('Fund Research'!$B$6:$B$505,MATCH(178,'Fund Research'!$W$6:$W$505,0)),"")</f>
        <v/>
      </c>
      <c r="D183" s="35">
        <f>IFERROR(INDEX('Fund Research'!$C$6:$C$505,MATCH(178,'Fund Research'!$W$6:$W$505,0)),"")</f>
        <v/>
      </c>
      <c r="E183" s="36">
        <f>IFERROR(INDEX('Fund Research'!$G$6:$G$505,MATCH(178,'Fund Research'!$W$6:$W$505,0)),"")</f>
        <v/>
      </c>
      <c r="F183" s="36">
        <f>IFERROR(INDEX('Fund Research'!$H$6:$H$505,MATCH(178,'Fund Research'!$W$6:$W$505,0)),"")</f>
        <v/>
      </c>
      <c r="G183" s="36">
        <f>IFERROR(INDEX('Fund Research'!$I$6:$I$505,MATCH(178,'Fund Research'!$W$6:$W$505,0)),"")</f>
        <v/>
      </c>
      <c r="H183" s="37">
        <f>IFERROR(INDEX('Fund Research'!$J$6:$J$505,MATCH(178,'Fund Research'!$W$6:$W$505,0)),"")</f>
        <v/>
      </c>
      <c r="I183" s="40">
        <f>IFERROR(INDEX('Fund Research'!$L$6:$L$505,MATCH(178,'Fund Research'!$W$6:$W$505,0)),"")</f>
        <v/>
      </c>
      <c r="J183" s="37">
        <f>IFERROR(INDEX('Fund Research'!$N$6:$N$505,MATCH(178,'Fund Research'!$W$6:$W$505,0)),"")</f>
        <v/>
      </c>
      <c r="K183" s="37">
        <f>IFERROR(INDEX('Fund Research'!$P$6:$P$505,MATCH(178,'Fund Research'!$W$6:$W$505,0)),"")</f>
        <v/>
      </c>
      <c r="L183" s="35">
        <f>IFERROR(INDEX('Fund Research'!$S$6:$S$505,MATCH(178,'Fund Research'!$W$6:$W$505,0)),"")</f>
        <v/>
      </c>
      <c r="M183" s="35">
        <f>IFERROR(INDEX('Fund Research'!$T$6:$T$505,MATCH(178,'Fund Research'!$W$6:$W$505,0)),"")</f>
        <v/>
      </c>
    </row>
    <row r="184" ht="15" customHeight="1">
      <c r="A184" s="34">
        <f>IFERROR(IF(INDEX('Fund Research'!$B$6:$B$505,MATCH(179,'Fund Research'!$W$6:$W$505,0))="","",179),"")</f>
        <v/>
      </c>
      <c r="B184" s="35">
        <f>IFERROR(INDEX('Fund Research'!$A$6:$A$505,MATCH(179,'Fund Research'!$W$6:$W$505,0)),"")</f>
        <v/>
      </c>
      <c r="C184" s="35">
        <f>IFERROR(INDEX('Fund Research'!$B$6:$B$505,MATCH(179,'Fund Research'!$W$6:$W$505,0)),"")</f>
        <v/>
      </c>
      <c r="D184" s="35">
        <f>IFERROR(INDEX('Fund Research'!$C$6:$C$505,MATCH(179,'Fund Research'!$W$6:$W$505,0)),"")</f>
        <v/>
      </c>
      <c r="E184" s="36">
        <f>IFERROR(INDEX('Fund Research'!$G$6:$G$505,MATCH(179,'Fund Research'!$W$6:$W$505,0)),"")</f>
        <v/>
      </c>
      <c r="F184" s="36">
        <f>IFERROR(INDEX('Fund Research'!$H$6:$H$505,MATCH(179,'Fund Research'!$W$6:$W$505,0)),"")</f>
        <v/>
      </c>
      <c r="G184" s="36">
        <f>IFERROR(INDEX('Fund Research'!$I$6:$I$505,MATCH(179,'Fund Research'!$W$6:$W$505,0)),"")</f>
        <v/>
      </c>
      <c r="H184" s="37">
        <f>IFERROR(INDEX('Fund Research'!$J$6:$J$505,MATCH(179,'Fund Research'!$W$6:$W$505,0)),"")</f>
        <v/>
      </c>
      <c r="I184" s="40">
        <f>IFERROR(INDEX('Fund Research'!$L$6:$L$505,MATCH(179,'Fund Research'!$W$6:$W$505,0)),"")</f>
        <v/>
      </c>
      <c r="J184" s="37">
        <f>IFERROR(INDEX('Fund Research'!$N$6:$N$505,MATCH(179,'Fund Research'!$W$6:$W$505,0)),"")</f>
        <v/>
      </c>
      <c r="K184" s="37">
        <f>IFERROR(INDEX('Fund Research'!$P$6:$P$505,MATCH(179,'Fund Research'!$W$6:$W$505,0)),"")</f>
        <v/>
      </c>
      <c r="L184" s="35">
        <f>IFERROR(INDEX('Fund Research'!$S$6:$S$505,MATCH(179,'Fund Research'!$W$6:$W$505,0)),"")</f>
        <v/>
      </c>
      <c r="M184" s="35">
        <f>IFERROR(INDEX('Fund Research'!$T$6:$T$505,MATCH(179,'Fund Research'!$W$6:$W$505,0)),"")</f>
        <v/>
      </c>
    </row>
    <row r="185" ht="15" customHeight="1">
      <c r="A185" s="34">
        <f>IFERROR(IF(INDEX('Fund Research'!$B$6:$B$505,MATCH(180,'Fund Research'!$W$6:$W$505,0))="","",180),"")</f>
        <v/>
      </c>
      <c r="B185" s="35">
        <f>IFERROR(INDEX('Fund Research'!$A$6:$A$505,MATCH(180,'Fund Research'!$W$6:$W$505,0)),"")</f>
        <v/>
      </c>
      <c r="C185" s="35">
        <f>IFERROR(INDEX('Fund Research'!$B$6:$B$505,MATCH(180,'Fund Research'!$W$6:$W$505,0)),"")</f>
        <v/>
      </c>
      <c r="D185" s="35">
        <f>IFERROR(INDEX('Fund Research'!$C$6:$C$505,MATCH(180,'Fund Research'!$W$6:$W$505,0)),"")</f>
        <v/>
      </c>
      <c r="E185" s="36">
        <f>IFERROR(INDEX('Fund Research'!$G$6:$G$505,MATCH(180,'Fund Research'!$W$6:$W$505,0)),"")</f>
        <v/>
      </c>
      <c r="F185" s="36">
        <f>IFERROR(INDEX('Fund Research'!$H$6:$H$505,MATCH(180,'Fund Research'!$W$6:$W$505,0)),"")</f>
        <v/>
      </c>
      <c r="G185" s="36">
        <f>IFERROR(INDEX('Fund Research'!$I$6:$I$505,MATCH(180,'Fund Research'!$W$6:$W$505,0)),"")</f>
        <v/>
      </c>
      <c r="H185" s="37">
        <f>IFERROR(INDEX('Fund Research'!$J$6:$J$505,MATCH(180,'Fund Research'!$W$6:$W$505,0)),"")</f>
        <v/>
      </c>
      <c r="I185" s="40">
        <f>IFERROR(INDEX('Fund Research'!$L$6:$L$505,MATCH(180,'Fund Research'!$W$6:$W$505,0)),"")</f>
        <v/>
      </c>
      <c r="J185" s="37">
        <f>IFERROR(INDEX('Fund Research'!$N$6:$N$505,MATCH(180,'Fund Research'!$W$6:$W$505,0)),"")</f>
        <v/>
      </c>
      <c r="K185" s="37">
        <f>IFERROR(INDEX('Fund Research'!$P$6:$P$505,MATCH(180,'Fund Research'!$W$6:$W$505,0)),"")</f>
        <v/>
      </c>
      <c r="L185" s="35">
        <f>IFERROR(INDEX('Fund Research'!$S$6:$S$505,MATCH(180,'Fund Research'!$W$6:$W$505,0)),"")</f>
        <v/>
      </c>
      <c r="M185" s="35">
        <f>IFERROR(INDEX('Fund Research'!$T$6:$T$505,MATCH(180,'Fund Research'!$W$6:$W$505,0)),"")</f>
        <v/>
      </c>
    </row>
    <row r="186" ht="15" customHeight="1">
      <c r="A186" s="34">
        <f>IFERROR(IF(INDEX('Fund Research'!$B$6:$B$505,MATCH(181,'Fund Research'!$W$6:$W$505,0))="","",181),"")</f>
        <v/>
      </c>
      <c r="B186" s="35">
        <f>IFERROR(INDEX('Fund Research'!$A$6:$A$505,MATCH(181,'Fund Research'!$W$6:$W$505,0)),"")</f>
        <v/>
      </c>
      <c r="C186" s="35">
        <f>IFERROR(INDEX('Fund Research'!$B$6:$B$505,MATCH(181,'Fund Research'!$W$6:$W$505,0)),"")</f>
        <v/>
      </c>
      <c r="D186" s="35">
        <f>IFERROR(INDEX('Fund Research'!$C$6:$C$505,MATCH(181,'Fund Research'!$W$6:$W$505,0)),"")</f>
        <v/>
      </c>
      <c r="E186" s="36">
        <f>IFERROR(INDEX('Fund Research'!$G$6:$G$505,MATCH(181,'Fund Research'!$W$6:$W$505,0)),"")</f>
        <v/>
      </c>
      <c r="F186" s="36">
        <f>IFERROR(INDEX('Fund Research'!$H$6:$H$505,MATCH(181,'Fund Research'!$W$6:$W$505,0)),"")</f>
        <v/>
      </c>
      <c r="G186" s="36">
        <f>IFERROR(INDEX('Fund Research'!$I$6:$I$505,MATCH(181,'Fund Research'!$W$6:$W$505,0)),"")</f>
        <v/>
      </c>
      <c r="H186" s="37">
        <f>IFERROR(INDEX('Fund Research'!$J$6:$J$505,MATCH(181,'Fund Research'!$W$6:$W$505,0)),"")</f>
        <v/>
      </c>
      <c r="I186" s="40">
        <f>IFERROR(INDEX('Fund Research'!$L$6:$L$505,MATCH(181,'Fund Research'!$W$6:$W$505,0)),"")</f>
        <v/>
      </c>
      <c r="J186" s="37">
        <f>IFERROR(INDEX('Fund Research'!$N$6:$N$505,MATCH(181,'Fund Research'!$W$6:$W$505,0)),"")</f>
        <v/>
      </c>
      <c r="K186" s="37">
        <f>IFERROR(INDEX('Fund Research'!$P$6:$P$505,MATCH(181,'Fund Research'!$W$6:$W$505,0)),"")</f>
        <v/>
      </c>
      <c r="L186" s="35">
        <f>IFERROR(INDEX('Fund Research'!$S$6:$S$505,MATCH(181,'Fund Research'!$W$6:$W$505,0)),"")</f>
        <v/>
      </c>
      <c r="M186" s="35">
        <f>IFERROR(INDEX('Fund Research'!$T$6:$T$505,MATCH(181,'Fund Research'!$W$6:$W$505,0)),"")</f>
        <v/>
      </c>
    </row>
    <row r="187" ht="15" customHeight="1">
      <c r="A187" s="34">
        <f>IFERROR(IF(INDEX('Fund Research'!$B$6:$B$505,MATCH(182,'Fund Research'!$W$6:$W$505,0))="","",182),"")</f>
        <v/>
      </c>
      <c r="B187" s="35">
        <f>IFERROR(INDEX('Fund Research'!$A$6:$A$505,MATCH(182,'Fund Research'!$W$6:$W$505,0)),"")</f>
        <v/>
      </c>
      <c r="C187" s="35">
        <f>IFERROR(INDEX('Fund Research'!$B$6:$B$505,MATCH(182,'Fund Research'!$W$6:$W$505,0)),"")</f>
        <v/>
      </c>
      <c r="D187" s="35">
        <f>IFERROR(INDEX('Fund Research'!$C$6:$C$505,MATCH(182,'Fund Research'!$W$6:$W$505,0)),"")</f>
        <v/>
      </c>
      <c r="E187" s="36">
        <f>IFERROR(INDEX('Fund Research'!$G$6:$G$505,MATCH(182,'Fund Research'!$W$6:$W$505,0)),"")</f>
        <v/>
      </c>
      <c r="F187" s="36">
        <f>IFERROR(INDEX('Fund Research'!$H$6:$H$505,MATCH(182,'Fund Research'!$W$6:$W$505,0)),"")</f>
        <v/>
      </c>
      <c r="G187" s="36">
        <f>IFERROR(INDEX('Fund Research'!$I$6:$I$505,MATCH(182,'Fund Research'!$W$6:$W$505,0)),"")</f>
        <v/>
      </c>
      <c r="H187" s="37">
        <f>IFERROR(INDEX('Fund Research'!$J$6:$J$505,MATCH(182,'Fund Research'!$W$6:$W$505,0)),"")</f>
        <v/>
      </c>
      <c r="I187" s="40">
        <f>IFERROR(INDEX('Fund Research'!$L$6:$L$505,MATCH(182,'Fund Research'!$W$6:$W$505,0)),"")</f>
        <v/>
      </c>
      <c r="J187" s="37">
        <f>IFERROR(INDEX('Fund Research'!$N$6:$N$505,MATCH(182,'Fund Research'!$W$6:$W$505,0)),"")</f>
        <v/>
      </c>
      <c r="K187" s="37">
        <f>IFERROR(INDEX('Fund Research'!$P$6:$P$505,MATCH(182,'Fund Research'!$W$6:$W$505,0)),"")</f>
        <v/>
      </c>
      <c r="L187" s="35">
        <f>IFERROR(INDEX('Fund Research'!$S$6:$S$505,MATCH(182,'Fund Research'!$W$6:$W$505,0)),"")</f>
        <v/>
      </c>
      <c r="M187" s="35">
        <f>IFERROR(INDEX('Fund Research'!$T$6:$T$505,MATCH(182,'Fund Research'!$W$6:$W$505,0)),"")</f>
        <v/>
      </c>
    </row>
    <row r="188" ht="15" customHeight="1">
      <c r="A188" s="34">
        <f>IFERROR(IF(INDEX('Fund Research'!$B$6:$B$505,MATCH(183,'Fund Research'!$W$6:$W$505,0))="","",183),"")</f>
        <v/>
      </c>
      <c r="B188" s="35">
        <f>IFERROR(INDEX('Fund Research'!$A$6:$A$505,MATCH(183,'Fund Research'!$W$6:$W$505,0)),"")</f>
        <v/>
      </c>
      <c r="C188" s="35">
        <f>IFERROR(INDEX('Fund Research'!$B$6:$B$505,MATCH(183,'Fund Research'!$W$6:$W$505,0)),"")</f>
        <v/>
      </c>
      <c r="D188" s="35">
        <f>IFERROR(INDEX('Fund Research'!$C$6:$C$505,MATCH(183,'Fund Research'!$W$6:$W$505,0)),"")</f>
        <v/>
      </c>
      <c r="E188" s="36">
        <f>IFERROR(INDEX('Fund Research'!$G$6:$G$505,MATCH(183,'Fund Research'!$W$6:$W$505,0)),"")</f>
        <v/>
      </c>
      <c r="F188" s="36">
        <f>IFERROR(INDEX('Fund Research'!$H$6:$H$505,MATCH(183,'Fund Research'!$W$6:$W$505,0)),"")</f>
        <v/>
      </c>
      <c r="G188" s="36">
        <f>IFERROR(INDEX('Fund Research'!$I$6:$I$505,MATCH(183,'Fund Research'!$W$6:$W$505,0)),"")</f>
        <v/>
      </c>
      <c r="H188" s="37">
        <f>IFERROR(INDEX('Fund Research'!$J$6:$J$505,MATCH(183,'Fund Research'!$W$6:$W$505,0)),"")</f>
        <v/>
      </c>
      <c r="I188" s="40">
        <f>IFERROR(INDEX('Fund Research'!$L$6:$L$505,MATCH(183,'Fund Research'!$W$6:$W$505,0)),"")</f>
        <v/>
      </c>
      <c r="J188" s="37">
        <f>IFERROR(INDEX('Fund Research'!$N$6:$N$505,MATCH(183,'Fund Research'!$W$6:$W$505,0)),"")</f>
        <v/>
      </c>
      <c r="K188" s="37">
        <f>IFERROR(INDEX('Fund Research'!$P$6:$P$505,MATCH(183,'Fund Research'!$W$6:$W$505,0)),"")</f>
        <v/>
      </c>
      <c r="L188" s="35">
        <f>IFERROR(INDEX('Fund Research'!$S$6:$S$505,MATCH(183,'Fund Research'!$W$6:$W$505,0)),"")</f>
        <v/>
      </c>
      <c r="M188" s="35">
        <f>IFERROR(INDEX('Fund Research'!$T$6:$T$505,MATCH(183,'Fund Research'!$W$6:$W$505,0)),"")</f>
        <v/>
      </c>
    </row>
    <row r="189" ht="15" customHeight="1">
      <c r="A189" s="34">
        <f>IFERROR(IF(INDEX('Fund Research'!$B$6:$B$505,MATCH(184,'Fund Research'!$W$6:$W$505,0))="","",184),"")</f>
        <v/>
      </c>
      <c r="B189" s="35">
        <f>IFERROR(INDEX('Fund Research'!$A$6:$A$505,MATCH(184,'Fund Research'!$W$6:$W$505,0)),"")</f>
        <v/>
      </c>
      <c r="C189" s="35">
        <f>IFERROR(INDEX('Fund Research'!$B$6:$B$505,MATCH(184,'Fund Research'!$W$6:$W$505,0)),"")</f>
        <v/>
      </c>
      <c r="D189" s="35">
        <f>IFERROR(INDEX('Fund Research'!$C$6:$C$505,MATCH(184,'Fund Research'!$W$6:$W$505,0)),"")</f>
        <v/>
      </c>
      <c r="E189" s="36">
        <f>IFERROR(INDEX('Fund Research'!$G$6:$G$505,MATCH(184,'Fund Research'!$W$6:$W$505,0)),"")</f>
        <v/>
      </c>
      <c r="F189" s="36">
        <f>IFERROR(INDEX('Fund Research'!$H$6:$H$505,MATCH(184,'Fund Research'!$W$6:$W$505,0)),"")</f>
        <v/>
      </c>
      <c r="G189" s="36">
        <f>IFERROR(INDEX('Fund Research'!$I$6:$I$505,MATCH(184,'Fund Research'!$W$6:$W$505,0)),"")</f>
        <v/>
      </c>
      <c r="H189" s="37">
        <f>IFERROR(INDEX('Fund Research'!$J$6:$J$505,MATCH(184,'Fund Research'!$W$6:$W$505,0)),"")</f>
        <v/>
      </c>
      <c r="I189" s="40">
        <f>IFERROR(INDEX('Fund Research'!$L$6:$L$505,MATCH(184,'Fund Research'!$W$6:$W$505,0)),"")</f>
        <v/>
      </c>
      <c r="J189" s="37">
        <f>IFERROR(INDEX('Fund Research'!$N$6:$N$505,MATCH(184,'Fund Research'!$W$6:$W$505,0)),"")</f>
        <v/>
      </c>
      <c r="K189" s="37">
        <f>IFERROR(INDEX('Fund Research'!$P$6:$P$505,MATCH(184,'Fund Research'!$W$6:$W$505,0)),"")</f>
        <v/>
      </c>
      <c r="L189" s="35">
        <f>IFERROR(INDEX('Fund Research'!$S$6:$S$505,MATCH(184,'Fund Research'!$W$6:$W$505,0)),"")</f>
        <v/>
      </c>
      <c r="M189" s="35">
        <f>IFERROR(INDEX('Fund Research'!$T$6:$T$505,MATCH(184,'Fund Research'!$W$6:$W$505,0)),"")</f>
        <v/>
      </c>
    </row>
    <row r="190" ht="15" customHeight="1">
      <c r="A190" s="34">
        <f>IFERROR(IF(INDEX('Fund Research'!$B$6:$B$505,MATCH(185,'Fund Research'!$W$6:$W$505,0))="","",185),"")</f>
        <v/>
      </c>
      <c r="B190" s="35">
        <f>IFERROR(INDEX('Fund Research'!$A$6:$A$505,MATCH(185,'Fund Research'!$W$6:$W$505,0)),"")</f>
        <v/>
      </c>
      <c r="C190" s="35">
        <f>IFERROR(INDEX('Fund Research'!$B$6:$B$505,MATCH(185,'Fund Research'!$W$6:$W$505,0)),"")</f>
        <v/>
      </c>
      <c r="D190" s="35">
        <f>IFERROR(INDEX('Fund Research'!$C$6:$C$505,MATCH(185,'Fund Research'!$W$6:$W$505,0)),"")</f>
        <v/>
      </c>
      <c r="E190" s="36">
        <f>IFERROR(INDEX('Fund Research'!$G$6:$G$505,MATCH(185,'Fund Research'!$W$6:$W$505,0)),"")</f>
        <v/>
      </c>
      <c r="F190" s="36">
        <f>IFERROR(INDEX('Fund Research'!$H$6:$H$505,MATCH(185,'Fund Research'!$W$6:$W$505,0)),"")</f>
        <v/>
      </c>
      <c r="G190" s="36">
        <f>IFERROR(INDEX('Fund Research'!$I$6:$I$505,MATCH(185,'Fund Research'!$W$6:$W$505,0)),"")</f>
        <v/>
      </c>
      <c r="H190" s="37">
        <f>IFERROR(INDEX('Fund Research'!$J$6:$J$505,MATCH(185,'Fund Research'!$W$6:$W$505,0)),"")</f>
        <v/>
      </c>
      <c r="I190" s="40">
        <f>IFERROR(INDEX('Fund Research'!$L$6:$L$505,MATCH(185,'Fund Research'!$W$6:$W$505,0)),"")</f>
        <v/>
      </c>
      <c r="J190" s="37">
        <f>IFERROR(INDEX('Fund Research'!$N$6:$N$505,MATCH(185,'Fund Research'!$W$6:$W$505,0)),"")</f>
        <v/>
      </c>
      <c r="K190" s="37">
        <f>IFERROR(INDEX('Fund Research'!$P$6:$P$505,MATCH(185,'Fund Research'!$W$6:$W$505,0)),"")</f>
        <v/>
      </c>
      <c r="L190" s="35">
        <f>IFERROR(INDEX('Fund Research'!$S$6:$S$505,MATCH(185,'Fund Research'!$W$6:$W$505,0)),"")</f>
        <v/>
      </c>
      <c r="M190" s="35">
        <f>IFERROR(INDEX('Fund Research'!$T$6:$T$505,MATCH(185,'Fund Research'!$W$6:$W$505,0)),"")</f>
        <v/>
      </c>
    </row>
    <row r="191" ht="15" customHeight="1">
      <c r="A191" s="34">
        <f>IFERROR(IF(INDEX('Fund Research'!$B$6:$B$505,MATCH(186,'Fund Research'!$W$6:$W$505,0))="","",186),"")</f>
        <v/>
      </c>
      <c r="B191" s="35">
        <f>IFERROR(INDEX('Fund Research'!$A$6:$A$505,MATCH(186,'Fund Research'!$W$6:$W$505,0)),"")</f>
        <v/>
      </c>
      <c r="C191" s="35">
        <f>IFERROR(INDEX('Fund Research'!$B$6:$B$505,MATCH(186,'Fund Research'!$W$6:$W$505,0)),"")</f>
        <v/>
      </c>
      <c r="D191" s="35">
        <f>IFERROR(INDEX('Fund Research'!$C$6:$C$505,MATCH(186,'Fund Research'!$W$6:$W$505,0)),"")</f>
        <v/>
      </c>
      <c r="E191" s="36">
        <f>IFERROR(INDEX('Fund Research'!$G$6:$G$505,MATCH(186,'Fund Research'!$W$6:$W$505,0)),"")</f>
        <v/>
      </c>
      <c r="F191" s="36">
        <f>IFERROR(INDEX('Fund Research'!$H$6:$H$505,MATCH(186,'Fund Research'!$W$6:$W$505,0)),"")</f>
        <v/>
      </c>
      <c r="G191" s="36">
        <f>IFERROR(INDEX('Fund Research'!$I$6:$I$505,MATCH(186,'Fund Research'!$W$6:$W$505,0)),"")</f>
        <v/>
      </c>
      <c r="H191" s="37">
        <f>IFERROR(INDEX('Fund Research'!$J$6:$J$505,MATCH(186,'Fund Research'!$W$6:$W$505,0)),"")</f>
        <v/>
      </c>
      <c r="I191" s="40">
        <f>IFERROR(INDEX('Fund Research'!$L$6:$L$505,MATCH(186,'Fund Research'!$W$6:$W$505,0)),"")</f>
        <v/>
      </c>
      <c r="J191" s="37">
        <f>IFERROR(INDEX('Fund Research'!$N$6:$N$505,MATCH(186,'Fund Research'!$W$6:$W$505,0)),"")</f>
        <v/>
      </c>
      <c r="K191" s="37">
        <f>IFERROR(INDEX('Fund Research'!$P$6:$P$505,MATCH(186,'Fund Research'!$W$6:$W$505,0)),"")</f>
        <v/>
      </c>
      <c r="L191" s="35">
        <f>IFERROR(INDEX('Fund Research'!$S$6:$S$505,MATCH(186,'Fund Research'!$W$6:$W$505,0)),"")</f>
        <v/>
      </c>
      <c r="M191" s="35">
        <f>IFERROR(INDEX('Fund Research'!$T$6:$T$505,MATCH(186,'Fund Research'!$W$6:$W$505,0)),"")</f>
        <v/>
      </c>
    </row>
    <row r="192" ht="15" customHeight="1">
      <c r="A192" s="34">
        <f>IFERROR(IF(INDEX('Fund Research'!$B$6:$B$505,MATCH(187,'Fund Research'!$W$6:$W$505,0))="","",187),"")</f>
        <v/>
      </c>
      <c r="B192" s="35">
        <f>IFERROR(INDEX('Fund Research'!$A$6:$A$505,MATCH(187,'Fund Research'!$W$6:$W$505,0)),"")</f>
        <v/>
      </c>
      <c r="C192" s="35">
        <f>IFERROR(INDEX('Fund Research'!$B$6:$B$505,MATCH(187,'Fund Research'!$W$6:$W$505,0)),"")</f>
        <v/>
      </c>
      <c r="D192" s="35">
        <f>IFERROR(INDEX('Fund Research'!$C$6:$C$505,MATCH(187,'Fund Research'!$W$6:$W$505,0)),"")</f>
        <v/>
      </c>
      <c r="E192" s="36">
        <f>IFERROR(INDEX('Fund Research'!$G$6:$G$505,MATCH(187,'Fund Research'!$W$6:$W$505,0)),"")</f>
        <v/>
      </c>
      <c r="F192" s="36">
        <f>IFERROR(INDEX('Fund Research'!$H$6:$H$505,MATCH(187,'Fund Research'!$W$6:$W$505,0)),"")</f>
        <v/>
      </c>
      <c r="G192" s="36">
        <f>IFERROR(INDEX('Fund Research'!$I$6:$I$505,MATCH(187,'Fund Research'!$W$6:$W$505,0)),"")</f>
        <v/>
      </c>
      <c r="H192" s="37">
        <f>IFERROR(INDEX('Fund Research'!$J$6:$J$505,MATCH(187,'Fund Research'!$W$6:$W$505,0)),"")</f>
        <v/>
      </c>
      <c r="I192" s="40">
        <f>IFERROR(INDEX('Fund Research'!$L$6:$L$505,MATCH(187,'Fund Research'!$W$6:$W$505,0)),"")</f>
        <v/>
      </c>
      <c r="J192" s="37">
        <f>IFERROR(INDEX('Fund Research'!$N$6:$N$505,MATCH(187,'Fund Research'!$W$6:$W$505,0)),"")</f>
        <v/>
      </c>
      <c r="K192" s="37">
        <f>IFERROR(INDEX('Fund Research'!$P$6:$P$505,MATCH(187,'Fund Research'!$W$6:$W$505,0)),"")</f>
        <v/>
      </c>
      <c r="L192" s="35">
        <f>IFERROR(INDEX('Fund Research'!$S$6:$S$505,MATCH(187,'Fund Research'!$W$6:$W$505,0)),"")</f>
        <v/>
      </c>
      <c r="M192" s="35">
        <f>IFERROR(INDEX('Fund Research'!$T$6:$T$505,MATCH(187,'Fund Research'!$W$6:$W$505,0)),"")</f>
        <v/>
      </c>
    </row>
    <row r="193" ht="15" customHeight="1">
      <c r="A193" s="34">
        <f>IFERROR(IF(INDEX('Fund Research'!$B$6:$B$505,MATCH(188,'Fund Research'!$W$6:$W$505,0))="","",188),"")</f>
        <v/>
      </c>
      <c r="B193" s="35">
        <f>IFERROR(INDEX('Fund Research'!$A$6:$A$505,MATCH(188,'Fund Research'!$W$6:$W$505,0)),"")</f>
        <v/>
      </c>
      <c r="C193" s="35">
        <f>IFERROR(INDEX('Fund Research'!$B$6:$B$505,MATCH(188,'Fund Research'!$W$6:$W$505,0)),"")</f>
        <v/>
      </c>
      <c r="D193" s="35">
        <f>IFERROR(INDEX('Fund Research'!$C$6:$C$505,MATCH(188,'Fund Research'!$W$6:$W$505,0)),"")</f>
        <v/>
      </c>
      <c r="E193" s="36">
        <f>IFERROR(INDEX('Fund Research'!$G$6:$G$505,MATCH(188,'Fund Research'!$W$6:$W$505,0)),"")</f>
        <v/>
      </c>
      <c r="F193" s="36">
        <f>IFERROR(INDEX('Fund Research'!$H$6:$H$505,MATCH(188,'Fund Research'!$W$6:$W$505,0)),"")</f>
        <v/>
      </c>
      <c r="G193" s="36">
        <f>IFERROR(INDEX('Fund Research'!$I$6:$I$505,MATCH(188,'Fund Research'!$W$6:$W$505,0)),"")</f>
        <v/>
      </c>
      <c r="H193" s="37">
        <f>IFERROR(INDEX('Fund Research'!$J$6:$J$505,MATCH(188,'Fund Research'!$W$6:$W$505,0)),"")</f>
        <v/>
      </c>
      <c r="I193" s="40">
        <f>IFERROR(INDEX('Fund Research'!$L$6:$L$505,MATCH(188,'Fund Research'!$W$6:$W$505,0)),"")</f>
        <v/>
      </c>
      <c r="J193" s="37">
        <f>IFERROR(INDEX('Fund Research'!$N$6:$N$505,MATCH(188,'Fund Research'!$W$6:$W$505,0)),"")</f>
        <v/>
      </c>
      <c r="K193" s="37">
        <f>IFERROR(INDEX('Fund Research'!$P$6:$P$505,MATCH(188,'Fund Research'!$W$6:$W$505,0)),"")</f>
        <v/>
      </c>
      <c r="L193" s="35">
        <f>IFERROR(INDEX('Fund Research'!$S$6:$S$505,MATCH(188,'Fund Research'!$W$6:$W$505,0)),"")</f>
        <v/>
      </c>
      <c r="M193" s="35">
        <f>IFERROR(INDEX('Fund Research'!$T$6:$T$505,MATCH(188,'Fund Research'!$W$6:$W$505,0)),"")</f>
        <v/>
      </c>
    </row>
    <row r="194" ht="15" customHeight="1">
      <c r="A194" s="34">
        <f>IFERROR(IF(INDEX('Fund Research'!$B$6:$B$505,MATCH(189,'Fund Research'!$W$6:$W$505,0))="","",189),"")</f>
        <v/>
      </c>
      <c r="B194" s="35">
        <f>IFERROR(INDEX('Fund Research'!$A$6:$A$505,MATCH(189,'Fund Research'!$W$6:$W$505,0)),"")</f>
        <v/>
      </c>
      <c r="C194" s="35">
        <f>IFERROR(INDEX('Fund Research'!$B$6:$B$505,MATCH(189,'Fund Research'!$W$6:$W$505,0)),"")</f>
        <v/>
      </c>
      <c r="D194" s="35">
        <f>IFERROR(INDEX('Fund Research'!$C$6:$C$505,MATCH(189,'Fund Research'!$W$6:$W$505,0)),"")</f>
        <v/>
      </c>
      <c r="E194" s="36">
        <f>IFERROR(INDEX('Fund Research'!$G$6:$G$505,MATCH(189,'Fund Research'!$W$6:$W$505,0)),"")</f>
        <v/>
      </c>
      <c r="F194" s="36">
        <f>IFERROR(INDEX('Fund Research'!$H$6:$H$505,MATCH(189,'Fund Research'!$W$6:$W$505,0)),"")</f>
        <v/>
      </c>
      <c r="G194" s="36">
        <f>IFERROR(INDEX('Fund Research'!$I$6:$I$505,MATCH(189,'Fund Research'!$W$6:$W$505,0)),"")</f>
        <v/>
      </c>
      <c r="H194" s="37">
        <f>IFERROR(INDEX('Fund Research'!$J$6:$J$505,MATCH(189,'Fund Research'!$W$6:$W$505,0)),"")</f>
        <v/>
      </c>
      <c r="I194" s="40">
        <f>IFERROR(INDEX('Fund Research'!$L$6:$L$505,MATCH(189,'Fund Research'!$W$6:$W$505,0)),"")</f>
        <v/>
      </c>
      <c r="J194" s="37">
        <f>IFERROR(INDEX('Fund Research'!$N$6:$N$505,MATCH(189,'Fund Research'!$W$6:$W$505,0)),"")</f>
        <v/>
      </c>
      <c r="K194" s="37">
        <f>IFERROR(INDEX('Fund Research'!$P$6:$P$505,MATCH(189,'Fund Research'!$W$6:$W$505,0)),"")</f>
        <v/>
      </c>
      <c r="L194" s="35">
        <f>IFERROR(INDEX('Fund Research'!$S$6:$S$505,MATCH(189,'Fund Research'!$W$6:$W$505,0)),"")</f>
        <v/>
      </c>
      <c r="M194" s="35">
        <f>IFERROR(INDEX('Fund Research'!$T$6:$T$505,MATCH(189,'Fund Research'!$W$6:$W$505,0)),"")</f>
        <v/>
      </c>
    </row>
    <row r="195" ht="15" customHeight="1">
      <c r="A195" s="34">
        <f>IFERROR(IF(INDEX('Fund Research'!$B$6:$B$505,MATCH(190,'Fund Research'!$W$6:$W$505,0))="","",190),"")</f>
        <v/>
      </c>
      <c r="B195" s="35">
        <f>IFERROR(INDEX('Fund Research'!$A$6:$A$505,MATCH(190,'Fund Research'!$W$6:$W$505,0)),"")</f>
        <v/>
      </c>
      <c r="C195" s="35">
        <f>IFERROR(INDEX('Fund Research'!$B$6:$B$505,MATCH(190,'Fund Research'!$W$6:$W$505,0)),"")</f>
        <v/>
      </c>
      <c r="D195" s="35">
        <f>IFERROR(INDEX('Fund Research'!$C$6:$C$505,MATCH(190,'Fund Research'!$W$6:$W$505,0)),"")</f>
        <v/>
      </c>
      <c r="E195" s="36">
        <f>IFERROR(INDEX('Fund Research'!$G$6:$G$505,MATCH(190,'Fund Research'!$W$6:$W$505,0)),"")</f>
        <v/>
      </c>
      <c r="F195" s="36">
        <f>IFERROR(INDEX('Fund Research'!$H$6:$H$505,MATCH(190,'Fund Research'!$W$6:$W$505,0)),"")</f>
        <v/>
      </c>
      <c r="G195" s="36">
        <f>IFERROR(INDEX('Fund Research'!$I$6:$I$505,MATCH(190,'Fund Research'!$W$6:$W$505,0)),"")</f>
        <v/>
      </c>
      <c r="H195" s="37">
        <f>IFERROR(INDEX('Fund Research'!$J$6:$J$505,MATCH(190,'Fund Research'!$W$6:$W$505,0)),"")</f>
        <v/>
      </c>
      <c r="I195" s="40">
        <f>IFERROR(INDEX('Fund Research'!$L$6:$L$505,MATCH(190,'Fund Research'!$W$6:$W$505,0)),"")</f>
        <v/>
      </c>
      <c r="J195" s="37">
        <f>IFERROR(INDEX('Fund Research'!$N$6:$N$505,MATCH(190,'Fund Research'!$W$6:$W$505,0)),"")</f>
        <v/>
      </c>
      <c r="K195" s="37">
        <f>IFERROR(INDEX('Fund Research'!$P$6:$P$505,MATCH(190,'Fund Research'!$W$6:$W$505,0)),"")</f>
        <v/>
      </c>
      <c r="L195" s="35">
        <f>IFERROR(INDEX('Fund Research'!$S$6:$S$505,MATCH(190,'Fund Research'!$W$6:$W$505,0)),"")</f>
        <v/>
      </c>
      <c r="M195" s="35">
        <f>IFERROR(INDEX('Fund Research'!$T$6:$T$505,MATCH(190,'Fund Research'!$W$6:$W$505,0)),"")</f>
        <v/>
      </c>
    </row>
    <row r="196" ht="15" customHeight="1">
      <c r="A196" s="34">
        <f>IFERROR(IF(INDEX('Fund Research'!$B$6:$B$505,MATCH(191,'Fund Research'!$W$6:$W$505,0))="","",191),"")</f>
        <v/>
      </c>
      <c r="B196" s="35">
        <f>IFERROR(INDEX('Fund Research'!$A$6:$A$505,MATCH(191,'Fund Research'!$W$6:$W$505,0)),"")</f>
        <v/>
      </c>
      <c r="C196" s="35">
        <f>IFERROR(INDEX('Fund Research'!$B$6:$B$505,MATCH(191,'Fund Research'!$W$6:$W$505,0)),"")</f>
        <v/>
      </c>
      <c r="D196" s="35">
        <f>IFERROR(INDEX('Fund Research'!$C$6:$C$505,MATCH(191,'Fund Research'!$W$6:$W$505,0)),"")</f>
        <v/>
      </c>
      <c r="E196" s="36">
        <f>IFERROR(INDEX('Fund Research'!$G$6:$G$505,MATCH(191,'Fund Research'!$W$6:$W$505,0)),"")</f>
        <v/>
      </c>
      <c r="F196" s="36">
        <f>IFERROR(INDEX('Fund Research'!$H$6:$H$505,MATCH(191,'Fund Research'!$W$6:$W$505,0)),"")</f>
        <v/>
      </c>
      <c r="G196" s="36">
        <f>IFERROR(INDEX('Fund Research'!$I$6:$I$505,MATCH(191,'Fund Research'!$W$6:$W$505,0)),"")</f>
        <v/>
      </c>
      <c r="H196" s="37">
        <f>IFERROR(INDEX('Fund Research'!$J$6:$J$505,MATCH(191,'Fund Research'!$W$6:$W$505,0)),"")</f>
        <v/>
      </c>
      <c r="I196" s="40">
        <f>IFERROR(INDEX('Fund Research'!$L$6:$L$505,MATCH(191,'Fund Research'!$W$6:$W$505,0)),"")</f>
        <v/>
      </c>
      <c r="J196" s="37">
        <f>IFERROR(INDEX('Fund Research'!$N$6:$N$505,MATCH(191,'Fund Research'!$W$6:$W$505,0)),"")</f>
        <v/>
      </c>
      <c r="K196" s="37">
        <f>IFERROR(INDEX('Fund Research'!$P$6:$P$505,MATCH(191,'Fund Research'!$W$6:$W$505,0)),"")</f>
        <v/>
      </c>
      <c r="L196" s="35">
        <f>IFERROR(INDEX('Fund Research'!$S$6:$S$505,MATCH(191,'Fund Research'!$W$6:$W$505,0)),"")</f>
        <v/>
      </c>
      <c r="M196" s="35">
        <f>IFERROR(INDEX('Fund Research'!$T$6:$T$505,MATCH(191,'Fund Research'!$W$6:$W$505,0)),"")</f>
        <v/>
      </c>
    </row>
    <row r="197" ht="15" customHeight="1">
      <c r="A197" s="34">
        <f>IFERROR(IF(INDEX('Fund Research'!$B$6:$B$505,MATCH(192,'Fund Research'!$W$6:$W$505,0))="","",192),"")</f>
        <v/>
      </c>
      <c r="B197" s="35">
        <f>IFERROR(INDEX('Fund Research'!$A$6:$A$505,MATCH(192,'Fund Research'!$W$6:$W$505,0)),"")</f>
        <v/>
      </c>
      <c r="C197" s="35">
        <f>IFERROR(INDEX('Fund Research'!$B$6:$B$505,MATCH(192,'Fund Research'!$W$6:$W$505,0)),"")</f>
        <v/>
      </c>
      <c r="D197" s="35">
        <f>IFERROR(INDEX('Fund Research'!$C$6:$C$505,MATCH(192,'Fund Research'!$W$6:$W$505,0)),"")</f>
        <v/>
      </c>
      <c r="E197" s="36">
        <f>IFERROR(INDEX('Fund Research'!$G$6:$G$505,MATCH(192,'Fund Research'!$W$6:$W$505,0)),"")</f>
        <v/>
      </c>
      <c r="F197" s="36">
        <f>IFERROR(INDEX('Fund Research'!$H$6:$H$505,MATCH(192,'Fund Research'!$W$6:$W$505,0)),"")</f>
        <v/>
      </c>
      <c r="G197" s="36">
        <f>IFERROR(INDEX('Fund Research'!$I$6:$I$505,MATCH(192,'Fund Research'!$W$6:$W$505,0)),"")</f>
        <v/>
      </c>
      <c r="H197" s="37">
        <f>IFERROR(INDEX('Fund Research'!$J$6:$J$505,MATCH(192,'Fund Research'!$W$6:$W$505,0)),"")</f>
        <v/>
      </c>
      <c r="I197" s="40">
        <f>IFERROR(INDEX('Fund Research'!$L$6:$L$505,MATCH(192,'Fund Research'!$W$6:$W$505,0)),"")</f>
        <v/>
      </c>
      <c r="J197" s="37">
        <f>IFERROR(INDEX('Fund Research'!$N$6:$N$505,MATCH(192,'Fund Research'!$W$6:$W$505,0)),"")</f>
        <v/>
      </c>
      <c r="K197" s="37">
        <f>IFERROR(INDEX('Fund Research'!$P$6:$P$505,MATCH(192,'Fund Research'!$W$6:$W$505,0)),"")</f>
        <v/>
      </c>
      <c r="L197" s="35">
        <f>IFERROR(INDEX('Fund Research'!$S$6:$S$505,MATCH(192,'Fund Research'!$W$6:$W$505,0)),"")</f>
        <v/>
      </c>
      <c r="M197" s="35">
        <f>IFERROR(INDEX('Fund Research'!$T$6:$T$505,MATCH(192,'Fund Research'!$W$6:$W$505,0)),"")</f>
        <v/>
      </c>
    </row>
    <row r="198" ht="15" customHeight="1">
      <c r="A198" s="34">
        <f>IFERROR(IF(INDEX('Fund Research'!$B$6:$B$505,MATCH(193,'Fund Research'!$W$6:$W$505,0))="","",193),"")</f>
        <v/>
      </c>
      <c r="B198" s="35">
        <f>IFERROR(INDEX('Fund Research'!$A$6:$A$505,MATCH(193,'Fund Research'!$W$6:$W$505,0)),"")</f>
        <v/>
      </c>
      <c r="C198" s="35">
        <f>IFERROR(INDEX('Fund Research'!$B$6:$B$505,MATCH(193,'Fund Research'!$W$6:$W$505,0)),"")</f>
        <v/>
      </c>
      <c r="D198" s="35">
        <f>IFERROR(INDEX('Fund Research'!$C$6:$C$505,MATCH(193,'Fund Research'!$W$6:$W$505,0)),"")</f>
        <v/>
      </c>
      <c r="E198" s="36">
        <f>IFERROR(INDEX('Fund Research'!$G$6:$G$505,MATCH(193,'Fund Research'!$W$6:$W$505,0)),"")</f>
        <v/>
      </c>
      <c r="F198" s="36">
        <f>IFERROR(INDEX('Fund Research'!$H$6:$H$505,MATCH(193,'Fund Research'!$W$6:$W$505,0)),"")</f>
        <v/>
      </c>
      <c r="G198" s="36">
        <f>IFERROR(INDEX('Fund Research'!$I$6:$I$505,MATCH(193,'Fund Research'!$W$6:$W$505,0)),"")</f>
        <v/>
      </c>
      <c r="H198" s="37">
        <f>IFERROR(INDEX('Fund Research'!$J$6:$J$505,MATCH(193,'Fund Research'!$W$6:$W$505,0)),"")</f>
        <v/>
      </c>
      <c r="I198" s="40">
        <f>IFERROR(INDEX('Fund Research'!$L$6:$L$505,MATCH(193,'Fund Research'!$W$6:$W$505,0)),"")</f>
        <v/>
      </c>
      <c r="J198" s="37">
        <f>IFERROR(INDEX('Fund Research'!$N$6:$N$505,MATCH(193,'Fund Research'!$W$6:$W$505,0)),"")</f>
        <v/>
      </c>
      <c r="K198" s="37">
        <f>IFERROR(INDEX('Fund Research'!$P$6:$P$505,MATCH(193,'Fund Research'!$W$6:$W$505,0)),"")</f>
        <v/>
      </c>
      <c r="L198" s="35">
        <f>IFERROR(INDEX('Fund Research'!$S$6:$S$505,MATCH(193,'Fund Research'!$W$6:$W$505,0)),"")</f>
        <v/>
      </c>
      <c r="M198" s="35">
        <f>IFERROR(INDEX('Fund Research'!$T$6:$T$505,MATCH(193,'Fund Research'!$W$6:$W$505,0)),"")</f>
        <v/>
      </c>
    </row>
    <row r="199" ht="15" customHeight="1">
      <c r="A199" s="34">
        <f>IFERROR(IF(INDEX('Fund Research'!$B$6:$B$505,MATCH(194,'Fund Research'!$W$6:$W$505,0))="","",194),"")</f>
        <v/>
      </c>
      <c r="B199" s="35">
        <f>IFERROR(INDEX('Fund Research'!$A$6:$A$505,MATCH(194,'Fund Research'!$W$6:$W$505,0)),"")</f>
        <v/>
      </c>
      <c r="C199" s="35">
        <f>IFERROR(INDEX('Fund Research'!$B$6:$B$505,MATCH(194,'Fund Research'!$W$6:$W$505,0)),"")</f>
        <v/>
      </c>
      <c r="D199" s="35">
        <f>IFERROR(INDEX('Fund Research'!$C$6:$C$505,MATCH(194,'Fund Research'!$W$6:$W$505,0)),"")</f>
        <v/>
      </c>
      <c r="E199" s="36">
        <f>IFERROR(INDEX('Fund Research'!$G$6:$G$505,MATCH(194,'Fund Research'!$W$6:$W$505,0)),"")</f>
        <v/>
      </c>
      <c r="F199" s="36">
        <f>IFERROR(INDEX('Fund Research'!$H$6:$H$505,MATCH(194,'Fund Research'!$W$6:$W$505,0)),"")</f>
        <v/>
      </c>
      <c r="G199" s="36">
        <f>IFERROR(INDEX('Fund Research'!$I$6:$I$505,MATCH(194,'Fund Research'!$W$6:$W$505,0)),"")</f>
        <v/>
      </c>
      <c r="H199" s="37">
        <f>IFERROR(INDEX('Fund Research'!$J$6:$J$505,MATCH(194,'Fund Research'!$W$6:$W$505,0)),"")</f>
        <v/>
      </c>
      <c r="I199" s="40">
        <f>IFERROR(INDEX('Fund Research'!$L$6:$L$505,MATCH(194,'Fund Research'!$W$6:$W$505,0)),"")</f>
        <v/>
      </c>
      <c r="J199" s="37">
        <f>IFERROR(INDEX('Fund Research'!$N$6:$N$505,MATCH(194,'Fund Research'!$W$6:$W$505,0)),"")</f>
        <v/>
      </c>
      <c r="K199" s="37">
        <f>IFERROR(INDEX('Fund Research'!$P$6:$P$505,MATCH(194,'Fund Research'!$W$6:$W$505,0)),"")</f>
        <v/>
      </c>
      <c r="L199" s="35">
        <f>IFERROR(INDEX('Fund Research'!$S$6:$S$505,MATCH(194,'Fund Research'!$W$6:$W$505,0)),"")</f>
        <v/>
      </c>
      <c r="M199" s="35">
        <f>IFERROR(INDEX('Fund Research'!$T$6:$T$505,MATCH(194,'Fund Research'!$W$6:$W$505,0)),"")</f>
        <v/>
      </c>
    </row>
    <row r="200" ht="15" customHeight="1">
      <c r="A200" s="34">
        <f>IFERROR(IF(INDEX('Fund Research'!$B$6:$B$505,MATCH(195,'Fund Research'!$W$6:$W$505,0))="","",195),"")</f>
        <v/>
      </c>
      <c r="B200" s="35">
        <f>IFERROR(INDEX('Fund Research'!$A$6:$A$505,MATCH(195,'Fund Research'!$W$6:$W$505,0)),"")</f>
        <v/>
      </c>
      <c r="C200" s="35">
        <f>IFERROR(INDEX('Fund Research'!$B$6:$B$505,MATCH(195,'Fund Research'!$W$6:$W$505,0)),"")</f>
        <v/>
      </c>
      <c r="D200" s="35">
        <f>IFERROR(INDEX('Fund Research'!$C$6:$C$505,MATCH(195,'Fund Research'!$W$6:$W$505,0)),"")</f>
        <v/>
      </c>
      <c r="E200" s="36">
        <f>IFERROR(INDEX('Fund Research'!$G$6:$G$505,MATCH(195,'Fund Research'!$W$6:$W$505,0)),"")</f>
        <v/>
      </c>
      <c r="F200" s="36">
        <f>IFERROR(INDEX('Fund Research'!$H$6:$H$505,MATCH(195,'Fund Research'!$W$6:$W$505,0)),"")</f>
        <v/>
      </c>
      <c r="G200" s="36">
        <f>IFERROR(INDEX('Fund Research'!$I$6:$I$505,MATCH(195,'Fund Research'!$W$6:$W$505,0)),"")</f>
        <v/>
      </c>
      <c r="H200" s="37">
        <f>IFERROR(INDEX('Fund Research'!$J$6:$J$505,MATCH(195,'Fund Research'!$W$6:$W$505,0)),"")</f>
        <v/>
      </c>
      <c r="I200" s="40">
        <f>IFERROR(INDEX('Fund Research'!$L$6:$L$505,MATCH(195,'Fund Research'!$W$6:$W$505,0)),"")</f>
        <v/>
      </c>
      <c r="J200" s="37">
        <f>IFERROR(INDEX('Fund Research'!$N$6:$N$505,MATCH(195,'Fund Research'!$W$6:$W$505,0)),"")</f>
        <v/>
      </c>
      <c r="K200" s="37">
        <f>IFERROR(INDEX('Fund Research'!$P$6:$P$505,MATCH(195,'Fund Research'!$W$6:$W$505,0)),"")</f>
        <v/>
      </c>
      <c r="L200" s="35">
        <f>IFERROR(INDEX('Fund Research'!$S$6:$S$505,MATCH(195,'Fund Research'!$W$6:$W$505,0)),"")</f>
        <v/>
      </c>
      <c r="M200" s="35">
        <f>IFERROR(INDEX('Fund Research'!$T$6:$T$505,MATCH(195,'Fund Research'!$W$6:$W$505,0)),"")</f>
        <v/>
      </c>
    </row>
    <row r="201" ht="15" customHeight="1">
      <c r="A201" s="34">
        <f>IFERROR(IF(INDEX('Fund Research'!$B$6:$B$505,MATCH(196,'Fund Research'!$W$6:$W$505,0))="","",196),"")</f>
        <v/>
      </c>
      <c r="B201" s="35">
        <f>IFERROR(INDEX('Fund Research'!$A$6:$A$505,MATCH(196,'Fund Research'!$W$6:$W$505,0)),"")</f>
        <v/>
      </c>
      <c r="C201" s="35">
        <f>IFERROR(INDEX('Fund Research'!$B$6:$B$505,MATCH(196,'Fund Research'!$W$6:$W$505,0)),"")</f>
        <v/>
      </c>
      <c r="D201" s="35">
        <f>IFERROR(INDEX('Fund Research'!$C$6:$C$505,MATCH(196,'Fund Research'!$W$6:$W$505,0)),"")</f>
        <v/>
      </c>
      <c r="E201" s="36">
        <f>IFERROR(INDEX('Fund Research'!$G$6:$G$505,MATCH(196,'Fund Research'!$W$6:$W$505,0)),"")</f>
        <v/>
      </c>
      <c r="F201" s="36">
        <f>IFERROR(INDEX('Fund Research'!$H$6:$H$505,MATCH(196,'Fund Research'!$W$6:$W$505,0)),"")</f>
        <v/>
      </c>
      <c r="G201" s="36">
        <f>IFERROR(INDEX('Fund Research'!$I$6:$I$505,MATCH(196,'Fund Research'!$W$6:$W$505,0)),"")</f>
        <v/>
      </c>
      <c r="H201" s="37">
        <f>IFERROR(INDEX('Fund Research'!$J$6:$J$505,MATCH(196,'Fund Research'!$W$6:$W$505,0)),"")</f>
        <v/>
      </c>
      <c r="I201" s="40">
        <f>IFERROR(INDEX('Fund Research'!$L$6:$L$505,MATCH(196,'Fund Research'!$W$6:$W$505,0)),"")</f>
        <v/>
      </c>
      <c r="J201" s="37">
        <f>IFERROR(INDEX('Fund Research'!$N$6:$N$505,MATCH(196,'Fund Research'!$W$6:$W$505,0)),"")</f>
        <v/>
      </c>
      <c r="K201" s="37">
        <f>IFERROR(INDEX('Fund Research'!$P$6:$P$505,MATCH(196,'Fund Research'!$W$6:$W$505,0)),"")</f>
        <v/>
      </c>
      <c r="L201" s="35">
        <f>IFERROR(INDEX('Fund Research'!$S$6:$S$505,MATCH(196,'Fund Research'!$W$6:$W$505,0)),"")</f>
        <v/>
      </c>
      <c r="M201" s="35">
        <f>IFERROR(INDEX('Fund Research'!$T$6:$T$505,MATCH(196,'Fund Research'!$W$6:$W$505,0)),"")</f>
        <v/>
      </c>
    </row>
    <row r="202" ht="15" customHeight="1">
      <c r="A202" s="34">
        <f>IFERROR(IF(INDEX('Fund Research'!$B$6:$B$505,MATCH(197,'Fund Research'!$W$6:$W$505,0))="","",197),"")</f>
        <v/>
      </c>
      <c r="B202" s="35">
        <f>IFERROR(INDEX('Fund Research'!$A$6:$A$505,MATCH(197,'Fund Research'!$W$6:$W$505,0)),"")</f>
        <v/>
      </c>
      <c r="C202" s="35">
        <f>IFERROR(INDEX('Fund Research'!$B$6:$B$505,MATCH(197,'Fund Research'!$W$6:$W$505,0)),"")</f>
        <v/>
      </c>
      <c r="D202" s="35">
        <f>IFERROR(INDEX('Fund Research'!$C$6:$C$505,MATCH(197,'Fund Research'!$W$6:$W$505,0)),"")</f>
        <v/>
      </c>
      <c r="E202" s="36">
        <f>IFERROR(INDEX('Fund Research'!$G$6:$G$505,MATCH(197,'Fund Research'!$W$6:$W$505,0)),"")</f>
        <v/>
      </c>
      <c r="F202" s="36">
        <f>IFERROR(INDEX('Fund Research'!$H$6:$H$505,MATCH(197,'Fund Research'!$W$6:$W$505,0)),"")</f>
        <v/>
      </c>
      <c r="G202" s="36">
        <f>IFERROR(INDEX('Fund Research'!$I$6:$I$505,MATCH(197,'Fund Research'!$W$6:$W$505,0)),"")</f>
        <v/>
      </c>
      <c r="H202" s="37">
        <f>IFERROR(INDEX('Fund Research'!$J$6:$J$505,MATCH(197,'Fund Research'!$W$6:$W$505,0)),"")</f>
        <v/>
      </c>
      <c r="I202" s="40">
        <f>IFERROR(INDEX('Fund Research'!$L$6:$L$505,MATCH(197,'Fund Research'!$W$6:$W$505,0)),"")</f>
        <v/>
      </c>
      <c r="J202" s="37">
        <f>IFERROR(INDEX('Fund Research'!$N$6:$N$505,MATCH(197,'Fund Research'!$W$6:$W$505,0)),"")</f>
        <v/>
      </c>
      <c r="K202" s="37">
        <f>IFERROR(INDEX('Fund Research'!$P$6:$P$505,MATCH(197,'Fund Research'!$W$6:$W$505,0)),"")</f>
        <v/>
      </c>
      <c r="L202" s="35">
        <f>IFERROR(INDEX('Fund Research'!$S$6:$S$505,MATCH(197,'Fund Research'!$W$6:$W$505,0)),"")</f>
        <v/>
      </c>
      <c r="M202" s="35">
        <f>IFERROR(INDEX('Fund Research'!$T$6:$T$505,MATCH(197,'Fund Research'!$W$6:$W$505,0)),"")</f>
        <v/>
      </c>
    </row>
    <row r="203" ht="15" customHeight="1">
      <c r="A203" s="34">
        <f>IFERROR(IF(INDEX('Fund Research'!$B$6:$B$505,MATCH(198,'Fund Research'!$W$6:$W$505,0))="","",198),"")</f>
        <v/>
      </c>
      <c r="B203" s="35">
        <f>IFERROR(INDEX('Fund Research'!$A$6:$A$505,MATCH(198,'Fund Research'!$W$6:$W$505,0)),"")</f>
        <v/>
      </c>
      <c r="C203" s="35">
        <f>IFERROR(INDEX('Fund Research'!$B$6:$B$505,MATCH(198,'Fund Research'!$W$6:$W$505,0)),"")</f>
        <v/>
      </c>
      <c r="D203" s="35">
        <f>IFERROR(INDEX('Fund Research'!$C$6:$C$505,MATCH(198,'Fund Research'!$W$6:$W$505,0)),"")</f>
        <v/>
      </c>
      <c r="E203" s="36">
        <f>IFERROR(INDEX('Fund Research'!$G$6:$G$505,MATCH(198,'Fund Research'!$W$6:$W$505,0)),"")</f>
        <v/>
      </c>
      <c r="F203" s="36">
        <f>IFERROR(INDEX('Fund Research'!$H$6:$H$505,MATCH(198,'Fund Research'!$W$6:$W$505,0)),"")</f>
        <v/>
      </c>
      <c r="G203" s="36">
        <f>IFERROR(INDEX('Fund Research'!$I$6:$I$505,MATCH(198,'Fund Research'!$W$6:$W$505,0)),"")</f>
        <v/>
      </c>
      <c r="H203" s="37">
        <f>IFERROR(INDEX('Fund Research'!$J$6:$J$505,MATCH(198,'Fund Research'!$W$6:$W$505,0)),"")</f>
        <v/>
      </c>
      <c r="I203" s="40">
        <f>IFERROR(INDEX('Fund Research'!$L$6:$L$505,MATCH(198,'Fund Research'!$W$6:$W$505,0)),"")</f>
        <v/>
      </c>
      <c r="J203" s="37">
        <f>IFERROR(INDEX('Fund Research'!$N$6:$N$505,MATCH(198,'Fund Research'!$W$6:$W$505,0)),"")</f>
        <v/>
      </c>
      <c r="K203" s="37">
        <f>IFERROR(INDEX('Fund Research'!$P$6:$P$505,MATCH(198,'Fund Research'!$W$6:$W$505,0)),"")</f>
        <v/>
      </c>
      <c r="L203" s="35">
        <f>IFERROR(INDEX('Fund Research'!$S$6:$S$505,MATCH(198,'Fund Research'!$W$6:$W$505,0)),"")</f>
        <v/>
      </c>
      <c r="M203" s="35">
        <f>IFERROR(INDEX('Fund Research'!$T$6:$T$505,MATCH(198,'Fund Research'!$W$6:$W$505,0)),"")</f>
        <v/>
      </c>
    </row>
    <row r="204" ht="15" customHeight="1">
      <c r="A204" s="34">
        <f>IFERROR(IF(INDEX('Fund Research'!$B$6:$B$505,MATCH(199,'Fund Research'!$W$6:$W$505,0))="","",199),"")</f>
        <v/>
      </c>
      <c r="B204" s="35">
        <f>IFERROR(INDEX('Fund Research'!$A$6:$A$505,MATCH(199,'Fund Research'!$W$6:$W$505,0)),"")</f>
        <v/>
      </c>
      <c r="C204" s="35">
        <f>IFERROR(INDEX('Fund Research'!$B$6:$B$505,MATCH(199,'Fund Research'!$W$6:$W$505,0)),"")</f>
        <v/>
      </c>
      <c r="D204" s="35">
        <f>IFERROR(INDEX('Fund Research'!$C$6:$C$505,MATCH(199,'Fund Research'!$W$6:$W$505,0)),"")</f>
        <v/>
      </c>
      <c r="E204" s="36">
        <f>IFERROR(INDEX('Fund Research'!$G$6:$G$505,MATCH(199,'Fund Research'!$W$6:$W$505,0)),"")</f>
        <v/>
      </c>
      <c r="F204" s="36">
        <f>IFERROR(INDEX('Fund Research'!$H$6:$H$505,MATCH(199,'Fund Research'!$W$6:$W$505,0)),"")</f>
        <v/>
      </c>
      <c r="G204" s="36">
        <f>IFERROR(INDEX('Fund Research'!$I$6:$I$505,MATCH(199,'Fund Research'!$W$6:$W$505,0)),"")</f>
        <v/>
      </c>
      <c r="H204" s="37">
        <f>IFERROR(INDEX('Fund Research'!$J$6:$J$505,MATCH(199,'Fund Research'!$W$6:$W$505,0)),"")</f>
        <v/>
      </c>
      <c r="I204" s="40">
        <f>IFERROR(INDEX('Fund Research'!$L$6:$L$505,MATCH(199,'Fund Research'!$W$6:$W$505,0)),"")</f>
        <v/>
      </c>
      <c r="J204" s="37">
        <f>IFERROR(INDEX('Fund Research'!$N$6:$N$505,MATCH(199,'Fund Research'!$W$6:$W$505,0)),"")</f>
        <v/>
      </c>
      <c r="K204" s="37">
        <f>IFERROR(INDEX('Fund Research'!$P$6:$P$505,MATCH(199,'Fund Research'!$W$6:$W$505,0)),"")</f>
        <v/>
      </c>
      <c r="L204" s="35">
        <f>IFERROR(INDEX('Fund Research'!$S$6:$S$505,MATCH(199,'Fund Research'!$W$6:$W$505,0)),"")</f>
        <v/>
      </c>
      <c r="M204" s="35">
        <f>IFERROR(INDEX('Fund Research'!$T$6:$T$505,MATCH(199,'Fund Research'!$W$6:$W$505,0)),"")</f>
        <v/>
      </c>
    </row>
    <row r="205" ht="15" customHeight="1">
      <c r="A205" s="34">
        <f>IFERROR(IF(INDEX('Fund Research'!$B$6:$B$505,MATCH(200,'Fund Research'!$W$6:$W$505,0))="","",200),"")</f>
        <v/>
      </c>
      <c r="B205" s="35">
        <f>IFERROR(INDEX('Fund Research'!$A$6:$A$505,MATCH(200,'Fund Research'!$W$6:$W$505,0)),"")</f>
        <v/>
      </c>
      <c r="C205" s="35">
        <f>IFERROR(INDEX('Fund Research'!$B$6:$B$505,MATCH(200,'Fund Research'!$W$6:$W$505,0)),"")</f>
        <v/>
      </c>
      <c r="D205" s="35">
        <f>IFERROR(INDEX('Fund Research'!$C$6:$C$505,MATCH(200,'Fund Research'!$W$6:$W$505,0)),"")</f>
        <v/>
      </c>
      <c r="E205" s="36">
        <f>IFERROR(INDEX('Fund Research'!$G$6:$G$505,MATCH(200,'Fund Research'!$W$6:$W$505,0)),"")</f>
        <v/>
      </c>
      <c r="F205" s="36">
        <f>IFERROR(INDEX('Fund Research'!$H$6:$H$505,MATCH(200,'Fund Research'!$W$6:$W$505,0)),"")</f>
        <v/>
      </c>
      <c r="G205" s="36">
        <f>IFERROR(INDEX('Fund Research'!$I$6:$I$505,MATCH(200,'Fund Research'!$W$6:$W$505,0)),"")</f>
        <v/>
      </c>
      <c r="H205" s="37">
        <f>IFERROR(INDEX('Fund Research'!$J$6:$J$505,MATCH(200,'Fund Research'!$W$6:$W$505,0)),"")</f>
        <v/>
      </c>
      <c r="I205" s="40">
        <f>IFERROR(INDEX('Fund Research'!$L$6:$L$505,MATCH(200,'Fund Research'!$W$6:$W$505,0)),"")</f>
        <v/>
      </c>
      <c r="J205" s="37">
        <f>IFERROR(INDEX('Fund Research'!$N$6:$N$505,MATCH(200,'Fund Research'!$W$6:$W$505,0)),"")</f>
        <v/>
      </c>
      <c r="K205" s="37">
        <f>IFERROR(INDEX('Fund Research'!$P$6:$P$505,MATCH(200,'Fund Research'!$W$6:$W$505,0)),"")</f>
        <v/>
      </c>
      <c r="L205" s="35">
        <f>IFERROR(INDEX('Fund Research'!$S$6:$S$505,MATCH(200,'Fund Research'!$W$6:$W$505,0)),"")</f>
        <v/>
      </c>
      <c r="M205" s="35">
        <f>IFERROR(INDEX('Fund Research'!$T$6:$T$505,MATCH(200,'Fund Research'!$W$6:$W$505,0)),"")</f>
        <v/>
      </c>
    </row>
  </sheetData>
  <autoFilter ref="A5:M205"/>
  <mergeCells count="3">
    <mergeCell ref="A4:M4"/>
    <mergeCell ref="A2:M2"/>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4" customWidth="1" min="1" max="1"/>
    <col width="22" customWidth="1" min="2" max="2"/>
    <col width="12" customWidth="1" min="3" max="3"/>
    <col width="20" customWidth="1" min="4" max="4"/>
    <col width="20" customWidth="1" min="5" max="5"/>
    <col width="20" customWidth="1" min="6" max="6"/>
    <col width="12" customWidth="1" min="7" max="7"/>
    <col width="12" customWidth="1" min="8" max="8"/>
  </cols>
  <sheetData>
    <row r="1" ht="26" customHeight="1">
      <c r="A1" s="1" t="inlineStr">
        <is>
          <t>PERFORMANCE SUMMARY</t>
        </is>
      </c>
    </row>
    <row r="2" ht="16" customHeight="1">
      <c r="A2" s="2" t="inlineStr">
        <is>
          <t>Every figure reads from Fund Research. Nothing here is typed.</t>
        </is>
      </c>
    </row>
    <row r="4">
      <c r="B4" s="3" t="inlineStr">
        <is>
          <t>PORTFOLIO BY VERDICT</t>
        </is>
      </c>
    </row>
    <row r="5" ht="30" customHeight="1">
      <c r="B5" s="26" t="inlineStr">
        <is>
          <t>Verdict</t>
        </is>
      </c>
      <c r="C5" s="26" t="inlineStr">
        <is>
          <t>Schemes</t>
        </is>
      </c>
      <c r="D5" s="26" t="inlineStr">
        <is>
          <t>Total Invested</t>
        </is>
      </c>
      <c r="E5" s="26" t="inlineStr">
        <is>
          <t>Current Value (Live)</t>
        </is>
      </c>
      <c r="F5" s="26" t="inlineStr">
        <is>
          <t>Gain / Loss</t>
        </is>
      </c>
      <c r="G5" s="26" t="inlineStr">
        <is>
          <t>% of Value</t>
        </is>
      </c>
      <c r="H5" s="26" t="inlineStr">
        <is>
          <t>Avg 3Y</t>
        </is>
      </c>
    </row>
    <row r="6">
      <c r="B6" s="11" t="inlineStr">
        <is>
          <t>Best Fund</t>
        </is>
      </c>
      <c r="C6" s="34">
        <f>COUNTIF('Fund Research'!$R$6:$R$505,$B6)</f>
        <v/>
      </c>
      <c r="D6" s="36">
        <f>SUMIF('Fund Research'!$R$6:$R$505,$B6,'Fund Research'!$G$6:$G$505)</f>
        <v/>
      </c>
      <c r="E6" s="36">
        <f>SUMIF('Fund Research'!$R$6:$R$505,$B6,'Fund Research'!$H$6:$H$505)</f>
        <v/>
      </c>
      <c r="F6" s="36">
        <f>IF($C6=0,"",$E6-$D6)</f>
        <v/>
      </c>
      <c r="G6" s="41">
        <f>IF($E$10=0,"",$E6/$E$10)</f>
        <v/>
      </c>
      <c r="H6" s="42">
        <f>IFERROR(AVERAGEIF('Fund Research'!$R$6:$R$505,$B6,'Fund Research'!$L$6:$L$505),"")</f>
        <v/>
      </c>
    </row>
    <row r="7">
      <c r="B7" s="14" t="inlineStr">
        <is>
          <t>Need to Improve</t>
        </is>
      </c>
      <c r="C7" s="34">
        <f>COUNTIF('Fund Research'!$R$6:$R$505,$B7)</f>
        <v/>
      </c>
      <c r="D7" s="36">
        <f>SUMIF('Fund Research'!$R$6:$R$505,$B7,'Fund Research'!$G$6:$G$505)</f>
        <v/>
      </c>
      <c r="E7" s="36">
        <f>SUMIF('Fund Research'!$R$6:$R$505,$B7,'Fund Research'!$H$6:$H$505)</f>
        <v/>
      </c>
      <c r="F7" s="36">
        <f>IF($C7=0,"",$E7-$D7)</f>
        <v/>
      </c>
      <c r="G7" s="41">
        <f>IF($E$10=0,"",$E7/$E$10)</f>
        <v/>
      </c>
      <c r="H7" s="42">
        <f>IFERROR(AVERAGEIF('Fund Research'!$R$6:$R$505,$B7,'Fund Research'!$L$6:$L$505),"")</f>
        <v/>
      </c>
    </row>
    <row r="8">
      <c r="B8" s="15" t="inlineStr">
        <is>
          <t>Not Performing</t>
        </is>
      </c>
      <c r="C8" s="34">
        <f>COUNTIF('Fund Research'!$R$6:$R$505,$B8)</f>
        <v/>
      </c>
      <c r="D8" s="36">
        <f>SUMIF('Fund Research'!$R$6:$R$505,$B8,'Fund Research'!$G$6:$G$505)</f>
        <v/>
      </c>
      <c r="E8" s="36">
        <f>SUMIF('Fund Research'!$R$6:$R$505,$B8,'Fund Research'!$H$6:$H$505)</f>
        <v/>
      </c>
      <c r="F8" s="36">
        <f>IF($C8=0,"",$E8-$D8)</f>
        <v/>
      </c>
      <c r="G8" s="41">
        <f>IF($E$10=0,"",$E8/$E$10)</f>
        <v/>
      </c>
      <c r="H8" s="42">
        <f>IFERROR(AVERAGEIF('Fund Research'!$R$6:$R$505,$B8,'Fund Research'!$L$6:$L$505),"")</f>
        <v/>
      </c>
    </row>
    <row r="9">
      <c r="B9" s="43" t="inlineStr">
        <is>
          <t>Data Pending</t>
        </is>
      </c>
      <c r="C9" s="34">
        <f>COUNTIF('Fund Research'!$R$6:$R$505,$B9)</f>
        <v/>
      </c>
      <c r="D9" s="36">
        <f>SUMIF('Fund Research'!$R$6:$R$505,$B9,'Fund Research'!$G$6:$G$505)</f>
        <v/>
      </c>
      <c r="E9" s="36">
        <f>SUMIF('Fund Research'!$R$6:$R$505,$B9,'Fund Research'!$H$6:$H$505)</f>
        <v/>
      </c>
      <c r="F9" s="36">
        <f>IF($C9=0,"",$E9-$D9)</f>
        <v/>
      </c>
      <c r="G9" s="41">
        <f>IF($E$10=0,"",$E9/$E$10)</f>
        <v/>
      </c>
      <c r="H9" s="42">
        <f>IFERROR(AVERAGEIF('Fund Research'!$R$6:$R$505,$B9,'Fund Research'!$L$6:$L$505),"")</f>
        <v/>
      </c>
    </row>
    <row r="10">
      <c r="B10" s="44" t="inlineStr">
        <is>
          <t>TOTAL</t>
        </is>
      </c>
      <c r="C10" s="45">
        <f>SUM(C6:C9)</f>
        <v/>
      </c>
      <c r="D10" s="46">
        <f>SUM(D6:D9)</f>
        <v/>
      </c>
      <c r="E10" s="46">
        <f>SUM(E6:E9)</f>
        <v/>
      </c>
      <c r="F10" s="46">
        <f>SUM(F6:F9)</f>
        <v/>
      </c>
      <c r="G10" s="47">
        <f>IF($E10=0,"",1)</f>
        <v/>
      </c>
      <c r="H10" s="48">
        <f>IFERROR(AVERAGE('Fund Research'!$L$6:$L$505),"")</f>
        <v/>
      </c>
    </row>
    <row r="12">
      <c r="B12" s="3" t="inlineStr">
        <is>
          <t>HEADLINE NUMBERS</t>
        </is>
      </c>
    </row>
    <row r="13">
      <c r="B13" s="49" t="inlineStr">
        <is>
          <t>Schemes reviewed</t>
        </is>
      </c>
      <c r="C13" s="20" t="n"/>
      <c r="D13" s="22">
        <f>COUNTA('Fund Research'!$B$6:$B$505)</f>
        <v/>
      </c>
    </row>
    <row r="14">
      <c r="B14" s="49" t="inlineStr">
        <is>
          <t>Live schemes</t>
        </is>
      </c>
      <c r="C14" s="20" t="n"/>
      <c r="D14" s="22">
        <f>COUNTIF('Fund Research'!$Q$6:$Q$505,"Live")</f>
        <v/>
      </c>
    </row>
    <row r="15">
      <c r="B15" s="49" t="inlineStr">
        <is>
          <t>Best-fund hit rate</t>
        </is>
      </c>
      <c r="C15" s="20" t="n"/>
      <c r="D15" s="50">
        <f>IF($C10=0,"",$C6/$C10)</f>
        <v/>
      </c>
    </row>
    <row r="16">
      <c r="B16" s="49" t="inlineStr">
        <is>
          <t>Money needing action</t>
        </is>
      </c>
      <c r="C16" s="20" t="n"/>
      <c r="D16" s="51">
        <f>$E7+$E8</f>
        <v/>
      </c>
    </row>
    <row r="17">
      <c r="B17" s="49" t="inlineStr">
        <is>
          <t>Share of value needing action</t>
        </is>
      </c>
      <c r="C17" s="20" t="n"/>
      <c r="D17" s="50">
        <f>IF($E10=0,"",($E7+$E8)/$E10)</f>
        <v/>
      </c>
    </row>
    <row r="19">
      <c r="B19" s="4" t="inlineStr">
        <is>
          <t>Rule in force</t>
        </is>
      </c>
      <c r="C19" s="52">
        <f>_xlfn.CONCAT("Best = 3Y return at or above ",TEXT(Instructions!$D$19,"0.0%"),"   |   Need to Improve = ",TEXT(Instructions!$D$20,"0.0%")," to ",TEXT(Instructions!$D$19,"0.0%"),"   |   Not Performing = below ",TEXT(Instructions!$D$20,"0.0%"))</f>
        <v/>
      </c>
    </row>
  </sheetData>
  <mergeCells count="8">
    <mergeCell ref="B13:C13"/>
    <mergeCell ref="B16:C16"/>
    <mergeCell ref="C19:H19"/>
    <mergeCell ref="B15:C15"/>
    <mergeCell ref="A2:H2"/>
    <mergeCell ref="B14:C14"/>
    <mergeCell ref="A1:H1"/>
    <mergeCell ref="B17:C17"/>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53" t="inlineStr">
        <is>
          <t>Category  (Asset - Category)</t>
        </is>
      </c>
      <c r="B1" s="53" t="inlineStr">
        <is>
          <t>Asset Class</t>
        </is>
      </c>
      <c r="C1" s="53" t="inlineStr">
        <is>
          <t>Verdict</t>
        </is>
      </c>
      <c r="D1" s="53" t="inlineStr">
        <is>
          <t>Action</t>
        </is>
      </c>
    </row>
    <row r="2">
      <c r="A2" s="54" t="inlineStr">
        <is>
          <t>Equity - Large Cap Fund</t>
        </is>
      </c>
      <c r="B2" s="54" t="inlineStr">
        <is>
          <t>Equity</t>
        </is>
      </c>
      <c r="C2" s="54" t="inlineStr">
        <is>
          <t>Best Fund</t>
        </is>
      </c>
      <c r="D2" s="54" t="inlineStr">
        <is>
          <t>Hold</t>
        </is>
      </c>
    </row>
    <row r="3">
      <c r="A3" s="54" t="inlineStr">
        <is>
          <t>Equity - Large &amp; Mid Cap Fund</t>
        </is>
      </c>
      <c r="B3" s="54" t="inlineStr">
        <is>
          <t>Debt</t>
        </is>
      </c>
      <c r="C3" s="54" t="inlineStr">
        <is>
          <t>Need to Improve</t>
        </is>
      </c>
      <c r="D3" s="54" t="inlineStr">
        <is>
          <t>Top-Up</t>
        </is>
      </c>
    </row>
    <row r="4">
      <c r="A4" s="54" t="inlineStr">
        <is>
          <t>Equity - Mid Cap Fund</t>
        </is>
      </c>
      <c r="B4" s="54" t="inlineStr">
        <is>
          <t>Hybrid</t>
        </is>
      </c>
      <c r="C4" s="54" t="inlineStr">
        <is>
          <t>Not Performing</t>
        </is>
      </c>
      <c r="D4" s="54" t="inlineStr">
        <is>
          <t>Watch</t>
        </is>
      </c>
    </row>
    <row r="5">
      <c r="A5" s="54" t="inlineStr">
        <is>
          <t>Equity - Small Cap Fund</t>
        </is>
      </c>
      <c r="B5" s="54" t="inlineStr">
        <is>
          <t>Others</t>
        </is>
      </c>
      <c r="C5" s="54" t="inlineStr">
        <is>
          <t>Data Pending</t>
        </is>
      </c>
      <c r="D5" s="54" t="inlineStr">
        <is>
          <t>Switch</t>
        </is>
      </c>
    </row>
    <row r="6">
      <c r="A6" s="54" t="inlineStr">
        <is>
          <t>Equity - Multi Cap Fund</t>
        </is>
      </c>
      <c r="D6" s="54" t="inlineStr">
        <is>
          <t>Redeem</t>
        </is>
      </c>
    </row>
    <row r="7">
      <c r="A7" s="54" t="inlineStr">
        <is>
          <t>Equity - Flexi Cap Fund</t>
        </is>
      </c>
      <c r="D7" s="54" t="inlineStr">
        <is>
          <t>SIP Stop</t>
        </is>
      </c>
    </row>
    <row r="8">
      <c r="A8" s="54" t="inlineStr">
        <is>
          <t>Equity - Focused Fund</t>
        </is>
      </c>
      <c r="D8" s="54" t="inlineStr">
        <is>
          <t>Reviewed - No Change</t>
        </is>
      </c>
    </row>
    <row r="9">
      <c r="A9" s="54" t="inlineStr">
        <is>
          <t>Equity - Value Fund</t>
        </is>
      </c>
    </row>
    <row r="10">
      <c r="A10" s="54" t="inlineStr">
        <is>
          <t>Equity - Contra Fund</t>
        </is>
      </c>
    </row>
    <row r="11">
      <c r="A11" s="54" t="inlineStr">
        <is>
          <t>Equity - Dividend Yield Fund</t>
        </is>
      </c>
    </row>
    <row r="12">
      <c r="A12" s="54" t="inlineStr">
        <is>
          <t>Equity - ELSS</t>
        </is>
      </c>
    </row>
    <row r="13">
      <c r="A13" s="54" t="inlineStr">
        <is>
          <t>Equity - Sectoral/ Thematic</t>
        </is>
      </c>
    </row>
    <row r="14">
      <c r="A14" s="54" t="inlineStr">
        <is>
          <t>Debt - Overnight Fund</t>
        </is>
      </c>
    </row>
    <row r="15">
      <c r="A15" s="54" t="inlineStr">
        <is>
          <t>Debt - Liquid Fund</t>
        </is>
      </c>
    </row>
    <row r="16">
      <c r="A16" s="54" t="inlineStr">
        <is>
          <t>Debt - Ultra Short Duration Fund</t>
        </is>
      </c>
    </row>
    <row r="17">
      <c r="A17" s="54" t="inlineStr">
        <is>
          <t>Debt - Low Duration Fund</t>
        </is>
      </c>
    </row>
    <row r="18">
      <c r="A18" s="54" t="inlineStr">
        <is>
          <t>Debt - Money Market Fund</t>
        </is>
      </c>
    </row>
    <row r="19">
      <c r="A19" s="54" t="inlineStr">
        <is>
          <t>Debt - Short Duration Fund</t>
        </is>
      </c>
    </row>
    <row r="20">
      <c r="A20" s="54" t="inlineStr">
        <is>
          <t>Debt - Corporate Bond Fund</t>
        </is>
      </c>
    </row>
    <row r="21">
      <c r="A21" s="54" t="inlineStr">
        <is>
          <t>Debt - Banking and PSU Fund</t>
        </is>
      </c>
    </row>
    <row r="22">
      <c r="A22" s="54" t="inlineStr">
        <is>
          <t>Debt - Credit Risk Fund</t>
        </is>
      </c>
    </row>
    <row r="23">
      <c r="A23" s="54" t="inlineStr">
        <is>
          <t>Debt - Dynamic Bond</t>
        </is>
      </c>
    </row>
    <row r="24">
      <c r="A24" s="54" t="inlineStr">
        <is>
          <t>Debt - Gilt Fund</t>
        </is>
      </c>
    </row>
    <row r="25">
      <c r="A25" s="54" t="inlineStr">
        <is>
          <t>Hybrid - Aggressive Hybrid Fund</t>
        </is>
      </c>
    </row>
    <row r="26">
      <c r="A26" s="54" t="inlineStr">
        <is>
          <t>Hybrid - Dynamic Asset Allocation or Balanced Advantage</t>
        </is>
      </c>
    </row>
    <row r="27">
      <c r="A27" s="54" t="inlineStr">
        <is>
          <t>Hybrid - Multi Asset Allocation</t>
        </is>
      </c>
    </row>
    <row r="28">
      <c r="A28" s="54" t="inlineStr">
        <is>
          <t>Hybrid - Conservative Hybrid Fund</t>
        </is>
      </c>
    </row>
    <row r="29">
      <c r="A29" s="54" t="inlineStr">
        <is>
          <t>Hybrid - Equity Savings</t>
        </is>
      </c>
    </row>
    <row r="30">
      <c r="A30" s="54" t="inlineStr">
        <is>
          <t>Hybrid - Arbitrage Fund</t>
        </is>
      </c>
    </row>
    <row r="31">
      <c r="A31" s="54" t="inlineStr">
        <is>
          <t>Others - Index Funds</t>
        </is>
      </c>
    </row>
    <row r="32">
      <c r="A32" s="54" t="inlineStr">
        <is>
          <t>Others - FoF Domestic</t>
        </is>
      </c>
    </row>
    <row r="33">
      <c r="A33" s="54" t="inlineStr">
        <is>
          <t>Others - FoF Overseas</t>
        </is>
      </c>
    </row>
    <row r="34">
      <c r="A34" s="54" t="inlineStr">
        <is>
          <t>Others - Gold ETF</t>
        </is>
      </c>
    </row>
    <row r="35">
      <c r="A35" s="54" t="inlineStr">
        <is>
          <t>Others - Other ETFs</t>
        </is>
      </c>
    </row>
    <row r="36">
      <c r="A36" s="54" t="inlineStr">
        <is>
          <t>Others - Solution Oriented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2026-10-05T07:36:23Z</dcterms:created>
  <dcterms:modified xsi:type="dcterms:W3CDTF">2026-10-05T07:36:24Z</dcterms:modified>
</cp:coreProperties>
</file>