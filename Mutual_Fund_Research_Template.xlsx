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5.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tions" sheetId="1" state="visible" r:id="rId3"/>
    <sheet name="Fund Research" sheetId="2" state="visible" r:id="rId4"/>
    <sheet name="Best Funds" sheetId="3" state="visible" r:id="rId5"/>
    <sheet name="Need to Improve" sheetId="4" state="visible" r:id="rId6"/>
    <sheet name="Not Performing" sheetId="5" state="visible" r:id="rId7"/>
    <sheet name="Summary" sheetId="6" state="visible" r:id="rId8"/>
    <sheet name="Lists" sheetId="7" state="visible" r:id="rId9"/>
  </sheets>
  <definedNames>
    <definedName function="false" hidden="true" localSheetId="2" name="_xlnm._FilterDatabase" vbProcedure="false">'Best Funds'!$A$5:$M$205</definedName>
    <definedName function="false" hidden="true" localSheetId="1" name="_xlnm._FilterDatabase" vbProcedure="false">'Fund Research'!$A$5:$T$505</definedName>
    <definedName function="false" hidden="true" localSheetId="3" name="_xlnm._FilterDatabase" vbProcedure="false">'Need to Improve'!$A$5:$M$205</definedName>
    <definedName function="false" hidden="true" localSheetId="4" name="_xlnm._FilterDatabase" vbProcedure="false">'Not Performing'!$A$5:$M$205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<sst xmlns="http://schemas.openxmlformats.org/spreadsheetml/2006/main" count="210" uniqueCount="146">
  <si>
    <t xml:space="preserve">MUTUAL FUND RESEARCH  -  PERFORMANCE REVIEW</t>
  </si>
  <si>
    <t xml:space="preserve">Enter every scheme once on Fund Research. The three verdict tabs and the Summary fill themselves in.</t>
  </si>
  <si>
    <t xml:space="preserve">HOW TO USE</t>
  </si>
  <si>
    <t xml:space="preserve">1.  Lists</t>
  </si>
  <si>
    <t xml:space="preserve">Nothing to do - it holds the Category and Action dropdowns.</t>
  </si>
  <si>
    <t xml:space="preserve">2.  Fund Research</t>
  </si>
  <si>
    <t xml:space="preserve">The only sheet you type into. One row per scheme per client. Fill the blue columns; black columns calculate.</t>
  </si>
  <si>
    <t xml:space="preserve">3.  Best Funds</t>
  </si>
  <si>
    <t xml:space="preserve">Read-only. Every scheme whose 3-year return clears the Best threshold, ranked best first.</t>
  </si>
  <si>
    <t xml:space="preserve">4.  Need to Improve</t>
  </si>
  <si>
    <t xml:space="preserve">Read-only. Schemes in the middle band, worst first - this is your call-list.</t>
  </si>
  <si>
    <t xml:space="preserve">5.  Not Performing</t>
  </si>
  <si>
    <t xml:space="preserve">Read-only. Schemes below the Improve threshold, worst first. Review these with the client.</t>
  </si>
  <si>
    <t xml:space="preserve">6.  Summary</t>
  </si>
  <si>
    <t xml:space="preserve">Read-only dashboard: how many schemes and how much money sit in each verdict.</t>
  </si>
  <si>
    <t xml:space="preserve">COLOUR LEGEND</t>
  </si>
  <si>
    <t xml:space="preserve">Blue text on white</t>
  </si>
  <si>
    <t xml:space="preserve">You type here. These are the only cells to fill in.</t>
  </si>
  <si>
    <t xml:space="preserve">Black text on grey</t>
  </si>
  <si>
    <t xml:space="preserve">Calculated. Do not overwrite - it will break the tabs.</t>
  </si>
  <si>
    <t xml:space="preserve">Yellow fill</t>
  </si>
  <si>
    <t xml:space="preserve">Key setting. Safe to change - the whole workbook follows it.</t>
  </si>
  <si>
    <t xml:space="preserve">RATING RULE</t>
  </si>
  <si>
    <t xml:space="preserve">A fund is judged on its 3-year return. Change the two yellow cells to re-cut the bands - every tab re-sorts itself.</t>
  </si>
  <si>
    <t xml:space="preserve">Verdict</t>
  </si>
  <si>
    <t xml:space="preserve">Rule on 3-Year Return</t>
  </si>
  <si>
    <t xml:space="preserve">Threshold</t>
  </si>
  <si>
    <t xml:space="preserve">Best Fund</t>
  </si>
  <si>
    <t xml:space="preserve">3-year return is greater than or equal to</t>
  </si>
  <si>
    <t xml:space="preserve">Need to Improve</t>
  </si>
  <si>
    <t xml:space="preserve">Not Performing</t>
  </si>
  <si>
    <t xml:space="preserve">3-year return is below</t>
  </si>
  <si>
    <t xml:space="preserve">Set by</t>
  </si>
  <si>
    <t xml:space="preserve">The 13% Best threshold is the client's own brief: a fund returning 13% or more over 3 years is treated as best. The 10% Improve floor separates a fund that is lagging from one that is genuinely under-performing. Neither is a SEBI or AMFI standard - both are house rules, so change them when the view changes.</t>
  </si>
  <si>
    <t xml:space="preserve">NOTE ON RETURNS</t>
  </si>
  <si>
    <t xml:space="preserve">Enter 1Y / 3Y / 5Y returns as the scheme's published CAGR. The cells are percent-formatted, so typing 13.5 gives 13.50%. Returns are not calculated from the invested and current value in this workbook - a portfolio holding has its own cash-flow dates, and its XIRR is not the scheme's published return. Paste the scheme figure from the factsheet, AMFI or your research terminal, and note the source date in cell D3 of Fund Research.</t>
  </si>
  <si>
    <t xml:space="preserve">FUND RESEARCH REGISTER</t>
  </si>
  <si>
    <t xml:space="preserve">One row per scheme per client. Fill the blue columns - A to C, E to H, K to O and T. Everything else calculates.</t>
  </si>
  <si>
    <t xml:space="preserve">Returns as on</t>
  </si>
  <si>
    <t xml:space="preserve">Source of returns</t>
  </si>
  <si>
    <t xml:space="preserve">Schemes entered</t>
  </si>
  <si>
    <t xml:space="preserve">Rating bands</t>
  </si>
  <si>
    <t xml:space="preserve">Best</t>
  </si>
  <si>
    <t xml:space="preserve">Improve floor</t>
  </si>
  <si>
    <t xml:space="preserve">▼  BLUE = you type    ▼  BLACK on grey = calculated, do not overwrite</t>
  </si>
  <si>
    <t xml:space="preserve">Client Name</t>
  </si>
  <si>
    <t xml:space="preserve">Scheme Name</t>
  </si>
  <si>
    <t xml:space="preserve">Category</t>
  </si>
  <si>
    <t xml:space="preserve">Asset Class</t>
  </si>
  <si>
    <t xml:space="preserve">Folio No.</t>
  </si>
  <si>
    <t xml:space="preserve">Inv. Since</t>
  </si>
  <si>
    <t xml:space="preserve">Total Invested</t>
  </si>
  <si>
    <t xml:space="preserve">Current Value
(Live)</t>
  </si>
  <si>
    <t xml:space="preserve">Gain / Loss</t>
  </si>
  <si>
    <t xml:space="preserve">Abs. Rtn.</t>
  </si>
  <si>
    <t xml:space="preserve">1Y Return</t>
  </si>
  <si>
    <t xml:space="preserve">3Y Return
(CAGR)</t>
  </si>
  <si>
    <t xml:space="preserve">5Y Return</t>
  </si>
  <si>
    <t xml:space="preserve">Category Avg
3Y</t>
  </si>
  <si>
    <t xml:space="preserve">Benchmark
3Y</t>
  </si>
  <si>
    <t xml:space="preserve">vs Category
(3Y)</t>
  </si>
  <si>
    <t xml:space="preserve">Status</t>
  </si>
  <si>
    <t xml:space="preserve">Suggested Action</t>
  </si>
  <si>
    <t xml:space="preserve">Remark</t>
  </si>
  <si>
    <t xml:space="preserve">_best</t>
  </si>
  <si>
    <t xml:space="preserve">_improve</t>
  </si>
  <si>
    <t xml:space="preserve">_poor</t>
  </si>
  <si>
    <t xml:space="preserve">Sample Client (EXAMPLE)</t>
  </si>
  <si>
    <t xml:space="preserve">Bluechip Flexi Cap Fund - Growth</t>
  </si>
  <si>
    <t xml:space="preserve">Equity - Flexi Cap Fund</t>
  </si>
  <si>
    <t xml:space="preserve">1910625/49</t>
  </si>
  <si>
    <t xml:space="preserve">EXAMPLE ROW - delete it before you start. Returns are the scheme's published CAGR, not this holding's XIRR.</t>
  </si>
  <si>
    <t xml:space="preserve">BEST FUNDS</t>
  </si>
  <si>
    <t xml:space="preserve">Every scheme clearing the Best threshold on 3-year return.</t>
  </si>
  <si>
    <t xml:space="preserve">Schemes</t>
  </si>
  <si>
    <t xml:space="preserve">Current value</t>
  </si>
  <si>
    <t xml:space="preserve">Invested</t>
  </si>
  <si>
    <t xml:space="preserve">Avg 3Y</t>
  </si>
  <si>
    <t xml:space="preserve">Ranked best first by 3-year return. Read-only - edit on Fund Research.</t>
  </si>
  <si>
    <t xml:space="preserve">#</t>
  </si>
  <si>
    <t xml:space="preserve">NEED TO IMPROVE</t>
  </si>
  <si>
    <t xml:space="preserve">Schemes in the middle band - lagging, not yet failing. Your call-list.</t>
  </si>
  <si>
    <t xml:space="preserve">Ranked worst first by 3-year return. Read-only - edit on Fund Research.</t>
  </si>
  <si>
    <t xml:space="preserve">NOT PERFORMING</t>
  </si>
  <si>
    <t xml:space="preserve">Schemes below the Improve floor on 3-year return. Review with the client.</t>
  </si>
  <si>
    <t xml:space="preserve">PERFORMANCE SUMMARY</t>
  </si>
  <si>
    <t xml:space="preserve">Every figure reads from Fund Research. Nothing here is typed.</t>
  </si>
  <si>
    <t xml:space="preserve">PORTFOLIO BY VERDICT</t>
  </si>
  <si>
    <t xml:space="preserve">Current Value (Live)</t>
  </si>
  <si>
    <t xml:space="preserve">% of Value</t>
  </si>
  <si>
    <t xml:space="preserve">Data Pending</t>
  </si>
  <si>
    <t xml:space="preserve">TOTAL</t>
  </si>
  <si>
    <t xml:space="preserve">HEADLINE NUMBERS</t>
  </si>
  <si>
    <t xml:space="preserve">Schemes reviewed</t>
  </si>
  <si>
    <t xml:space="preserve">Live schemes</t>
  </si>
  <si>
    <t xml:space="preserve">Best-fund hit rate</t>
  </si>
  <si>
    <t xml:space="preserve">Money needing action</t>
  </si>
  <si>
    <t xml:space="preserve">Share of value needing action</t>
  </si>
  <si>
    <t xml:space="preserve">Rule in force</t>
  </si>
  <si>
    <t xml:space="preserve">Category  (Asset - Category)</t>
  </si>
  <si>
    <t xml:space="preserve">Action</t>
  </si>
  <si>
    <t xml:space="preserve">Equity - Large Cap Fund</t>
  </si>
  <si>
    <t xml:space="preserve">Equity</t>
  </si>
  <si>
    <t xml:space="preserve">Hold</t>
  </si>
  <si>
    <t xml:space="preserve">Equity - Large &amp; Mid Cap Fund</t>
  </si>
  <si>
    <t xml:space="preserve">Debt</t>
  </si>
  <si>
    <t xml:space="preserve">Top-Up</t>
  </si>
  <si>
    <t xml:space="preserve">Equity - Mid Cap Fund</t>
  </si>
  <si>
    <t xml:space="preserve">Hybrid</t>
  </si>
  <si>
    <t xml:space="preserve">Watch</t>
  </si>
  <si>
    <t xml:space="preserve">Equity - Small Cap Fund</t>
  </si>
  <si>
    <t xml:space="preserve">Others</t>
  </si>
  <si>
    <t xml:space="preserve">Switch</t>
  </si>
  <si>
    <t xml:space="preserve">Equity - Multi Cap Fund</t>
  </si>
  <si>
    <t xml:space="preserve">Redeem</t>
  </si>
  <si>
    <t xml:space="preserve">SIP Stop</t>
  </si>
  <si>
    <t xml:space="preserve">Equity - Focused Fund</t>
  </si>
  <si>
    <t xml:space="preserve">Reviewed - No Change</t>
  </si>
  <si>
    <t xml:space="preserve">Equity - Value Fund</t>
  </si>
  <si>
    <t xml:space="preserve">Equity - Contra Fund</t>
  </si>
  <si>
    <t xml:space="preserve">Equity - Dividend Yield Fund</t>
  </si>
  <si>
    <t xml:space="preserve">Equity - ELSS</t>
  </si>
  <si>
    <t xml:space="preserve">Equity - Sectoral/ Thematic</t>
  </si>
  <si>
    <t xml:space="preserve">Debt - Overnight Fund</t>
  </si>
  <si>
    <t xml:space="preserve">Debt - Liquid Fund</t>
  </si>
  <si>
    <t xml:space="preserve">Debt - Ultra Short Duration Fund</t>
  </si>
  <si>
    <t xml:space="preserve">Debt - Low Duration Fund</t>
  </si>
  <si>
    <t xml:space="preserve">Debt - Money Market Fund</t>
  </si>
  <si>
    <t xml:space="preserve">Debt - Short Duration Fund</t>
  </si>
  <si>
    <t xml:space="preserve">Debt - Corporate Bond Fund</t>
  </si>
  <si>
    <t xml:space="preserve">Debt - Banking and PSU Fund</t>
  </si>
  <si>
    <t xml:space="preserve">Debt - Credit Risk Fund</t>
  </si>
  <si>
    <t xml:space="preserve">Debt - Dynamic Bond</t>
  </si>
  <si>
    <t xml:space="preserve">Debt - Gilt Fund</t>
  </si>
  <si>
    <t xml:space="preserve">Hybrid - Aggressive Hybrid Fund</t>
  </si>
  <si>
    <t xml:space="preserve">Hybrid - Dynamic Asset Allocation or Balanced Advantage</t>
  </si>
  <si>
    <t xml:space="preserve">Hybrid - Multi Asset Allocation</t>
  </si>
  <si>
    <t xml:space="preserve">Hybrid - Conservative Hybrid Fund</t>
  </si>
  <si>
    <t xml:space="preserve">Hybrid - Equity Savings</t>
  </si>
  <si>
    <t xml:space="preserve">Hybrid - Arbitrage Fund</t>
  </si>
  <si>
    <t xml:space="preserve">Others - Index Funds</t>
  </si>
  <si>
    <t xml:space="preserve">Others - FoF Domestic</t>
  </si>
  <si>
    <t xml:space="preserve">Others - FoF Overseas</t>
  </si>
  <si>
    <t xml:space="preserve">Others - Gold ETF</t>
  </si>
  <si>
    <t xml:space="preserve">Others - Other ETFs</t>
  </si>
  <si>
    <t xml:space="preserve">Others - Solution Oriented</t>
  </si>
</sst>
</file>

<file path=xl/styles.xml><?xml version="1.0" encoding="utf-8"?>
<styleSheet xmlns="http://schemas.openxmlformats.org/spreadsheetml/2006/main">
  <numFmts count="6">
    <numFmt numFmtId="164" formatCode="General"/>
    <numFmt numFmtId="165" formatCode="0.00%;\(0.00%\);\-"/>
    <numFmt numFmtId="166" formatCode="dd\-mmm\-yy"/>
    <numFmt numFmtId="167" formatCode="#,##0;\(#,##0\);\-"/>
    <numFmt numFmtId="168" formatCode="[&gt;=10000000]&quot;₹ &quot;##\,##\,##\,##0.00;[&gt;=100000]&quot;₹ &quot;##\,##\,##0.00;&quot;₹ &quot;#,##0.00"/>
    <numFmt numFmtId="169" formatCode="0.0%;\(0.0%\);\-"/>
  </numFmts>
  <fonts count="20">
    <font>
      <sz val="11"/>
      <color theme="1"/>
      <name val="Calibri"/>
      <family val="2"/>
      <charset val="1"/>
    </font>
    <font>
      <sz val="10"/>
      <name val="Arial"/>
      <family val="0"/>
    </font>
    <font>
      <sz val="10"/>
      <name val="Arial"/>
      <family val="0"/>
    </font>
    <font>
      <sz val="10"/>
      <name val="Arial"/>
      <family val="0"/>
    </font>
    <font>
      <b val="true"/>
      <sz val="13"/>
      <color rgb="FFFFFFFF"/>
      <name val="Arial"/>
      <family val="0"/>
      <charset val="1"/>
    </font>
    <font>
      <i val="true"/>
      <sz val="9"/>
      <color rgb="FF404040"/>
      <name val="Arial"/>
      <family val="0"/>
      <charset val="1"/>
    </font>
    <font>
      <b val="true"/>
      <sz val="11"/>
      <color rgb="FF1F3864"/>
      <name val="Arial"/>
      <family val="0"/>
      <charset val="1"/>
    </font>
    <font>
      <b val="true"/>
      <sz val="10"/>
      <name val="Arial"/>
      <family val="0"/>
      <charset val="1"/>
    </font>
    <font>
      <sz val="10"/>
      <name val="Arial"/>
      <family val="0"/>
      <charset val="1"/>
    </font>
    <font>
      <sz val="10"/>
      <color rgb="FF0000FF"/>
      <name val="Arial"/>
      <family val="0"/>
      <charset val="1"/>
    </font>
    <font>
      <sz val="10"/>
      <color rgb="FF000000"/>
      <name val="Arial"/>
      <family val="0"/>
      <charset val="1"/>
    </font>
    <font>
      <b val="true"/>
      <sz val="10"/>
      <color rgb="FFFFFFFF"/>
      <name val="Arial"/>
      <family val="0"/>
      <charset val="1"/>
    </font>
    <font>
      <sz val="10"/>
      <color rgb="FF006100"/>
      <name val="Arial"/>
      <family val="0"/>
      <charset val="1"/>
    </font>
    <font>
      <sz val="10"/>
      <color rgb="FF9C5700"/>
      <name val="Arial"/>
      <family val="0"/>
      <charset val="1"/>
    </font>
    <font>
      <sz val="10"/>
      <color rgb="FF9C0006"/>
      <name val="Arial"/>
      <family val="0"/>
      <charset val="1"/>
    </font>
    <font>
      <sz val="10"/>
      <color rgb="FF008000"/>
      <name val="Arial"/>
      <family val="0"/>
      <charset val="1"/>
    </font>
    <font>
      <i val="true"/>
      <sz val="9"/>
      <name val="Arial"/>
      <family val="0"/>
      <charset val="1"/>
    </font>
    <font>
      <b val="true"/>
      <sz val="18"/>
      <color rgb="FF000000"/>
      <name val="Calibri"/>
      <family val="2"/>
    </font>
    <font>
      <sz val="10"/>
      <color rgb="FF000000"/>
      <name val="Calibri"/>
      <family val="2"/>
    </font>
    <font>
      <b val="true"/>
      <sz val="10"/>
      <color rgb="FF000000"/>
      <name val="Calibri"/>
      <family val="2"/>
    </font>
  </fonts>
  <fills count="10">
    <fill>
      <patternFill patternType="none"/>
    </fill>
    <fill>
      <patternFill patternType="gray125"/>
    </fill>
    <fill>
      <patternFill patternType="solid">
        <fgColor rgb="FF1F3864"/>
        <bgColor rgb="FF333399"/>
      </patternFill>
    </fill>
    <fill>
      <patternFill patternType="solid">
        <fgColor rgb="FFF2F2F2"/>
        <bgColor rgb="FFFFFFFF"/>
      </patternFill>
    </fill>
    <fill>
      <patternFill patternType="solid">
        <fgColor rgb="FFFFFFFF"/>
        <bgColor rgb="FFF2F2F2"/>
      </patternFill>
    </fill>
    <fill>
      <patternFill patternType="solid">
        <fgColor rgb="FFFFF2CC"/>
        <bgColor rgb="FFF2F2F2"/>
      </patternFill>
    </fill>
    <fill>
      <patternFill patternType="solid">
        <fgColor rgb="FF2E75B6"/>
        <bgColor rgb="FF4F81BD"/>
      </patternFill>
    </fill>
    <fill>
      <patternFill patternType="solid">
        <fgColor rgb="FFC6EFCE"/>
        <bgColor rgb="FFD9D9D9"/>
      </patternFill>
    </fill>
    <fill>
      <patternFill patternType="solid">
        <fgColor rgb="FFFFEB9C"/>
        <bgColor rgb="FFFFF2CC"/>
      </patternFill>
    </fill>
    <fill>
      <patternFill patternType="solid">
        <fgColor rgb="FFFFC7CE"/>
        <bgColor rgb="FFD9D9D9"/>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3" borderId="0" xfId="0" applyFont="true" applyBorder="true" applyAlignment="true" applyProtection="false">
      <alignment horizontal="left" vertical="center"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center"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center" textRotation="0" wrapText="true" indent="0" shrinkToFit="false"/>
      <protection locked="true" hidden="false"/>
    </xf>
    <xf numFmtId="164" fontId="11" fillId="6" borderId="1" xfId="0" applyFont="true" applyBorder="true" applyAlignment="true" applyProtection="false">
      <alignment horizontal="center" vertical="center" textRotation="0" wrapText="false" indent="0" shrinkToFit="false"/>
      <protection locked="true" hidden="false"/>
    </xf>
    <xf numFmtId="164" fontId="11" fillId="6" borderId="2" xfId="0" applyFont="true" applyBorder="true" applyAlignment="true" applyProtection="false">
      <alignment horizontal="center" vertical="center" textRotation="0" wrapText="false" indent="0" shrinkToFit="false"/>
      <protection locked="true" hidden="false"/>
    </xf>
    <xf numFmtId="164" fontId="12" fillId="7" borderId="1" xfId="0" applyFont="true" applyBorder="true" applyAlignment="false" applyProtection="false">
      <alignment horizontal="general" vertical="bottom" textRotation="0" wrapText="false" indent="0" shrinkToFit="false"/>
      <protection locked="true" hidden="false"/>
    </xf>
    <xf numFmtId="164" fontId="8" fillId="0" borderId="2" xfId="0" applyFont="true" applyBorder="true" applyAlignment="false" applyProtection="false">
      <alignment horizontal="general" vertical="bottom" textRotation="0" wrapText="false" indent="0" shrinkToFit="false"/>
      <protection locked="true" hidden="false"/>
    </xf>
    <xf numFmtId="165" fontId="9" fillId="5" borderId="1" xfId="0" applyFont="true" applyBorder="true" applyAlignment="true" applyProtection="false">
      <alignment horizontal="center" vertical="center" textRotation="0" wrapText="false" indent="0" shrinkToFit="false"/>
      <protection locked="true" hidden="false"/>
    </xf>
    <xf numFmtId="164" fontId="13" fillId="8" borderId="1" xfId="0" applyFont="true" applyBorder="true" applyAlignment="false" applyProtection="false">
      <alignment horizontal="general" vertical="bottom" textRotation="0" wrapText="false" indent="0" shrinkToFit="false"/>
      <protection locked="true" hidden="false"/>
    </xf>
    <xf numFmtId="164" fontId="14" fillId="9" borderId="1" xfId="0" applyFont="true" applyBorder="true" applyAlignment="false" applyProtection="false">
      <alignment horizontal="general" vertical="bottom" textRotation="0" wrapText="false" indent="0" shrinkToFit="false"/>
      <protection locked="true" hidden="false"/>
    </xf>
    <xf numFmtId="165" fontId="10" fillId="3" borderId="1" xfId="0" applyFont="true" applyBorder="true" applyAlignment="true" applyProtection="false">
      <alignment horizontal="center" vertical="center" textRotation="0" wrapText="false" indent="0" shrinkToFit="false"/>
      <protection locked="true" hidden="false"/>
    </xf>
    <xf numFmtId="166" fontId="9" fillId="5" borderId="1" xfId="0" applyFont="true" applyBorder="true" applyAlignment="true" applyProtection="false">
      <alignment horizontal="center" vertical="center" textRotation="0" wrapText="false" indent="0" shrinkToFit="false"/>
      <protection locked="true" hidden="false"/>
    </xf>
    <xf numFmtId="164" fontId="9" fillId="5"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center" textRotation="0" wrapText="false" indent="0" shrinkToFit="false"/>
      <protection locked="true" hidden="false"/>
    </xf>
    <xf numFmtId="167" fontId="10" fillId="3" borderId="1" xfId="0" applyFont="true" applyBorder="true" applyAlignment="true" applyProtection="false">
      <alignment horizontal="center" vertical="center" textRotation="0" wrapText="false" indent="0" shrinkToFit="false"/>
      <protection locked="true" hidden="false"/>
    </xf>
    <xf numFmtId="165" fontId="15" fillId="3" borderId="1"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5" fillId="3" borderId="0" xfId="0" applyFont="true" applyBorder="true" applyAlignment="false" applyProtection="false">
      <alignment horizontal="general" vertical="bottom" textRotation="0" wrapText="false" indent="0" shrinkToFit="false"/>
      <protection locked="true" hidden="false"/>
    </xf>
    <xf numFmtId="164" fontId="11" fillId="6"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8" fontId="9" fillId="0" borderId="1" xfId="0" applyFont="true" applyBorder="true" applyAlignment="false" applyProtection="false">
      <alignment horizontal="general" vertical="bottom" textRotation="0" wrapText="false" indent="0" shrinkToFit="false"/>
      <protection locked="true" hidden="false"/>
    </xf>
    <xf numFmtId="168" fontId="10" fillId="3" borderId="1" xfId="0" applyFont="true" applyBorder="true" applyAlignment="false" applyProtection="false">
      <alignment horizontal="general" vertical="bottom" textRotation="0" wrapText="false" indent="0" shrinkToFit="false"/>
      <protection locked="true" hidden="false"/>
    </xf>
    <xf numFmtId="165" fontId="10" fillId="3"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7" fontId="10"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8" fontId="10"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12" fillId="7" borderId="1" xfId="0" applyFont="true" applyBorder="true" applyAlignment="false" applyProtection="false">
      <alignment horizontal="general" vertical="bottom" textRotation="0" wrapText="false" indent="0" shrinkToFit="false"/>
      <protection locked="true" hidden="false"/>
    </xf>
    <xf numFmtId="165" fontId="13" fillId="8" borderId="1" xfId="0" applyFont="true" applyBorder="true" applyAlignment="false" applyProtection="false">
      <alignment horizontal="general" vertical="bottom" textRotation="0" wrapText="false" indent="0" shrinkToFit="false"/>
      <protection locked="true" hidden="false"/>
    </xf>
    <xf numFmtId="165" fontId="14" fillId="9" borderId="1" xfId="0" applyFont="true" applyBorder="true" applyAlignment="false" applyProtection="false">
      <alignment horizontal="general" vertical="bottom" textRotation="0" wrapText="false" indent="0" shrinkToFit="false"/>
      <protection locked="true" hidden="false"/>
    </xf>
    <xf numFmtId="169" fontId="10" fillId="0" borderId="1" xfId="0" applyFont="true" applyBorder="true" applyAlignment="true" applyProtection="false">
      <alignment horizontal="center" vertical="center" textRotation="0" wrapText="false" indent="0" shrinkToFit="false"/>
      <protection locked="true" hidden="false"/>
    </xf>
    <xf numFmtId="165" fontId="10" fillId="0" borderId="1" xfId="0" applyFont="true" applyBorder="true" applyAlignment="true" applyProtection="false">
      <alignment horizontal="center" vertical="center"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11" fillId="2" borderId="1" xfId="0" applyFont="true" applyBorder="true" applyAlignment="false" applyProtection="false">
      <alignment horizontal="general" vertical="bottom" textRotation="0" wrapText="false" indent="0" shrinkToFit="false"/>
      <protection locked="true" hidden="false"/>
    </xf>
    <xf numFmtId="167" fontId="11" fillId="2" borderId="1" xfId="0" applyFont="true" applyBorder="true" applyAlignment="true" applyProtection="false">
      <alignment horizontal="center" vertical="center" textRotation="0" wrapText="false" indent="0" shrinkToFit="false"/>
      <protection locked="true" hidden="false"/>
    </xf>
    <xf numFmtId="168" fontId="11" fillId="2" borderId="1" xfId="0" applyFont="true" applyBorder="true" applyAlignment="false" applyProtection="false">
      <alignment horizontal="general" vertical="bottom" textRotation="0" wrapText="false" indent="0" shrinkToFit="false"/>
      <protection locked="true" hidden="false"/>
    </xf>
    <xf numFmtId="169" fontId="11" fillId="2" borderId="1" xfId="0" applyFont="true" applyBorder="true" applyAlignment="true" applyProtection="false">
      <alignment horizontal="center" vertical="center" textRotation="0" wrapText="false" indent="0" shrinkToFit="false"/>
      <protection locked="true" hidden="false"/>
    </xf>
    <xf numFmtId="165" fontId="11" fillId="2"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9" fontId="10" fillId="3" borderId="1" xfId="0" applyFont="true" applyBorder="true" applyAlignment="true" applyProtection="false">
      <alignment horizontal="center" vertical="center" textRotation="0" wrapText="false" indent="0" shrinkToFit="false"/>
      <protection locked="true" hidden="false"/>
    </xf>
    <xf numFmtId="168" fontId="10" fillId="3"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true" applyAlignment="false" applyProtection="false">
      <alignment horizontal="general" vertical="bottom" textRotation="0" wrapText="false" indent="0" shrinkToFit="false"/>
      <protection locked="true" hidden="false"/>
    </xf>
    <xf numFmtId="164" fontId="11" fillId="6"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2E75B6"/>
          <bgColor rgb="FF000000"/>
        </patternFill>
      </fill>
    </dxf>
    <dxf>
      <fill>
        <patternFill patternType="solid">
          <fgColor rgb="FFC6EFCE"/>
          <bgColor rgb="FF000000"/>
        </patternFill>
      </fill>
    </dxf>
    <dxf>
      <fill>
        <patternFill patternType="solid">
          <bgColor rgb="FF000000"/>
        </patternFill>
      </fill>
    </dxf>
    <dxf>
      <fill>
        <patternFill patternType="solid">
          <fgColor rgb="FF0000FF"/>
          <bgColor rgb="FF000000"/>
        </patternFill>
      </fill>
    </dxf>
    <dxf>
      <fill>
        <patternFill patternType="solid">
          <fgColor rgb="FF006100"/>
          <bgColor rgb="FF000000"/>
        </patternFill>
      </fill>
    </dxf>
    <dxf>
      <fill>
        <patternFill patternType="solid">
          <fgColor rgb="FFFFFFFF"/>
          <bgColor rgb="FF000000"/>
        </patternFill>
      </fill>
    </dxf>
    <dxf>
      <fill>
        <patternFill patternType="solid">
          <fgColor rgb="FFF2F2F2"/>
          <bgColor rgb="FF000000"/>
        </patternFill>
      </fill>
    </dxf>
    <dxf>
      <fill>
        <patternFill patternType="solid">
          <fgColor rgb="FF000000"/>
          <bgColor rgb="FF000000"/>
        </patternFill>
      </fill>
    </dxf>
    <dxf>
      <font>
        <name val="Arial"/>
        <charset val="1"/>
        <family val="0"/>
        <color rgb="FF006100"/>
        <sz val="10"/>
      </font>
      <fill>
        <patternFill>
          <bgColor rgb="FFC6EFCE"/>
        </patternFill>
      </fill>
    </dxf>
    <dxf>
      <font>
        <name val="Arial"/>
        <charset val="1"/>
        <family val="0"/>
        <color rgb="FF9C5700"/>
        <sz val="10"/>
      </font>
      <fill>
        <patternFill>
          <bgColor rgb="FFFFEB9C"/>
        </patternFill>
      </fill>
    </dxf>
    <dxf>
      <font>
        <name val="Arial"/>
        <charset val="1"/>
        <family val="0"/>
        <color rgb="FF9C0006"/>
        <sz val="10"/>
      </font>
      <fill>
        <patternFill>
          <bgColor rgb="FFFFC7CE"/>
        </patternFill>
      </fill>
    </dxf>
    <dxf>
      <fill>
        <patternFill patternType="solid">
          <fgColor rgb="FFFFEB9C"/>
          <bgColor rgb="FF000000"/>
        </patternFill>
      </fill>
    </dxf>
    <dxf>
      <fill>
        <patternFill patternType="solid">
          <fgColor rgb="FF9C5700"/>
          <bgColor rgb="FF000000"/>
        </patternFill>
      </fill>
    </dxf>
    <dxf>
      <fill>
        <patternFill patternType="solid">
          <fgColor rgb="FFFFC7CE"/>
          <bgColor rgb="FF000000"/>
        </patternFill>
      </fill>
    </dxf>
    <dxf>
      <fill>
        <patternFill patternType="solid">
          <fgColor rgb="FF9C0006"/>
          <bgColor rgb="FF000000"/>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78787"/>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C00"/>
      <rgbColor rgb="FFFF9900"/>
      <rgbColor rgb="FFFF6600"/>
      <rgbColor rgb="FF4F81BD"/>
      <rgbColor rgb="FF969696"/>
      <rgbColor rgb="FF1F3864"/>
      <rgbColor rgb="FF339966"/>
      <rgbColor rgb="FF006100"/>
      <rgbColor rgb="FF333300"/>
      <rgbColor rgb="FF9C57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Current value by verdict</a:t>
            </a:r>
          </a:p>
        </c:rich>
      </c:tx>
      <c:overlay val="0"/>
      <c:spPr>
        <a:noFill/>
        <a:ln w="0">
          <a:noFill/>
        </a:ln>
      </c:spPr>
    </c:title>
    <c:autoTitleDeleted val="0"/>
    <c:plotArea>
      <c:barChart>
        <c:barDir val="col"/>
        <c:grouping val="clustered"/>
        <c:varyColors val="0"/>
        <c:ser>
          <c:idx val="0"/>
          <c:order val="0"/>
          <c:tx>
            <c:strRef>
              <c:f>Summary!E5</c:f>
              <c:strCache>
                <c:ptCount val="1"/>
                <c:pt idx="0">
                  <c:v>Current Value (Live)</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Summary!$B$6:$B$9</c:f>
              <c:strCache>
                <c:ptCount val="4"/>
                <c:pt idx="0">
                  <c:v>Best Fund</c:v>
                </c:pt>
                <c:pt idx="1">
                  <c:v>Need to Improve</c:v>
                </c:pt>
                <c:pt idx="2">
                  <c:v>Not Performing</c:v>
                </c:pt>
                <c:pt idx="3">
                  <c:v>Data Pending</c:v>
                </c:pt>
              </c:strCache>
            </c:strRef>
          </c:cat>
          <c:val>
            <c:numRef>
              <c:f>Summary!$E$6:$E$9</c:f>
              <c:numCache>
                <c:formatCode>[&gt;=10000000]"₹ "##\,##\,##\,##0.00;[&gt;=100000]"₹ "##\,##\,##0.00;"₹ "#,##0.00</c:formatCode>
                <c:ptCount val="4"/>
                <c:pt idx="0">
                  <c:v>265430</c:v>
                </c:pt>
                <c:pt idx="1">
                  <c:v>0</c:v>
                </c:pt>
                <c:pt idx="2">
                  <c:v>0</c:v>
                </c:pt>
                <c:pt idx="3">
                  <c:v>0</c:v>
                </c:pt>
              </c:numCache>
            </c:numRef>
          </c:val>
        </c:ser>
        <c:gapWidth val="150"/>
        <c:overlap val="0"/>
        <c:axId val="10747056"/>
        <c:axId val="72811622"/>
      </c:barChart>
      <c:catAx>
        <c:axId val="1074705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2811622"/>
        <c:crosses val="autoZero"/>
        <c:auto val="1"/>
        <c:lblAlgn val="ctr"/>
        <c:lblOffset val="100"/>
        <c:noMultiLvlLbl val="0"/>
      </c:catAx>
      <c:valAx>
        <c:axId val="7281162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t>
                </a:r>
              </a:p>
            </c:rich>
          </c:tx>
          <c:overlay val="0"/>
          <c:spPr>
            <a:noFill/>
            <a:ln w="0">
              <a:noFill/>
            </a:ln>
          </c:spPr>
        </c:title>
        <c:numFmt formatCode="[&gt;=10000000]&quot;₹ &quot;##\,##\,##\,##0.00;[&gt;=100000]&quot;₹ &quot;##\,##\,##0.00;&quot;₹ &quot;#,##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74705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5.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20</xdr:row>
      <xdr:rowOff>0</xdr:rowOff>
    </xdr:from>
    <xdr:to>
      <xdr:col>4</xdr:col>
      <xdr:colOff>239040</xdr:colOff>
      <xdr:row>34</xdr:row>
      <xdr:rowOff>32400</xdr:rowOff>
    </xdr:to>
    <xdr:graphicFrame>
      <xdr:nvGraphicFramePr>
        <xdr:cNvPr id="0" name="Chart 1"/>
        <xdr:cNvGraphicFramePr/>
      </xdr:nvGraphicFramePr>
      <xdr:xfrm>
        <a:off x="355680" y="4143240"/>
        <a:ext cx="503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34"/>
    <col collapsed="false" customWidth="true" hidden="false" outlineLevel="0" max="3" min="3" style="0" width="16"/>
    <col collapsed="false" customWidth="true" hidden="false" outlineLevel="0" max="4" min="4" style="0" width="14"/>
    <col collapsed="false" customWidth="true" hidden="false" outlineLevel="0" max="5" min="5" style="0" width="30"/>
    <col collapsed="false" customWidth="true" hidden="false" outlineLevel="0" max="6" min="6" style="0" width="14"/>
  </cols>
  <sheetData>
    <row r="1" customFormat="false" ht="25.5" hidden="false" customHeight="true" outlineLevel="0" collapsed="false">
      <c r="A1" s="1" t="s">
        <v>0</v>
      </c>
      <c r="B1" s="1"/>
      <c r="C1" s="1"/>
      <c r="D1" s="1"/>
      <c r="E1" s="1"/>
      <c r="F1" s="1"/>
    </row>
    <row r="2" customFormat="false" ht="15.75" hidden="false" customHeight="true" outlineLevel="0" collapsed="false">
      <c r="A2" s="2" t="s">
        <v>1</v>
      </c>
      <c r="B2" s="2"/>
      <c r="C2" s="2"/>
      <c r="D2" s="2"/>
      <c r="E2" s="2"/>
      <c r="F2" s="2"/>
    </row>
    <row r="4" customFormat="false" ht="15" hidden="false" customHeight="false" outlineLevel="0" collapsed="false">
      <c r="A4" s="3" t="s">
        <v>2</v>
      </c>
    </row>
    <row r="5" customFormat="false" ht="25.5" hidden="false" customHeight="true" outlineLevel="0" collapsed="false">
      <c r="A5" s="4" t="s">
        <v>3</v>
      </c>
      <c r="B5" s="5" t="s">
        <v>4</v>
      </c>
      <c r="C5" s="5"/>
      <c r="D5" s="5"/>
      <c r="E5" s="5"/>
      <c r="F5" s="5"/>
    </row>
    <row r="6" customFormat="false" ht="25.5" hidden="false" customHeight="true" outlineLevel="0" collapsed="false">
      <c r="A6" s="4" t="s">
        <v>5</v>
      </c>
      <c r="B6" s="5" t="s">
        <v>6</v>
      </c>
      <c r="C6" s="5"/>
      <c r="D6" s="5"/>
      <c r="E6" s="5"/>
      <c r="F6" s="5"/>
    </row>
    <row r="7" customFormat="false" ht="25.5" hidden="false" customHeight="true" outlineLevel="0" collapsed="false">
      <c r="A7" s="4" t="s">
        <v>7</v>
      </c>
      <c r="B7" s="5" t="s">
        <v>8</v>
      </c>
      <c r="C7" s="5"/>
      <c r="D7" s="5"/>
      <c r="E7" s="5"/>
      <c r="F7" s="5"/>
    </row>
    <row r="8" customFormat="false" ht="25.5" hidden="false" customHeight="true" outlineLevel="0" collapsed="false">
      <c r="A8" s="4" t="s">
        <v>9</v>
      </c>
      <c r="B8" s="5" t="s">
        <v>10</v>
      </c>
      <c r="C8" s="5"/>
      <c r="D8" s="5"/>
      <c r="E8" s="5"/>
      <c r="F8" s="5"/>
    </row>
    <row r="9" customFormat="false" ht="25.5" hidden="false" customHeight="true" outlineLevel="0" collapsed="false">
      <c r="A9" s="4" t="s">
        <v>11</v>
      </c>
      <c r="B9" s="5" t="s">
        <v>12</v>
      </c>
      <c r="C9" s="5"/>
      <c r="D9" s="5"/>
      <c r="E9" s="5"/>
      <c r="F9" s="5"/>
    </row>
    <row r="10" customFormat="false" ht="25.5" hidden="false" customHeight="true" outlineLevel="0" collapsed="false">
      <c r="A10" s="4" t="s">
        <v>13</v>
      </c>
      <c r="B10" s="5" t="s">
        <v>14</v>
      </c>
      <c r="C10" s="5"/>
      <c r="D10" s="5"/>
      <c r="E10" s="5"/>
      <c r="F10" s="5"/>
    </row>
    <row r="12" customFormat="false" ht="15" hidden="false" customHeight="false" outlineLevel="0" collapsed="false">
      <c r="A12" s="3" t="s">
        <v>15</v>
      </c>
    </row>
    <row r="13" customFormat="false" ht="15" hidden="false" customHeight="true" outlineLevel="0" collapsed="false">
      <c r="A13" s="6" t="s">
        <v>16</v>
      </c>
      <c r="B13" s="5" t="s">
        <v>17</v>
      </c>
      <c r="C13" s="5"/>
      <c r="D13" s="5"/>
      <c r="E13" s="5"/>
      <c r="F13" s="5"/>
    </row>
    <row r="14" customFormat="false" ht="15" hidden="false" customHeight="true" outlineLevel="0" collapsed="false">
      <c r="A14" s="7" t="s">
        <v>18</v>
      </c>
      <c r="B14" s="5" t="s">
        <v>19</v>
      </c>
      <c r="C14" s="5"/>
      <c r="D14" s="5"/>
      <c r="E14" s="5"/>
      <c r="F14" s="5"/>
    </row>
    <row r="15" customFormat="false" ht="15" hidden="false" customHeight="true" outlineLevel="0" collapsed="false">
      <c r="A15" s="8" t="s">
        <v>20</v>
      </c>
      <c r="B15" s="5" t="s">
        <v>21</v>
      </c>
      <c r="C15" s="5"/>
      <c r="D15" s="5"/>
      <c r="E15" s="5"/>
      <c r="F15" s="5"/>
    </row>
    <row r="17" customFormat="false" ht="15" hidden="false" customHeight="true" outlineLevel="0" collapsed="false">
      <c r="A17" s="3" t="s">
        <v>22</v>
      </c>
      <c r="B17" s="9" t="s">
        <v>23</v>
      </c>
      <c r="C17" s="9"/>
      <c r="D17" s="9"/>
      <c r="E17" s="9"/>
      <c r="F17" s="9"/>
    </row>
    <row r="18" customFormat="false" ht="15" hidden="false" customHeight="false" outlineLevel="0" collapsed="false">
      <c r="A18" s="10" t="s">
        <v>24</v>
      </c>
      <c r="B18" s="11" t="s">
        <v>25</v>
      </c>
      <c r="C18" s="11"/>
      <c r="D18" s="10" t="s">
        <v>26</v>
      </c>
    </row>
    <row r="19" customFormat="false" ht="15" hidden="false" customHeight="false" outlineLevel="0" collapsed="false">
      <c r="A19" s="12" t="s">
        <v>27</v>
      </c>
      <c r="B19" s="13" t="s">
        <v>28</v>
      </c>
      <c r="C19" s="13"/>
      <c r="D19" s="14" t="n">
        <v>0.13</v>
      </c>
    </row>
    <row r="20" customFormat="false" ht="15" hidden="false" customHeight="false" outlineLevel="0" collapsed="false">
      <c r="A20" s="15" t="s">
        <v>29</v>
      </c>
      <c r="B20" s="13" t="s">
        <v>28</v>
      </c>
      <c r="C20" s="13"/>
      <c r="D20" s="14" t="n">
        <v>0.1</v>
      </c>
    </row>
    <row r="21" customFormat="false" ht="15" hidden="false" customHeight="false" outlineLevel="0" collapsed="false">
      <c r="A21" s="16" t="s">
        <v>30</v>
      </c>
      <c r="B21" s="13" t="s">
        <v>31</v>
      </c>
      <c r="C21" s="13"/>
      <c r="D21" s="17" t="n">
        <f aca="false">$D$20</f>
        <v>0.1</v>
      </c>
    </row>
    <row r="23" customFormat="false" ht="45.75" hidden="false" customHeight="true" outlineLevel="0" collapsed="false">
      <c r="A23" s="4" t="s">
        <v>32</v>
      </c>
      <c r="B23" s="5" t="s">
        <v>33</v>
      </c>
      <c r="C23" s="5"/>
      <c r="D23" s="5"/>
      <c r="E23" s="5"/>
      <c r="F23" s="5"/>
    </row>
    <row r="25" customFormat="false" ht="15" hidden="false" customHeight="false" outlineLevel="0" collapsed="false">
      <c r="A25" s="3" t="s">
        <v>34</v>
      </c>
    </row>
    <row r="26" customFormat="false" ht="61.5" hidden="false" customHeight="true" outlineLevel="0" collapsed="false">
      <c r="A26" s="5" t="s">
        <v>35</v>
      </c>
      <c r="B26" s="5"/>
      <c r="C26" s="5"/>
      <c r="D26" s="5"/>
      <c r="E26" s="5"/>
      <c r="F26" s="5"/>
    </row>
  </sheetData>
  <mergeCells count="18">
    <mergeCell ref="A1:F1"/>
    <mergeCell ref="A2:F2"/>
    <mergeCell ref="B5:F5"/>
    <mergeCell ref="B6:F6"/>
    <mergeCell ref="B7:F7"/>
    <mergeCell ref="B8:F8"/>
    <mergeCell ref="B9:F9"/>
    <mergeCell ref="B10:F10"/>
    <mergeCell ref="B13:F13"/>
    <mergeCell ref="B14:F14"/>
    <mergeCell ref="B15:F15"/>
    <mergeCell ref="B17:F17"/>
    <mergeCell ref="B18:C18"/>
    <mergeCell ref="B19:C19"/>
    <mergeCell ref="B20:C20"/>
    <mergeCell ref="B21:C21"/>
    <mergeCell ref="B23:F23"/>
    <mergeCell ref="A26:F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5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42"/>
    <col collapsed="false" customWidth="true" hidden="false" outlineLevel="0" max="3" min="3" style="0" width="30"/>
    <col collapsed="false" customWidth="true" hidden="false" outlineLevel="0" max="4" min="4" style="0" width="12"/>
    <col collapsed="false" customWidth="true" hidden="false" outlineLevel="0" max="5" min="5" style="0" width="16"/>
    <col collapsed="false" customWidth="true" hidden="false" outlineLevel="0" max="6" min="6" style="0" width="12"/>
    <col collapsed="false" customWidth="true" hidden="false" outlineLevel="0" max="8" min="7" style="0" width="16"/>
    <col collapsed="false" customWidth="true" hidden="false" outlineLevel="0" max="9" min="9" style="0" width="15"/>
    <col collapsed="false" customWidth="true" hidden="false" outlineLevel="0" max="11" min="10" style="0" width="11"/>
    <col collapsed="false" customWidth="true" hidden="false" outlineLevel="0" max="12" min="12" style="0" width="12"/>
    <col collapsed="false" customWidth="true" hidden="false" outlineLevel="0" max="13" min="13" style="0" width="11"/>
    <col collapsed="false" customWidth="true" hidden="false" outlineLevel="0" max="14" min="14" style="0" width="13"/>
    <col collapsed="false" customWidth="true" hidden="false" outlineLevel="0" max="16" min="15" style="0" width="12"/>
    <col collapsed="false" customWidth="true" hidden="false" outlineLevel="0" max="17" min="17" style="0" width="10"/>
    <col collapsed="false" customWidth="true" hidden="false" outlineLevel="0" max="18" min="18" style="0" width="17"/>
    <col collapsed="false" customWidth="true" hidden="false" outlineLevel="0" max="19" min="19" style="0" width="26"/>
    <col collapsed="false" customWidth="true" hidden="false" outlineLevel="0" max="20" min="20" style="0" width="46"/>
    <col collapsed="false" customWidth="true" hidden="true" outlineLevel="0" max="23" min="21" style="0" width="3"/>
  </cols>
  <sheetData>
    <row r="1" customFormat="false" ht="25.5" hidden="false" customHeight="true" outlineLevel="0" collapsed="false">
      <c r="A1" s="1" t="s">
        <v>36</v>
      </c>
      <c r="B1" s="1"/>
      <c r="C1" s="1"/>
      <c r="D1" s="1"/>
      <c r="E1" s="1"/>
      <c r="F1" s="1"/>
      <c r="G1" s="1"/>
      <c r="H1" s="1"/>
      <c r="I1" s="1"/>
      <c r="J1" s="1"/>
      <c r="K1" s="1"/>
      <c r="L1" s="1"/>
      <c r="M1" s="1"/>
      <c r="N1" s="1"/>
      <c r="O1" s="1"/>
      <c r="P1" s="1"/>
      <c r="Q1" s="1"/>
      <c r="R1" s="1"/>
      <c r="S1" s="1"/>
      <c r="T1" s="1"/>
    </row>
    <row r="2" customFormat="false" ht="15.75" hidden="false" customHeight="true" outlineLevel="0" collapsed="false">
      <c r="A2" s="2" t="s">
        <v>37</v>
      </c>
      <c r="B2" s="2"/>
      <c r="C2" s="2"/>
      <c r="D2" s="2"/>
      <c r="E2" s="2"/>
      <c r="F2" s="2"/>
      <c r="G2" s="2"/>
      <c r="H2" s="2"/>
      <c r="I2" s="2"/>
      <c r="J2" s="2"/>
      <c r="K2" s="2"/>
      <c r="L2" s="2"/>
      <c r="M2" s="2"/>
      <c r="N2" s="2"/>
      <c r="O2" s="2"/>
      <c r="P2" s="2"/>
      <c r="Q2" s="2"/>
      <c r="R2" s="2"/>
      <c r="S2" s="2"/>
      <c r="T2" s="2"/>
    </row>
    <row r="3" customFormat="false" ht="15" hidden="false" customHeight="false" outlineLevel="0" collapsed="false">
      <c r="A3" s="4" t="s">
        <v>38</v>
      </c>
      <c r="B3" s="18"/>
      <c r="C3" s="4" t="s">
        <v>39</v>
      </c>
      <c r="D3" s="19"/>
      <c r="E3" s="19"/>
      <c r="F3" s="19"/>
      <c r="G3" s="19"/>
      <c r="H3" s="20" t="s">
        <v>40</v>
      </c>
      <c r="I3" s="21" t="n">
        <f aca="false">COUNTA($B$6:$B$505)</f>
        <v>1</v>
      </c>
      <c r="K3" s="20" t="s">
        <v>41</v>
      </c>
      <c r="L3" s="22" t="n">
        <f aca="false">Instructions!$D$19</f>
        <v>0.13</v>
      </c>
      <c r="M3" s="23" t="s">
        <v>42</v>
      </c>
      <c r="N3" s="22" t="n">
        <f aca="false">Instructions!$D$20</f>
        <v>0.1</v>
      </c>
      <c r="O3" s="23" t="s">
        <v>43</v>
      </c>
    </row>
    <row r="4" customFormat="false" ht="15" hidden="false" customHeight="false" outlineLevel="0" collapsed="false">
      <c r="A4" s="24" t="s">
        <v>44</v>
      </c>
      <c r="B4" s="24"/>
      <c r="C4" s="24"/>
      <c r="D4" s="24"/>
      <c r="E4" s="24"/>
      <c r="F4" s="24"/>
      <c r="G4" s="24"/>
      <c r="H4" s="24"/>
      <c r="I4" s="24"/>
      <c r="J4" s="24"/>
      <c r="K4" s="24"/>
      <c r="L4" s="24"/>
      <c r="M4" s="24"/>
      <c r="N4" s="24"/>
      <c r="O4" s="24"/>
      <c r="P4" s="24"/>
      <c r="Q4" s="24"/>
      <c r="R4" s="24"/>
      <c r="S4" s="24"/>
      <c r="T4" s="24"/>
    </row>
    <row r="5" customFormat="false" ht="31.5" hidden="false" customHeight="true" outlineLevel="0" collapsed="false">
      <c r="A5" s="25" t="s">
        <v>45</v>
      </c>
      <c r="B5" s="25" t="s">
        <v>46</v>
      </c>
      <c r="C5" s="25" t="s">
        <v>47</v>
      </c>
      <c r="D5" s="25" t="s">
        <v>48</v>
      </c>
      <c r="E5" s="25" t="s">
        <v>49</v>
      </c>
      <c r="F5" s="25" t="s">
        <v>50</v>
      </c>
      <c r="G5" s="25" t="s">
        <v>51</v>
      </c>
      <c r="H5" s="25" t="s">
        <v>52</v>
      </c>
      <c r="I5" s="25" t="s">
        <v>53</v>
      </c>
      <c r="J5" s="25" t="s">
        <v>54</v>
      </c>
      <c r="K5" s="25" t="s">
        <v>55</v>
      </c>
      <c r="L5" s="25" t="s">
        <v>56</v>
      </c>
      <c r="M5" s="25" t="s">
        <v>57</v>
      </c>
      <c r="N5" s="25" t="s">
        <v>58</v>
      </c>
      <c r="O5" s="25" t="s">
        <v>59</v>
      </c>
      <c r="P5" s="25" t="s">
        <v>60</v>
      </c>
      <c r="Q5" s="25" t="s">
        <v>61</v>
      </c>
      <c r="R5" s="25" t="s">
        <v>24</v>
      </c>
      <c r="S5" s="25" t="s">
        <v>62</v>
      </c>
      <c r="T5" s="25" t="s">
        <v>63</v>
      </c>
      <c r="U5" s="25" t="s">
        <v>64</v>
      </c>
      <c r="V5" s="25" t="s">
        <v>65</v>
      </c>
      <c r="W5" s="25" t="s">
        <v>66</v>
      </c>
    </row>
    <row r="6" customFormat="false" ht="15" hidden="false" customHeight="true" outlineLevel="0" collapsed="false">
      <c r="A6" s="26" t="s">
        <v>67</v>
      </c>
      <c r="B6" s="26" t="s">
        <v>68</v>
      </c>
      <c r="C6" s="26" t="s">
        <v>69</v>
      </c>
      <c r="D6" s="27" t="str">
        <f aca="false">IF($C6="","",IFERROR(TRIM(LEFT($C6,FIND("-",$C6)-1)),""))</f>
        <v>Equity</v>
      </c>
      <c r="E6" s="26" t="s">
        <v>70</v>
      </c>
      <c r="F6" s="28" t="n">
        <v>44348</v>
      </c>
      <c r="G6" s="29" t="n">
        <v>190000</v>
      </c>
      <c r="H6" s="29" t="n">
        <v>265430</v>
      </c>
      <c r="I6" s="30" t="n">
        <f aca="false">IF($B6="","",$H6-$G6)</f>
        <v>75430</v>
      </c>
      <c r="J6" s="31" t="n">
        <f aca="false">IF(OR($B6="",$G6=0,$G6=""),"",$I6/$G6)</f>
        <v>0.397</v>
      </c>
      <c r="K6" s="32" t="n">
        <v>0.184</v>
      </c>
      <c r="L6" s="32" t="n">
        <v>0.1512</v>
      </c>
      <c r="M6" s="32" t="n">
        <v>0.1725</v>
      </c>
      <c r="N6" s="32" t="n">
        <v>0.141</v>
      </c>
      <c r="O6" s="32" t="n">
        <v>0.1365</v>
      </c>
      <c r="P6" s="31" t="n">
        <f aca="false">IF(OR($L6="",$N6=""),"",$L6-$N6)</f>
        <v>0.0102</v>
      </c>
      <c r="Q6" s="27" t="str">
        <f aca="false">IF($B6="","",IF(N($H6)&gt;0,"Live","Exited"))</f>
        <v>Live</v>
      </c>
      <c r="R6" s="27" t="str">
        <f aca="false">IF($B6="","",IF($L6="","Data Pending",IF($L6&gt;=Instructions!$D$19,"Best Fund",IF($L6&gt;=Instructions!$D$20,"Need to Improve","Not Performing"))))</f>
        <v>Best Fund</v>
      </c>
      <c r="S6" s="7" t="str">
        <f aca="false">IF($R6="","",IF($R6="Data Pending","Enter the 3Y return",IF($R6="Best Fund","Hold / consider top-up",IF($R6="Need to Improve","Watch 2 quarters, then decide","Review with client - switch or exit"))))</f>
        <v>Hold / consider top-up</v>
      </c>
      <c r="T6" s="26" t="s">
        <v>71</v>
      </c>
      <c r="U6" s="7" t="n">
        <f aca="false">IF($R6&lt;&gt;"Best Fund","",COUNTIFS($R$6:$R$505,"Best Fund",$L$6:$L$505,"&gt;"&amp;$L6)+COUNTIFS($R$6:$R6,"Best Fund",$L$6:$L6,$L6))</f>
        <v>1</v>
      </c>
      <c r="V6" s="7" t="str">
        <f aca="false">IF($R6&lt;&gt;"Need to Improve","",COUNTIFS($R$6:$R$505,"Need to Improve",$L$6:$L$505,"&lt;"&amp;$L6)+COUNTIFS($R$6:$R6,"Need to Improve",$L$6:$L6,$L6))</f>
        <v/>
      </c>
      <c r="W6" s="7" t="str">
        <f aca="false">IF($R6&lt;&gt;"Not Performing","",COUNTIFS($R$6:$R$505,"Not Performing",$L$6:$L$505,"&lt;"&amp;$L6)+COUNTIFS($R$6:$R6,"Not Performing",$L$6:$L6,$L6))</f>
        <v/>
      </c>
    </row>
    <row r="7" customFormat="false" ht="15" hidden="false" customHeight="true" outlineLevel="0" collapsed="false">
      <c r="A7" s="26"/>
      <c r="B7" s="26"/>
      <c r="C7" s="26"/>
      <c r="D7" s="27" t="str">
        <f aca="false">IF($C7="","",IFERROR(TRIM(LEFT($C7,FIND("-",$C7)-1)),""))</f>
        <v/>
      </c>
      <c r="E7" s="26"/>
      <c r="F7" s="28"/>
      <c r="G7" s="29"/>
      <c r="H7" s="29"/>
      <c r="I7" s="30" t="str">
        <f aca="false">IF($B7="","",$H7-$G7)</f>
        <v/>
      </c>
      <c r="J7" s="31" t="str">
        <f aca="false">IF(OR($B7="",$G7=0,$G7=""),"",$I7/$G7)</f>
        <v/>
      </c>
      <c r="K7" s="32"/>
      <c r="L7" s="32"/>
      <c r="M7" s="32"/>
      <c r="N7" s="32"/>
      <c r="O7" s="32"/>
      <c r="P7" s="31" t="str">
        <f aca="false">IF(OR($L7="",$N7=""),"",$L7-$N7)</f>
        <v/>
      </c>
      <c r="Q7" s="27" t="str">
        <f aca="false">IF($B7="","",IF(N($H7)&gt;0,"Live","Exited"))</f>
        <v/>
      </c>
      <c r="R7" s="27" t="str">
        <f aca="false">IF($B7="","",IF($L7="","Data Pending",IF($L7&gt;=Instructions!$D$19,"Best Fund",IF($L7&gt;=Instructions!$D$20,"Need to Improve","Not Performing"))))</f>
        <v/>
      </c>
      <c r="S7" s="7" t="str">
        <f aca="false">IF($R7="","",IF($R7="Data Pending","Enter the 3Y return",IF($R7="Best Fund","Hold / consider top-up",IF($R7="Need to Improve","Watch 2 quarters, then decide","Review with client - switch or exit"))))</f>
        <v/>
      </c>
      <c r="T7" s="26"/>
      <c r="U7" s="7" t="str">
        <f aca="false">IF($R7&lt;&gt;"Best Fund","",COUNTIFS($R$6:$R$505,"Best Fund",$L$6:$L$505,"&gt;"&amp;$L7)+COUNTIFS($R$6:$R7,"Best Fund",$L$6:$L7,$L7))</f>
        <v/>
      </c>
      <c r="V7" s="7" t="str">
        <f aca="false">IF($R7&lt;&gt;"Need to Improve","",COUNTIFS($R$6:$R$505,"Need to Improve",$L$6:$L$505,"&lt;"&amp;$L7)+COUNTIFS($R$6:$R7,"Need to Improve",$L$6:$L7,$L7))</f>
        <v/>
      </c>
      <c r="W7" s="7" t="str">
        <f aca="false">IF($R7&lt;&gt;"Not Performing","",COUNTIFS($R$6:$R$505,"Not Performing",$L$6:$L$505,"&lt;"&amp;$L7)+COUNTIFS($R$6:$R7,"Not Performing",$L$6:$L7,$L7))</f>
        <v/>
      </c>
    </row>
    <row r="8" customFormat="false" ht="15" hidden="false" customHeight="true" outlineLevel="0" collapsed="false">
      <c r="A8" s="26"/>
      <c r="B8" s="26"/>
      <c r="C8" s="26"/>
      <c r="D8" s="27" t="str">
        <f aca="false">IF($C8="","",IFERROR(TRIM(LEFT($C8,FIND("-",$C8)-1)),""))</f>
        <v/>
      </c>
      <c r="E8" s="26"/>
      <c r="F8" s="28"/>
      <c r="G8" s="29"/>
      <c r="H8" s="29"/>
      <c r="I8" s="30" t="str">
        <f aca="false">IF($B8="","",$H8-$G8)</f>
        <v/>
      </c>
      <c r="J8" s="31" t="str">
        <f aca="false">IF(OR($B8="",$G8=0,$G8=""),"",$I8/$G8)</f>
        <v/>
      </c>
      <c r="K8" s="32"/>
      <c r="L8" s="32"/>
      <c r="M8" s="32"/>
      <c r="N8" s="32"/>
      <c r="O8" s="32"/>
      <c r="P8" s="31" t="str">
        <f aca="false">IF(OR($L8="",$N8=""),"",$L8-$N8)</f>
        <v/>
      </c>
      <c r="Q8" s="27" t="str">
        <f aca="false">IF($B8="","",IF(N($H8)&gt;0,"Live","Exited"))</f>
        <v/>
      </c>
      <c r="R8" s="27" t="str">
        <f aca="false">IF($B8="","",IF($L8="","Data Pending",IF($L8&gt;=Instructions!$D$19,"Best Fund",IF($L8&gt;=Instructions!$D$20,"Need to Improve","Not Performing"))))</f>
        <v/>
      </c>
      <c r="S8" s="7" t="str">
        <f aca="false">IF($R8="","",IF($R8="Data Pending","Enter the 3Y return",IF($R8="Best Fund","Hold / consider top-up",IF($R8="Need to Improve","Watch 2 quarters, then decide","Review with client - switch or exit"))))</f>
        <v/>
      </c>
      <c r="T8" s="26"/>
      <c r="U8" s="7" t="str">
        <f aca="false">IF($R8&lt;&gt;"Best Fund","",COUNTIFS($R$6:$R$505,"Best Fund",$L$6:$L$505,"&gt;"&amp;$L8)+COUNTIFS($R$6:$R8,"Best Fund",$L$6:$L8,$L8))</f>
        <v/>
      </c>
      <c r="V8" s="7" t="str">
        <f aca="false">IF($R8&lt;&gt;"Need to Improve","",COUNTIFS($R$6:$R$505,"Need to Improve",$L$6:$L$505,"&lt;"&amp;$L8)+COUNTIFS($R$6:$R8,"Need to Improve",$L$6:$L8,$L8))</f>
        <v/>
      </c>
      <c r="W8" s="7" t="str">
        <f aca="false">IF($R8&lt;&gt;"Not Performing","",COUNTIFS($R$6:$R$505,"Not Performing",$L$6:$L$505,"&lt;"&amp;$L8)+COUNTIFS($R$6:$R8,"Not Performing",$L$6:$L8,$L8))</f>
        <v/>
      </c>
    </row>
    <row r="9" customFormat="false" ht="15" hidden="false" customHeight="true" outlineLevel="0" collapsed="false">
      <c r="A9" s="26"/>
      <c r="B9" s="26"/>
      <c r="C9" s="26"/>
      <c r="D9" s="27" t="str">
        <f aca="false">IF($C9="","",IFERROR(TRIM(LEFT($C9,FIND("-",$C9)-1)),""))</f>
        <v/>
      </c>
      <c r="E9" s="26"/>
      <c r="F9" s="28"/>
      <c r="G9" s="29"/>
      <c r="H9" s="29"/>
      <c r="I9" s="30" t="str">
        <f aca="false">IF($B9="","",$H9-$G9)</f>
        <v/>
      </c>
      <c r="J9" s="31" t="str">
        <f aca="false">IF(OR($B9="",$G9=0,$G9=""),"",$I9/$G9)</f>
        <v/>
      </c>
      <c r="K9" s="32"/>
      <c r="L9" s="32"/>
      <c r="M9" s="32"/>
      <c r="N9" s="32"/>
      <c r="O9" s="32"/>
      <c r="P9" s="31" t="str">
        <f aca="false">IF(OR($L9="",$N9=""),"",$L9-$N9)</f>
        <v/>
      </c>
      <c r="Q9" s="27" t="str">
        <f aca="false">IF($B9="","",IF(N($H9)&gt;0,"Live","Exited"))</f>
        <v/>
      </c>
      <c r="R9" s="27" t="str">
        <f aca="false">IF($B9="","",IF($L9="","Data Pending",IF($L9&gt;=Instructions!$D$19,"Best Fund",IF($L9&gt;=Instructions!$D$20,"Need to Improve","Not Performing"))))</f>
        <v/>
      </c>
      <c r="S9" s="7" t="str">
        <f aca="false">IF($R9="","",IF($R9="Data Pending","Enter the 3Y return",IF($R9="Best Fund","Hold / consider top-up",IF($R9="Need to Improve","Watch 2 quarters, then decide","Review with client - switch or exit"))))</f>
        <v/>
      </c>
      <c r="T9" s="26"/>
      <c r="U9" s="7" t="str">
        <f aca="false">IF($R9&lt;&gt;"Best Fund","",COUNTIFS($R$6:$R$505,"Best Fund",$L$6:$L$505,"&gt;"&amp;$L9)+COUNTIFS($R$6:$R9,"Best Fund",$L$6:$L9,$L9))</f>
        <v/>
      </c>
      <c r="V9" s="7" t="str">
        <f aca="false">IF($R9&lt;&gt;"Need to Improve","",COUNTIFS($R$6:$R$505,"Need to Improve",$L$6:$L$505,"&lt;"&amp;$L9)+COUNTIFS($R$6:$R9,"Need to Improve",$L$6:$L9,$L9))</f>
        <v/>
      </c>
      <c r="W9" s="7" t="str">
        <f aca="false">IF($R9&lt;&gt;"Not Performing","",COUNTIFS($R$6:$R$505,"Not Performing",$L$6:$L$505,"&lt;"&amp;$L9)+COUNTIFS($R$6:$R9,"Not Performing",$L$6:$L9,$L9))</f>
        <v/>
      </c>
    </row>
    <row r="10" customFormat="false" ht="15" hidden="false" customHeight="true" outlineLevel="0" collapsed="false">
      <c r="A10" s="26"/>
      <c r="B10" s="26"/>
      <c r="C10" s="26"/>
      <c r="D10" s="27" t="str">
        <f aca="false">IF($C10="","",IFERROR(TRIM(LEFT($C10,FIND("-",$C10)-1)),""))</f>
        <v/>
      </c>
      <c r="E10" s="26"/>
      <c r="F10" s="28"/>
      <c r="G10" s="29"/>
      <c r="H10" s="29"/>
      <c r="I10" s="30" t="str">
        <f aca="false">IF($B10="","",$H10-$G10)</f>
        <v/>
      </c>
      <c r="J10" s="31" t="str">
        <f aca="false">IF(OR($B10="",$G10=0,$G10=""),"",$I10/$G10)</f>
        <v/>
      </c>
      <c r="K10" s="32"/>
      <c r="L10" s="32"/>
      <c r="M10" s="32"/>
      <c r="N10" s="32"/>
      <c r="O10" s="32"/>
      <c r="P10" s="31" t="str">
        <f aca="false">IF(OR($L10="",$N10=""),"",$L10-$N10)</f>
        <v/>
      </c>
      <c r="Q10" s="27" t="str">
        <f aca="false">IF($B10="","",IF(N($H10)&gt;0,"Live","Exited"))</f>
        <v/>
      </c>
      <c r="R10" s="27" t="str">
        <f aca="false">IF($B10="","",IF($L10="","Data Pending",IF($L10&gt;=Instructions!$D$19,"Best Fund",IF($L10&gt;=Instructions!$D$20,"Need to Improve","Not Performing"))))</f>
        <v/>
      </c>
      <c r="S10" s="7" t="str">
        <f aca="false">IF($R10="","",IF($R10="Data Pending","Enter the 3Y return",IF($R10="Best Fund","Hold / consider top-up",IF($R10="Need to Improve","Watch 2 quarters, then decide","Review with client - switch or exit"))))</f>
        <v/>
      </c>
      <c r="T10" s="26"/>
      <c r="U10" s="7" t="str">
        <f aca="false">IF($R10&lt;&gt;"Best Fund","",COUNTIFS($R$6:$R$505,"Best Fund",$L$6:$L$505,"&gt;"&amp;$L10)+COUNTIFS($R$6:$R10,"Best Fund",$L$6:$L10,$L10))</f>
        <v/>
      </c>
      <c r="V10" s="7" t="str">
        <f aca="false">IF($R10&lt;&gt;"Need to Improve","",COUNTIFS($R$6:$R$505,"Need to Improve",$L$6:$L$505,"&lt;"&amp;$L10)+COUNTIFS($R$6:$R10,"Need to Improve",$L$6:$L10,$L10))</f>
        <v/>
      </c>
      <c r="W10" s="7" t="str">
        <f aca="false">IF($R10&lt;&gt;"Not Performing","",COUNTIFS($R$6:$R$505,"Not Performing",$L$6:$L$505,"&lt;"&amp;$L10)+COUNTIFS($R$6:$R10,"Not Performing",$L$6:$L10,$L10))</f>
        <v/>
      </c>
    </row>
    <row r="11" customFormat="false" ht="15" hidden="false" customHeight="true" outlineLevel="0" collapsed="false">
      <c r="A11" s="26"/>
      <c r="B11" s="26"/>
      <c r="C11" s="26"/>
      <c r="D11" s="27" t="str">
        <f aca="false">IF($C11="","",IFERROR(TRIM(LEFT($C11,FIND("-",$C11)-1)),""))</f>
        <v/>
      </c>
      <c r="E11" s="26"/>
      <c r="F11" s="28"/>
      <c r="G11" s="29"/>
      <c r="H11" s="29"/>
      <c r="I11" s="30" t="str">
        <f aca="false">IF($B11="","",$H11-$G11)</f>
        <v/>
      </c>
      <c r="J11" s="31" t="str">
        <f aca="false">IF(OR($B11="",$G11=0,$G11=""),"",$I11/$G11)</f>
        <v/>
      </c>
      <c r="K11" s="32"/>
      <c r="L11" s="32"/>
      <c r="M11" s="32"/>
      <c r="N11" s="32"/>
      <c r="O11" s="32"/>
      <c r="P11" s="31" t="str">
        <f aca="false">IF(OR($L11="",$N11=""),"",$L11-$N11)</f>
        <v/>
      </c>
      <c r="Q11" s="27" t="str">
        <f aca="false">IF($B11="","",IF(N($H11)&gt;0,"Live","Exited"))</f>
        <v/>
      </c>
      <c r="R11" s="27" t="str">
        <f aca="false">IF($B11="","",IF($L11="","Data Pending",IF($L11&gt;=Instructions!$D$19,"Best Fund",IF($L11&gt;=Instructions!$D$20,"Need to Improve","Not Performing"))))</f>
        <v/>
      </c>
      <c r="S11" s="7" t="str">
        <f aca="false">IF($R11="","",IF($R11="Data Pending","Enter the 3Y return",IF($R11="Best Fund","Hold / consider top-up",IF($R11="Need to Improve","Watch 2 quarters, then decide","Review with client - switch or exit"))))</f>
        <v/>
      </c>
      <c r="T11" s="26"/>
      <c r="U11" s="7" t="str">
        <f aca="false">IF($R11&lt;&gt;"Best Fund","",COUNTIFS($R$6:$R$505,"Best Fund",$L$6:$L$505,"&gt;"&amp;$L11)+COUNTIFS($R$6:$R11,"Best Fund",$L$6:$L11,$L11))</f>
        <v/>
      </c>
      <c r="V11" s="7" t="str">
        <f aca="false">IF($R11&lt;&gt;"Need to Improve","",COUNTIFS($R$6:$R$505,"Need to Improve",$L$6:$L$505,"&lt;"&amp;$L11)+COUNTIFS($R$6:$R11,"Need to Improve",$L$6:$L11,$L11))</f>
        <v/>
      </c>
      <c r="W11" s="7" t="str">
        <f aca="false">IF($R11&lt;&gt;"Not Performing","",COUNTIFS($R$6:$R$505,"Not Performing",$L$6:$L$505,"&lt;"&amp;$L11)+COUNTIFS($R$6:$R11,"Not Performing",$L$6:$L11,$L11))</f>
        <v/>
      </c>
    </row>
    <row r="12" customFormat="false" ht="15" hidden="false" customHeight="true" outlineLevel="0" collapsed="false">
      <c r="A12" s="26"/>
      <c r="B12" s="26"/>
      <c r="C12" s="26"/>
      <c r="D12" s="27" t="str">
        <f aca="false">IF($C12="","",IFERROR(TRIM(LEFT($C12,FIND("-",$C12)-1)),""))</f>
        <v/>
      </c>
      <c r="E12" s="26"/>
      <c r="F12" s="28"/>
      <c r="G12" s="29"/>
      <c r="H12" s="29"/>
      <c r="I12" s="30" t="str">
        <f aca="false">IF($B12="","",$H12-$G12)</f>
        <v/>
      </c>
      <c r="J12" s="31" t="str">
        <f aca="false">IF(OR($B12="",$G12=0,$G12=""),"",$I12/$G12)</f>
        <v/>
      </c>
      <c r="K12" s="32"/>
      <c r="L12" s="32"/>
      <c r="M12" s="32"/>
      <c r="N12" s="32"/>
      <c r="O12" s="32"/>
      <c r="P12" s="31" t="str">
        <f aca="false">IF(OR($L12="",$N12=""),"",$L12-$N12)</f>
        <v/>
      </c>
      <c r="Q12" s="27" t="str">
        <f aca="false">IF($B12="","",IF(N($H12)&gt;0,"Live","Exited"))</f>
        <v/>
      </c>
      <c r="R12" s="27" t="str">
        <f aca="false">IF($B12="","",IF($L12="","Data Pending",IF($L12&gt;=Instructions!$D$19,"Best Fund",IF($L12&gt;=Instructions!$D$20,"Need to Improve","Not Performing"))))</f>
        <v/>
      </c>
      <c r="S12" s="7" t="str">
        <f aca="false">IF($R12="","",IF($R12="Data Pending","Enter the 3Y return",IF($R12="Best Fund","Hold / consider top-up",IF($R12="Need to Improve","Watch 2 quarters, then decide","Review with client - switch or exit"))))</f>
        <v/>
      </c>
      <c r="T12" s="26"/>
      <c r="U12" s="7" t="str">
        <f aca="false">IF($R12&lt;&gt;"Best Fund","",COUNTIFS($R$6:$R$505,"Best Fund",$L$6:$L$505,"&gt;"&amp;$L12)+COUNTIFS($R$6:$R12,"Best Fund",$L$6:$L12,$L12))</f>
        <v/>
      </c>
      <c r="V12" s="7" t="str">
        <f aca="false">IF($R12&lt;&gt;"Need to Improve","",COUNTIFS($R$6:$R$505,"Need to Improve",$L$6:$L$505,"&lt;"&amp;$L12)+COUNTIFS($R$6:$R12,"Need to Improve",$L$6:$L12,$L12))</f>
        <v/>
      </c>
      <c r="W12" s="7" t="str">
        <f aca="false">IF($R12&lt;&gt;"Not Performing","",COUNTIFS($R$6:$R$505,"Not Performing",$L$6:$L$505,"&lt;"&amp;$L12)+COUNTIFS($R$6:$R12,"Not Performing",$L$6:$L12,$L12))</f>
        <v/>
      </c>
    </row>
    <row r="13" customFormat="false" ht="15" hidden="false" customHeight="true" outlineLevel="0" collapsed="false">
      <c r="A13" s="26"/>
      <c r="B13" s="26"/>
      <c r="C13" s="26"/>
      <c r="D13" s="27" t="str">
        <f aca="false">IF($C13="","",IFERROR(TRIM(LEFT($C13,FIND("-",$C13)-1)),""))</f>
        <v/>
      </c>
      <c r="E13" s="26"/>
      <c r="F13" s="28"/>
      <c r="G13" s="29"/>
      <c r="H13" s="29"/>
      <c r="I13" s="30" t="str">
        <f aca="false">IF($B13="","",$H13-$G13)</f>
        <v/>
      </c>
      <c r="J13" s="31" t="str">
        <f aca="false">IF(OR($B13="",$G13=0,$G13=""),"",$I13/$G13)</f>
        <v/>
      </c>
      <c r="K13" s="32"/>
      <c r="L13" s="32"/>
      <c r="M13" s="32"/>
      <c r="N13" s="32"/>
      <c r="O13" s="32"/>
      <c r="P13" s="31" t="str">
        <f aca="false">IF(OR($L13="",$N13=""),"",$L13-$N13)</f>
        <v/>
      </c>
      <c r="Q13" s="27" t="str">
        <f aca="false">IF($B13="","",IF(N($H13)&gt;0,"Live","Exited"))</f>
        <v/>
      </c>
      <c r="R13" s="27" t="str">
        <f aca="false">IF($B13="","",IF($L13="","Data Pending",IF($L13&gt;=Instructions!$D$19,"Best Fund",IF($L13&gt;=Instructions!$D$20,"Need to Improve","Not Performing"))))</f>
        <v/>
      </c>
      <c r="S13" s="7" t="str">
        <f aca="false">IF($R13="","",IF($R13="Data Pending","Enter the 3Y return",IF($R13="Best Fund","Hold / consider top-up",IF($R13="Need to Improve","Watch 2 quarters, then decide","Review with client - switch or exit"))))</f>
        <v/>
      </c>
      <c r="T13" s="26"/>
      <c r="U13" s="7" t="str">
        <f aca="false">IF($R13&lt;&gt;"Best Fund","",COUNTIFS($R$6:$R$505,"Best Fund",$L$6:$L$505,"&gt;"&amp;$L13)+COUNTIFS($R$6:$R13,"Best Fund",$L$6:$L13,$L13))</f>
        <v/>
      </c>
      <c r="V13" s="7" t="str">
        <f aca="false">IF($R13&lt;&gt;"Need to Improve","",COUNTIFS($R$6:$R$505,"Need to Improve",$L$6:$L$505,"&lt;"&amp;$L13)+COUNTIFS($R$6:$R13,"Need to Improve",$L$6:$L13,$L13))</f>
        <v/>
      </c>
      <c r="W13" s="7" t="str">
        <f aca="false">IF($R13&lt;&gt;"Not Performing","",COUNTIFS($R$6:$R$505,"Not Performing",$L$6:$L$505,"&lt;"&amp;$L13)+COUNTIFS($R$6:$R13,"Not Performing",$L$6:$L13,$L13))</f>
        <v/>
      </c>
    </row>
    <row r="14" customFormat="false" ht="15" hidden="false" customHeight="true" outlineLevel="0" collapsed="false">
      <c r="A14" s="26"/>
      <c r="B14" s="26"/>
      <c r="C14" s="26"/>
      <c r="D14" s="27" t="str">
        <f aca="false">IF($C14="","",IFERROR(TRIM(LEFT($C14,FIND("-",$C14)-1)),""))</f>
        <v/>
      </c>
      <c r="E14" s="26"/>
      <c r="F14" s="28"/>
      <c r="G14" s="29"/>
      <c r="H14" s="29"/>
      <c r="I14" s="30" t="str">
        <f aca="false">IF($B14="","",$H14-$G14)</f>
        <v/>
      </c>
      <c r="J14" s="31" t="str">
        <f aca="false">IF(OR($B14="",$G14=0,$G14=""),"",$I14/$G14)</f>
        <v/>
      </c>
      <c r="K14" s="32"/>
      <c r="L14" s="32"/>
      <c r="M14" s="32"/>
      <c r="N14" s="32"/>
      <c r="O14" s="32"/>
      <c r="P14" s="31" t="str">
        <f aca="false">IF(OR($L14="",$N14=""),"",$L14-$N14)</f>
        <v/>
      </c>
      <c r="Q14" s="27" t="str">
        <f aca="false">IF($B14="","",IF(N($H14)&gt;0,"Live","Exited"))</f>
        <v/>
      </c>
      <c r="R14" s="27" t="str">
        <f aca="false">IF($B14="","",IF($L14="","Data Pending",IF($L14&gt;=Instructions!$D$19,"Best Fund",IF($L14&gt;=Instructions!$D$20,"Need to Improve","Not Performing"))))</f>
        <v/>
      </c>
      <c r="S14" s="7" t="str">
        <f aca="false">IF($R14="","",IF($R14="Data Pending","Enter the 3Y return",IF($R14="Best Fund","Hold / consider top-up",IF($R14="Need to Improve","Watch 2 quarters, then decide","Review with client - switch or exit"))))</f>
        <v/>
      </c>
      <c r="T14" s="26"/>
      <c r="U14" s="7" t="str">
        <f aca="false">IF($R14&lt;&gt;"Best Fund","",COUNTIFS($R$6:$R$505,"Best Fund",$L$6:$L$505,"&gt;"&amp;$L14)+COUNTIFS($R$6:$R14,"Best Fund",$L$6:$L14,$L14))</f>
        <v/>
      </c>
      <c r="V14" s="7" t="str">
        <f aca="false">IF($R14&lt;&gt;"Need to Improve","",COUNTIFS($R$6:$R$505,"Need to Improve",$L$6:$L$505,"&lt;"&amp;$L14)+COUNTIFS($R$6:$R14,"Need to Improve",$L$6:$L14,$L14))</f>
        <v/>
      </c>
      <c r="W14" s="7" t="str">
        <f aca="false">IF($R14&lt;&gt;"Not Performing","",COUNTIFS($R$6:$R$505,"Not Performing",$L$6:$L$505,"&lt;"&amp;$L14)+COUNTIFS($R$6:$R14,"Not Performing",$L$6:$L14,$L14))</f>
        <v/>
      </c>
    </row>
    <row r="15" customFormat="false" ht="15" hidden="false" customHeight="true" outlineLevel="0" collapsed="false">
      <c r="A15" s="26"/>
      <c r="B15" s="26"/>
      <c r="C15" s="26"/>
      <c r="D15" s="27" t="str">
        <f aca="false">IF($C15="","",IFERROR(TRIM(LEFT($C15,FIND("-",$C15)-1)),""))</f>
        <v/>
      </c>
      <c r="E15" s="26"/>
      <c r="F15" s="28"/>
      <c r="G15" s="29"/>
      <c r="H15" s="29"/>
      <c r="I15" s="30" t="str">
        <f aca="false">IF($B15="","",$H15-$G15)</f>
        <v/>
      </c>
      <c r="J15" s="31" t="str">
        <f aca="false">IF(OR($B15="",$G15=0,$G15=""),"",$I15/$G15)</f>
        <v/>
      </c>
      <c r="K15" s="32"/>
      <c r="L15" s="32"/>
      <c r="M15" s="32"/>
      <c r="N15" s="32"/>
      <c r="O15" s="32"/>
      <c r="P15" s="31" t="str">
        <f aca="false">IF(OR($L15="",$N15=""),"",$L15-$N15)</f>
        <v/>
      </c>
      <c r="Q15" s="27" t="str">
        <f aca="false">IF($B15="","",IF(N($H15)&gt;0,"Live","Exited"))</f>
        <v/>
      </c>
      <c r="R15" s="27" t="str">
        <f aca="false">IF($B15="","",IF($L15="","Data Pending",IF($L15&gt;=Instructions!$D$19,"Best Fund",IF($L15&gt;=Instructions!$D$20,"Need to Improve","Not Performing"))))</f>
        <v/>
      </c>
      <c r="S15" s="7" t="str">
        <f aca="false">IF($R15="","",IF($R15="Data Pending","Enter the 3Y return",IF($R15="Best Fund","Hold / consider top-up",IF($R15="Need to Improve","Watch 2 quarters, then decide","Review with client - switch or exit"))))</f>
        <v/>
      </c>
      <c r="T15" s="26"/>
      <c r="U15" s="7" t="str">
        <f aca="false">IF($R15&lt;&gt;"Best Fund","",COUNTIFS($R$6:$R$505,"Best Fund",$L$6:$L$505,"&gt;"&amp;$L15)+COUNTIFS($R$6:$R15,"Best Fund",$L$6:$L15,$L15))</f>
        <v/>
      </c>
      <c r="V15" s="7" t="str">
        <f aca="false">IF($R15&lt;&gt;"Need to Improve","",COUNTIFS($R$6:$R$505,"Need to Improve",$L$6:$L$505,"&lt;"&amp;$L15)+COUNTIFS($R$6:$R15,"Need to Improve",$L$6:$L15,$L15))</f>
        <v/>
      </c>
      <c r="W15" s="7" t="str">
        <f aca="false">IF($R15&lt;&gt;"Not Performing","",COUNTIFS($R$6:$R$505,"Not Performing",$L$6:$L$505,"&lt;"&amp;$L15)+COUNTIFS($R$6:$R15,"Not Performing",$L$6:$L15,$L15))</f>
        <v/>
      </c>
    </row>
    <row r="16" customFormat="false" ht="15" hidden="false" customHeight="true" outlineLevel="0" collapsed="false">
      <c r="A16" s="26"/>
      <c r="B16" s="26"/>
      <c r="C16" s="26"/>
      <c r="D16" s="27" t="str">
        <f aca="false">IF($C16="","",IFERROR(TRIM(LEFT($C16,FIND("-",$C16)-1)),""))</f>
        <v/>
      </c>
      <c r="E16" s="26"/>
      <c r="F16" s="28"/>
      <c r="G16" s="29"/>
      <c r="H16" s="29"/>
      <c r="I16" s="30" t="str">
        <f aca="false">IF($B16="","",$H16-$G16)</f>
        <v/>
      </c>
      <c r="J16" s="31" t="str">
        <f aca="false">IF(OR($B16="",$G16=0,$G16=""),"",$I16/$G16)</f>
        <v/>
      </c>
      <c r="K16" s="32"/>
      <c r="L16" s="32"/>
      <c r="M16" s="32"/>
      <c r="N16" s="32"/>
      <c r="O16" s="32"/>
      <c r="P16" s="31" t="str">
        <f aca="false">IF(OR($L16="",$N16=""),"",$L16-$N16)</f>
        <v/>
      </c>
      <c r="Q16" s="27" t="str">
        <f aca="false">IF($B16="","",IF(N($H16)&gt;0,"Live","Exited"))</f>
        <v/>
      </c>
      <c r="R16" s="27" t="str">
        <f aca="false">IF($B16="","",IF($L16="","Data Pending",IF($L16&gt;=Instructions!$D$19,"Best Fund",IF($L16&gt;=Instructions!$D$20,"Need to Improve","Not Performing"))))</f>
        <v/>
      </c>
      <c r="S16" s="7" t="str">
        <f aca="false">IF($R16="","",IF($R16="Data Pending","Enter the 3Y return",IF($R16="Best Fund","Hold / consider top-up",IF($R16="Need to Improve","Watch 2 quarters, then decide","Review with client - switch or exit"))))</f>
        <v/>
      </c>
      <c r="T16" s="26"/>
      <c r="U16" s="7" t="str">
        <f aca="false">IF($R16&lt;&gt;"Best Fund","",COUNTIFS($R$6:$R$505,"Best Fund",$L$6:$L$505,"&gt;"&amp;$L16)+COUNTIFS($R$6:$R16,"Best Fund",$L$6:$L16,$L16))</f>
        <v/>
      </c>
      <c r="V16" s="7" t="str">
        <f aca="false">IF($R16&lt;&gt;"Need to Improve","",COUNTIFS($R$6:$R$505,"Need to Improve",$L$6:$L$505,"&lt;"&amp;$L16)+COUNTIFS($R$6:$R16,"Need to Improve",$L$6:$L16,$L16))</f>
        <v/>
      </c>
      <c r="W16" s="7" t="str">
        <f aca="false">IF($R16&lt;&gt;"Not Performing","",COUNTIFS($R$6:$R$505,"Not Performing",$L$6:$L$505,"&lt;"&amp;$L16)+COUNTIFS($R$6:$R16,"Not Performing",$L$6:$L16,$L16))</f>
        <v/>
      </c>
    </row>
    <row r="17" customFormat="false" ht="15" hidden="false" customHeight="true" outlineLevel="0" collapsed="false">
      <c r="A17" s="26"/>
      <c r="B17" s="26"/>
      <c r="C17" s="26"/>
      <c r="D17" s="27" t="str">
        <f aca="false">IF($C17="","",IFERROR(TRIM(LEFT($C17,FIND("-",$C17)-1)),""))</f>
        <v/>
      </c>
      <c r="E17" s="26"/>
      <c r="F17" s="28"/>
      <c r="G17" s="29"/>
      <c r="H17" s="29"/>
      <c r="I17" s="30" t="str">
        <f aca="false">IF($B17="","",$H17-$G17)</f>
        <v/>
      </c>
      <c r="J17" s="31" t="str">
        <f aca="false">IF(OR($B17="",$G17=0,$G17=""),"",$I17/$G17)</f>
        <v/>
      </c>
      <c r="K17" s="32"/>
      <c r="L17" s="32"/>
      <c r="M17" s="32"/>
      <c r="N17" s="32"/>
      <c r="O17" s="32"/>
      <c r="P17" s="31" t="str">
        <f aca="false">IF(OR($L17="",$N17=""),"",$L17-$N17)</f>
        <v/>
      </c>
      <c r="Q17" s="27" t="str">
        <f aca="false">IF($B17="","",IF(N($H17)&gt;0,"Live","Exited"))</f>
        <v/>
      </c>
      <c r="R17" s="27" t="str">
        <f aca="false">IF($B17="","",IF($L17="","Data Pending",IF($L17&gt;=Instructions!$D$19,"Best Fund",IF($L17&gt;=Instructions!$D$20,"Need to Improve","Not Performing"))))</f>
        <v/>
      </c>
      <c r="S17" s="7" t="str">
        <f aca="false">IF($R17="","",IF($R17="Data Pending","Enter the 3Y return",IF($R17="Best Fund","Hold / consider top-up",IF($R17="Need to Improve","Watch 2 quarters, then decide","Review with client - switch or exit"))))</f>
        <v/>
      </c>
      <c r="T17" s="26"/>
      <c r="U17" s="7" t="str">
        <f aca="false">IF($R17&lt;&gt;"Best Fund","",COUNTIFS($R$6:$R$505,"Best Fund",$L$6:$L$505,"&gt;"&amp;$L17)+COUNTIFS($R$6:$R17,"Best Fund",$L$6:$L17,$L17))</f>
        <v/>
      </c>
      <c r="V17" s="7" t="str">
        <f aca="false">IF($R17&lt;&gt;"Need to Improve","",COUNTIFS($R$6:$R$505,"Need to Improve",$L$6:$L$505,"&lt;"&amp;$L17)+COUNTIFS($R$6:$R17,"Need to Improve",$L$6:$L17,$L17))</f>
        <v/>
      </c>
      <c r="W17" s="7" t="str">
        <f aca="false">IF($R17&lt;&gt;"Not Performing","",COUNTIFS($R$6:$R$505,"Not Performing",$L$6:$L$505,"&lt;"&amp;$L17)+COUNTIFS($R$6:$R17,"Not Performing",$L$6:$L17,$L17))</f>
        <v/>
      </c>
    </row>
    <row r="18" customFormat="false" ht="15" hidden="false" customHeight="true" outlineLevel="0" collapsed="false">
      <c r="A18" s="26"/>
      <c r="B18" s="26"/>
      <c r="C18" s="26"/>
      <c r="D18" s="27" t="str">
        <f aca="false">IF($C18="","",IFERROR(TRIM(LEFT($C18,FIND("-",$C18)-1)),""))</f>
        <v/>
      </c>
      <c r="E18" s="26"/>
      <c r="F18" s="28"/>
      <c r="G18" s="29"/>
      <c r="H18" s="29"/>
      <c r="I18" s="30" t="str">
        <f aca="false">IF($B18="","",$H18-$G18)</f>
        <v/>
      </c>
      <c r="J18" s="31" t="str">
        <f aca="false">IF(OR($B18="",$G18=0,$G18=""),"",$I18/$G18)</f>
        <v/>
      </c>
      <c r="K18" s="32"/>
      <c r="L18" s="32"/>
      <c r="M18" s="32"/>
      <c r="N18" s="32"/>
      <c r="O18" s="32"/>
      <c r="P18" s="31" t="str">
        <f aca="false">IF(OR($L18="",$N18=""),"",$L18-$N18)</f>
        <v/>
      </c>
      <c r="Q18" s="27" t="str">
        <f aca="false">IF($B18="","",IF(N($H18)&gt;0,"Live","Exited"))</f>
        <v/>
      </c>
      <c r="R18" s="27" t="str">
        <f aca="false">IF($B18="","",IF($L18="","Data Pending",IF($L18&gt;=Instructions!$D$19,"Best Fund",IF($L18&gt;=Instructions!$D$20,"Need to Improve","Not Performing"))))</f>
        <v/>
      </c>
      <c r="S18" s="7" t="str">
        <f aca="false">IF($R18="","",IF($R18="Data Pending","Enter the 3Y return",IF($R18="Best Fund","Hold / consider top-up",IF($R18="Need to Improve","Watch 2 quarters, then decide","Review with client - switch or exit"))))</f>
        <v/>
      </c>
      <c r="T18" s="26"/>
      <c r="U18" s="7" t="str">
        <f aca="false">IF($R18&lt;&gt;"Best Fund","",COUNTIFS($R$6:$R$505,"Best Fund",$L$6:$L$505,"&gt;"&amp;$L18)+COUNTIFS($R$6:$R18,"Best Fund",$L$6:$L18,$L18))</f>
        <v/>
      </c>
      <c r="V18" s="7" t="str">
        <f aca="false">IF($R18&lt;&gt;"Need to Improve","",COUNTIFS($R$6:$R$505,"Need to Improve",$L$6:$L$505,"&lt;"&amp;$L18)+COUNTIFS($R$6:$R18,"Need to Improve",$L$6:$L18,$L18))</f>
        <v/>
      </c>
      <c r="W18" s="7" t="str">
        <f aca="false">IF($R18&lt;&gt;"Not Performing","",COUNTIFS($R$6:$R$505,"Not Performing",$L$6:$L$505,"&lt;"&amp;$L18)+COUNTIFS($R$6:$R18,"Not Performing",$L$6:$L18,$L18))</f>
        <v/>
      </c>
    </row>
    <row r="19" customFormat="false" ht="15" hidden="false" customHeight="true" outlineLevel="0" collapsed="false">
      <c r="A19" s="26"/>
      <c r="B19" s="26"/>
      <c r="C19" s="26"/>
      <c r="D19" s="27" t="str">
        <f aca="false">IF($C19="","",IFERROR(TRIM(LEFT($C19,FIND("-",$C19)-1)),""))</f>
        <v/>
      </c>
      <c r="E19" s="26"/>
      <c r="F19" s="28"/>
      <c r="G19" s="29"/>
      <c r="H19" s="29"/>
      <c r="I19" s="30" t="str">
        <f aca="false">IF($B19="","",$H19-$G19)</f>
        <v/>
      </c>
      <c r="J19" s="31" t="str">
        <f aca="false">IF(OR($B19="",$G19=0,$G19=""),"",$I19/$G19)</f>
        <v/>
      </c>
      <c r="K19" s="32"/>
      <c r="L19" s="32"/>
      <c r="M19" s="32"/>
      <c r="N19" s="32"/>
      <c r="O19" s="32"/>
      <c r="P19" s="31" t="str">
        <f aca="false">IF(OR($L19="",$N19=""),"",$L19-$N19)</f>
        <v/>
      </c>
      <c r="Q19" s="27" t="str">
        <f aca="false">IF($B19="","",IF(N($H19)&gt;0,"Live","Exited"))</f>
        <v/>
      </c>
      <c r="R19" s="27" t="str">
        <f aca="false">IF($B19="","",IF($L19="","Data Pending",IF($L19&gt;=Instructions!$D$19,"Best Fund",IF($L19&gt;=Instructions!$D$20,"Need to Improve","Not Performing"))))</f>
        <v/>
      </c>
      <c r="S19" s="7" t="str">
        <f aca="false">IF($R19="","",IF($R19="Data Pending","Enter the 3Y return",IF($R19="Best Fund","Hold / consider top-up",IF($R19="Need to Improve","Watch 2 quarters, then decide","Review with client - switch or exit"))))</f>
        <v/>
      </c>
      <c r="T19" s="26"/>
      <c r="U19" s="7" t="str">
        <f aca="false">IF($R19&lt;&gt;"Best Fund","",COUNTIFS($R$6:$R$505,"Best Fund",$L$6:$L$505,"&gt;"&amp;$L19)+COUNTIFS($R$6:$R19,"Best Fund",$L$6:$L19,$L19))</f>
        <v/>
      </c>
      <c r="V19" s="7" t="str">
        <f aca="false">IF($R19&lt;&gt;"Need to Improve","",COUNTIFS($R$6:$R$505,"Need to Improve",$L$6:$L$505,"&lt;"&amp;$L19)+COUNTIFS($R$6:$R19,"Need to Improve",$L$6:$L19,$L19))</f>
        <v/>
      </c>
      <c r="W19" s="7" t="str">
        <f aca="false">IF($R19&lt;&gt;"Not Performing","",COUNTIFS($R$6:$R$505,"Not Performing",$L$6:$L$505,"&lt;"&amp;$L19)+COUNTIFS($R$6:$R19,"Not Performing",$L$6:$L19,$L19))</f>
        <v/>
      </c>
    </row>
    <row r="20" customFormat="false" ht="15" hidden="false" customHeight="true" outlineLevel="0" collapsed="false">
      <c r="A20" s="26"/>
      <c r="B20" s="26"/>
      <c r="C20" s="26"/>
      <c r="D20" s="27" t="str">
        <f aca="false">IF($C20="","",IFERROR(TRIM(LEFT($C20,FIND("-",$C20)-1)),""))</f>
        <v/>
      </c>
      <c r="E20" s="26"/>
      <c r="F20" s="28"/>
      <c r="G20" s="29"/>
      <c r="H20" s="29"/>
      <c r="I20" s="30" t="str">
        <f aca="false">IF($B20="","",$H20-$G20)</f>
        <v/>
      </c>
      <c r="J20" s="31" t="str">
        <f aca="false">IF(OR($B20="",$G20=0,$G20=""),"",$I20/$G20)</f>
        <v/>
      </c>
      <c r="K20" s="32"/>
      <c r="L20" s="32"/>
      <c r="M20" s="32"/>
      <c r="N20" s="32"/>
      <c r="O20" s="32"/>
      <c r="P20" s="31" t="str">
        <f aca="false">IF(OR($L20="",$N20=""),"",$L20-$N20)</f>
        <v/>
      </c>
      <c r="Q20" s="27" t="str">
        <f aca="false">IF($B20="","",IF(N($H20)&gt;0,"Live","Exited"))</f>
        <v/>
      </c>
      <c r="R20" s="27" t="str">
        <f aca="false">IF($B20="","",IF($L20="","Data Pending",IF($L20&gt;=Instructions!$D$19,"Best Fund",IF($L20&gt;=Instructions!$D$20,"Need to Improve","Not Performing"))))</f>
        <v/>
      </c>
      <c r="S20" s="7" t="str">
        <f aca="false">IF($R20="","",IF($R20="Data Pending","Enter the 3Y return",IF($R20="Best Fund","Hold / consider top-up",IF($R20="Need to Improve","Watch 2 quarters, then decide","Review with client - switch or exit"))))</f>
        <v/>
      </c>
      <c r="T20" s="26"/>
      <c r="U20" s="7" t="str">
        <f aca="false">IF($R20&lt;&gt;"Best Fund","",COUNTIFS($R$6:$R$505,"Best Fund",$L$6:$L$505,"&gt;"&amp;$L20)+COUNTIFS($R$6:$R20,"Best Fund",$L$6:$L20,$L20))</f>
        <v/>
      </c>
      <c r="V20" s="7" t="str">
        <f aca="false">IF($R20&lt;&gt;"Need to Improve","",COUNTIFS($R$6:$R$505,"Need to Improve",$L$6:$L$505,"&lt;"&amp;$L20)+COUNTIFS($R$6:$R20,"Need to Improve",$L$6:$L20,$L20))</f>
        <v/>
      </c>
      <c r="W20" s="7" t="str">
        <f aca="false">IF($R20&lt;&gt;"Not Performing","",COUNTIFS($R$6:$R$505,"Not Performing",$L$6:$L$505,"&lt;"&amp;$L20)+COUNTIFS($R$6:$R20,"Not Performing",$L$6:$L20,$L20))</f>
        <v/>
      </c>
    </row>
    <row r="21" customFormat="false" ht="15" hidden="false" customHeight="true" outlineLevel="0" collapsed="false">
      <c r="A21" s="26"/>
      <c r="B21" s="26"/>
      <c r="C21" s="26"/>
      <c r="D21" s="27" t="str">
        <f aca="false">IF($C21="","",IFERROR(TRIM(LEFT($C21,FIND("-",$C21)-1)),""))</f>
        <v/>
      </c>
      <c r="E21" s="26"/>
      <c r="F21" s="28"/>
      <c r="G21" s="29"/>
      <c r="H21" s="29"/>
      <c r="I21" s="30" t="str">
        <f aca="false">IF($B21="","",$H21-$G21)</f>
        <v/>
      </c>
      <c r="J21" s="31" t="str">
        <f aca="false">IF(OR($B21="",$G21=0,$G21=""),"",$I21/$G21)</f>
        <v/>
      </c>
      <c r="K21" s="32"/>
      <c r="L21" s="32"/>
      <c r="M21" s="32"/>
      <c r="N21" s="32"/>
      <c r="O21" s="32"/>
      <c r="P21" s="31" t="str">
        <f aca="false">IF(OR($L21="",$N21=""),"",$L21-$N21)</f>
        <v/>
      </c>
      <c r="Q21" s="27" t="str">
        <f aca="false">IF($B21="","",IF(N($H21)&gt;0,"Live","Exited"))</f>
        <v/>
      </c>
      <c r="R21" s="27" t="str">
        <f aca="false">IF($B21="","",IF($L21="","Data Pending",IF($L21&gt;=Instructions!$D$19,"Best Fund",IF($L21&gt;=Instructions!$D$20,"Need to Improve","Not Performing"))))</f>
        <v/>
      </c>
      <c r="S21" s="7" t="str">
        <f aca="false">IF($R21="","",IF($R21="Data Pending","Enter the 3Y return",IF($R21="Best Fund","Hold / consider top-up",IF($R21="Need to Improve","Watch 2 quarters, then decide","Review with client - switch or exit"))))</f>
        <v/>
      </c>
      <c r="T21" s="26"/>
      <c r="U21" s="7" t="str">
        <f aca="false">IF($R21&lt;&gt;"Best Fund","",COUNTIFS($R$6:$R$505,"Best Fund",$L$6:$L$505,"&gt;"&amp;$L21)+COUNTIFS($R$6:$R21,"Best Fund",$L$6:$L21,$L21))</f>
        <v/>
      </c>
      <c r="V21" s="7" t="str">
        <f aca="false">IF($R21&lt;&gt;"Need to Improve","",COUNTIFS($R$6:$R$505,"Need to Improve",$L$6:$L$505,"&lt;"&amp;$L21)+COUNTIFS($R$6:$R21,"Need to Improve",$L$6:$L21,$L21))</f>
        <v/>
      </c>
      <c r="W21" s="7" t="str">
        <f aca="false">IF($R21&lt;&gt;"Not Performing","",COUNTIFS($R$6:$R$505,"Not Performing",$L$6:$L$505,"&lt;"&amp;$L21)+COUNTIFS($R$6:$R21,"Not Performing",$L$6:$L21,$L21))</f>
        <v/>
      </c>
    </row>
    <row r="22" customFormat="false" ht="15" hidden="false" customHeight="true" outlineLevel="0" collapsed="false">
      <c r="A22" s="26"/>
      <c r="B22" s="26"/>
      <c r="C22" s="26"/>
      <c r="D22" s="27" t="str">
        <f aca="false">IF($C22="","",IFERROR(TRIM(LEFT($C22,FIND("-",$C22)-1)),""))</f>
        <v/>
      </c>
      <c r="E22" s="26"/>
      <c r="F22" s="28"/>
      <c r="G22" s="29"/>
      <c r="H22" s="29"/>
      <c r="I22" s="30" t="str">
        <f aca="false">IF($B22="","",$H22-$G22)</f>
        <v/>
      </c>
      <c r="J22" s="31" t="str">
        <f aca="false">IF(OR($B22="",$G22=0,$G22=""),"",$I22/$G22)</f>
        <v/>
      </c>
      <c r="K22" s="32"/>
      <c r="L22" s="32"/>
      <c r="M22" s="32"/>
      <c r="N22" s="32"/>
      <c r="O22" s="32"/>
      <c r="P22" s="31" t="str">
        <f aca="false">IF(OR($L22="",$N22=""),"",$L22-$N22)</f>
        <v/>
      </c>
      <c r="Q22" s="27" t="str">
        <f aca="false">IF($B22="","",IF(N($H22)&gt;0,"Live","Exited"))</f>
        <v/>
      </c>
      <c r="R22" s="27" t="str">
        <f aca="false">IF($B22="","",IF($L22="","Data Pending",IF($L22&gt;=Instructions!$D$19,"Best Fund",IF($L22&gt;=Instructions!$D$20,"Need to Improve","Not Performing"))))</f>
        <v/>
      </c>
      <c r="S22" s="7" t="str">
        <f aca="false">IF($R22="","",IF($R22="Data Pending","Enter the 3Y return",IF($R22="Best Fund","Hold / consider top-up",IF($R22="Need to Improve","Watch 2 quarters, then decide","Review with client - switch or exit"))))</f>
        <v/>
      </c>
      <c r="T22" s="26"/>
      <c r="U22" s="7" t="str">
        <f aca="false">IF($R22&lt;&gt;"Best Fund","",COUNTIFS($R$6:$R$505,"Best Fund",$L$6:$L$505,"&gt;"&amp;$L22)+COUNTIFS($R$6:$R22,"Best Fund",$L$6:$L22,$L22))</f>
        <v/>
      </c>
      <c r="V22" s="7" t="str">
        <f aca="false">IF($R22&lt;&gt;"Need to Improve","",COUNTIFS($R$6:$R$505,"Need to Improve",$L$6:$L$505,"&lt;"&amp;$L22)+COUNTIFS($R$6:$R22,"Need to Improve",$L$6:$L22,$L22))</f>
        <v/>
      </c>
      <c r="W22" s="7" t="str">
        <f aca="false">IF($R22&lt;&gt;"Not Performing","",COUNTIFS($R$6:$R$505,"Not Performing",$L$6:$L$505,"&lt;"&amp;$L22)+COUNTIFS($R$6:$R22,"Not Performing",$L$6:$L22,$L22))</f>
        <v/>
      </c>
    </row>
    <row r="23" customFormat="false" ht="15" hidden="false" customHeight="true" outlineLevel="0" collapsed="false">
      <c r="A23" s="26"/>
      <c r="B23" s="26"/>
      <c r="C23" s="26"/>
      <c r="D23" s="27" t="str">
        <f aca="false">IF($C23="","",IFERROR(TRIM(LEFT($C23,FIND("-",$C23)-1)),""))</f>
        <v/>
      </c>
      <c r="E23" s="26"/>
      <c r="F23" s="28"/>
      <c r="G23" s="29"/>
      <c r="H23" s="29"/>
      <c r="I23" s="30" t="str">
        <f aca="false">IF($B23="","",$H23-$G23)</f>
        <v/>
      </c>
      <c r="J23" s="31" t="str">
        <f aca="false">IF(OR($B23="",$G23=0,$G23=""),"",$I23/$G23)</f>
        <v/>
      </c>
      <c r="K23" s="32"/>
      <c r="L23" s="32"/>
      <c r="M23" s="32"/>
      <c r="N23" s="32"/>
      <c r="O23" s="32"/>
      <c r="P23" s="31" t="str">
        <f aca="false">IF(OR($L23="",$N23=""),"",$L23-$N23)</f>
        <v/>
      </c>
      <c r="Q23" s="27" t="str">
        <f aca="false">IF($B23="","",IF(N($H23)&gt;0,"Live","Exited"))</f>
        <v/>
      </c>
      <c r="R23" s="27" t="str">
        <f aca="false">IF($B23="","",IF($L23="","Data Pending",IF($L23&gt;=Instructions!$D$19,"Best Fund",IF($L23&gt;=Instructions!$D$20,"Need to Improve","Not Performing"))))</f>
        <v/>
      </c>
      <c r="S23" s="7" t="str">
        <f aca="false">IF($R23="","",IF($R23="Data Pending","Enter the 3Y return",IF($R23="Best Fund","Hold / consider top-up",IF($R23="Need to Improve","Watch 2 quarters, then decide","Review with client - switch or exit"))))</f>
        <v/>
      </c>
      <c r="T23" s="26"/>
      <c r="U23" s="7" t="str">
        <f aca="false">IF($R23&lt;&gt;"Best Fund","",COUNTIFS($R$6:$R$505,"Best Fund",$L$6:$L$505,"&gt;"&amp;$L23)+COUNTIFS($R$6:$R23,"Best Fund",$L$6:$L23,$L23))</f>
        <v/>
      </c>
      <c r="V23" s="7" t="str">
        <f aca="false">IF($R23&lt;&gt;"Need to Improve","",COUNTIFS($R$6:$R$505,"Need to Improve",$L$6:$L$505,"&lt;"&amp;$L23)+COUNTIFS($R$6:$R23,"Need to Improve",$L$6:$L23,$L23))</f>
        <v/>
      </c>
      <c r="W23" s="7" t="str">
        <f aca="false">IF($R23&lt;&gt;"Not Performing","",COUNTIFS($R$6:$R$505,"Not Performing",$L$6:$L$505,"&lt;"&amp;$L23)+COUNTIFS($R$6:$R23,"Not Performing",$L$6:$L23,$L23))</f>
        <v/>
      </c>
    </row>
    <row r="24" customFormat="false" ht="15" hidden="false" customHeight="true" outlineLevel="0" collapsed="false">
      <c r="A24" s="26"/>
      <c r="B24" s="26"/>
      <c r="C24" s="26"/>
      <c r="D24" s="27" t="str">
        <f aca="false">IF($C24="","",IFERROR(TRIM(LEFT($C24,FIND("-",$C24)-1)),""))</f>
        <v/>
      </c>
      <c r="E24" s="26"/>
      <c r="F24" s="28"/>
      <c r="G24" s="29"/>
      <c r="H24" s="29"/>
      <c r="I24" s="30" t="str">
        <f aca="false">IF($B24="","",$H24-$G24)</f>
        <v/>
      </c>
      <c r="J24" s="31" t="str">
        <f aca="false">IF(OR($B24="",$G24=0,$G24=""),"",$I24/$G24)</f>
        <v/>
      </c>
      <c r="K24" s="32"/>
      <c r="L24" s="32"/>
      <c r="M24" s="32"/>
      <c r="N24" s="32"/>
      <c r="O24" s="32"/>
      <c r="P24" s="31" t="str">
        <f aca="false">IF(OR($L24="",$N24=""),"",$L24-$N24)</f>
        <v/>
      </c>
      <c r="Q24" s="27" t="str">
        <f aca="false">IF($B24="","",IF(N($H24)&gt;0,"Live","Exited"))</f>
        <v/>
      </c>
      <c r="R24" s="27" t="str">
        <f aca="false">IF($B24="","",IF($L24="","Data Pending",IF($L24&gt;=Instructions!$D$19,"Best Fund",IF($L24&gt;=Instructions!$D$20,"Need to Improve","Not Performing"))))</f>
        <v/>
      </c>
      <c r="S24" s="7" t="str">
        <f aca="false">IF($R24="","",IF($R24="Data Pending","Enter the 3Y return",IF($R24="Best Fund","Hold / consider top-up",IF($R24="Need to Improve","Watch 2 quarters, then decide","Review with client - switch or exit"))))</f>
        <v/>
      </c>
      <c r="T24" s="26"/>
      <c r="U24" s="7" t="str">
        <f aca="false">IF($R24&lt;&gt;"Best Fund","",COUNTIFS($R$6:$R$505,"Best Fund",$L$6:$L$505,"&gt;"&amp;$L24)+COUNTIFS($R$6:$R24,"Best Fund",$L$6:$L24,$L24))</f>
        <v/>
      </c>
      <c r="V24" s="7" t="str">
        <f aca="false">IF($R24&lt;&gt;"Need to Improve","",COUNTIFS($R$6:$R$505,"Need to Improve",$L$6:$L$505,"&lt;"&amp;$L24)+COUNTIFS($R$6:$R24,"Need to Improve",$L$6:$L24,$L24))</f>
        <v/>
      </c>
      <c r="W24" s="7" t="str">
        <f aca="false">IF($R24&lt;&gt;"Not Performing","",COUNTIFS($R$6:$R$505,"Not Performing",$L$6:$L$505,"&lt;"&amp;$L24)+COUNTIFS($R$6:$R24,"Not Performing",$L$6:$L24,$L24))</f>
        <v/>
      </c>
    </row>
    <row r="25" customFormat="false" ht="15" hidden="false" customHeight="true" outlineLevel="0" collapsed="false">
      <c r="A25" s="26"/>
      <c r="B25" s="26"/>
      <c r="C25" s="26"/>
      <c r="D25" s="27" t="str">
        <f aca="false">IF($C25="","",IFERROR(TRIM(LEFT($C25,FIND("-",$C25)-1)),""))</f>
        <v/>
      </c>
      <c r="E25" s="26"/>
      <c r="F25" s="28"/>
      <c r="G25" s="29"/>
      <c r="H25" s="29"/>
      <c r="I25" s="30" t="str">
        <f aca="false">IF($B25="","",$H25-$G25)</f>
        <v/>
      </c>
      <c r="J25" s="31" t="str">
        <f aca="false">IF(OR($B25="",$G25=0,$G25=""),"",$I25/$G25)</f>
        <v/>
      </c>
      <c r="K25" s="32"/>
      <c r="L25" s="32"/>
      <c r="M25" s="32"/>
      <c r="N25" s="32"/>
      <c r="O25" s="32"/>
      <c r="P25" s="31" t="str">
        <f aca="false">IF(OR($L25="",$N25=""),"",$L25-$N25)</f>
        <v/>
      </c>
      <c r="Q25" s="27" t="str">
        <f aca="false">IF($B25="","",IF(N($H25)&gt;0,"Live","Exited"))</f>
        <v/>
      </c>
      <c r="R25" s="27" t="str">
        <f aca="false">IF($B25="","",IF($L25="","Data Pending",IF($L25&gt;=Instructions!$D$19,"Best Fund",IF($L25&gt;=Instructions!$D$20,"Need to Improve","Not Performing"))))</f>
        <v/>
      </c>
      <c r="S25" s="7" t="str">
        <f aca="false">IF($R25="","",IF($R25="Data Pending","Enter the 3Y return",IF($R25="Best Fund","Hold / consider top-up",IF($R25="Need to Improve","Watch 2 quarters, then decide","Review with client - switch or exit"))))</f>
        <v/>
      </c>
      <c r="T25" s="26"/>
      <c r="U25" s="7" t="str">
        <f aca="false">IF($R25&lt;&gt;"Best Fund","",COUNTIFS($R$6:$R$505,"Best Fund",$L$6:$L$505,"&gt;"&amp;$L25)+COUNTIFS($R$6:$R25,"Best Fund",$L$6:$L25,$L25))</f>
        <v/>
      </c>
      <c r="V25" s="7" t="str">
        <f aca="false">IF($R25&lt;&gt;"Need to Improve","",COUNTIFS($R$6:$R$505,"Need to Improve",$L$6:$L$505,"&lt;"&amp;$L25)+COUNTIFS($R$6:$R25,"Need to Improve",$L$6:$L25,$L25))</f>
        <v/>
      </c>
      <c r="W25" s="7" t="str">
        <f aca="false">IF($R25&lt;&gt;"Not Performing","",COUNTIFS($R$6:$R$505,"Not Performing",$L$6:$L$505,"&lt;"&amp;$L25)+COUNTIFS($R$6:$R25,"Not Performing",$L$6:$L25,$L25))</f>
        <v/>
      </c>
    </row>
    <row r="26" customFormat="false" ht="15" hidden="false" customHeight="true" outlineLevel="0" collapsed="false">
      <c r="A26" s="26"/>
      <c r="B26" s="26"/>
      <c r="C26" s="26"/>
      <c r="D26" s="27" t="str">
        <f aca="false">IF($C26="","",IFERROR(TRIM(LEFT($C26,FIND("-",$C26)-1)),""))</f>
        <v/>
      </c>
      <c r="E26" s="26"/>
      <c r="F26" s="28"/>
      <c r="G26" s="29"/>
      <c r="H26" s="29"/>
      <c r="I26" s="30" t="str">
        <f aca="false">IF($B26="","",$H26-$G26)</f>
        <v/>
      </c>
      <c r="J26" s="31" t="str">
        <f aca="false">IF(OR($B26="",$G26=0,$G26=""),"",$I26/$G26)</f>
        <v/>
      </c>
      <c r="K26" s="32"/>
      <c r="L26" s="32"/>
      <c r="M26" s="32"/>
      <c r="N26" s="32"/>
      <c r="O26" s="32"/>
      <c r="P26" s="31" t="str">
        <f aca="false">IF(OR($L26="",$N26=""),"",$L26-$N26)</f>
        <v/>
      </c>
      <c r="Q26" s="27" t="str">
        <f aca="false">IF($B26="","",IF(N($H26)&gt;0,"Live","Exited"))</f>
        <v/>
      </c>
      <c r="R26" s="27" t="str">
        <f aca="false">IF($B26="","",IF($L26="","Data Pending",IF($L26&gt;=Instructions!$D$19,"Best Fund",IF($L26&gt;=Instructions!$D$20,"Need to Improve","Not Performing"))))</f>
        <v/>
      </c>
      <c r="S26" s="7" t="str">
        <f aca="false">IF($R26="","",IF($R26="Data Pending","Enter the 3Y return",IF($R26="Best Fund","Hold / consider top-up",IF($R26="Need to Improve","Watch 2 quarters, then decide","Review with client - switch or exit"))))</f>
        <v/>
      </c>
      <c r="T26" s="26"/>
      <c r="U26" s="7" t="str">
        <f aca="false">IF($R26&lt;&gt;"Best Fund","",COUNTIFS($R$6:$R$505,"Best Fund",$L$6:$L$505,"&gt;"&amp;$L26)+COUNTIFS($R$6:$R26,"Best Fund",$L$6:$L26,$L26))</f>
        <v/>
      </c>
      <c r="V26" s="7" t="str">
        <f aca="false">IF($R26&lt;&gt;"Need to Improve","",COUNTIFS($R$6:$R$505,"Need to Improve",$L$6:$L$505,"&lt;"&amp;$L26)+COUNTIFS($R$6:$R26,"Need to Improve",$L$6:$L26,$L26))</f>
        <v/>
      </c>
      <c r="W26" s="7" t="str">
        <f aca="false">IF($R26&lt;&gt;"Not Performing","",COUNTIFS($R$6:$R$505,"Not Performing",$L$6:$L$505,"&lt;"&amp;$L26)+COUNTIFS($R$6:$R26,"Not Performing",$L$6:$L26,$L26))</f>
        <v/>
      </c>
    </row>
    <row r="27" customFormat="false" ht="15" hidden="false" customHeight="true" outlineLevel="0" collapsed="false">
      <c r="A27" s="26"/>
      <c r="B27" s="26"/>
      <c r="C27" s="26"/>
      <c r="D27" s="27" t="str">
        <f aca="false">IF($C27="","",IFERROR(TRIM(LEFT($C27,FIND("-",$C27)-1)),""))</f>
        <v/>
      </c>
      <c r="E27" s="26"/>
      <c r="F27" s="28"/>
      <c r="G27" s="29"/>
      <c r="H27" s="29"/>
      <c r="I27" s="30" t="str">
        <f aca="false">IF($B27="","",$H27-$G27)</f>
        <v/>
      </c>
      <c r="J27" s="31" t="str">
        <f aca="false">IF(OR($B27="",$G27=0,$G27=""),"",$I27/$G27)</f>
        <v/>
      </c>
      <c r="K27" s="32"/>
      <c r="L27" s="32"/>
      <c r="M27" s="32"/>
      <c r="N27" s="32"/>
      <c r="O27" s="32"/>
      <c r="P27" s="31" t="str">
        <f aca="false">IF(OR($L27="",$N27=""),"",$L27-$N27)</f>
        <v/>
      </c>
      <c r="Q27" s="27" t="str">
        <f aca="false">IF($B27="","",IF(N($H27)&gt;0,"Live","Exited"))</f>
        <v/>
      </c>
      <c r="R27" s="27" t="str">
        <f aca="false">IF($B27="","",IF($L27="","Data Pending",IF($L27&gt;=Instructions!$D$19,"Best Fund",IF($L27&gt;=Instructions!$D$20,"Need to Improve","Not Performing"))))</f>
        <v/>
      </c>
      <c r="S27" s="7" t="str">
        <f aca="false">IF($R27="","",IF($R27="Data Pending","Enter the 3Y return",IF($R27="Best Fund","Hold / consider top-up",IF($R27="Need to Improve","Watch 2 quarters, then decide","Review with client - switch or exit"))))</f>
        <v/>
      </c>
      <c r="T27" s="26"/>
      <c r="U27" s="7" t="str">
        <f aca="false">IF($R27&lt;&gt;"Best Fund","",COUNTIFS($R$6:$R$505,"Best Fund",$L$6:$L$505,"&gt;"&amp;$L27)+COUNTIFS($R$6:$R27,"Best Fund",$L$6:$L27,$L27))</f>
        <v/>
      </c>
      <c r="V27" s="7" t="str">
        <f aca="false">IF($R27&lt;&gt;"Need to Improve","",COUNTIFS($R$6:$R$505,"Need to Improve",$L$6:$L$505,"&lt;"&amp;$L27)+COUNTIFS($R$6:$R27,"Need to Improve",$L$6:$L27,$L27))</f>
        <v/>
      </c>
      <c r="W27" s="7" t="str">
        <f aca="false">IF($R27&lt;&gt;"Not Performing","",COUNTIFS($R$6:$R$505,"Not Performing",$L$6:$L$505,"&lt;"&amp;$L27)+COUNTIFS($R$6:$R27,"Not Performing",$L$6:$L27,$L27))</f>
        <v/>
      </c>
    </row>
    <row r="28" customFormat="false" ht="15" hidden="false" customHeight="true" outlineLevel="0" collapsed="false">
      <c r="A28" s="26"/>
      <c r="B28" s="26"/>
      <c r="C28" s="26"/>
      <c r="D28" s="27" t="str">
        <f aca="false">IF($C28="","",IFERROR(TRIM(LEFT($C28,FIND("-",$C28)-1)),""))</f>
        <v/>
      </c>
      <c r="E28" s="26"/>
      <c r="F28" s="28"/>
      <c r="G28" s="29"/>
      <c r="H28" s="29"/>
      <c r="I28" s="30" t="str">
        <f aca="false">IF($B28="","",$H28-$G28)</f>
        <v/>
      </c>
      <c r="J28" s="31" t="str">
        <f aca="false">IF(OR($B28="",$G28=0,$G28=""),"",$I28/$G28)</f>
        <v/>
      </c>
      <c r="K28" s="32"/>
      <c r="L28" s="32"/>
      <c r="M28" s="32"/>
      <c r="N28" s="32"/>
      <c r="O28" s="32"/>
      <c r="P28" s="31" t="str">
        <f aca="false">IF(OR($L28="",$N28=""),"",$L28-$N28)</f>
        <v/>
      </c>
      <c r="Q28" s="27" t="str">
        <f aca="false">IF($B28="","",IF(N($H28)&gt;0,"Live","Exited"))</f>
        <v/>
      </c>
      <c r="R28" s="27" t="str">
        <f aca="false">IF($B28="","",IF($L28="","Data Pending",IF($L28&gt;=Instructions!$D$19,"Best Fund",IF($L28&gt;=Instructions!$D$20,"Need to Improve","Not Performing"))))</f>
        <v/>
      </c>
      <c r="S28" s="7" t="str">
        <f aca="false">IF($R28="","",IF($R28="Data Pending","Enter the 3Y return",IF($R28="Best Fund","Hold / consider top-up",IF($R28="Need to Improve","Watch 2 quarters, then decide","Review with client - switch or exit"))))</f>
        <v/>
      </c>
      <c r="T28" s="26"/>
      <c r="U28" s="7" t="str">
        <f aca="false">IF($R28&lt;&gt;"Best Fund","",COUNTIFS($R$6:$R$505,"Best Fund",$L$6:$L$505,"&gt;"&amp;$L28)+COUNTIFS($R$6:$R28,"Best Fund",$L$6:$L28,$L28))</f>
        <v/>
      </c>
      <c r="V28" s="7" t="str">
        <f aca="false">IF($R28&lt;&gt;"Need to Improve","",COUNTIFS($R$6:$R$505,"Need to Improve",$L$6:$L$505,"&lt;"&amp;$L28)+COUNTIFS($R$6:$R28,"Need to Improve",$L$6:$L28,$L28))</f>
        <v/>
      </c>
      <c r="W28" s="7" t="str">
        <f aca="false">IF($R28&lt;&gt;"Not Performing","",COUNTIFS($R$6:$R$505,"Not Performing",$L$6:$L$505,"&lt;"&amp;$L28)+COUNTIFS($R$6:$R28,"Not Performing",$L$6:$L28,$L28))</f>
        <v/>
      </c>
    </row>
    <row r="29" customFormat="false" ht="15" hidden="false" customHeight="true" outlineLevel="0" collapsed="false">
      <c r="A29" s="26"/>
      <c r="B29" s="26"/>
      <c r="C29" s="26"/>
      <c r="D29" s="27" t="str">
        <f aca="false">IF($C29="","",IFERROR(TRIM(LEFT($C29,FIND("-",$C29)-1)),""))</f>
        <v/>
      </c>
      <c r="E29" s="26"/>
      <c r="F29" s="28"/>
      <c r="G29" s="29"/>
      <c r="H29" s="29"/>
      <c r="I29" s="30" t="str">
        <f aca="false">IF($B29="","",$H29-$G29)</f>
        <v/>
      </c>
      <c r="J29" s="31" t="str">
        <f aca="false">IF(OR($B29="",$G29=0,$G29=""),"",$I29/$G29)</f>
        <v/>
      </c>
      <c r="K29" s="32"/>
      <c r="L29" s="32"/>
      <c r="M29" s="32"/>
      <c r="N29" s="32"/>
      <c r="O29" s="32"/>
      <c r="P29" s="31" t="str">
        <f aca="false">IF(OR($L29="",$N29=""),"",$L29-$N29)</f>
        <v/>
      </c>
      <c r="Q29" s="27" t="str">
        <f aca="false">IF($B29="","",IF(N($H29)&gt;0,"Live","Exited"))</f>
        <v/>
      </c>
      <c r="R29" s="27" t="str">
        <f aca="false">IF($B29="","",IF($L29="","Data Pending",IF($L29&gt;=Instructions!$D$19,"Best Fund",IF($L29&gt;=Instructions!$D$20,"Need to Improve","Not Performing"))))</f>
        <v/>
      </c>
      <c r="S29" s="7" t="str">
        <f aca="false">IF($R29="","",IF($R29="Data Pending","Enter the 3Y return",IF($R29="Best Fund","Hold / consider top-up",IF($R29="Need to Improve","Watch 2 quarters, then decide","Review with client - switch or exit"))))</f>
        <v/>
      </c>
      <c r="T29" s="26"/>
      <c r="U29" s="7" t="str">
        <f aca="false">IF($R29&lt;&gt;"Best Fund","",COUNTIFS($R$6:$R$505,"Best Fund",$L$6:$L$505,"&gt;"&amp;$L29)+COUNTIFS($R$6:$R29,"Best Fund",$L$6:$L29,$L29))</f>
        <v/>
      </c>
      <c r="V29" s="7" t="str">
        <f aca="false">IF($R29&lt;&gt;"Need to Improve","",COUNTIFS($R$6:$R$505,"Need to Improve",$L$6:$L$505,"&lt;"&amp;$L29)+COUNTIFS($R$6:$R29,"Need to Improve",$L$6:$L29,$L29))</f>
        <v/>
      </c>
      <c r="W29" s="7" t="str">
        <f aca="false">IF($R29&lt;&gt;"Not Performing","",COUNTIFS($R$6:$R$505,"Not Performing",$L$6:$L$505,"&lt;"&amp;$L29)+COUNTIFS($R$6:$R29,"Not Performing",$L$6:$L29,$L29))</f>
        <v/>
      </c>
    </row>
    <row r="30" customFormat="false" ht="15" hidden="false" customHeight="true" outlineLevel="0" collapsed="false">
      <c r="A30" s="26"/>
      <c r="B30" s="26"/>
      <c r="C30" s="26"/>
      <c r="D30" s="27" t="str">
        <f aca="false">IF($C30="","",IFERROR(TRIM(LEFT($C30,FIND("-",$C30)-1)),""))</f>
        <v/>
      </c>
      <c r="E30" s="26"/>
      <c r="F30" s="28"/>
      <c r="G30" s="29"/>
      <c r="H30" s="29"/>
      <c r="I30" s="30" t="str">
        <f aca="false">IF($B30="","",$H30-$G30)</f>
        <v/>
      </c>
      <c r="J30" s="31" t="str">
        <f aca="false">IF(OR($B30="",$G30=0,$G30=""),"",$I30/$G30)</f>
        <v/>
      </c>
      <c r="K30" s="32"/>
      <c r="L30" s="32"/>
      <c r="M30" s="32"/>
      <c r="N30" s="32"/>
      <c r="O30" s="32"/>
      <c r="P30" s="31" t="str">
        <f aca="false">IF(OR($L30="",$N30=""),"",$L30-$N30)</f>
        <v/>
      </c>
      <c r="Q30" s="27" t="str">
        <f aca="false">IF($B30="","",IF(N($H30)&gt;0,"Live","Exited"))</f>
        <v/>
      </c>
      <c r="R30" s="27" t="str">
        <f aca="false">IF($B30="","",IF($L30="","Data Pending",IF($L30&gt;=Instructions!$D$19,"Best Fund",IF($L30&gt;=Instructions!$D$20,"Need to Improve","Not Performing"))))</f>
        <v/>
      </c>
      <c r="S30" s="7" t="str">
        <f aca="false">IF($R30="","",IF($R30="Data Pending","Enter the 3Y return",IF($R30="Best Fund","Hold / consider top-up",IF($R30="Need to Improve","Watch 2 quarters, then decide","Review with client - switch or exit"))))</f>
        <v/>
      </c>
      <c r="T30" s="26"/>
      <c r="U30" s="7" t="str">
        <f aca="false">IF($R30&lt;&gt;"Best Fund","",COUNTIFS($R$6:$R$505,"Best Fund",$L$6:$L$505,"&gt;"&amp;$L30)+COUNTIFS($R$6:$R30,"Best Fund",$L$6:$L30,$L30))</f>
        <v/>
      </c>
      <c r="V30" s="7" t="str">
        <f aca="false">IF($R30&lt;&gt;"Need to Improve","",COUNTIFS($R$6:$R$505,"Need to Improve",$L$6:$L$505,"&lt;"&amp;$L30)+COUNTIFS($R$6:$R30,"Need to Improve",$L$6:$L30,$L30))</f>
        <v/>
      </c>
      <c r="W30" s="7" t="str">
        <f aca="false">IF($R30&lt;&gt;"Not Performing","",COUNTIFS($R$6:$R$505,"Not Performing",$L$6:$L$505,"&lt;"&amp;$L30)+COUNTIFS($R$6:$R30,"Not Performing",$L$6:$L30,$L30))</f>
        <v/>
      </c>
    </row>
    <row r="31" customFormat="false" ht="15" hidden="false" customHeight="true" outlineLevel="0" collapsed="false">
      <c r="A31" s="26"/>
      <c r="B31" s="26"/>
      <c r="C31" s="26"/>
      <c r="D31" s="27" t="str">
        <f aca="false">IF($C31="","",IFERROR(TRIM(LEFT($C31,FIND("-",$C31)-1)),""))</f>
        <v/>
      </c>
      <c r="E31" s="26"/>
      <c r="F31" s="28"/>
      <c r="G31" s="29"/>
      <c r="H31" s="29"/>
      <c r="I31" s="30" t="str">
        <f aca="false">IF($B31="","",$H31-$G31)</f>
        <v/>
      </c>
      <c r="J31" s="31" t="str">
        <f aca="false">IF(OR($B31="",$G31=0,$G31=""),"",$I31/$G31)</f>
        <v/>
      </c>
      <c r="K31" s="32"/>
      <c r="L31" s="32"/>
      <c r="M31" s="32"/>
      <c r="N31" s="32"/>
      <c r="O31" s="32"/>
      <c r="P31" s="31" t="str">
        <f aca="false">IF(OR($L31="",$N31=""),"",$L31-$N31)</f>
        <v/>
      </c>
      <c r="Q31" s="27" t="str">
        <f aca="false">IF($B31="","",IF(N($H31)&gt;0,"Live","Exited"))</f>
        <v/>
      </c>
      <c r="R31" s="27" t="str">
        <f aca="false">IF($B31="","",IF($L31="","Data Pending",IF($L31&gt;=Instructions!$D$19,"Best Fund",IF($L31&gt;=Instructions!$D$20,"Need to Improve","Not Performing"))))</f>
        <v/>
      </c>
      <c r="S31" s="7" t="str">
        <f aca="false">IF($R31="","",IF($R31="Data Pending","Enter the 3Y return",IF($R31="Best Fund","Hold / consider top-up",IF($R31="Need to Improve","Watch 2 quarters, then decide","Review with client - switch or exit"))))</f>
        <v/>
      </c>
      <c r="T31" s="26"/>
      <c r="U31" s="7" t="str">
        <f aca="false">IF($R31&lt;&gt;"Best Fund","",COUNTIFS($R$6:$R$505,"Best Fund",$L$6:$L$505,"&gt;"&amp;$L31)+COUNTIFS($R$6:$R31,"Best Fund",$L$6:$L31,$L31))</f>
        <v/>
      </c>
      <c r="V31" s="7" t="str">
        <f aca="false">IF($R31&lt;&gt;"Need to Improve","",COUNTIFS($R$6:$R$505,"Need to Improve",$L$6:$L$505,"&lt;"&amp;$L31)+COUNTIFS($R$6:$R31,"Need to Improve",$L$6:$L31,$L31))</f>
        <v/>
      </c>
      <c r="W31" s="7" t="str">
        <f aca="false">IF($R31&lt;&gt;"Not Performing","",COUNTIFS($R$6:$R$505,"Not Performing",$L$6:$L$505,"&lt;"&amp;$L31)+COUNTIFS($R$6:$R31,"Not Performing",$L$6:$L31,$L31))</f>
        <v/>
      </c>
    </row>
    <row r="32" customFormat="false" ht="15" hidden="false" customHeight="true" outlineLevel="0" collapsed="false">
      <c r="A32" s="26"/>
      <c r="B32" s="26"/>
      <c r="C32" s="26"/>
      <c r="D32" s="27" t="str">
        <f aca="false">IF($C32="","",IFERROR(TRIM(LEFT($C32,FIND("-",$C32)-1)),""))</f>
        <v/>
      </c>
      <c r="E32" s="26"/>
      <c r="F32" s="28"/>
      <c r="G32" s="29"/>
      <c r="H32" s="29"/>
      <c r="I32" s="30" t="str">
        <f aca="false">IF($B32="","",$H32-$G32)</f>
        <v/>
      </c>
      <c r="J32" s="31" t="str">
        <f aca="false">IF(OR($B32="",$G32=0,$G32=""),"",$I32/$G32)</f>
        <v/>
      </c>
      <c r="K32" s="32"/>
      <c r="L32" s="32"/>
      <c r="M32" s="32"/>
      <c r="N32" s="32"/>
      <c r="O32" s="32"/>
      <c r="P32" s="31" t="str">
        <f aca="false">IF(OR($L32="",$N32=""),"",$L32-$N32)</f>
        <v/>
      </c>
      <c r="Q32" s="27" t="str">
        <f aca="false">IF($B32="","",IF(N($H32)&gt;0,"Live","Exited"))</f>
        <v/>
      </c>
      <c r="R32" s="27" t="str">
        <f aca="false">IF($B32="","",IF($L32="","Data Pending",IF($L32&gt;=Instructions!$D$19,"Best Fund",IF($L32&gt;=Instructions!$D$20,"Need to Improve","Not Performing"))))</f>
        <v/>
      </c>
      <c r="S32" s="7" t="str">
        <f aca="false">IF($R32="","",IF($R32="Data Pending","Enter the 3Y return",IF($R32="Best Fund","Hold / consider top-up",IF($R32="Need to Improve","Watch 2 quarters, then decide","Review with client - switch or exit"))))</f>
        <v/>
      </c>
      <c r="T32" s="26"/>
      <c r="U32" s="7" t="str">
        <f aca="false">IF($R32&lt;&gt;"Best Fund","",COUNTIFS($R$6:$R$505,"Best Fund",$L$6:$L$505,"&gt;"&amp;$L32)+COUNTIFS($R$6:$R32,"Best Fund",$L$6:$L32,$L32))</f>
        <v/>
      </c>
      <c r="V32" s="7" t="str">
        <f aca="false">IF($R32&lt;&gt;"Need to Improve","",COUNTIFS($R$6:$R$505,"Need to Improve",$L$6:$L$505,"&lt;"&amp;$L32)+COUNTIFS($R$6:$R32,"Need to Improve",$L$6:$L32,$L32))</f>
        <v/>
      </c>
      <c r="W32" s="7" t="str">
        <f aca="false">IF($R32&lt;&gt;"Not Performing","",COUNTIFS($R$6:$R$505,"Not Performing",$L$6:$L$505,"&lt;"&amp;$L32)+COUNTIFS($R$6:$R32,"Not Performing",$L$6:$L32,$L32))</f>
        <v/>
      </c>
    </row>
    <row r="33" customFormat="false" ht="15" hidden="false" customHeight="true" outlineLevel="0" collapsed="false">
      <c r="A33" s="26"/>
      <c r="B33" s="26"/>
      <c r="C33" s="26"/>
      <c r="D33" s="27" t="str">
        <f aca="false">IF($C33="","",IFERROR(TRIM(LEFT($C33,FIND("-",$C33)-1)),""))</f>
        <v/>
      </c>
      <c r="E33" s="26"/>
      <c r="F33" s="28"/>
      <c r="G33" s="29"/>
      <c r="H33" s="29"/>
      <c r="I33" s="30" t="str">
        <f aca="false">IF($B33="","",$H33-$G33)</f>
        <v/>
      </c>
      <c r="J33" s="31" t="str">
        <f aca="false">IF(OR($B33="",$G33=0,$G33=""),"",$I33/$G33)</f>
        <v/>
      </c>
      <c r="K33" s="32"/>
      <c r="L33" s="32"/>
      <c r="M33" s="32"/>
      <c r="N33" s="32"/>
      <c r="O33" s="32"/>
      <c r="P33" s="31" t="str">
        <f aca="false">IF(OR($L33="",$N33=""),"",$L33-$N33)</f>
        <v/>
      </c>
      <c r="Q33" s="27" t="str">
        <f aca="false">IF($B33="","",IF(N($H33)&gt;0,"Live","Exited"))</f>
        <v/>
      </c>
      <c r="R33" s="27" t="str">
        <f aca="false">IF($B33="","",IF($L33="","Data Pending",IF($L33&gt;=Instructions!$D$19,"Best Fund",IF($L33&gt;=Instructions!$D$20,"Need to Improve","Not Performing"))))</f>
        <v/>
      </c>
      <c r="S33" s="7" t="str">
        <f aca="false">IF($R33="","",IF($R33="Data Pending","Enter the 3Y return",IF($R33="Best Fund","Hold / consider top-up",IF($R33="Need to Improve","Watch 2 quarters, then decide","Review with client - switch or exit"))))</f>
        <v/>
      </c>
      <c r="T33" s="26"/>
      <c r="U33" s="7" t="str">
        <f aca="false">IF($R33&lt;&gt;"Best Fund","",COUNTIFS($R$6:$R$505,"Best Fund",$L$6:$L$505,"&gt;"&amp;$L33)+COUNTIFS($R$6:$R33,"Best Fund",$L$6:$L33,$L33))</f>
        <v/>
      </c>
      <c r="V33" s="7" t="str">
        <f aca="false">IF($R33&lt;&gt;"Need to Improve","",COUNTIFS($R$6:$R$505,"Need to Improve",$L$6:$L$505,"&lt;"&amp;$L33)+COUNTIFS($R$6:$R33,"Need to Improve",$L$6:$L33,$L33))</f>
        <v/>
      </c>
      <c r="W33" s="7" t="str">
        <f aca="false">IF($R33&lt;&gt;"Not Performing","",COUNTIFS($R$6:$R$505,"Not Performing",$L$6:$L$505,"&lt;"&amp;$L33)+COUNTIFS($R$6:$R33,"Not Performing",$L$6:$L33,$L33))</f>
        <v/>
      </c>
    </row>
    <row r="34" customFormat="false" ht="15" hidden="false" customHeight="true" outlineLevel="0" collapsed="false">
      <c r="A34" s="26"/>
      <c r="B34" s="26"/>
      <c r="C34" s="26"/>
      <c r="D34" s="27" t="str">
        <f aca="false">IF($C34="","",IFERROR(TRIM(LEFT($C34,FIND("-",$C34)-1)),""))</f>
        <v/>
      </c>
      <c r="E34" s="26"/>
      <c r="F34" s="28"/>
      <c r="G34" s="29"/>
      <c r="H34" s="29"/>
      <c r="I34" s="30" t="str">
        <f aca="false">IF($B34="","",$H34-$G34)</f>
        <v/>
      </c>
      <c r="J34" s="31" t="str">
        <f aca="false">IF(OR($B34="",$G34=0,$G34=""),"",$I34/$G34)</f>
        <v/>
      </c>
      <c r="K34" s="32"/>
      <c r="L34" s="32"/>
      <c r="M34" s="32"/>
      <c r="N34" s="32"/>
      <c r="O34" s="32"/>
      <c r="P34" s="31" t="str">
        <f aca="false">IF(OR($L34="",$N34=""),"",$L34-$N34)</f>
        <v/>
      </c>
      <c r="Q34" s="27" t="str">
        <f aca="false">IF($B34="","",IF(N($H34)&gt;0,"Live","Exited"))</f>
        <v/>
      </c>
      <c r="R34" s="27" t="str">
        <f aca="false">IF($B34="","",IF($L34="","Data Pending",IF($L34&gt;=Instructions!$D$19,"Best Fund",IF($L34&gt;=Instructions!$D$20,"Need to Improve","Not Performing"))))</f>
        <v/>
      </c>
      <c r="S34" s="7" t="str">
        <f aca="false">IF($R34="","",IF($R34="Data Pending","Enter the 3Y return",IF($R34="Best Fund","Hold / consider top-up",IF($R34="Need to Improve","Watch 2 quarters, then decide","Review with client - switch or exit"))))</f>
        <v/>
      </c>
      <c r="T34" s="26"/>
      <c r="U34" s="7" t="str">
        <f aca="false">IF($R34&lt;&gt;"Best Fund","",COUNTIFS($R$6:$R$505,"Best Fund",$L$6:$L$505,"&gt;"&amp;$L34)+COUNTIFS($R$6:$R34,"Best Fund",$L$6:$L34,$L34))</f>
        <v/>
      </c>
      <c r="V34" s="7" t="str">
        <f aca="false">IF($R34&lt;&gt;"Need to Improve","",COUNTIFS($R$6:$R$505,"Need to Improve",$L$6:$L$505,"&lt;"&amp;$L34)+COUNTIFS($R$6:$R34,"Need to Improve",$L$6:$L34,$L34))</f>
        <v/>
      </c>
      <c r="W34" s="7" t="str">
        <f aca="false">IF($R34&lt;&gt;"Not Performing","",COUNTIFS($R$6:$R$505,"Not Performing",$L$6:$L$505,"&lt;"&amp;$L34)+COUNTIFS($R$6:$R34,"Not Performing",$L$6:$L34,$L34))</f>
        <v/>
      </c>
    </row>
    <row r="35" customFormat="false" ht="15" hidden="false" customHeight="true" outlineLevel="0" collapsed="false">
      <c r="A35" s="26"/>
      <c r="B35" s="26"/>
      <c r="C35" s="26"/>
      <c r="D35" s="27" t="str">
        <f aca="false">IF($C35="","",IFERROR(TRIM(LEFT($C35,FIND("-",$C35)-1)),""))</f>
        <v/>
      </c>
      <c r="E35" s="26"/>
      <c r="F35" s="28"/>
      <c r="G35" s="29"/>
      <c r="H35" s="29"/>
      <c r="I35" s="30" t="str">
        <f aca="false">IF($B35="","",$H35-$G35)</f>
        <v/>
      </c>
      <c r="J35" s="31" t="str">
        <f aca="false">IF(OR($B35="",$G35=0,$G35=""),"",$I35/$G35)</f>
        <v/>
      </c>
      <c r="K35" s="32"/>
      <c r="L35" s="32"/>
      <c r="M35" s="32"/>
      <c r="N35" s="32"/>
      <c r="O35" s="32"/>
      <c r="P35" s="31" t="str">
        <f aca="false">IF(OR($L35="",$N35=""),"",$L35-$N35)</f>
        <v/>
      </c>
      <c r="Q35" s="27" t="str">
        <f aca="false">IF($B35="","",IF(N($H35)&gt;0,"Live","Exited"))</f>
        <v/>
      </c>
      <c r="R35" s="27" t="str">
        <f aca="false">IF($B35="","",IF($L35="","Data Pending",IF($L35&gt;=Instructions!$D$19,"Best Fund",IF($L35&gt;=Instructions!$D$20,"Need to Improve","Not Performing"))))</f>
        <v/>
      </c>
      <c r="S35" s="7" t="str">
        <f aca="false">IF($R35="","",IF($R35="Data Pending","Enter the 3Y return",IF($R35="Best Fund","Hold / consider top-up",IF($R35="Need to Improve","Watch 2 quarters, then decide","Review with client - switch or exit"))))</f>
        <v/>
      </c>
      <c r="T35" s="26"/>
      <c r="U35" s="7" t="str">
        <f aca="false">IF($R35&lt;&gt;"Best Fund","",COUNTIFS($R$6:$R$505,"Best Fund",$L$6:$L$505,"&gt;"&amp;$L35)+COUNTIFS($R$6:$R35,"Best Fund",$L$6:$L35,$L35))</f>
        <v/>
      </c>
      <c r="V35" s="7" t="str">
        <f aca="false">IF($R35&lt;&gt;"Need to Improve","",COUNTIFS($R$6:$R$505,"Need to Improve",$L$6:$L$505,"&lt;"&amp;$L35)+COUNTIFS($R$6:$R35,"Need to Improve",$L$6:$L35,$L35))</f>
        <v/>
      </c>
      <c r="W35" s="7" t="str">
        <f aca="false">IF($R35&lt;&gt;"Not Performing","",COUNTIFS($R$6:$R$505,"Not Performing",$L$6:$L$505,"&lt;"&amp;$L35)+COUNTIFS($R$6:$R35,"Not Performing",$L$6:$L35,$L35))</f>
        <v/>
      </c>
    </row>
    <row r="36" customFormat="false" ht="15" hidden="false" customHeight="true" outlineLevel="0" collapsed="false">
      <c r="A36" s="26"/>
      <c r="B36" s="26"/>
      <c r="C36" s="26"/>
      <c r="D36" s="27" t="str">
        <f aca="false">IF($C36="","",IFERROR(TRIM(LEFT($C36,FIND("-",$C36)-1)),""))</f>
        <v/>
      </c>
      <c r="E36" s="26"/>
      <c r="F36" s="28"/>
      <c r="G36" s="29"/>
      <c r="H36" s="29"/>
      <c r="I36" s="30" t="str">
        <f aca="false">IF($B36="","",$H36-$G36)</f>
        <v/>
      </c>
      <c r="J36" s="31" t="str">
        <f aca="false">IF(OR($B36="",$G36=0,$G36=""),"",$I36/$G36)</f>
        <v/>
      </c>
      <c r="K36" s="32"/>
      <c r="L36" s="32"/>
      <c r="M36" s="32"/>
      <c r="N36" s="32"/>
      <c r="O36" s="32"/>
      <c r="P36" s="31" t="str">
        <f aca="false">IF(OR($L36="",$N36=""),"",$L36-$N36)</f>
        <v/>
      </c>
      <c r="Q36" s="27" t="str">
        <f aca="false">IF($B36="","",IF(N($H36)&gt;0,"Live","Exited"))</f>
        <v/>
      </c>
      <c r="R36" s="27" t="str">
        <f aca="false">IF($B36="","",IF($L36="","Data Pending",IF($L36&gt;=Instructions!$D$19,"Best Fund",IF($L36&gt;=Instructions!$D$20,"Need to Improve","Not Performing"))))</f>
        <v/>
      </c>
      <c r="S36" s="7" t="str">
        <f aca="false">IF($R36="","",IF($R36="Data Pending","Enter the 3Y return",IF($R36="Best Fund","Hold / consider top-up",IF($R36="Need to Improve","Watch 2 quarters, then decide","Review with client - switch or exit"))))</f>
        <v/>
      </c>
      <c r="T36" s="26"/>
      <c r="U36" s="7" t="str">
        <f aca="false">IF($R36&lt;&gt;"Best Fund","",COUNTIFS($R$6:$R$505,"Best Fund",$L$6:$L$505,"&gt;"&amp;$L36)+COUNTIFS($R$6:$R36,"Best Fund",$L$6:$L36,$L36))</f>
        <v/>
      </c>
      <c r="V36" s="7" t="str">
        <f aca="false">IF($R36&lt;&gt;"Need to Improve","",COUNTIFS($R$6:$R$505,"Need to Improve",$L$6:$L$505,"&lt;"&amp;$L36)+COUNTIFS($R$6:$R36,"Need to Improve",$L$6:$L36,$L36))</f>
        <v/>
      </c>
      <c r="W36" s="7" t="str">
        <f aca="false">IF($R36&lt;&gt;"Not Performing","",COUNTIFS($R$6:$R$505,"Not Performing",$L$6:$L$505,"&lt;"&amp;$L36)+COUNTIFS($R$6:$R36,"Not Performing",$L$6:$L36,$L36))</f>
        <v/>
      </c>
    </row>
    <row r="37" customFormat="false" ht="15" hidden="false" customHeight="true" outlineLevel="0" collapsed="false">
      <c r="A37" s="26"/>
      <c r="B37" s="26"/>
      <c r="C37" s="26"/>
      <c r="D37" s="27" t="str">
        <f aca="false">IF($C37="","",IFERROR(TRIM(LEFT($C37,FIND("-",$C37)-1)),""))</f>
        <v/>
      </c>
      <c r="E37" s="26"/>
      <c r="F37" s="28"/>
      <c r="G37" s="29"/>
      <c r="H37" s="29"/>
      <c r="I37" s="30" t="str">
        <f aca="false">IF($B37="","",$H37-$G37)</f>
        <v/>
      </c>
      <c r="J37" s="31" t="str">
        <f aca="false">IF(OR($B37="",$G37=0,$G37=""),"",$I37/$G37)</f>
        <v/>
      </c>
      <c r="K37" s="32"/>
      <c r="L37" s="32"/>
      <c r="M37" s="32"/>
      <c r="N37" s="32"/>
      <c r="O37" s="32"/>
      <c r="P37" s="31" t="str">
        <f aca="false">IF(OR($L37="",$N37=""),"",$L37-$N37)</f>
        <v/>
      </c>
      <c r="Q37" s="27" t="str">
        <f aca="false">IF($B37="","",IF(N($H37)&gt;0,"Live","Exited"))</f>
        <v/>
      </c>
      <c r="R37" s="27" t="str">
        <f aca="false">IF($B37="","",IF($L37="","Data Pending",IF($L37&gt;=Instructions!$D$19,"Best Fund",IF($L37&gt;=Instructions!$D$20,"Need to Improve","Not Performing"))))</f>
        <v/>
      </c>
      <c r="S37" s="7" t="str">
        <f aca="false">IF($R37="","",IF($R37="Data Pending","Enter the 3Y return",IF($R37="Best Fund","Hold / consider top-up",IF($R37="Need to Improve","Watch 2 quarters, then decide","Review with client - switch or exit"))))</f>
        <v/>
      </c>
      <c r="T37" s="26"/>
      <c r="U37" s="7" t="str">
        <f aca="false">IF($R37&lt;&gt;"Best Fund","",COUNTIFS($R$6:$R$505,"Best Fund",$L$6:$L$505,"&gt;"&amp;$L37)+COUNTIFS($R$6:$R37,"Best Fund",$L$6:$L37,$L37))</f>
        <v/>
      </c>
      <c r="V37" s="7" t="str">
        <f aca="false">IF($R37&lt;&gt;"Need to Improve","",COUNTIFS($R$6:$R$505,"Need to Improve",$L$6:$L$505,"&lt;"&amp;$L37)+COUNTIFS($R$6:$R37,"Need to Improve",$L$6:$L37,$L37))</f>
        <v/>
      </c>
      <c r="W37" s="7" t="str">
        <f aca="false">IF($R37&lt;&gt;"Not Performing","",COUNTIFS($R$6:$R$505,"Not Performing",$L$6:$L$505,"&lt;"&amp;$L37)+COUNTIFS($R$6:$R37,"Not Performing",$L$6:$L37,$L37))</f>
        <v/>
      </c>
    </row>
    <row r="38" customFormat="false" ht="15" hidden="false" customHeight="true" outlineLevel="0" collapsed="false">
      <c r="A38" s="26"/>
      <c r="B38" s="26"/>
      <c r="C38" s="26"/>
      <c r="D38" s="27" t="str">
        <f aca="false">IF($C38="","",IFERROR(TRIM(LEFT($C38,FIND("-",$C38)-1)),""))</f>
        <v/>
      </c>
      <c r="E38" s="26"/>
      <c r="F38" s="28"/>
      <c r="G38" s="29"/>
      <c r="H38" s="29"/>
      <c r="I38" s="30" t="str">
        <f aca="false">IF($B38="","",$H38-$G38)</f>
        <v/>
      </c>
      <c r="J38" s="31" t="str">
        <f aca="false">IF(OR($B38="",$G38=0,$G38=""),"",$I38/$G38)</f>
        <v/>
      </c>
      <c r="K38" s="32"/>
      <c r="L38" s="32"/>
      <c r="M38" s="32"/>
      <c r="N38" s="32"/>
      <c r="O38" s="32"/>
      <c r="P38" s="31" t="str">
        <f aca="false">IF(OR($L38="",$N38=""),"",$L38-$N38)</f>
        <v/>
      </c>
      <c r="Q38" s="27" t="str">
        <f aca="false">IF($B38="","",IF(N($H38)&gt;0,"Live","Exited"))</f>
        <v/>
      </c>
      <c r="R38" s="27" t="str">
        <f aca="false">IF($B38="","",IF($L38="","Data Pending",IF($L38&gt;=Instructions!$D$19,"Best Fund",IF($L38&gt;=Instructions!$D$20,"Need to Improve","Not Performing"))))</f>
        <v/>
      </c>
      <c r="S38" s="7" t="str">
        <f aca="false">IF($R38="","",IF($R38="Data Pending","Enter the 3Y return",IF($R38="Best Fund","Hold / consider top-up",IF($R38="Need to Improve","Watch 2 quarters, then decide","Review with client - switch or exit"))))</f>
        <v/>
      </c>
      <c r="T38" s="26"/>
      <c r="U38" s="7" t="str">
        <f aca="false">IF($R38&lt;&gt;"Best Fund","",COUNTIFS($R$6:$R$505,"Best Fund",$L$6:$L$505,"&gt;"&amp;$L38)+COUNTIFS($R$6:$R38,"Best Fund",$L$6:$L38,$L38))</f>
        <v/>
      </c>
      <c r="V38" s="7" t="str">
        <f aca="false">IF($R38&lt;&gt;"Need to Improve","",COUNTIFS($R$6:$R$505,"Need to Improve",$L$6:$L$505,"&lt;"&amp;$L38)+COUNTIFS($R$6:$R38,"Need to Improve",$L$6:$L38,$L38))</f>
        <v/>
      </c>
      <c r="W38" s="7" t="str">
        <f aca="false">IF($R38&lt;&gt;"Not Performing","",COUNTIFS($R$6:$R$505,"Not Performing",$L$6:$L$505,"&lt;"&amp;$L38)+COUNTIFS($R$6:$R38,"Not Performing",$L$6:$L38,$L38))</f>
        <v/>
      </c>
    </row>
    <row r="39" customFormat="false" ht="15" hidden="false" customHeight="true" outlineLevel="0" collapsed="false">
      <c r="A39" s="26"/>
      <c r="B39" s="26"/>
      <c r="C39" s="26"/>
      <c r="D39" s="27" t="str">
        <f aca="false">IF($C39="","",IFERROR(TRIM(LEFT($C39,FIND("-",$C39)-1)),""))</f>
        <v/>
      </c>
      <c r="E39" s="26"/>
      <c r="F39" s="28"/>
      <c r="G39" s="29"/>
      <c r="H39" s="29"/>
      <c r="I39" s="30" t="str">
        <f aca="false">IF($B39="","",$H39-$G39)</f>
        <v/>
      </c>
      <c r="J39" s="31" t="str">
        <f aca="false">IF(OR($B39="",$G39=0,$G39=""),"",$I39/$G39)</f>
        <v/>
      </c>
      <c r="K39" s="32"/>
      <c r="L39" s="32"/>
      <c r="M39" s="32"/>
      <c r="N39" s="32"/>
      <c r="O39" s="32"/>
      <c r="P39" s="31" t="str">
        <f aca="false">IF(OR($L39="",$N39=""),"",$L39-$N39)</f>
        <v/>
      </c>
      <c r="Q39" s="27" t="str">
        <f aca="false">IF($B39="","",IF(N($H39)&gt;0,"Live","Exited"))</f>
        <v/>
      </c>
      <c r="R39" s="27" t="str">
        <f aca="false">IF($B39="","",IF($L39="","Data Pending",IF($L39&gt;=Instructions!$D$19,"Best Fund",IF($L39&gt;=Instructions!$D$20,"Need to Improve","Not Performing"))))</f>
        <v/>
      </c>
      <c r="S39" s="7" t="str">
        <f aca="false">IF($R39="","",IF($R39="Data Pending","Enter the 3Y return",IF($R39="Best Fund","Hold / consider top-up",IF($R39="Need to Improve","Watch 2 quarters, then decide","Review with client - switch or exit"))))</f>
        <v/>
      </c>
      <c r="T39" s="26"/>
      <c r="U39" s="7" t="str">
        <f aca="false">IF($R39&lt;&gt;"Best Fund","",COUNTIFS($R$6:$R$505,"Best Fund",$L$6:$L$505,"&gt;"&amp;$L39)+COUNTIFS($R$6:$R39,"Best Fund",$L$6:$L39,$L39))</f>
        <v/>
      </c>
      <c r="V39" s="7" t="str">
        <f aca="false">IF($R39&lt;&gt;"Need to Improve","",COUNTIFS($R$6:$R$505,"Need to Improve",$L$6:$L$505,"&lt;"&amp;$L39)+COUNTIFS($R$6:$R39,"Need to Improve",$L$6:$L39,$L39))</f>
        <v/>
      </c>
      <c r="W39" s="7" t="str">
        <f aca="false">IF($R39&lt;&gt;"Not Performing","",COUNTIFS($R$6:$R$505,"Not Performing",$L$6:$L$505,"&lt;"&amp;$L39)+COUNTIFS($R$6:$R39,"Not Performing",$L$6:$L39,$L39))</f>
        <v/>
      </c>
    </row>
    <row r="40" customFormat="false" ht="15" hidden="false" customHeight="true" outlineLevel="0" collapsed="false">
      <c r="A40" s="26"/>
      <c r="B40" s="26"/>
      <c r="C40" s="26"/>
      <c r="D40" s="27" t="str">
        <f aca="false">IF($C40="","",IFERROR(TRIM(LEFT($C40,FIND("-",$C40)-1)),""))</f>
        <v/>
      </c>
      <c r="E40" s="26"/>
      <c r="F40" s="28"/>
      <c r="G40" s="29"/>
      <c r="H40" s="29"/>
      <c r="I40" s="30" t="str">
        <f aca="false">IF($B40="","",$H40-$G40)</f>
        <v/>
      </c>
      <c r="J40" s="31" t="str">
        <f aca="false">IF(OR($B40="",$G40=0,$G40=""),"",$I40/$G40)</f>
        <v/>
      </c>
      <c r="K40" s="32"/>
      <c r="L40" s="32"/>
      <c r="M40" s="32"/>
      <c r="N40" s="32"/>
      <c r="O40" s="32"/>
      <c r="P40" s="31" t="str">
        <f aca="false">IF(OR($L40="",$N40=""),"",$L40-$N40)</f>
        <v/>
      </c>
      <c r="Q40" s="27" t="str">
        <f aca="false">IF($B40="","",IF(N($H40)&gt;0,"Live","Exited"))</f>
        <v/>
      </c>
      <c r="R40" s="27" t="str">
        <f aca="false">IF($B40="","",IF($L40="","Data Pending",IF($L40&gt;=Instructions!$D$19,"Best Fund",IF($L40&gt;=Instructions!$D$20,"Need to Improve","Not Performing"))))</f>
        <v/>
      </c>
      <c r="S40" s="7" t="str">
        <f aca="false">IF($R40="","",IF($R40="Data Pending","Enter the 3Y return",IF($R40="Best Fund","Hold / consider top-up",IF($R40="Need to Improve","Watch 2 quarters, then decide","Review with client - switch or exit"))))</f>
        <v/>
      </c>
      <c r="T40" s="26"/>
      <c r="U40" s="7" t="str">
        <f aca="false">IF($R40&lt;&gt;"Best Fund","",COUNTIFS($R$6:$R$505,"Best Fund",$L$6:$L$505,"&gt;"&amp;$L40)+COUNTIFS($R$6:$R40,"Best Fund",$L$6:$L40,$L40))</f>
        <v/>
      </c>
      <c r="V40" s="7" t="str">
        <f aca="false">IF($R40&lt;&gt;"Need to Improve","",COUNTIFS($R$6:$R$505,"Need to Improve",$L$6:$L$505,"&lt;"&amp;$L40)+COUNTIFS($R$6:$R40,"Need to Improve",$L$6:$L40,$L40))</f>
        <v/>
      </c>
      <c r="W40" s="7" t="str">
        <f aca="false">IF($R40&lt;&gt;"Not Performing","",COUNTIFS($R$6:$R$505,"Not Performing",$L$6:$L$505,"&lt;"&amp;$L40)+COUNTIFS($R$6:$R40,"Not Performing",$L$6:$L40,$L40))</f>
        <v/>
      </c>
    </row>
    <row r="41" customFormat="false" ht="15" hidden="false" customHeight="true" outlineLevel="0" collapsed="false">
      <c r="A41" s="26"/>
      <c r="B41" s="26"/>
      <c r="C41" s="26"/>
      <c r="D41" s="27" t="str">
        <f aca="false">IF($C41="","",IFERROR(TRIM(LEFT($C41,FIND("-",$C41)-1)),""))</f>
        <v/>
      </c>
      <c r="E41" s="26"/>
      <c r="F41" s="28"/>
      <c r="G41" s="29"/>
      <c r="H41" s="29"/>
      <c r="I41" s="30" t="str">
        <f aca="false">IF($B41="","",$H41-$G41)</f>
        <v/>
      </c>
      <c r="J41" s="31" t="str">
        <f aca="false">IF(OR($B41="",$G41=0,$G41=""),"",$I41/$G41)</f>
        <v/>
      </c>
      <c r="K41" s="32"/>
      <c r="L41" s="32"/>
      <c r="M41" s="32"/>
      <c r="N41" s="32"/>
      <c r="O41" s="32"/>
      <c r="P41" s="31" t="str">
        <f aca="false">IF(OR($L41="",$N41=""),"",$L41-$N41)</f>
        <v/>
      </c>
      <c r="Q41" s="27" t="str">
        <f aca="false">IF($B41="","",IF(N($H41)&gt;0,"Live","Exited"))</f>
        <v/>
      </c>
      <c r="R41" s="27" t="str">
        <f aca="false">IF($B41="","",IF($L41="","Data Pending",IF($L41&gt;=Instructions!$D$19,"Best Fund",IF($L41&gt;=Instructions!$D$20,"Need to Improve","Not Performing"))))</f>
        <v/>
      </c>
      <c r="S41" s="7" t="str">
        <f aca="false">IF($R41="","",IF($R41="Data Pending","Enter the 3Y return",IF($R41="Best Fund","Hold / consider top-up",IF($R41="Need to Improve","Watch 2 quarters, then decide","Review with client - switch or exit"))))</f>
        <v/>
      </c>
      <c r="T41" s="26"/>
      <c r="U41" s="7" t="str">
        <f aca="false">IF($R41&lt;&gt;"Best Fund","",COUNTIFS($R$6:$R$505,"Best Fund",$L$6:$L$505,"&gt;"&amp;$L41)+COUNTIFS($R$6:$R41,"Best Fund",$L$6:$L41,$L41))</f>
        <v/>
      </c>
      <c r="V41" s="7" t="str">
        <f aca="false">IF($R41&lt;&gt;"Need to Improve","",COUNTIFS($R$6:$R$505,"Need to Improve",$L$6:$L$505,"&lt;"&amp;$L41)+COUNTIFS($R$6:$R41,"Need to Improve",$L$6:$L41,$L41))</f>
        <v/>
      </c>
      <c r="W41" s="7" t="str">
        <f aca="false">IF($R41&lt;&gt;"Not Performing","",COUNTIFS($R$6:$R$505,"Not Performing",$L$6:$L$505,"&lt;"&amp;$L41)+COUNTIFS($R$6:$R41,"Not Performing",$L$6:$L41,$L41))</f>
        <v/>
      </c>
    </row>
    <row r="42" customFormat="false" ht="15" hidden="false" customHeight="true" outlineLevel="0" collapsed="false">
      <c r="A42" s="26"/>
      <c r="B42" s="26"/>
      <c r="C42" s="26"/>
      <c r="D42" s="27" t="str">
        <f aca="false">IF($C42="","",IFERROR(TRIM(LEFT($C42,FIND("-",$C42)-1)),""))</f>
        <v/>
      </c>
      <c r="E42" s="26"/>
      <c r="F42" s="28"/>
      <c r="G42" s="29"/>
      <c r="H42" s="29"/>
      <c r="I42" s="30" t="str">
        <f aca="false">IF($B42="","",$H42-$G42)</f>
        <v/>
      </c>
      <c r="J42" s="31" t="str">
        <f aca="false">IF(OR($B42="",$G42=0,$G42=""),"",$I42/$G42)</f>
        <v/>
      </c>
      <c r="K42" s="32"/>
      <c r="L42" s="32"/>
      <c r="M42" s="32"/>
      <c r="N42" s="32"/>
      <c r="O42" s="32"/>
      <c r="P42" s="31" t="str">
        <f aca="false">IF(OR($L42="",$N42=""),"",$L42-$N42)</f>
        <v/>
      </c>
      <c r="Q42" s="27" t="str">
        <f aca="false">IF($B42="","",IF(N($H42)&gt;0,"Live","Exited"))</f>
        <v/>
      </c>
      <c r="R42" s="27" t="str">
        <f aca="false">IF($B42="","",IF($L42="","Data Pending",IF($L42&gt;=Instructions!$D$19,"Best Fund",IF($L42&gt;=Instructions!$D$20,"Need to Improve","Not Performing"))))</f>
        <v/>
      </c>
      <c r="S42" s="7" t="str">
        <f aca="false">IF($R42="","",IF($R42="Data Pending","Enter the 3Y return",IF($R42="Best Fund","Hold / consider top-up",IF($R42="Need to Improve","Watch 2 quarters, then decide","Review with client - switch or exit"))))</f>
        <v/>
      </c>
      <c r="T42" s="26"/>
      <c r="U42" s="7" t="str">
        <f aca="false">IF($R42&lt;&gt;"Best Fund","",COUNTIFS($R$6:$R$505,"Best Fund",$L$6:$L$505,"&gt;"&amp;$L42)+COUNTIFS($R$6:$R42,"Best Fund",$L$6:$L42,$L42))</f>
        <v/>
      </c>
      <c r="V42" s="7" t="str">
        <f aca="false">IF($R42&lt;&gt;"Need to Improve","",COUNTIFS($R$6:$R$505,"Need to Improve",$L$6:$L$505,"&lt;"&amp;$L42)+COUNTIFS($R$6:$R42,"Need to Improve",$L$6:$L42,$L42))</f>
        <v/>
      </c>
      <c r="W42" s="7" t="str">
        <f aca="false">IF($R42&lt;&gt;"Not Performing","",COUNTIFS($R$6:$R$505,"Not Performing",$L$6:$L$505,"&lt;"&amp;$L42)+COUNTIFS($R$6:$R42,"Not Performing",$L$6:$L42,$L42))</f>
        <v/>
      </c>
    </row>
    <row r="43" customFormat="false" ht="15" hidden="false" customHeight="true" outlineLevel="0" collapsed="false">
      <c r="A43" s="26"/>
      <c r="B43" s="26"/>
      <c r="C43" s="26"/>
      <c r="D43" s="27" t="str">
        <f aca="false">IF($C43="","",IFERROR(TRIM(LEFT($C43,FIND("-",$C43)-1)),""))</f>
        <v/>
      </c>
      <c r="E43" s="26"/>
      <c r="F43" s="28"/>
      <c r="G43" s="29"/>
      <c r="H43" s="29"/>
      <c r="I43" s="30" t="str">
        <f aca="false">IF($B43="","",$H43-$G43)</f>
        <v/>
      </c>
      <c r="J43" s="31" t="str">
        <f aca="false">IF(OR($B43="",$G43=0,$G43=""),"",$I43/$G43)</f>
        <v/>
      </c>
      <c r="K43" s="32"/>
      <c r="L43" s="32"/>
      <c r="M43" s="32"/>
      <c r="N43" s="32"/>
      <c r="O43" s="32"/>
      <c r="P43" s="31" t="str">
        <f aca="false">IF(OR($L43="",$N43=""),"",$L43-$N43)</f>
        <v/>
      </c>
      <c r="Q43" s="27" t="str">
        <f aca="false">IF($B43="","",IF(N($H43)&gt;0,"Live","Exited"))</f>
        <v/>
      </c>
      <c r="R43" s="27" t="str">
        <f aca="false">IF($B43="","",IF($L43="","Data Pending",IF($L43&gt;=Instructions!$D$19,"Best Fund",IF($L43&gt;=Instructions!$D$20,"Need to Improve","Not Performing"))))</f>
        <v/>
      </c>
      <c r="S43" s="7" t="str">
        <f aca="false">IF($R43="","",IF($R43="Data Pending","Enter the 3Y return",IF($R43="Best Fund","Hold / consider top-up",IF($R43="Need to Improve","Watch 2 quarters, then decide","Review with client - switch or exit"))))</f>
        <v/>
      </c>
      <c r="T43" s="26"/>
      <c r="U43" s="7" t="str">
        <f aca="false">IF($R43&lt;&gt;"Best Fund","",COUNTIFS($R$6:$R$505,"Best Fund",$L$6:$L$505,"&gt;"&amp;$L43)+COUNTIFS($R$6:$R43,"Best Fund",$L$6:$L43,$L43))</f>
        <v/>
      </c>
      <c r="V43" s="7" t="str">
        <f aca="false">IF($R43&lt;&gt;"Need to Improve","",COUNTIFS($R$6:$R$505,"Need to Improve",$L$6:$L$505,"&lt;"&amp;$L43)+COUNTIFS($R$6:$R43,"Need to Improve",$L$6:$L43,$L43))</f>
        <v/>
      </c>
      <c r="W43" s="7" t="str">
        <f aca="false">IF($R43&lt;&gt;"Not Performing","",COUNTIFS($R$6:$R$505,"Not Performing",$L$6:$L$505,"&lt;"&amp;$L43)+COUNTIFS($R$6:$R43,"Not Performing",$L$6:$L43,$L43))</f>
        <v/>
      </c>
    </row>
    <row r="44" customFormat="false" ht="15" hidden="false" customHeight="true" outlineLevel="0" collapsed="false">
      <c r="A44" s="26"/>
      <c r="B44" s="26"/>
      <c r="C44" s="26"/>
      <c r="D44" s="27" t="str">
        <f aca="false">IF($C44="","",IFERROR(TRIM(LEFT($C44,FIND("-",$C44)-1)),""))</f>
        <v/>
      </c>
      <c r="E44" s="26"/>
      <c r="F44" s="28"/>
      <c r="G44" s="29"/>
      <c r="H44" s="29"/>
      <c r="I44" s="30" t="str">
        <f aca="false">IF($B44="","",$H44-$G44)</f>
        <v/>
      </c>
      <c r="J44" s="31" t="str">
        <f aca="false">IF(OR($B44="",$G44=0,$G44=""),"",$I44/$G44)</f>
        <v/>
      </c>
      <c r="K44" s="32"/>
      <c r="L44" s="32"/>
      <c r="M44" s="32"/>
      <c r="N44" s="32"/>
      <c r="O44" s="32"/>
      <c r="P44" s="31" t="str">
        <f aca="false">IF(OR($L44="",$N44=""),"",$L44-$N44)</f>
        <v/>
      </c>
      <c r="Q44" s="27" t="str">
        <f aca="false">IF($B44="","",IF(N($H44)&gt;0,"Live","Exited"))</f>
        <v/>
      </c>
      <c r="R44" s="27" t="str">
        <f aca="false">IF($B44="","",IF($L44="","Data Pending",IF($L44&gt;=Instructions!$D$19,"Best Fund",IF($L44&gt;=Instructions!$D$20,"Need to Improve","Not Performing"))))</f>
        <v/>
      </c>
      <c r="S44" s="7" t="str">
        <f aca="false">IF($R44="","",IF($R44="Data Pending","Enter the 3Y return",IF($R44="Best Fund","Hold / consider top-up",IF($R44="Need to Improve","Watch 2 quarters, then decide","Review with client - switch or exit"))))</f>
        <v/>
      </c>
      <c r="T44" s="26"/>
      <c r="U44" s="7" t="str">
        <f aca="false">IF($R44&lt;&gt;"Best Fund","",COUNTIFS($R$6:$R$505,"Best Fund",$L$6:$L$505,"&gt;"&amp;$L44)+COUNTIFS($R$6:$R44,"Best Fund",$L$6:$L44,$L44))</f>
        <v/>
      </c>
      <c r="V44" s="7" t="str">
        <f aca="false">IF($R44&lt;&gt;"Need to Improve","",COUNTIFS($R$6:$R$505,"Need to Improve",$L$6:$L$505,"&lt;"&amp;$L44)+COUNTIFS($R$6:$R44,"Need to Improve",$L$6:$L44,$L44))</f>
        <v/>
      </c>
      <c r="W44" s="7" t="str">
        <f aca="false">IF($R44&lt;&gt;"Not Performing","",COUNTIFS($R$6:$R$505,"Not Performing",$L$6:$L$505,"&lt;"&amp;$L44)+COUNTIFS($R$6:$R44,"Not Performing",$L$6:$L44,$L44))</f>
        <v/>
      </c>
    </row>
    <row r="45" customFormat="false" ht="15" hidden="false" customHeight="true" outlineLevel="0" collapsed="false">
      <c r="A45" s="26"/>
      <c r="B45" s="26"/>
      <c r="C45" s="26"/>
      <c r="D45" s="27" t="str">
        <f aca="false">IF($C45="","",IFERROR(TRIM(LEFT($C45,FIND("-",$C45)-1)),""))</f>
        <v/>
      </c>
      <c r="E45" s="26"/>
      <c r="F45" s="28"/>
      <c r="G45" s="29"/>
      <c r="H45" s="29"/>
      <c r="I45" s="30" t="str">
        <f aca="false">IF($B45="","",$H45-$G45)</f>
        <v/>
      </c>
      <c r="J45" s="31" t="str">
        <f aca="false">IF(OR($B45="",$G45=0,$G45=""),"",$I45/$G45)</f>
        <v/>
      </c>
      <c r="K45" s="32"/>
      <c r="L45" s="32"/>
      <c r="M45" s="32"/>
      <c r="N45" s="32"/>
      <c r="O45" s="32"/>
      <c r="P45" s="31" t="str">
        <f aca="false">IF(OR($L45="",$N45=""),"",$L45-$N45)</f>
        <v/>
      </c>
      <c r="Q45" s="27" t="str">
        <f aca="false">IF($B45="","",IF(N($H45)&gt;0,"Live","Exited"))</f>
        <v/>
      </c>
      <c r="R45" s="27" t="str">
        <f aca="false">IF($B45="","",IF($L45="","Data Pending",IF($L45&gt;=Instructions!$D$19,"Best Fund",IF($L45&gt;=Instructions!$D$20,"Need to Improve","Not Performing"))))</f>
        <v/>
      </c>
      <c r="S45" s="7" t="str">
        <f aca="false">IF($R45="","",IF($R45="Data Pending","Enter the 3Y return",IF($R45="Best Fund","Hold / consider top-up",IF($R45="Need to Improve","Watch 2 quarters, then decide","Review with client - switch or exit"))))</f>
        <v/>
      </c>
      <c r="T45" s="26"/>
      <c r="U45" s="7" t="str">
        <f aca="false">IF($R45&lt;&gt;"Best Fund","",COUNTIFS($R$6:$R$505,"Best Fund",$L$6:$L$505,"&gt;"&amp;$L45)+COUNTIFS($R$6:$R45,"Best Fund",$L$6:$L45,$L45))</f>
        <v/>
      </c>
      <c r="V45" s="7" t="str">
        <f aca="false">IF($R45&lt;&gt;"Need to Improve","",COUNTIFS($R$6:$R$505,"Need to Improve",$L$6:$L$505,"&lt;"&amp;$L45)+COUNTIFS($R$6:$R45,"Need to Improve",$L$6:$L45,$L45))</f>
        <v/>
      </c>
      <c r="W45" s="7" t="str">
        <f aca="false">IF($R45&lt;&gt;"Not Performing","",COUNTIFS($R$6:$R$505,"Not Performing",$L$6:$L$505,"&lt;"&amp;$L45)+COUNTIFS($R$6:$R45,"Not Performing",$L$6:$L45,$L45))</f>
        <v/>
      </c>
    </row>
    <row r="46" customFormat="false" ht="15" hidden="false" customHeight="true" outlineLevel="0" collapsed="false">
      <c r="A46" s="26"/>
      <c r="B46" s="26"/>
      <c r="C46" s="26"/>
      <c r="D46" s="27" t="str">
        <f aca="false">IF($C46="","",IFERROR(TRIM(LEFT($C46,FIND("-",$C46)-1)),""))</f>
        <v/>
      </c>
      <c r="E46" s="26"/>
      <c r="F46" s="28"/>
      <c r="G46" s="29"/>
      <c r="H46" s="29"/>
      <c r="I46" s="30" t="str">
        <f aca="false">IF($B46="","",$H46-$G46)</f>
        <v/>
      </c>
      <c r="J46" s="31" t="str">
        <f aca="false">IF(OR($B46="",$G46=0,$G46=""),"",$I46/$G46)</f>
        <v/>
      </c>
      <c r="K46" s="32"/>
      <c r="L46" s="32"/>
      <c r="M46" s="32"/>
      <c r="N46" s="32"/>
      <c r="O46" s="32"/>
      <c r="P46" s="31" t="str">
        <f aca="false">IF(OR($L46="",$N46=""),"",$L46-$N46)</f>
        <v/>
      </c>
      <c r="Q46" s="27" t="str">
        <f aca="false">IF($B46="","",IF(N($H46)&gt;0,"Live","Exited"))</f>
        <v/>
      </c>
      <c r="R46" s="27" t="str">
        <f aca="false">IF($B46="","",IF($L46="","Data Pending",IF($L46&gt;=Instructions!$D$19,"Best Fund",IF($L46&gt;=Instructions!$D$20,"Need to Improve","Not Performing"))))</f>
        <v/>
      </c>
      <c r="S46" s="7" t="str">
        <f aca="false">IF($R46="","",IF($R46="Data Pending","Enter the 3Y return",IF($R46="Best Fund","Hold / consider top-up",IF($R46="Need to Improve","Watch 2 quarters, then decide","Review with client - switch or exit"))))</f>
        <v/>
      </c>
      <c r="T46" s="26"/>
      <c r="U46" s="7" t="str">
        <f aca="false">IF($R46&lt;&gt;"Best Fund","",COUNTIFS($R$6:$R$505,"Best Fund",$L$6:$L$505,"&gt;"&amp;$L46)+COUNTIFS($R$6:$R46,"Best Fund",$L$6:$L46,$L46))</f>
        <v/>
      </c>
      <c r="V46" s="7" t="str">
        <f aca="false">IF($R46&lt;&gt;"Need to Improve","",COUNTIFS($R$6:$R$505,"Need to Improve",$L$6:$L$505,"&lt;"&amp;$L46)+COUNTIFS($R$6:$R46,"Need to Improve",$L$6:$L46,$L46))</f>
        <v/>
      </c>
      <c r="W46" s="7" t="str">
        <f aca="false">IF($R46&lt;&gt;"Not Performing","",COUNTIFS($R$6:$R$505,"Not Performing",$L$6:$L$505,"&lt;"&amp;$L46)+COUNTIFS($R$6:$R46,"Not Performing",$L$6:$L46,$L46))</f>
        <v/>
      </c>
    </row>
    <row r="47" customFormat="false" ht="15" hidden="false" customHeight="true" outlineLevel="0" collapsed="false">
      <c r="A47" s="26"/>
      <c r="B47" s="26"/>
      <c r="C47" s="26"/>
      <c r="D47" s="27" t="str">
        <f aca="false">IF($C47="","",IFERROR(TRIM(LEFT($C47,FIND("-",$C47)-1)),""))</f>
        <v/>
      </c>
      <c r="E47" s="26"/>
      <c r="F47" s="28"/>
      <c r="G47" s="29"/>
      <c r="H47" s="29"/>
      <c r="I47" s="30" t="str">
        <f aca="false">IF($B47="","",$H47-$G47)</f>
        <v/>
      </c>
      <c r="J47" s="31" t="str">
        <f aca="false">IF(OR($B47="",$G47=0,$G47=""),"",$I47/$G47)</f>
        <v/>
      </c>
      <c r="K47" s="32"/>
      <c r="L47" s="32"/>
      <c r="M47" s="32"/>
      <c r="N47" s="32"/>
      <c r="O47" s="32"/>
      <c r="P47" s="31" t="str">
        <f aca="false">IF(OR($L47="",$N47=""),"",$L47-$N47)</f>
        <v/>
      </c>
      <c r="Q47" s="27" t="str">
        <f aca="false">IF($B47="","",IF(N($H47)&gt;0,"Live","Exited"))</f>
        <v/>
      </c>
      <c r="R47" s="27" t="str">
        <f aca="false">IF($B47="","",IF($L47="","Data Pending",IF($L47&gt;=Instructions!$D$19,"Best Fund",IF($L47&gt;=Instructions!$D$20,"Need to Improve","Not Performing"))))</f>
        <v/>
      </c>
      <c r="S47" s="7" t="str">
        <f aca="false">IF($R47="","",IF($R47="Data Pending","Enter the 3Y return",IF($R47="Best Fund","Hold / consider top-up",IF($R47="Need to Improve","Watch 2 quarters, then decide","Review with client - switch or exit"))))</f>
        <v/>
      </c>
      <c r="T47" s="26"/>
      <c r="U47" s="7" t="str">
        <f aca="false">IF($R47&lt;&gt;"Best Fund","",COUNTIFS($R$6:$R$505,"Best Fund",$L$6:$L$505,"&gt;"&amp;$L47)+COUNTIFS($R$6:$R47,"Best Fund",$L$6:$L47,$L47))</f>
        <v/>
      </c>
      <c r="V47" s="7" t="str">
        <f aca="false">IF($R47&lt;&gt;"Need to Improve","",COUNTIFS($R$6:$R$505,"Need to Improve",$L$6:$L$505,"&lt;"&amp;$L47)+COUNTIFS($R$6:$R47,"Need to Improve",$L$6:$L47,$L47))</f>
        <v/>
      </c>
      <c r="W47" s="7" t="str">
        <f aca="false">IF($R47&lt;&gt;"Not Performing","",COUNTIFS($R$6:$R$505,"Not Performing",$L$6:$L$505,"&lt;"&amp;$L47)+COUNTIFS($R$6:$R47,"Not Performing",$L$6:$L47,$L47))</f>
        <v/>
      </c>
    </row>
    <row r="48" customFormat="false" ht="15" hidden="false" customHeight="true" outlineLevel="0" collapsed="false">
      <c r="A48" s="26"/>
      <c r="B48" s="26"/>
      <c r="C48" s="26"/>
      <c r="D48" s="27" t="str">
        <f aca="false">IF($C48="","",IFERROR(TRIM(LEFT($C48,FIND("-",$C48)-1)),""))</f>
        <v/>
      </c>
      <c r="E48" s="26"/>
      <c r="F48" s="28"/>
      <c r="G48" s="29"/>
      <c r="H48" s="29"/>
      <c r="I48" s="30" t="str">
        <f aca="false">IF($B48="","",$H48-$G48)</f>
        <v/>
      </c>
      <c r="J48" s="31" t="str">
        <f aca="false">IF(OR($B48="",$G48=0,$G48=""),"",$I48/$G48)</f>
        <v/>
      </c>
      <c r="K48" s="32"/>
      <c r="L48" s="32"/>
      <c r="M48" s="32"/>
      <c r="N48" s="32"/>
      <c r="O48" s="32"/>
      <c r="P48" s="31" t="str">
        <f aca="false">IF(OR($L48="",$N48=""),"",$L48-$N48)</f>
        <v/>
      </c>
      <c r="Q48" s="27" t="str">
        <f aca="false">IF($B48="","",IF(N($H48)&gt;0,"Live","Exited"))</f>
        <v/>
      </c>
      <c r="R48" s="27" t="str">
        <f aca="false">IF($B48="","",IF($L48="","Data Pending",IF($L48&gt;=Instructions!$D$19,"Best Fund",IF($L48&gt;=Instructions!$D$20,"Need to Improve","Not Performing"))))</f>
        <v/>
      </c>
      <c r="S48" s="7" t="str">
        <f aca="false">IF($R48="","",IF($R48="Data Pending","Enter the 3Y return",IF($R48="Best Fund","Hold / consider top-up",IF($R48="Need to Improve","Watch 2 quarters, then decide","Review with client - switch or exit"))))</f>
        <v/>
      </c>
      <c r="T48" s="26"/>
      <c r="U48" s="7" t="str">
        <f aca="false">IF($R48&lt;&gt;"Best Fund","",COUNTIFS($R$6:$R$505,"Best Fund",$L$6:$L$505,"&gt;"&amp;$L48)+COUNTIFS($R$6:$R48,"Best Fund",$L$6:$L48,$L48))</f>
        <v/>
      </c>
      <c r="V48" s="7" t="str">
        <f aca="false">IF($R48&lt;&gt;"Need to Improve","",COUNTIFS($R$6:$R$505,"Need to Improve",$L$6:$L$505,"&lt;"&amp;$L48)+COUNTIFS($R$6:$R48,"Need to Improve",$L$6:$L48,$L48))</f>
        <v/>
      </c>
      <c r="W48" s="7" t="str">
        <f aca="false">IF($R48&lt;&gt;"Not Performing","",COUNTIFS($R$6:$R$505,"Not Performing",$L$6:$L$505,"&lt;"&amp;$L48)+COUNTIFS($R$6:$R48,"Not Performing",$L$6:$L48,$L48))</f>
        <v/>
      </c>
    </row>
    <row r="49" customFormat="false" ht="15" hidden="false" customHeight="true" outlineLevel="0" collapsed="false">
      <c r="A49" s="26"/>
      <c r="B49" s="26"/>
      <c r="C49" s="26"/>
      <c r="D49" s="27" t="str">
        <f aca="false">IF($C49="","",IFERROR(TRIM(LEFT($C49,FIND("-",$C49)-1)),""))</f>
        <v/>
      </c>
      <c r="E49" s="26"/>
      <c r="F49" s="28"/>
      <c r="G49" s="29"/>
      <c r="H49" s="29"/>
      <c r="I49" s="30" t="str">
        <f aca="false">IF($B49="","",$H49-$G49)</f>
        <v/>
      </c>
      <c r="J49" s="31" t="str">
        <f aca="false">IF(OR($B49="",$G49=0,$G49=""),"",$I49/$G49)</f>
        <v/>
      </c>
      <c r="K49" s="32"/>
      <c r="L49" s="32"/>
      <c r="M49" s="32"/>
      <c r="N49" s="32"/>
      <c r="O49" s="32"/>
      <c r="P49" s="31" t="str">
        <f aca="false">IF(OR($L49="",$N49=""),"",$L49-$N49)</f>
        <v/>
      </c>
      <c r="Q49" s="27" t="str">
        <f aca="false">IF($B49="","",IF(N($H49)&gt;0,"Live","Exited"))</f>
        <v/>
      </c>
      <c r="R49" s="27" t="str">
        <f aca="false">IF($B49="","",IF($L49="","Data Pending",IF($L49&gt;=Instructions!$D$19,"Best Fund",IF($L49&gt;=Instructions!$D$20,"Need to Improve","Not Performing"))))</f>
        <v/>
      </c>
      <c r="S49" s="7" t="str">
        <f aca="false">IF($R49="","",IF($R49="Data Pending","Enter the 3Y return",IF($R49="Best Fund","Hold / consider top-up",IF($R49="Need to Improve","Watch 2 quarters, then decide","Review with client - switch or exit"))))</f>
        <v/>
      </c>
      <c r="T49" s="26"/>
      <c r="U49" s="7" t="str">
        <f aca="false">IF($R49&lt;&gt;"Best Fund","",COUNTIFS($R$6:$R$505,"Best Fund",$L$6:$L$505,"&gt;"&amp;$L49)+COUNTIFS($R$6:$R49,"Best Fund",$L$6:$L49,$L49))</f>
        <v/>
      </c>
      <c r="V49" s="7" t="str">
        <f aca="false">IF($R49&lt;&gt;"Need to Improve","",COUNTIFS($R$6:$R$505,"Need to Improve",$L$6:$L$505,"&lt;"&amp;$L49)+COUNTIFS($R$6:$R49,"Need to Improve",$L$6:$L49,$L49))</f>
        <v/>
      </c>
      <c r="W49" s="7" t="str">
        <f aca="false">IF($R49&lt;&gt;"Not Performing","",COUNTIFS($R$6:$R$505,"Not Performing",$L$6:$L$505,"&lt;"&amp;$L49)+COUNTIFS($R$6:$R49,"Not Performing",$L$6:$L49,$L49))</f>
        <v/>
      </c>
    </row>
    <row r="50" customFormat="false" ht="15" hidden="false" customHeight="true" outlineLevel="0" collapsed="false">
      <c r="A50" s="26"/>
      <c r="B50" s="26"/>
      <c r="C50" s="26"/>
      <c r="D50" s="27" t="str">
        <f aca="false">IF($C50="","",IFERROR(TRIM(LEFT($C50,FIND("-",$C50)-1)),""))</f>
        <v/>
      </c>
      <c r="E50" s="26"/>
      <c r="F50" s="28"/>
      <c r="G50" s="29"/>
      <c r="H50" s="29"/>
      <c r="I50" s="30" t="str">
        <f aca="false">IF($B50="","",$H50-$G50)</f>
        <v/>
      </c>
      <c r="J50" s="31" t="str">
        <f aca="false">IF(OR($B50="",$G50=0,$G50=""),"",$I50/$G50)</f>
        <v/>
      </c>
      <c r="K50" s="32"/>
      <c r="L50" s="32"/>
      <c r="M50" s="32"/>
      <c r="N50" s="32"/>
      <c r="O50" s="32"/>
      <c r="P50" s="31" t="str">
        <f aca="false">IF(OR($L50="",$N50=""),"",$L50-$N50)</f>
        <v/>
      </c>
      <c r="Q50" s="27" t="str">
        <f aca="false">IF($B50="","",IF(N($H50)&gt;0,"Live","Exited"))</f>
        <v/>
      </c>
      <c r="R50" s="27" t="str">
        <f aca="false">IF($B50="","",IF($L50="","Data Pending",IF($L50&gt;=Instructions!$D$19,"Best Fund",IF($L50&gt;=Instructions!$D$20,"Need to Improve","Not Performing"))))</f>
        <v/>
      </c>
      <c r="S50" s="7" t="str">
        <f aca="false">IF($R50="","",IF($R50="Data Pending","Enter the 3Y return",IF($R50="Best Fund","Hold / consider top-up",IF($R50="Need to Improve","Watch 2 quarters, then decide","Review with client - switch or exit"))))</f>
        <v/>
      </c>
      <c r="T50" s="26"/>
      <c r="U50" s="7" t="str">
        <f aca="false">IF($R50&lt;&gt;"Best Fund","",COUNTIFS($R$6:$R$505,"Best Fund",$L$6:$L$505,"&gt;"&amp;$L50)+COUNTIFS($R$6:$R50,"Best Fund",$L$6:$L50,$L50))</f>
        <v/>
      </c>
      <c r="V50" s="7" t="str">
        <f aca="false">IF($R50&lt;&gt;"Need to Improve","",COUNTIFS($R$6:$R$505,"Need to Improve",$L$6:$L$505,"&lt;"&amp;$L50)+COUNTIFS($R$6:$R50,"Need to Improve",$L$6:$L50,$L50))</f>
        <v/>
      </c>
      <c r="W50" s="7" t="str">
        <f aca="false">IF($R50&lt;&gt;"Not Performing","",COUNTIFS($R$6:$R$505,"Not Performing",$L$6:$L$505,"&lt;"&amp;$L50)+COUNTIFS($R$6:$R50,"Not Performing",$L$6:$L50,$L50))</f>
        <v/>
      </c>
    </row>
    <row r="51" customFormat="false" ht="15" hidden="false" customHeight="true" outlineLevel="0" collapsed="false">
      <c r="A51" s="26"/>
      <c r="B51" s="26"/>
      <c r="C51" s="26"/>
      <c r="D51" s="27" t="str">
        <f aca="false">IF($C51="","",IFERROR(TRIM(LEFT($C51,FIND("-",$C51)-1)),""))</f>
        <v/>
      </c>
      <c r="E51" s="26"/>
      <c r="F51" s="28"/>
      <c r="G51" s="29"/>
      <c r="H51" s="29"/>
      <c r="I51" s="30" t="str">
        <f aca="false">IF($B51="","",$H51-$G51)</f>
        <v/>
      </c>
      <c r="J51" s="31" t="str">
        <f aca="false">IF(OR($B51="",$G51=0,$G51=""),"",$I51/$G51)</f>
        <v/>
      </c>
      <c r="K51" s="32"/>
      <c r="L51" s="32"/>
      <c r="M51" s="32"/>
      <c r="N51" s="32"/>
      <c r="O51" s="32"/>
      <c r="P51" s="31" t="str">
        <f aca="false">IF(OR($L51="",$N51=""),"",$L51-$N51)</f>
        <v/>
      </c>
      <c r="Q51" s="27" t="str">
        <f aca="false">IF($B51="","",IF(N($H51)&gt;0,"Live","Exited"))</f>
        <v/>
      </c>
      <c r="R51" s="27" t="str">
        <f aca="false">IF($B51="","",IF($L51="","Data Pending",IF($L51&gt;=Instructions!$D$19,"Best Fund",IF($L51&gt;=Instructions!$D$20,"Need to Improve","Not Performing"))))</f>
        <v/>
      </c>
      <c r="S51" s="7" t="str">
        <f aca="false">IF($R51="","",IF($R51="Data Pending","Enter the 3Y return",IF($R51="Best Fund","Hold / consider top-up",IF($R51="Need to Improve","Watch 2 quarters, then decide","Review with client - switch or exit"))))</f>
        <v/>
      </c>
      <c r="T51" s="26"/>
      <c r="U51" s="7" t="str">
        <f aca="false">IF($R51&lt;&gt;"Best Fund","",COUNTIFS($R$6:$R$505,"Best Fund",$L$6:$L$505,"&gt;"&amp;$L51)+COUNTIFS($R$6:$R51,"Best Fund",$L$6:$L51,$L51))</f>
        <v/>
      </c>
      <c r="V51" s="7" t="str">
        <f aca="false">IF($R51&lt;&gt;"Need to Improve","",COUNTIFS($R$6:$R$505,"Need to Improve",$L$6:$L$505,"&lt;"&amp;$L51)+COUNTIFS($R$6:$R51,"Need to Improve",$L$6:$L51,$L51))</f>
        <v/>
      </c>
      <c r="W51" s="7" t="str">
        <f aca="false">IF($R51&lt;&gt;"Not Performing","",COUNTIFS($R$6:$R$505,"Not Performing",$L$6:$L$505,"&lt;"&amp;$L51)+COUNTIFS($R$6:$R51,"Not Performing",$L$6:$L51,$L51))</f>
        <v/>
      </c>
    </row>
    <row r="52" customFormat="false" ht="15" hidden="false" customHeight="true" outlineLevel="0" collapsed="false">
      <c r="A52" s="26"/>
      <c r="B52" s="26"/>
      <c r="C52" s="26"/>
      <c r="D52" s="27" t="str">
        <f aca="false">IF($C52="","",IFERROR(TRIM(LEFT($C52,FIND("-",$C52)-1)),""))</f>
        <v/>
      </c>
      <c r="E52" s="26"/>
      <c r="F52" s="28"/>
      <c r="G52" s="29"/>
      <c r="H52" s="29"/>
      <c r="I52" s="30" t="str">
        <f aca="false">IF($B52="","",$H52-$G52)</f>
        <v/>
      </c>
      <c r="J52" s="31" t="str">
        <f aca="false">IF(OR($B52="",$G52=0,$G52=""),"",$I52/$G52)</f>
        <v/>
      </c>
      <c r="K52" s="32"/>
      <c r="L52" s="32"/>
      <c r="M52" s="32"/>
      <c r="N52" s="32"/>
      <c r="O52" s="32"/>
      <c r="P52" s="31" t="str">
        <f aca="false">IF(OR($L52="",$N52=""),"",$L52-$N52)</f>
        <v/>
      </c>
      <c r="Q52" s="27" t="str">
        <f aca="false">IF($B52="","",IF(N($H52)&gt;0,"Live","Exited"))</f>
        <v/>
      </c>
      <c r="R52" s="27" t="str">
        <f aca="false">IF($B52="","",IF($L52="","Data Pending",IF($L52&gt;=Instructions!$D$19,"Best Fund",IF($L52&gt;=Instructions!$D$20,"Need to Improve","Not Performing"))))</f>
        <v/>
      </c>
      <c r="S52" s="7" t="str">
        <f aca="false">IF($R52="","",IF($R52="Data Pending","Enter the 3Y return",IF($R52="Best Fund","Hold / consider top-up",IF($R52="Need to Improve","Watch 2 quarters, then decide","Review with client - switch or exit"))))</f>
        <v/>
      </c>
      <c r="T52" s="26"/>
      <c r="U52" s="7" t="str">
        <f aca="false">IF($R52&lt;&gt;"Best Fund","",COUNTIFS($R$6:$R$505,"Best Fund",$L$6:$L$505,"&gt;"&amp;$L52)+COUNTIFS($R$6:$R52,"Best Fund",$L$6:$L52,$L52))</f>
        <v/>
      </c>
      <c r="V52" s="7" t="str">
        <f aca="false">IF($R52&lt;&gt;"Need to Improve","",COUNTIFS($R$6:$R$505,"Need to Improve",$L$6:$L$505,"&lt;"&amp;$L52)+COUNTIFS($R$6:$R52,"Need to Improve",$L$6:$L52,$L52))</f>
        <v/>
      </c>
      <c r="W52" s="7" t="str">
        <f aca="false">IF($R52&lt;&gt;"Not Performing","",COUNTIFS($R$6:$R$505,"Not Performing",$L$6:$L$505,"&lt;"&amp;$L52)+COUNTIFS($R$6:$R52,"Not Performing",$L$6:$L52,$L52))</f>
        <v/>
      </c>
    </row>
    <row r="53" customFormat="false" ht="15" hidden="false" customHeight="true" outlineLevel="0" collapsed="false">
      <c r="A53" s="26"/>
      <c r="B53" s="26"/>
      <c r="C53" s="26"/>
      <c r="D53" s="27" t="str">
        <f aca="false">IF($C53="","",IFERROR(TRIM(LEFT($C53,FIND("-",$C53)-1)),""))</f>
        <v/>
      </c>
      <c r="E53" s="26"/>
      <c r="F53" s="28"/>
      <c r="G53" s="29"/>
      <c r="H53" s="29"/>
      <c r="I53" s="30" t="str">
        <f aca="false">IF($B53="","",$H53-$G53)</f>
        <v/>
      </c>
      <c r="J53" s="31" t="str">
        <f aca="false">IF(OR($B53="",$G53=0,$G53=""),"",$I53/$G53)</f>
        <v/>
      </c>
      <c r="K53" s="32"/>
      <c r="L53" s="32"/>
      <c r="M53" s="32"/>
      <c r="N53" s="32"/>
      <c r="O53" s="32"/>
      <c r="P53" s="31" t="str">
        <f aca="false">IF(OR($L53="",$N53=""),"",$L53-$N53)</f>
        <v/>
      </c>
      <c r="Q53" s="27" t="str">
        <f aca="false">IF($B53="","",IF(N($H53)&gt;0,"Live","Exited"))</f>
        <v/>
      </c>
      <c r="R53" s="27" t="str">
        <f aca="false">IF($B53="","",IF($L53="","Data Pending",IF($L53&gt;=Instructions!$D$19,"Best Fund",IF($L53&gt;=Instructions!$D$20,"Need to Improve","Not Performing"))))</f>
        <v/>
      </c>
      <c r="S53" s="7" t="str">
        <f aca="false">IF($R53="","",IF($R53="Data Pending","Enter the 3Y return",IF($R53="Best Fund","Hold / consider top-up",IF($R53="Need to Improve","Watch 2 quarters, then decide","Review with client - switch or exit"))))</f>
        <v/>
      </c>
      <c r="T53" s="26"/>
      <c r="U53" s="7" t="str">
        <f aca="false">IF($R53&lt;&gt;"Best Fund","",COUNTIFS($R$6:$R$505,"Best Fund",$L$6:$L$505,"&gt;"&amp;$L53)+COUNTIFS($R$6:$R53,"Best Fund",$L$6:$L53,$L53))</f>
        <v/>
      </c>
      <c r="V53" s="7" t="str">
        <f aca="false">IF($R53&lt;&gt;"Need to Improve","",COUNTIFS($R$6:$R$505,"Need to Improve",$L$6:$L$505,"&lt;"&amp;$L53)+COUNTIFS($R$6:$R53,"Need to Improve",$L$6:$L53,$L53))</f>
        <v/>
      </c>
      <c r="W53" s="7" t="str">
        <f aca="false">IF($R53&lt;&gt;"Not Performing","",COUNTIFS($R$6:$R$505,"Not Performing",$L$6:$L$505,"&lt;"&amp;$L53)+COUNTIFS($R$6:$R53,"Not Performing",$L$6:$L53,$L53))</f>
        <v/>
      </c>
    </row>
    <row r="54" customFormat="false" ht="15" hidden="false" customHeight="true" outlineLevel="0" collapsed="false">
      <c r="A54" s="26"/>
      <c r="B54" s="26"/>
      <c r="C54" s="26"/>
      <c r="D54" s="27" t="str">
        <f aca="false">IF($C54="","",IFERROR(TRIM(LEFT($C54,FIND("-",$C54)-1)),""))</f>
        <v/>
      </c>
      <c r="E54" s="26"/>
      <c r="F54" s="28"/>
      <c r="G54" s="29"/>
      <c r="H54" s="29"/>
      <c r="I54" s="30" t="str">
        <f aca="false">IF($B54="","",$H54-$G54)</f>
        <v/>
      </c>
      <c r="J54" s="31" t="str">
        <f aca="false">IF(OR($B54="",$G54=0,$G54=""),"",$I54/$G54)</f>
        <v/>
      </c>
      <c r="K54" s="32"/>
      <c r="L54" s="32"/>
      <c r="M54" s="32"/>
      <c r="N54" s="32"/>
      <c r="O54" s="32"/>
      <c r="P54" s="31" t="str">
        <f aca="false">IF(OR($L54="",$N54=""),"",$L54-$N54)</f>
        <v/>
      </c>
      <c r="Q54" s="27" t="str">
        <f aca="false">IF($B54="","",IF(N($H54)&gt;0,"Live","Exited"))</f>
        <v/>
      </c>
      <c r="R54" s="27" t="str">
        <f aca="false">IF($B54="","",IF($L54="","Data Pending",IF($L54&gt;=Instructions!$D$19,"Best Fund",IF($L54&gt;=Instructions!$D$20,"Need to Improve","Not Performing"))))</f>
        <v/>
      </c>
      <c r="S54" s="7" t="str">
        <f aca="false">IF($R54="","",IF($R54="Data Pending","Enter the 3Y return",IF($R54="Best Fund","Hold / consider top-up",IF($R54="Need to Improve","Watch 2 quarters, then decide","Review with client - switch or exit"))))</f>
        <v/>
      </c>
      <c r="T54" s="26"/>
      <c r="U54" s="7" t="str">
        <f aca="false">IF($R54&lt;&gt;"Best Fund","",COUNTIFS($R$6:$R$505,"Best Fund",$L$6:$L$505,"&gt;"&amp;$L54)+COUNTIFS($R$6:$R54,"Best Fund",$L$6:$L54,$L54))</f>
        <v/>
      </c>
      <c r="V54" s="7" t="str">
        <f aca="false">IF($R54&lt;&gt;"Need to Improve","",COUNTIFS($R$6:$R$505,"Need to Improve",$L$6:$L$505,"&lt;"&amp;$L54)+COUNTIFS($R$6:$R54,"Need to Improve",$L$6:$L54,$L54))</f>
        <v/>
      </c>
      <c r="W54" s="7" t="str">
        <f aca="false">IF($R54&lt;&gt;"Not Performing","",COUNTIFS($R$6:$R$505,"Not Performing",$L$6:$L$505,"&lt;"&amp;$L54)+COUNTIFS($R$6:$R54,"Not Performing",$L$6:$L54,$L54))</f>
        <v/>
      </c>
    </row>
    <row r="55" customFormat="false" ht="15" hidden="false" customHeight="true" outlineLevel="0" collapsed="false">
      <c r="A55" s="26"/>
      <c r="B55" s="26"/>
      <c r="C55" s="26"/>
      <c r="D55" s="27" t="str">
        <f aca="false">IF($C55="","",IFERROR(TRIM(LEFT($C55,FIND("-",$C55)-1)),""))</f>
        <v/>
      </c>
      <c r="E55" s="26"/>
      <c r="F55" s="28"/>
      <c r="G55" s="29"/>
      <c r="H55" s="29"/>
      <c r="I55" s="30" t="str">
        <f aca="false">IF($B55="","",$H55-$G55)</f>
        <v/>
      </c>
      <c r="J55" s="31" t="str">
        <f aca="false">IF(OR($B55="",$G55=0,$G55=""),"",$I55/$G55)</f>
        <v/>
      </c>
      <c r="K55" s="32"/>
      <c r="L55" s="32"/>
      <c r="M55" s="32"/>
      <c r="N55" s="32"/>
      <c r="O55" s="32"/>
      <c r="P55" s="31" t="str">
        <f aca="false">IF(OR($L55="",$N55=""),"",$L55-$N55)</f>
        <v/>
      </c>
      <c r="Q55" s="27" t="str">
        <f aca="false">IF($B55="","",IF(N($H55)&gt;0,"Live","Exited"))</f>
        <v/>
      </c>
      <c r="R55" s="27" t="str">
        <f aca="false">IF($B55="","",IF($L55="","Data Pending",IF($L55&gt;=Instructions!$D$19,"Best Fund",IF($L55&gt;=Instructions!$D$20,"Need to Improve","Not Performing"))))</f>
        <v/>
      </c>
      <c r="S55" s="7" t="str">
        <f aca="false">IF($R55="","",IF($R55="Data Pending","Enter the 3Y return",IF($R55="Best Fund","Hold / consider top-up",IF($R55="Need to Improve","Watch 2 quarters, then decide","Review with client - switch or exit"))))</f>
        <v/>
      </c>
      <c r="T55" s="26"/>
      <c r="U55" s="7" t="str">
        <f aca="false">IF($R55&lt;&gt;"Best Fund","",COUNTIFS($R$6:$R$505,"Best Fund",$L$6:$L$505,"&gt;"&amp;$L55)+COUNTIFS($R$6:$R55,"Best Fund",$L$6:$L55,$L55))</f>
        <v/>
      </c>
      <c r="V55" s="7" t="str">
        <f aca="false">IF($R55&lt;&gt;"Need to Improve","",COUNTIFS($R$6:$R$505,"Need to Improve",$L$6:$L$505,"&lt;"&amp;$L55)+COUNTIFS($R$6:$R55,"Need to Improve",$L$6:$L55,$L55))</f>
        <v/>
      </c>
      <c r="W55" s="7" t="str">
        <f aca="false">IF($R55&lt;&gt;"Not Performing","",COUNTIFS($R$6:$R$505,"Not Performing",$L$6:$L$505,"&lt;"&amp;$L55)+COUNTIFS($R$6:$R55,"Not Performing",$L$6:$L55,$L55))</f>
        <v/>
      </c>
    </row>
    <row r="56" customFormat="false" ht="15" hidden="false" customHeight="true" outlineLevel="0" collapsed="false">
      <c r="A56" s="26"/>
      <c r="B56" s="26"/>
      <c r="C56" s="26"/>
      <c r="D56" s="27" t="str">
        <f aca="false">IF($C56="","",IFERROR(TRIM(LEFT($C56,FIND("-",$C56)-1)),""))</f>
        <v/>
      </c>
      <c r="E56" s="26"/>
      <c r="F56" s="28"/>
      <c r="G56" s="29"/>
      <c r="H56" s="29"/>
      <c r="I56" s="30" t="str">
        <f aca="false">IF($B56="","",$H56-$G56)</f>
        <v/>
      </c>
      <c r="J56" s="31" t="str">
        <f aca="false">IF(OR($B56="",$G56=0,$G56=""),"",$I56/$G56)</f>
        <v/>
      </c>
      <c r="K56" s="32"/>
      <c r="L56" s="32"/>
      <c r="M56" s="32"/>
      <c r="N56" s="32"/>
      <c r="O56" s="32"/>
      <c r="P56" s="31" t="str">
        <f aca="false">IF(OR($L56="",$N56=""),"",$L56-$N56)</f>
        <v/>
      </c>
      <c r="Q56" s="27" t="str">
        <f aca="false">IF($B56="","",IF(N($H56)&gt;0,"Live","Exited"))</f>
        <v/>
      </c>
      <c r="R56" s="27" t="str">
        <f aca="false">IF($B56="","",IF($L56="","Data Pending",IF($L56&gt;=Instructions!$D$19,"Best Fund",IF($L56&gt;=Instructions!$D$20,"Need to Improve","Not Performing"))))</f>
        <v/>
      </c>
      <c r="S56" s="7" t="str">
        <f aca="false">IF($R56="","",IF($R56="Data Pending","Enter the 3Y return",IF($R56="Best Fund","Hold / consider top-up",IF($R56="Need to Improve","Watch 2 quarters, then decide","Review with client - switch or exit"))))</f>
        <v/>
      </c>
      <c r="T56" s="26"/>
      <c r="U56" s="7" t="str">
        <f aca="false">IF($R56&lt;&gt;"Best Fund","",COUNTIFS($R$6:$R$505,"Best Fund",$L$6:$L$505,"&gt;"&amp;$L56)+COUNTIFS($R$6:$R56,"Best Fund",$L$6:$L56,$L56))</f>
        <v/>
      </c>
      <c r="V56" s="7" t="str">
        <f aca="false">IF($R56&lt;&gt;"Need to Improve","",COUNTIFS($R$6:$R$505,"Need to Improve",$L$6:$L$505,"&lt;"&amp;$L56)+COUNTIFS($R$6:$R56,"Need to Improve",$L$6:$L56,$L56))</f>
        <v/>
      </c>
      <c r="W56" s="7" t="str">
        <f aca="false">IF($R56&lt;&gt;"Not Performing","",COUNTIFS($R$6:$R$505,"Not Performing",$L$6:$L$505,"&lt;"&amp;$L56)+COUNTIFS($R$6:$R56,"Not Performing",$L$6:$L56,$L56))</f>
        <v/>
      </c>
    </row>
    <row r="57" customFormat="false" ht="15" hidden="false" customHeight="true" outlineLevel="0" collapsed="false">
      <c r="A57" s="26"/>
      <c r="B57" s="26"/>
      <c r="C57" s="26"/>
      <c r="D57" s="27" t="str">
        <f aca="false">IF($C57="","",IFERROR(TRIM(LEFT($C57,FIND("-",$C57)-1)),""))</f>
        <v/>
      </c>
      <c r="E57" s="26"/>
      <c r="F57" s="28"/>
      <c r="G57" s="29"/>
      <c r="H57" s="29"/>
      <c r="I57" s="30" t="str">
        <f aca="false">IF($B57="","",$H57-$G57)</f>
        <v/>
      </c>
      <c r="J57" s="31" t="str">
        <f aca="false">IF(OR($B57="",$G57=0,$G57=""),"",$I57/$G57)</f>
        <v/>
      </c>
      <c r="K57" s="32"/>
      <c r="L57" s="32"/>
      <c r="M57" s="32"/>
      <c r="N57" s="32"/>
      <c r="O57" s="32"/>
      <c r="P57" s="31" t="str">
        <f aca="false">IF(OR($L57="",$N57=""),"",$L57-$N57)</f>
        <v/>
      </c>
      <c r="Q57" s="27" t="str">
        <f aca="false">IF($B57="","",IF(N($H57)&gt;0,"Live","Exited"))</f>
        <v/>
      </c>
      <c r="R57" s="27" t="str">
        <f aca="false">IF($B57="","",IF($L57="","Data Pending",IF($L57&gt;=Instructions!$D$19,"Best Fund",IF($L57&gt;=Instructions!$D$20,"Need to Improve","Not Performing"))))</f>
        <v/>
      </c>
      <c r="S57" s="7" t="str">
        <f aca="false">IF($R57="","",IF($R57="Data Pending","Enter the 3Y return",IF($R57="Best Fund","Hold / consider top-up",IF($R57="Need to Improve","Watch 2 quarters, then decide","Review with client - switch or exit"))))</f>
        <v/>
      </c>
      <c r="T57" s="26"/>
      <c r="U57" s="7" t="str">
        <f aca="false">IF($R57&lt;&gt;"Best Fund","",COUNTIFS($R$6:$R$505,"Best Fund",$L$6:$L$505,"&gt;"&amp;$L57)+COUNTIFS($R$6:$R57,"Best Fund",$L$6:$L57,$L57))</f>
        <v/>
      </c>
      <c r="V57" s="7" t="str">
        <f aca="false">IF($R57&lt;&gt;"Need to Improve","",COUNTIFS($R$6:$R$505,"Need to Improve",$L$6:$L$505,"&lt;"&amp;$L57)+COUNTIFS($R$6:$R57,"Need to Improve",$L$6:$L57,$L57))</f>
        <v/>
      </c>
      <c r="W57" s="7" t="str">
        <f aca="false">IF($R57&lt;&gt;"Not Performing","",COUNTIFS($R$6:$R$505,"Not Performing",$L$6:$L$505,"&lt;"&amp;$L57)+COUNTIFS($R$6:$R57,"Not Performing",$L$6:$L57,$L57))</f>
        <v/>
      </c>
    </row>
    <row r="58" customFormat="false" ht="15" hidden="false" customHeight="true" outlineLevel="0" collapsed="false">
      <c r="A58" s="26"/>
      <c r="B58" s="26"/>
      <c r="C58" s="26"/>
      <c r="D58" s="27" t="str">
        <f aca="false">IF($C58="","",IFERROR(TRIM(LEFT($C58,FIND("-",$C58)-1)),""))</f>
        <v/>
      </c>
      <c r="E58" s="26"/>
      <c r="F58" s="28"/>
      <c r="G58" s="29"/>
      <c r="H58" s="29"/>
      <c r="I58" s="30" t="str">
        <f aca="false">IF($B58="","",$H58-$G58)</f>
        <v/>
      </c>
      <c r="J58" s="31" t="str">
        <f aca="false">IF(OR($B58="",$G58=0,$G58=""),"",$I58/$G58)</f>
        <v/>
      </c>
      <c r="K58" s="32"/>
      <c r="L58" s="32"/>
      <c r="M58" s="32"/>
      <c r="N58" s="32"/>
      <c r="O58" s="32"/>
      <c r="P58" s="31" t="str">
        <f aca="false">IF(OR($L58="",$N58=""),"",$L58-$N58)</f>
        <v/>
      </c>
      <c r="Q58" s="27" t="str">
        <f aca="false">IF($B58="","",IF(N($H58)&gt;0,"Live","Exited"))</f>
        <v/>
      </c>
      <c r="R58" s="27" t="str">
        <f aca="false">IF($B58="","",IF($L58="","Data Pending",IF($L58&gt;=Instructions!$D$19,"Best Fund",IF($L58&gt;=Instructions!$D$20,"Need to Improve","Not Performing"))))</f>
        <v/>
      </c>
      <c r="S58" s="7" t="str">
        <f aca="false">IF($R58="","",IF($R58="Data Pending","Enter the 3Y return",IF($R58="Best Fund","Hold / consider top-up",IF($R58="Need to Improve","Watch 2 quarters, then decide","Review with client - switch or exit"))))</f>
        <v/>
      </c>
      <c r="T58" s="26"/>
      <c r="U58" s="7" t="str">
        <f aca="false">IF($R58&lt;&gt;"Best Fund","",COUNTIFS($R$6:$R$505,"Best Fund",$L$6:$L$505,"&gt;"&amp;$L58)+COUNTIFS($R$6:$R58,"Best Fund",$L$6:$L58,$L58))</f>
        <v/>
      </c>
      <c r="V58" s="7" t="str">
        <f aca="false">IF($R58&lt;&gt;"Need to Improve","",COUNTIFS($R$6:$R$505,"Need to Improve",$L$6:$L$505,"&lt;"&amp;$L58)+COUNTIFS($R$6:$R58,"Need to Improve",$L$6:$L58,$L58))</f>
        <v/>
      </c>
      <c r="W58" s="7" t="str">
        <f aca="false">IF($R58&lt;&gt;"Not Performing","",COUNTIFS($R$6:$R$505,"Not Performing",$L$6:$L$505,"&lt;"&amp;$L58)+COUNTIFS($R$6:$R58,"Not Performing",$L$6:$L58,$L58))</f>
        <v/>
      </c>
    </row>
    <row r="59" customFormat="false" ht="15" hidden="false" customHeight="true" outlineLevel="0" collapsed="false">
      <c r="A59" s="26"/>
      <c r="B59" s="26"/>
      <c r="C59" s="26"/>
      <c r="D59" s="27" t="str">
        <f aca="false">IF($C59="","",IFERROR(TRIM(LEFT($C59,FIND("-",$C59)-1)),""))</f>
        <v/>
      </c>
      <c r="E59" s="26"/>
      <c r="F59" s="28"/>
      <c r="G59" s="29"/>
      <c r="H59" s="29"/>
      <c r="I59" s="30" t="str">
        <f aca="false">IF($B59="","",$H59-$G59)</f>
        <v/>
      </c>
      <c r="J59" s="31" t="str">
        <f aca="false">IF(OR($B59="",$G59=0,$G59=""),"",$I59/$G59)</f>
        <v/>
      </c>
      <c r="K59" s="32"/>
      <c r="L59" s="32"/>
      <c r="M59" s="32"/>
      <c r="N59" s="32"/>
      <c r="O59" s="32"/>
      <c r="P59" s="31" t="str">
        <f aca="false">IF(OR($L59="",$N59=""),"",$L59-$N59)</f>
        <v/>
      </c>
      <c r="Q59" s="27" t="str">
        <f aca="false">IF($B59="","",IF(N($H59)&gt;0,"Live","Exited"))</f>
        <v/>
      </c>
      <c r="R59" s="27" t="str">
        <f aca="false">IF($B59="","",IF($L59="","Data Pending",IF($L59&gt;=Instructions!$D$19,"Best Fund",IF($L59&gt;=Instructions!$D$20,"Need to Improve","Not Performing"))))</f>
        <v/>
      </c>
      <c r="S59" s="7" t="str">
        <f aca="false">IF($R59="","",IF($R59="Data Pending","Enter the 3Y return",IF($R59="Best Fund","Hold / consider top-up",IF($R59="Need to Improve","Watch 2 quarters, then decide","Review with client - switch or exit"))))</f>
        <v/>
      </c>
      <c r="T59" s="26"/>
      <c r="U59" s="7" t="str">
        <f aca="false">IF($R59&lt;&gt;"Best Fund","",COUNTIFS($R$6:$R$505,"Best Fund",$L$6:$L$505,"&gt;"&amp;$L59)+COUNTIFS($R$6:$R59,"Best Fund",$L$6:$L59,$L59))</f>
        <v/>
      </c>
      <c r="V59" s="7" t="str">
        <f aca="false">IF($R59&lt;&gt;"Need to Improve","",COUNTIFS($R$6:$R$505,"Need to Improve",$L$6:$L$505,"&lt;"&amp;$L59)+COUNTIFS($R$6:$R59,"Need to Improve",$L$6:$L59,$L59))</f>
        <v/>
      </c>
      <c r="W59" s="7" t="str">
        <f aca="false">IF($R59&lt;&gt;"Not Performing","",COUNTIFS($R$6:$R$505,"Not Performing",$L$6:$L$505,"&lt;"&amp;$L59)+COUNTIFS($R$6:$R59,"Not Performing",$L$6:$L59,$L59))</f>
        <v/>
      </c>
    </row>
    <row r="60" customFormat="false" ht="15" hidden="false" customHeight="true" outlineLevel="0" collapsed="false">
      <c r="A60" s="26"/>
      <c r="B60" s="26"/>
      <c r="C60" s="26"/>
      <c r="D60" s="27" t="str">
        <f aca="false">IF($C60="","",IFERROR(TRIM(LEFT($C60,FIND("-",$C60)-1)),""))</f>
        <v/>
      </c>
      <c r="E60" s="26"/>
      <c r="F60" s="28"/>
      <c r="G60" s="29"/>
      <c r="H60" s="29"/>
      <c r="I60" s="30" t="str">
        <f aca="false">IF($B60="","",$H60-$G60)</f>
        <v/>
      </c>
      <c r="J60" s="31" t="str">
        <f aca="false">IF(OR($B60="",$G60=0,$G60=""),"",$I60/$G60)</f>
        <v/>
      </c>
      <c r="K60" s="32"/>
      <c r="L60" s="32"/>
      <c r="M60" s="32"/>
      <c r="N60" s="32"/>
      <c r="O60" s="32"/>
      <c r="P60" s="31" t="str">
        <f aca="false">IF(OR($L60="",$N60=""),"",$L60-$N60)</f>
        <v/>
      </c>
      <c r="Q60" s="27" t="str">
        <f aca="false">IF($B60="","",IF(N($H60)&gt;0,"Live","Exited"))</f>
        <v/>
      </c>
      <c r="R60" s="27" t="str">
        <f aca="false">IF($B60="","",IF($L60="","Data Pending",IF($L60&gt;=Instructions!$D$19,"Best Fund",IF($L60&gt;=Instructions!$D$20,"Need to Improve","Not Performing"))))</f>
        <v/>
      </c>
      <c r="S60" s="7" t="str">
        <f aca="false">IF($R60="","",IF($R60="Data Pending","Enter the 3Y return",IF($R60="Best Fund","Hold / consider top-up",IF($R60="Need to Improve","Watch 2 quarters, then decide","Review with client - switch or exit"))))</f>
        <v/>
      </c>
      <c r="T60" s="26"/>
      <c r="U60" s="7" t="str">
        <f aca="false">IF($R60&lt;&gt;"Best Fund","",COUNTIFS($R$6:$R$505,"Best Fund",$L$6:$L$505,"&gt;"&amp;$L60)+COUNTIFS($R$6:$R60,"Best Fund",$L$6:$L60,$L60))</f>
        <v/>
      </c>
      <c r="V60" s="7" t="str">
        <f aca="false">IF($R60&lt;&gt;"Need to Improve","",COUNTIFS($R$6:$R$505,"Need to Improve",$L$6:$L$505,"&lt;"&amp;$L60)+COUNTIFS($R$6:$R60,"Need to Improve",$L$6:$L60,$L60))</f>
        <v/>
      </c>
      <c r="W60" s="7" t="str">
        <f aca="false">IF($R60&lt;&gt;"Not Performing","",COUNTIFS($R$6:$R$505,"Not Performing",$L$6:$L$505,"&lt;"&amp;$L60)+COUNTIFS($R$6:$R60,"Not Performing",$L$6:$L60,$L60))</f>
        <v/>
      </c>
    </row>
    <row r="61" customFormat="false" ht="15" hidden="false" customHeight="true" outlineLevel="0" collapsed="false">
      <c r="A61" s="26"/>
      <c r="B61" s="26"/>
      <c r="C61" s="26"/>
      <c r="D61" s="27" t="str">
        <f aca="false">IF($C61="","",IFERROR(TRIM(LEFT($C61,FIND("-",$C61)-1)),""))</f>
        <v/>
      </c>
      <c r="E61" s="26"/>
      <c r="F61" s="28"/>
      <c r="G61" s="29"/>
      <c r="H61" s="29"/>
      <c r="I61" s="30" t="str">
        <f aca="false">IF($B61="","",$H61-$G61)</f>
        <v/>
      </c>
      <c r="J61" s="31" t="str">
        <f aca="false">IF(OR($B61="",$G61=0,$G61=""),"",$I61/$G61)</f>
        <v/>
      </c>
      <c r="K61" s="32"/>
      <c r="L61" s="32"/>
      <c r="M61" s="32"/>
      <c r="N61" s="32"/>
      <c r="O61" s="32"/>
      <c r="P61" s="31" t="str">
        <f aca="false">IF(OR($L61="",$N61=""),"",$L61-$N61)</f>
        <v/>
      </c>
      <c r="Q61" s="27" t="str">
        <f aca="false">IF($B61="","",IF(N($H61)&gt;0,"Live","Exited"))</f>
        <v/>
      </c>
      <c r="R61" s="27" t="str">
        <f aca="false">IF($B61="","",IF($L61="","Data Pending",IF($L61&gt;=Instructions!$D$19,"Best Fund",IF($L61&gt;=Instructions!$D$20,"Need to Improve","Not Performing"))))</f>
        <v/>
      </c>
      <c r="S61" s="7" t="str">
        <f aca="false">IF($R61="","",IF($R61="Data Pending","Enter the 3Y return",IF($R61="Best Fund","Hold / consider top-up",IF($R61="Need to Improve","Watch 2 quarters, then decide","Review with client - switch or exit"))))</f>
        <v/>
      </c>
      <c r="T61" s="26"/>
      <c r="U61" s="7" t="str">
        <f aca="false">IF($R61&lt;&gt;"Best Fund","",COUNTIFS($R$6:$R$505,"Best Fund",$L$6:$L$505,"&gt;"&amp;$L61)+COUNTIFS($R$6:$R61,"Best Fund",$L$6:$L61,$L61))</f>
        <v/>
      </c>
      <c r="V61" s="7" t="str">
        <f aca="false">IF($R61&lt;&gt;"Need to Improve","",COUNTIFS($R$6:$R$505,"Need to Improve",$L$6:$L$505,"&lt;"&amp;$L61)+COUNTIFS($R$6:$R61,"Need to Improve",$L$6:$L61,$L61))</f>
        <v/>
      </c>
      <c r="W61" s="7" t="str">
        <f aca="false">IF($R61&lt;&gt;"Not Performing","",COUNTIFS($R$6:$R$505,"Not Performing",$L$6:$L$505,"&lt;"&amp;$L61)+COUNTIFS($R$6:$R61,"Not Performing",$L$6:$L61,$L61))</f>
        <v/>
      </c>
    </row>
    <row r="62" customFormat="false" ht="15" hidden="false" customHeight="true" outlineLevel="0" collapsed="false">
      <c r="A62" s="26"/>
      <c r="B62" s="26"/>
      <c r="C62" s="26"/>
      <c r="D62" s="27" t="str">
        <f aca="false">IF($C62="","",IFERROR(TRIM(LEFT($C62,FIND("-",$C62)-1)),""))</f>
        <v/>
      </c>
      <c r="E62" s="26"/>
      <c r="F62" s="28"/>
      <c r="G62" s="29"/>
      <c r="H62" s="29"/>
      <c r="I62" s="30" t="str">
        <f aca="false">IF($B62="","",$H62-$G62)</f>
        <v/>
      </c>
      <c r="J62" s="31" t="str">
        <f aca="false">IF(OR($B62="",$G62=0,$G62=""),"",$I62/$G62)</f>
        <v/>
      </c>
      <c r="K62" s="32"/>
      <c r="L62" s="32"/>
      <c r="M62" s="32"/>
      <c r="N62" s="32"/>
      <c r="O62" s="32"/>
      <c r="P62" s="31" t="str">
        <f aca="false">IF(OR($L62="",$N62=""),"",$L62-$N62)</f>
        <v/>
      </c>
      <c r="Q62" s="27" t="str">
        <f aca="false">IF($B62="","",IF(N($H62)&gt;0,"Live","Exited"))</f>
        <v/>
      </c>
      <c r="R62" s="27" t="str">
        <f aca="false">IF($B62="","",IF($L62="","Data Pending",IF($L62&gt;=Instructions!$D$19,"Best Fund",IF($L62&gt;=Instructions!$D$20,"Need to Improve","Not Performing"))))</f>
        <v/>
      </c>
      <c r="S62" s="7" t="str">
        <f aca="false">IF($R62="","",IF($R62="Data Pending","Enter the 3Y return",IF($R62="Best Fund","Hold / consider top-up",IF($R62="Need to Improve","Watch 2 quarters, then decide","Review with client - switch or exit"))))</f>
        <v/>
      </c>
      <c r="T62" s="26"/>
      <c r="U62" s="7" t="str">
        <f aca="false">IF($R62&lt;&gt;"Best Fund","",COUNTIFS($R$6:$R$505,"Best Fund",$L$6:$L$505,"&gt;"&amp;$L62)+COUNTIFS($R$6:$R62,"Best Fund",$L$6:$L62,$L62))</f>
        <v/>
      </c>
      <c r="V62" s="7" t="str">
        <f aca="false">IF($R62&lt;&gt;"Need to Improve","",COUNTIFS($R$6:$R$505,"Need to Improve",$L$6:$L$505,"&lt;"&amp;$L62)+COUNTIFS($R$6:$R62,"Need to Improve",$L$6:$L62,$L62))</f>
        <v/>
      </c>
      <c r="W62" s="7" t="str">
        <f aca="false">IF($R62&lt;&gt;"Not Performing","",COUNTIFS($R$6:$R$505,"Not Performing",$L$6:$L$505,"&lt;"&amp;$L62)+COUNTIFS($R$6:$R62,"Not Performing",$L$6:$L62,$L62))</f>
        <v/>
      </c>
    </row>
    <row r="63" customFormat="false" ht="15" hidden="false" customHeight="true" outlineLevel="0" collapsed="false">
      <c r="A63" s="26"/>
      <c r="B63" s="26"/>
      <c r="C63" s="26"/>
      <c r="D63" s="27" t="str">
        <f aca="false">IF($C63="","",IFERROR(TRIM(LEFT($C63,FIND("-",$C63)-1)),""))</f>
        <v/>
      </c>
      <c r="E63" s="26"/>
      <c r="F63" s="28"/>
      <c r="G63" s="29"/>
      <c r="H63" s="29"/>
      <c r="I63" s="30" t="str">
        <f aca="false">IF($B63="","",$H63-$G63)</f>
        <v/>
      </c>
      <c r="J63" s="31" t="str">
        <f aca="false">IF(OR($B63="",$G63=0,$G63=""),"",$I63/$G63)</f>
        <v/>
      </c>
      <c r="K63" s="32"/>
      <c r="L63" s="32"/>
      <c r="M63" s="32"/>
      <c r="N63" s="32"/>
      <c r="O63" s="32"/>
      <c r="P63" s="31" t="str">
        <f aca="false">IF(OR($L63="",$N63=""),"",$L63-$N63)</f>
        <v/>
      </c>
      <c r="Q63" s="27" t="str">
        <f aca="false">IF($B63="","",IF(N($H63)&gt;0,"Live","Exited"))</f>
        <v/>
      </c>
      <c r="R63" s="27" t="str">
        <f aca="false">IF($B63="","",IF($L63="","Data Pending",IF($L63&gt;=Instructions!$D$19,"Best Fund",IF($L63&gt;=Instructions!$D$20,"Need to Improve","Not Performing"))))</f>
        <v/>
      </c>
      <c r="S63" s="7" t="str">
        <f aca="false">IF($R63="","",IF($R63="Data Pending","Enter the 3Y return",IF($R63="Best Fund","Hold / consider top-up",IF($R63="Need to Improve","Watch 2 quarters, then decide","Review with client - switch or exit"))))</f>
        <v/>
      </c>
      <c r="T63" s="26"/>
      <c r="U63" s="7" t="str">
        <f aca="false">IF($R63&lt;&gt;"Best Fund","",COUNTIFS($R$6:$R$505,"Best Fund",$L$6:$L$505,"&gt;"&amp;$L63)+COUNTIFS($R$6:$R63,"Best Fund",$L$6:$L63,$L63))</f>
        <v/>
      </c>
      <c r="V63" s="7" t="str">
        <f aca="false">IF($R63&lt;&gt;"Need to Improve","",COUNTIFS($R$6:$R$505,"Need to Improve",$L$6:$L$505,"&lt;"&amp;$L63)+COUNTIFS($R$6:$R63,"Need to Improve",$L$6:$L63,$L63))</f>
        <v/>
      </c>
      <c r="W63" s="7" t="str">
        <f aca="false">IF($R63&lt;&gt;"Not Performing","",COUNTIFS($R$6:$R$505,"Not Performing",$L$6:$L$505,"&lt;"&amp;$L63)+COUNTIFS($R$6:$R63,"Not Performing",$L$6:$L63,$L63))</f>
        <v/>
      </c>
    </row>
    <row r="64" customFormat="false" ht="15" hidden="false" customHeight="true" outlineLevel="0" collapsed="false">
      <c r="A64" s="26"/>
      <c r="B64" s="26"/>
      <c r="C64" s="26"/>
      <c r="D64" s="27" t="str">
        <f aca="false">IF($C64="","",IFERROR(TRIM(LEFT($C64,FIND("-",$C64)-1)),""))</f>
        <v/>
      </c>
      <c r="E64" s="26"/>
      <c r="F64" s="28"/>
      <c r="G64" s="29"/>
      <c r="H64" s="29"/>
      <c r="I64" s="30" t="str">
        <f aca="false">IF($B64="","",$H64-$G64)</f>
        <v/>
      </c>
      <c r="J64" s="31" t="str">
        <f aca="false">IF(OR($B64="",$G64=0,$G64=""),"",$I64/$G64)</f>
        <v/>
      </c>
      <c r="K64" s="32"/>
      <c r="L64" s="32"/>
      <c r="M64" s="32"/>
      <c r="N64" s="32"/>
      <c r="O64" s="32"/>
      <c r="P64" s="31" t="str">
        <f aca="false">IF(OR($L64="",$N64=""),"",$L64-$N64)</f>
        <v/>
      </c>
      <c r="Q64" s="27" t="str">
        <f aca="false">IF($B64="","",IF(N($H64)&gt;0,"Live","Exited"))</f>
        <v/>
      </c>
      <c r="R64" s="27" t="str">
        <f aca="false">IF($B64="","",IF($L64="","Data Pending",IF($L64&gt;=Instructions!$D$19,"Best Fund",IF($L64&gt;=Instructions!$D$20,"Need to Improve","Not Performing"))))</f>
        <v/>
      </c>
      <c r="S64" s="7" t="str">
        <f aca="false">IF($R64="","",IF($R64="Data Pending","Enter the 3Y return",IF($R64="Best Fund","Hold / consider top-up",IF($R64="Need to Improve","Watch 2 quarters, then decide","Review with client - switch or exit"))))</f>
        <v/>
      </c>
      <c r="T64" s="26"/>
      <c r="U64" s="7" t="str">
        <f aca="false">IF($R64&lt;&gt;"Best Fund","",COUNTIFS($R$6:$R$505,"Best Fund",$L$6:$L$505,"&gt;"&amp;$L64)+COUNTIFS($R$6:$R64,"Best Fund",$L$6:$L64,$L64))</f>
        <v/>
      </c>
      <c r="V64" s="7" t="str">
        <f aca="false">IF($R64&lt;&gt;"Need to Improve","",COUNTIFS($R$6:$R$505,"Need to Improve",$L$6:$L$505,"&lt;"&amp;$L64)+COUNTIFS($R$6:$R64,"Need to Improve",$L$6:$L64,$L64))</f>
        <v/>
      </c>
      <c r="W64" s="7" t="str">
        <f aca="false">IF($R64&lt;&gt;"Not Performing","",COUNTIFS($R$6:$R$505,"Not Performing",$L$6:$L$505,"&lt;"&amp;$L64)+COUNTIFS($R$6:$R64,"Not Performing",$L$6:$L64,$L64))</f>
        <v/>
      </c>
    </row>
    <row r="65" customFormat="false" ht="15" hidden="false" customHeight="true" outlineLevel="0" collapsed="false">
      <c r="A65" s="26"/>
      <c r="B65" s="26"/>
      <c r="C65" s="26"/>
      <c r="D65" s="27" t="str">
        <f aca="false">IF($C65="","",IFERROR(TRIM(LEFT($C65,FIND("-",$C65)-1)),""))</f>
        <v/>
      </c>
      <c r="E65" s="26"/>
      <c r="F65" s="28"/>
      <c r="G65" s="29"/>
      <c r="H65" s="29"/>
      <c r="I65" s="30" t="str">
        <f aca="false">IF($B65="","",$H65-$G65)</f>
        <v/>
      </c>
      <c r="J65" s="31" t="str">
        <f aca="false">IF(OR($B65="",$G65=0,$G65=""),"",$I65/$G65)</f>
        <v/>
      </c>
      <c r="K65" s="32"/>
      <c r="L65" s="32"/>
      <c r="M65" s="32"/>
      <c r="N65" s="32"/>
      <c r="O65" s="32"/>
      <c r="P65" s="31" t="str">
        <f aca="false">IF(OR($L65="",$N65=""),"",$L65-$N65)</f>
        <v/>
      </c>
      <c r="Q65" s="27" t="str">
        <f aca="false">IF($B65="","",IF(N($H65)&gt;0,"Live","Exited"))</f>
        <v/>
      </c>
      <c r="R65" s="27" t="str">
        <f aca="false">IF($B65="","",IF($L65="","Data Pending",IF($L65&gt;=Instructions!$D$19,"Best Fund",IF($L65&gt;=Instructions!$D$20,"Need to Improve","Not Performing"))))</f>
        <v/>
      </c>
      <c r="S65" s="7" t="str">
        <f aca="false">IF($R65="","",IF($R65="Data Pending","Enter the 3Y return",IF($R65="Best Fund","Hold / consider top-up",IF($R65="Need to Improve","Watch 2 quarters, then decide","Review with client - switch or exit"))))</f>
        <v/>
      </c>
      <c r="T65" s="26"/>
      <c r="U65" s="7" t="str">
        <f aca="false">IF($R65&lt;&gt;"Best Fund","",COUNTIFS($R$6:$R$505,"Best Fund",$L$6:$L$505,"&gt;"&amp;$L65)+COUNTIFS($R$6:$R65,"Best Fund",$L$6:$L65,$L65))</f>
        <v/>
      </c>
      <c r="V65" s="7" t="str">
        <f aca="false">IF($R65&lt;&gt;"Need to Improve","",COUNTIFS($R$6:$R$505,"Need to Improve",$L$6:$L$505,"&lt;"&amp;$L65)+COUNTIFS($R$6:$R65,"Need to Improve",$L$6:$L65,$L65))</f>
        <v/>
      </c>
      <c r="W65" s="7" t="str">
        <f aca="false">IF($R65&lt;&gt;"Not Performing","",COUNTIFS($R$6:$R$505,"Not Performing",$L$6:$L$505,"&lt;"&amp;$L65)+COUNTIFS($R$6:$R65,"Not Performing",$L$6:$L65,$L65))</f>
        <v/>
      </c>
    </row>
    <row r="66" customFormat="false" ht="15" hidden="false" customHeight="true" outlineLevel="0" collapsed="false">
      <c r="A66" s="26"/>
      <c r="B66" s="26"/>
      <c r="C66" s="26"/>
      <c r="D66" s="27" t="str">
        <f aca="false">IF($C66="","",IFERROR(TRIM(LEFT($C66,FIND("-",$C66)-1)),""))</f>
        <v/>
      </c>
      <c r="E66" s="26"/>
      <c r="F66" s="28"/>
      <c r="G66" s="29"/>
      <c r="H66" s="29"/>
      <c r="I66" s="30" t="str">
        <f aca="false">IF($B66="","",$H66-$G66)</f>
        <v/>
      </c>
      <c r="J66" s="31" t="str">
        <f aca="false">IF(OR($B66="",$G66=0,$G66=""),"",$I66/$G66)</f>
        <v/>
      </c>
      <c r="K66" s="32"/>
      <c r="L66" s="32"/>
      <c r="M66" s="32"/>
      <c r="N66" s="32"/>
      <c r="O66" s="32"/>
      <c r="P66" s="31" t="str">
        <f aca="false">IF(OR($L66="",$N66=""),"",$L66-$N66)</f>
        <v/>
      </c>
      <c r="Q66" s="27" t="str">
        <f aca="false">IF($B66="","",IF(N($H66)&gt;0,"Live","Exited"))</f>
        <v/>
      </c>
      <c r="R66" s="27" t="str">
        <f aca="false">IF($B66="","",IF($L66="","Data Pending",IF($L66&gt;=Instructions!$D$19,"Best Fund",IF($L66&gt;=Instructions!$D$20,"Need to Improve","Not Performing"))))</f>
        <v/>
      </c>
      <c r="S66" s="7" t="str">
        <f aca="false">IF($R66="","",IF($R66="Data Pending","Enter the 3Y return",IF($R66="Best Fund","Hold / consider top-up",IF($R66="Need to Improve","Watch 2 quarters, then decide","Review with client - switch or exit"))))</f>
        <v/>
      </c>
      <c r="T66" s="26"/>
      <c r="U66" s="7" t="str">
        <f aca="false">IF($R66&lt;&gt;"Best Fund","",COUNTIFS($R$6:$R$505,"Best Fund",$L$6:$L$505,"&gt;"&amp;$L66)+COUNTIFS($R$6:$R66,"Best Fund",$L$6:$L66,$L66))</f>
        <v/>
      </c>
      <c r="V66" s="7" t="str">
        <f aca="false">IF($R66&lt;&gt;"Need to Improve","",COUNTIFS($R$6:$R$505,"Need to Improve",$L$6:$L$505,"&lt;"&amp;$L66)+COUNTIFS($R$6:$R66,"Need to Improve",$L$6:$L66,$L66))</f>
        <v/>
      </c>
      <c r="W66" s="7" t="str">
        <f aca="false">IF($R66&lt;&gt;"Not Performing","",COUNTIFS($R$6:$R$505,"Not Performing",$L$6:$L$505,"&lt;"&amp;$L66)+COUNTIFS($R$6:$R66,"Not Performing",$L$6:$L66,$L66))</f>
        <v/>
      </c>
    </row>
    <row r="67" customFormat="false" ht="15" hidden="false" customHeight="true" outlineLevel="0" collapsed="false">
      <c r="A67" s="26"/>
      <c r="B67" s="26"/>
      <c r="C67" s="26"/>
      <c r="D67" s="27" t="str">
        <f aca="false">IF($C67="","",IFERROR(TRIM(LEFT($C67,FIND("-",$C67)-1)),""))</f>
        <v/>
      </c>
      <c r="E67" s="26"/>
      <c r="F67" s="28"/>
      <c r="G67" s="29"/>
      <c r="H67" s="29"/>
      <c r="I67" s="30" t="str">
        <f aca="false">IF($B67="","",$H67-$G67)</f>
        <v/>
      </c>
      <c r="J67" s="31" t="str">
        <f aca="false">IF(OR($B67="",$G67=0,$G67=""),"",$I67/$G67)</f>
        <v/>
      </c>
      <c r="K67" s="32"/>
      <c r="L67" s="32"/>
      <c r="M67" s="32"/>
      <c r="N67" s="32"/>
      <c r="O67" s="32"/>
      <c r="P67" s="31" t="str">
        <f aca="false">IF(OR($L67="",$N67=""),"",$L67-$N67)</f>
        <v/>
      </c>
      <c r="Q67" s="27" t="str">
        <f aca="false">IF($B67="","",IF(N($H67)&gt;0,"Live","Exited"))</f>
        <v/>
      </c>
      <c r="R67" s="27" t="str">
        <f aca="false">IF($B67="","",IF($L67="","Data Pending",IF($L67&gt;=Instructions!$D$19,"Best Fund",IF($L67&gt;=Instructions!$D$20,"Need to Improve","Not Performing"))))</f>
        <v/>
      </c>
      <c r="S67" s="7" t="str">
        <f aca="false">IF($R67="","",IF($R67="Data Pending","Enter the 3Y return",IF($R67="Best Fund","Hold / consider top-up",IF($R67="Need to Improve","Watch 2 quarters, then decide","Review with client - switch or exit"))))</f>
        <v/>
      </c>
      <c r="T67" s="26"/>
      <c r="U67" s="7" t="str">
        <f aca="false">IF($R67&lt;&gt;"Best Fund","",COUNTIFS($R$6:$R$505,"Best Fund",$L$6:$L$505,"&gt;"&amp;$L67)+COUNTIFS($R$6:$R67,"Best Fund",$L$6:$L67,$L67))</f>
        <v/>
      </c>
      <c r="V67" s="7" t="str">
        <f aca="false">IF($R67&lt;&gt;"Need to Improve","",COUNTIFS($R$6:$R$505,"Need to Improve",$L$6:$L$505,"&lt;"&amp;$L67)+COUNTIFS($R$6:$R67,"Need to Improve",$L$6:$L67,$L67))</f>
        <v/>
      </c>
      <c r="W67" s="7" t="str">
        <f aca="false">IF($R67&lt;&gt;"Not Performing","",COUNTIFS($R$6:$R$505,"Not Performing",$L$6:$L$505,"&lt;"&amp;$L67)+COUNTIFS($R$6:$R67,"Not Performing",$L$6:$L67,$L67))</f>
        <v/>
      </c>
    </row>
    <row r="68" customFormat="false" ht="15" hidden="false" customHeight="true" outlineLevel="0" collapsed="false">
      <c r="A68" s="26"/>
      <c r="B68" s="26"/>
      <c r="C68" s="26"/>
      <c r="D68" s="27" t="str">
        <f aca="false">IF($C68="","",IFERROR(TRIM(LEFT($C68,FIND("-",$C68)-1)),""))</f>
        <v/>
      </c>
      <c r="E68" s="26"/>
      <c r="F68" s="28"/>
      <c r="G68" s="29"/>
      <c r="H68" s="29"/>
      <c r="I68" s="30" t="str">
        <f aca="false">IF($B68="","",$H68-$G68)</f>
        <v/>
      </c>
      <c r="J68" s="31" t="str">
        <f aca="false">IF(OR($B68="",$G68=0,$G68=""),"",$I68/$G68)</f>
        <v/>
      </c>
      <c r="K68" s="32"/>
      <c r="L68" s="32"/>
      <c r="M68" s="32"/>
      <c r="N68" s="32"/>
      <c r="O68" s="32"/>
      <c r="P68" s="31" t="str">
        <f aca="false">IF(OR($L68="",$N68=""),"",$L68-$N68)</f>
        <v/>
      </c>
      <c r="Q68" s="27" t="str">
        <f aca="false">IF($B68="","",IF(N($H68)&gt;0,"Live","Exited"))</f>
        <v/>
      </c>
      <c r="R68" s="27" t="str">
        <f aca="false">IF($B68="","",IF($L68="","Data Pending",IF($L68&gt;=Instructions!$D$19,"Best Fund",IF($L68&gt;=Instructions!$D$20,"Need to Improve","Not Performing"))))</f>
        <v/>
      </c>
      <c r="S68" s="7" t="str">
        <f aca="false">IF($R68="","",IF($R68="Data Pending","Enter the 3Y return",IF($R68="Best Fund","Hold / consider top-up",IF($R68="Need to Improve","Watch 2 quarters, then decide","Review with client - switch or exit"))))</f>
        <v/>
      </c>
      <c r="T68" s="26"/>
      <c r="U68" s="7" t="str">
        <f aca="false">IF($R68&lt;&gt;"Best Fund","",COUNTIFS($R$6:$R$505,"Best Fund",$L$6:$L$505,"&gt;"&amp;$L68)+COUNTIFS($R$6:$R68,"Best Fund",$L$6:$L68,$L68))</f>
        <v/>
      </c>
      <c r="V68" s="7" t="str">
        <f aca="false">IF($R68&lt;&gt;"Need to Improve","",COUNTIFS($R$6:$R$505,"Need to Improve",$L$6:$L$505,"&lt;"&amp;$L68)+COUNTIFS($R$6:$R68,"Need to Improve",$L$6:$L68,$L68))</f>
        <v/>
      </c>
      <c r="W68" s="7" t="str">
        <f aca="false">IF($R68&lt;&gt;"Not Performing","",COUNTIFS($R$6:$R$505,"Not Performing",$L$6:$L$505,"&lt;"&amp;$L68)+COUNTIFS($R$6:$R68,"Not Performing",$L$6:$L68,$L68))</f>
        <v/>
      </c>
    </row>
    <row r="69" customFormat="false" ht="15" hidden="false" customHeight="true" outlineLevel="0" collapsed="false">
      <c r="A69" s="26"/>
      <c r="B69" s="26"/>
      <c r="C69" s="26"/>
      <c r="D69" s="27" t="str">
        <f aca="false">IF($C69="","",IFERROR(TRIM(LEFT($C69,FIND("-",$C69)-1)),""))</f>
        <v/>
      </c>
      <c r="E69" s="26"/>
      <c r="F69" s="28"/>
      <c r="G69" s="29"/>
      <c r="H69" s="29"/>
      <c r="I69" s="30" t="str">
        <f aca="false">IF($B69="","",$H69-$G69)</f>
        <v/>
      </c>
      <c r="J69" s="31" t="str">
        <f aca="false">IF(OR($B69="",$G69=0,$G69=""),"",$I69/$G69)</f>
        <v/>
      </c>
      <c r="K69" s="32"/>
      <c r="L69" s="32"/>
      <c r="M69" s="32"/>
      <c r="N69" s="32"/>
      <c r="O69" s="32"/>
      <c r="P69" s="31" t="str">
        <f aca="false">IF(OR($L69="",$N69=""),"",$L69-$N69)</f>
        <v/>
      </c>
      <c r="Q69" s="27" t="str">
        <f aca="false">IF($B69="","",IF(N($H69)&gt;0,"Live","Exited"))</f>
        <v/>
      </c>
      <c r="R69" s="27" t="str">
        <f aca="false">IF($B69="","",IF($L69="","Data Pending",IF($L69&gt;=Instructions!$D$19,"Best Fund",IF($L69&gt;=Instructions!$D$20,"Need to Improve","Not Performing"))))</f>
        <v/>
      </c>
      <c r="S69" s="7" t="str">
        <f aca="false">IF($R69="","",IF($R69="Data Pending","Enter the 3Y return",IF($R69="Best Fund","Hold / consider top-up",IF($R69="Need to Improve","Watch 2 quarters, then decide","Review with client - switch or exit"))))</f>
        <v/>
      </c>
      <c r="T69" s="26"/>
      <c r="U69" s="7" t="str">
        <f aca="false">IF($R69&lt;&gt;"Best Fund","",COUNTIFS($R$6:$R$505,"Best Fund",$L$6:$L$505,"&gt;"&amp;$L69)+COUNTIFS($R$6:$R69,"Best Fund",$L$6:$L69,$L69))</f>
        <v/>
      </c>
      <c r="V69" s="7" t="str">
        <f aca="false">IF($R69&lt;&gt;"Need to Improve","",COUNTIFS($R$6:$R$505,"Need to Improve",$L$6:$L$505,"&lt;"&amp;$L69)+COUNTIFS($R$6:$R69,"Need to Improve",$L$6:$L69,$L69))</f>
        <v/>
      </c>
      <c r="W69" s="7" t="str">
        <f aca="false">IF($R69&lt;&gt;"Not Performing","",COUNTIFS($R$6:$R$505,"Not Performing",$L$6:$L$505,"&lt;"&amp;$L69)+COUNTIFS($R$6:$R69,"Not Performing",$L$6:$L69,$L69))</f>
        <v/>
      </c>
    </row>
    <row r="70" customFormat="false" ht="15" hidden="false" customHeight="true" outlineLevel="0" collapsed="false">
      <c r="A70" s="26"/>
      <c r="B70" s="26"/>
      <c r="C70" s="26"/>
      <c r="D70" s="27" t="str">
        <f aca="false">IF($C70="","",IFERROR(TRIM(LEFT($C70,FIND("-",$C70)-1)),""))</f>
        <v/>
      </c>
      <c r="E70" s="26"/>
      <c r="F70" s="28"/>
      <c r="G70" s="29"/>
      <c r="H70" s="29"/>
      <c r="I70" s="30" t="str">
        <f aca="false">IF($B70="","",$H70-$G70)</f>
        <v/>
      </c>
      <c r="J70" s="31" t="str">
        <f aca="false">IF(OR($B70="",$G70=0,$G70=""),"",$I70/$G70)</f>
        <v/>
      </c>
      <c r="K70" s="32"/>
      <c r="L70" s="32"/>
      <c r="M70" s="32"/>
      <c r="N70" s="32"/>
      <c r="O70" s="32"/>
      <c r="P70" s="31" t="str">
        <f aca="false">IF(OR($L70="",$N70=""),"",$L70-$N70)</f>
        <v/>
      </c>
      <c r="Q70" s="27" t="str">
        <f aca="false">IF($B70="","",IF(N($H70)&gt;0,"Live","Exited"))</f>
        <v/>
      </c>
      <c r="R70" s="27" t="str">
        <f aca="false">IF($B70="","",IF($L70="","Data Pending",IF($L70&gt;=Instructions!$D$19,"Best Fund",IF($L70&gt;=Instructions!$D$20,"Need to Improve","Not Performing"))))</f>
        <v/>
      </c>
      <c r="S70" s="7" t="str">
        <f aca="false">IF($R70="","",IF($R70="Data Pending","Enter the 3Y return",IF($R70="Best Fund","Hold / consider top-up",IF($R70="Need to Improve","Watch 2 quarters, then decide","Review with client - switch or exit"))))</f>
        <v/>
      </c>
      <c r="T70" s="26"/>
      <c r="U70" s="7" t="str">
        <f aca="false">IF($R70&lt;&gt;"Best Fund","",COUNTIFS($R$6:$R$505,"Best Fund",$L$6:$L$505,"&gt;"&amp;$L70)+COUNTIFS($R$6:$R70,"Best Fund",$L$6:$L70,$L70))</f>
        <v/>
      </c>
      <c r="V70" s="7" t="str">
        <f aca="false">IF($R70&lt;&gt;"Need to Improve","",COUNTIFS($R$6:$R$505,"Need to Improve",$L$6:$L$505,"&lt;"&amp;$L70)+COUNTIFS($R$6:$R70,"Need to Improve",$L$6:$L70,$L70))</f>
        <v/>
      </c>
      <c r="W70" s="7" t="str">
        <f aca="false">IF($R70&lt;&gt;"Not Performing","",COUNTIFS($R$6:$R$505,"Not Performing",$L$6:$L$505,"&lt;"&amp;$L70)+COUNTIFS($R$6:$R70,"Not Performing",$L$6:$L70,$L70))</f>
        <v/>
      </c>
    </row>
    <row r="71" customFormat="false" ht="15" hidden="false" customHeight="true" outlineLevel="0" collapsed="false">
      <c r="A71" s="26"/>
      <c r="B71" s="26"/>
      <c r="C71" s="26"/>
      <c r="D71" s="27" t="str">
        <f aca="false">IF($C71="","",IFERROR(TRIM(LEFT($C71,FIND("-",$C71)-1)),""))</f>
        <v/>
      </c>
      <c r="E71" s="26"/>
      <c r="F71" s="28"/>
      <c r="G71" s="29"/>
      <c r="H71" s="29"/>
      <c r="I71" s="30" t="str">
        <f aca="false">IF($B71="","",$H71-$G71)</f>
        <v/>
      </c>
      <c r="J71" s="31" t="str">
        <f aca="false">IF(OR($B71="",$G71=0,$G71=""),"",$I71/$G71)</f>
        <v/>
      </c>
      <c r="K71" s="32"/>
      <c r="L71" s="32"/>
      <c r="M71" s="32"/>
      <c r="N71" s="32"/>
      <c r="O71" s="32"/>
      <c r="P71" s="31" t="str">
        <f aca="false">IF(OR($L71="",$N71=""),"",$L71-$N71)</f>
        <v/>
      </c>
      <c r="Q71" s="27" t="str">
        <f aca="false">IF($B71="","",IF(N($H71)&gt;0,"Live","Exited"))</f>
        <v/>
      </c>
      <c r="R71" s="27" t="str">
        <f aca="false">IF($B71="","",IF($L71="","Data Pending",IF($L71&gt;=Instructions!$D$19,"Best Fund",IF($L71&gt;=Instructions!$D$20,"Need to Improve","Not Performing"))))</f>
        <v/>
      </c>
      <c r="S71" s="7" t="str">
        <f aca="false">IF($R71="","",IF($R71="Data Pending","Enter the 3Y return",IF($R71="Best Fund","Hold / consider top-up",IF($R71="Need to Improve","Watch 2 quarters, then decide","Review with client - switch or exit"))))</f>
        <v/>
      </c>
      <c r="T71" s="26"/>
      <c r="U71" s="7" t="str">
        <f aca="false">IF($R71&lt;&gt;"Best Fund","",COUNTIFS($R$6:$R$505,"Best Fund",$L$6:$L$505,"&gt;"&amp;$L71)+COUNTIFS($R$6:$R71,"Best Fund",$L$6:$L71,$L71))</f>
        <v/>
      </c>
      <c r="V71" s="7" t="str">
        <f aca="false">IF($R71&lt;&gt;"Need to Improve","",COUNTIFS($R$6:$R$505,"Need to Improve",$L$6:$L$505,"&lt;"&amp;$L71)+COUNTIFS($R$6:$R71,"Need to Improve",$L$6:$L71,$L71))</f>
        <v/>
      </c>
      <c r="W71" s="7" t="str">
        <f aca="false">IF($R71&lt;&gt;"Not Performing","",COUNTIFS($R$6:$R$505,"Not Performing",$L$6:$L$505,"&lt;"&amp;$L71)+COUNTIFS($R$6:$R71,"Not Performing",$L$6:$L71,$L71))</f>
        <v/>
      </c>
    </row>
    <row r="72" customFormat="false" ht="15" hidden="false" customHeight="true" outlineLevel="0" collapsed="false">
      <c r="A72" s="26"/>
      <c r="B72" s="26"/>
      <c r="C72" s="26"/>
      <c r="D72" s="27" t="str">
        <f aca="false">IF($C72="","",IFERROR(TRIM(LEFT($C72,FIND("-",$C72)-1)),""))</f>
        <v/>
      </c>
      <c r="E72" s="26"/>
      <c r="F72" s="28"/>
      <c r="G72" s="29"/>
      <c r="H72" s="29"/>
      <c r="I72" s="30" t="str">
        <f aca="false">IF($B72="","",$H72-$G72)</f>
        <v/>
      </c>
      <c r="J72" s="31" t="str">
        <f aca="false">IF(OR($B72="",$G72=0,$G72=""),"",$I72/$G72)</f>
        <v/>
      </c>
      <c r="K72" s="32"/>
      <c r="L72" s="32"/>
      <c r="M72" s="32"/>
      <c r="N72" s="32"/>
      <c r="O72" s="32"/>
      <c r="P72" s="31" t="str">
        <f aca="false">IF(OR($L72="",$N72=""),"",$L72-$N72)</f>
        <v/>
      </c>
      <c r="Q72" s="27" t="str">
        <f aca="false">IF($B72="","",IF(N($H72)&gt;0,"Live","Exited"))</f>
        <v/>
      </c>
      <c r="R72" s="27" t="str">
        <f aca="false">IF($B72="","",IF($L72="","Data Pending",IF($L72&gt;=Instructions!$D$19,"Best Fund",IF($L72&gt;=Instructions!$D$20,"Need to Improve","Not Performing"))))</f>
        <v/>
      </c>
      <c r="S72" s="7" t="str">
        <f aca="false">IF($R72="","",IF($R72="Data Pending","Enter the 3Y return",IF($R72="Best Fund","Hold / consider top-up",IF($R72="Need to Improve","Watch 2 quarters, then decide","Review with client - switch or exit"))))</f>
        <v/>
      </c>
      <c r="T72" s="26"/>
      <c r="U72" s="7" t="str">
        <f aca="false">IF($R72&lt;&gt;"Best Fund","",COUNTIFS($R$6:$R$505,"Best Fund",$L$6:$L$505,"&gt;"&amp;$L72)+COUNTIFS($R$6:$R72,"Best Fund",$L$6:$L72,$L72))</f>
        <v/>
      </c>
      <c r="V72" s="7" t="str">
        <f aca="false">IF($R72&lt;&gt;"Need to Improve","",COUNTIFS($R$6:$R$505,"Need to Improve",$L$6:$L$505,"&lt;"&amp;$L72)+COUNTIFS($R$6:$R72,"Need to Improve",$L$6:$L72,$L72))</f>
        <v/>
      </c>
      <c r="W72" s="7" t="str">
        <f aca="false">IF($R72&lt;&gt;"Not Performing","",COUNTIFS($R$6:$R$505,"Not Performing",$L$6:$L$505,"&lt;"&amp;$L72)+COUNTIFS($R$6:$R72,"Not Performing",$L$6:$L72,$L72))</f>
        <v/>
      </c>
    </row>
    <row r="73" customFormat="false" ht="15" hidden="false" customHeight="true" outlineLevel="0" collapsed="false">
      <c r="A73" s="26"/>
      <c r="B73" s="26"/>
      <c r="C73" s="26"/>
      <c r="D73" s="27" t="str">
        <f aca="false">IF($C73="","",IFERROR(TRIM(LEFT($C73,FIND("-",$C73)-1)),""))</f>
        <v/>
      </c>
      <c r="E73" s="26"/>
      <c r="F73" s="28"/>
      <c r="G73" s="29"/>
      <c r="H73" s="29"/>
      <c r="I73" s="30" t="str">
        <f aca="false">IF($B73="","",$H73-$G73)</f>
        <v/>
      </c>
      <c r="J73" s="31" t="str">
        <f aca="false">IF(OR($B73="",$G73=0,$G73=""),"",$I73/$G73)</f>
        <v/>
      </c>
      <c r="K73" s="32"/>
      <c r="L73" s="32"/>
      <c r="M73" s="32"/>
      <c r="N73" s="32"/>
      <c r="O73" s="32"/>
      <c r="P73" s="31" t="str">
        <f aca="false">IF(OR($L73="",$N73=""),"",$L73-$N73)</f>
        <v/>
      </c>
      <c r="Q73" s="27" t="str">
        <f aca="false">IF($B73="","",IF(N($H73)&gt;0,"Live","Exited"))</f>
        <v/>
      </c>
      <c r="R73" s="27" t="str">
        <f aca="false">IF($B73="","",IF($L73="","Data Pending",IF($L73&gt;=Instructions!$D$19,"Best Fund",IF($L73&gt;=Instructions!$D$20,"Need to Improve","Not Performing"))))</f>
        <v/>
      </c>
      <c r="S73" s="7" t="str">
        <f aca="false">IF($R73="","",IF($R73="Data Pending","Enter the 3Y return",IF($R73="Best Fund","Hold / consider top-up",IF($R73="Need to Improve","Watch 2 quarters, then decide","Review with client - switch or exit"))))</f>
        <v/>
      </c>
      <c r="T73" s="26"/>
      <c r="U73" s="7" t="str">
        <f aca="false">IF($R73&lt;&gt;"Best Fund","",COUNTIFS($R$6:$R$505,"Best Fund",$L$6:$L$505,"&gt;"&amp;$L73)+COUNTIFS($R$6:$R73,"Best Fund",$L$6:$L73,$L73))</f>
        <v/>
      </c>
      <c r="V73" s="7" t="str">
        <f aca="false">IF($R73&lt;&gt;"Need to Improve","",COUNTIFS($R$6:$R$505,"Need to Improve",$L$6:$L$505,"&lt;"&amp;$L73)+COUNTIFS($R$6:$R73,"Need to Improve",$L$6:$L73,$L73))</f>
        <v/>
      </c>
      <c r="W73" s="7" t="str">
        <f aca="false">IF($R73&lt;&gt;"Not Performing","",COUNTIFS($R$6:$R$505,"Not Performing",$L$6:$L$505,"&lt;"&amp;$L73)+COUNTIFS($R$6:$R73,"Not Performing",$L$6:$L73,$L73))</f>
        <v/>
      </c>
    </row>
    <row r="74" customFormat="false" ht="15" hidden="false" customHeight="true" outlineLevel="0" collapsed="false">
      <c r="A74" s="26"/>
      <c r="B74" s="26"/>
      <c r="C74" s="26"/>
      <c r="D74" s="27" t="str">
        <f aca="false">IF($C74="","",IFERROR(TRIM(LEFT($C74,FIND("-",$C74)-1)),""))</f>
        <v/>
      </c>
      <c r="E74" s="26"/>
      <c r="F74" s="28"/>
      <c r="G74" s="29"/>
      <c r="H74" s="29"/>
      <c r="I74" s="30" t="str">
        <f aca="false">IF($B74="","",$H74-$G74)</f>
        <v/>
      </c>
      <c r="J74" s="31" t="str">
        <f aca="false">IF(OR($B74="",$G74=0,$G74=""),"",$I74/$G74)</f>
        <v/>
      </c>
      <c r="K74" s="32"/>
      <c r="L74" s="32"/>
      <c r="M74" s="32"/>
      <c r="N74" s="32"/>
      <c r="O74" s="32"/>
      <c r="P74" s="31" t="str">
        <f aca="false">IF(OR($L74="",$N74=""),"",$L74-$N74)</f>
        <v/>
      </c>
      <c r="Q74" s="27" t="str">
        <f aca="false">IF($B74="","",IF(N($H74)&gt;0,"Live","Exited"))</f>
        <v/>
      </c>
      <c r="R74" s="27" t="str">
        <f aca="false">IF($B74="","",IF($L74="","Data Pending",IF($L74&gt;=Instructions!$D$19,"Best Fund",IF($L74&gt;=Instructions!$D$20,"Need to Improve","Not Performing"))))</f>
        <v/>
      </c>
      <c r="S74" s="7" t="str">
        <f aca="false">IF($R74="","",IF($R74="Data Pending","Enter the 3Y return",IF($R74="Best Fund","Hold / consider top-up",IF($R74="Need to Improve","Watch 2 quarters, then decide","Review with client - switch or exit"))))</f>
        <v/>
      </c>
      <c r="T74" s="26"/>
      <c r="U74" s="7" t="str">
        <f aca="false">IF($R74&lt;&gt;"Best Fund","",COUNTIFS($R$6:$R$505,"Best Fund",$L$6:$L$505,"&gt;"&amp;$L74)+COUNTIFS($R$6:$R74,"Best Fund",$L$6:$L74,$L74))</f>
        <v/>
      </c>
      <c r="V74" s="7" t="str">
        <f aca="false">IF($R74&lt;&gt;"Need to Improve","",COUNTIFS($R$6:$R$505,"Need to Improve",$L$6:$L$505,"&lt;"&amp;$L74)+COUNTIFS($R$6:$R74,"Need to Improve",$L$6:$L74,$L74))</f>
        <v/>
      </c>
      <c r="W74" s="7" t="str">
        <f aca="false">IF($R74&lt;&gt;"Not Performing","",COUNTIFS($R$6:$R$505,"Not Performing",$L$6:$L$505,"&lt;"&amp;$L74)+COUNTIFS($R$6:$R74,"Not Performing",$L$6:$L74,$L74))</f>
        <v/>
      </c>
    </row>
    <row r="75" customFormat="false" ht="15" hidden="false" customHeight="true" outlineLevel="0" collapsed="false">
      <c r="A75" s="26"/>
      <c r="B75" s="26"/>
      <c r="C75" s="26"/>
      <c r="D75" s="27" t="str">
        <f aca="false">IF($C75="","",IFERROR(TRIM(LEFT($C75,FIND("-",$C75)-1)),""))</f>
        <v/>
      </c>
      <c r="E75" s="26"/>
      <c r="F75" s="28"/>
      <c r="G75" s="29"/>
      <c r="H75" s="29"/>
      <c r="I75" s="30" t="str">
        <f aca="false">IF($B75="","",$H75-$G75)</f>
        <v/>
      </c>
      <c r="J75" s="31" t="str">
        <f aca="false">IF(OR($B75="",$G75=0,$G75=""),"",$I75/$G75)</f>
        <v/>
      </c>
      <c r="K75" s="32"/>
      <c r="L75" s="32"/>
      <c r="M75" s="32"/>
      <c r="N75" s="32"/>
      <c r="O75" s="32"/>
      <c r="P75" s="31" t="str">
        <f aca="false">IF(OR($L75="",$N75=""),"",$L75-$N75)</f>
        <v/>
      </c>
      <c r="Q75" s="27" t="str">
        <f aca="false">IF($B75="","",IF(N($H75)&gt;0,"Live","Exited"))</f>
        <v/>
      </c>
      <c r="R75" s="27" t="str">
        <f aca="false">IF($B75="","",IF($L75="","Data Pending",IF($L75&gt;=Instructions!$D$19,"Best Fund",IF($L75&gt;=Instructions!$D$20,"Need to Improve","Not Performing"))))</f>
        <v/>
      </c>
      <c r="S75" s="7" t="str">
        <f aca="false">IF($R75="","",IF($R75="Data Pending","Enter the 3Y return",IF($R75="Best Fund","Hold / consider top-up",IF($R75="Need to Improve","Watch 2 quarters, then decide","Review with client - switch or exit"))))</f>
        <v/>
      </c>
      <c r="T75" s="26"/>
      <c r="U75" s="7" t="str">
        <f aca="false">IF($R75&lt;&gt;"Best Fund","",COUNTIFS($R$6:$R$505,"Best Fund",$L$6:$L$505,"&gt;"&amp;$L75)+COUNTIFS($R$6:$R75,"Best Fund",$L$6:$L75,$L75))</f>
        <v/>
      </c>
      <c r="V75" s="7" t="str">
        <f aca="false">IF($R75&lt;&gt;"Need to Improve","",COUNTIFS($R$6:$R$505,"Need to Improve",$L$6:$L$505,"&lt;"&amp;$L75)+COUNTIFS($R$6:$R75,"Need to Improve",$L$6:$L75,$L75))</f>
        <v/>
      </c>
      <c r="W75" s="7" t="str">
        <f aca="false">IF($R75&lt;&gt;"Not Performing","",COUNTIFS($R$6:$R$505,"Not Performing",$L$6:$L$505,"&lt;"&amp;$L75)+COUNTIFS($R$6:$R75,"Not Performing",$L$6:$L75,$L75))</f>
        <v/>
      </c>
    </row>
    <row r="76" customFormat="false" ht="15" hidden="false" customHeight="true" outlineLevel="0" collapsed="false">
      <c r="A76" s="26"/>
      <c r="B76" s="26"/>
      <c r="C76" s="26"/>
      <c r="D76" s="27" t="str">
        <f aca="false">IF($C76="","",IFERROR(TRIM(LEFT($C76,FIND("-",$C76)-1)),""))</f>
        <v/>
      </c>
      <c r="E76" s="26"/>
      <c r="F76" s="28"/>
      <c r="G76" s="29"/>
      <c r="H76" s="29"/>
      <c r="I76" s="30" t="str">
        <f aca="false">IF($B76="","",$H76-$G76)</f>
        <v/>
      </c>
      <c r="J76" s="31" t="str">
        <f aca="false">IF(OR($B76="",$G76=0,$G76=""),"",$I76/$G76)</f>
        <v/>
      </c>
      <c r="K76" s="32"/>
      <c r="L76" s="32"/>
      <c r="M76" s="32"/>
      <c r="N76" s="32"/>
      <c r="O76" s="32"/>
      <c r="P76" s="31" t="str">
        <f aca="false">IF(OR($L76="",$N76=""),"",$L76-$N76)</f>
        <v/>
      </c>
      <c r="Q76" s="27" t="str">
        <f aca="false">IF($B76="","",IF(N($H76)&gt;0,"Live","Exited"))</f>
        <v/>
      </c>
      <c r="R76" s="27" t="str">
        <f aca="false">IF($B76="","",IF($L76="","Data Pending",IF($L76&gt;=Instructions!$D$19,"Best Fund",IF($L76&gt;=Instructions!$D$20,"Need to Improve","Not Performing"))))</f>
        <v/>
      </c>
      <c r="S76" s="7" t="str">
        <f aca="false">IF($R76="","",IF($R76="Data Pending","Enter the 3Y return",IF($R76="Best Fund","Hold / consider top-up",IF($R76="Need to Improve","Watch 2 quarters, then decide","Review with client - switch or exit"))))</f>
        <v/>
      </c>
      <c r="T76" s="26"/>
      <c r="U76" s="7" t="str">
        <f aca="false">IF($R76&lt;&gt;"Best Fund","",COUNTIFS($R$6:$R$505,"Best Fund",$L$6:$L$505,"&gt;"&amp;$L76)+COUNTIFS($R$6:$R76,"Best Fund",$L$6:$L76,$L76))</f>
        <v/>
      </c>
      <c r="V76" s="7" t="str">
        <f aca="false">IF($R76&lt;&gt;"Need to Improve","",COUNTIFS($R$6:$R$505,"Need to Improve",$L$6:$L$505,"&lt;"&amp;$L76)+COUNTIFS($R$6:$R76,"Need to Improve",$L$6:$L76,$L76))</f>
        <v/>
      </c>
      <c r="W76" s="7" t="str">
        <f aca="false">IF($R76&lt;&gt;"Not Performing","",COUNTIFS($R$6:$R$505,"Not Performing",$L$6:$L$505,"&lt;"&amp;$L76)+COUNTIFS($R$6:$R76,"Not Performing",$L$6:$L76,$L76))</f>
        <v/>
      </c>
    </row>
    <row r="77" customFormat="false" ht="15" hidden="false" customHeight="true" outlineLevel="0" collapsed="false">
      <c r="A77" s="26"/>
      <c r="B77" s="26"/>
      <c r="C77" s="26"/>
      <c r="D77" s="27" t="str">
        <f aca="false">IF($C77="","",IFERROR(TRIM(LEFT($C77,FIND("-",$C77)-1)),""))</f>
        <v/>
      </c>
      <c r="E77" s="26"/>
      <c r="F77" s="28"/>
      <c r="G77" s="29"/>
      <c r="H77" s="29"/>
      <c r="I77" s="30" t="str">
        <f aca="false">IF($B77="","",$H77-$G77)</f>
        <v/>
      </c>
      <c r="J77" s="31" t="str">
        <f aca="false">IF(OR($B77="",$G77=0,$G77=""),"",$I77/$G77)</f>
        <v/>
      </c>
      <c r="K77" s="32"/>
      <c r="L77" s="32"/>
      <c r="M77" s="32"/>
      <c r="N77" s="32"/>
      <c r="O77" s="32"/>
      <c r="P77" s="31" t="str">
        <f aca="false">IF(OR($L77="",$N77=""),"",$L77-$N77)</f>
        <v/>
      </c>
      <c r="Q77" s="27" t="str">
        <f aca="false">IF($B77="","",IF(N($H77)&gt;0,"Live","Exited"))</f>
        <v/>
      </c>
      <c r="R77" s="27" t="str">
        <f aca="false">IF($B77="","",IF($L77="","Data Pending",IF($L77&gt;=Instructions!$D$19,"Best Fund",IF($L77&gt;=Instructions!$D$20,"Need to Improve","Not Performing"))))</f>
        <v/>
      </c>
      <c r="S77" s="7" t="str">
        <f aca="false">IF($R77="","",IF($R77="Data Pending","Enter the 3Y return",IF($R77="Best Fund","Hold / consider top-up",IF($R77="Need to Improve","Watch 2 quarters, then decide","Review with client - switch or exit"))))</f>
        <v/>
      </c>
      <c r="T77" s="26"/>
      <c r="U77" s="7" t="str">
        <f aca="false">IF($R77&lt;&gt;"Best Fund","",COUNTIFS($R$6:$R$505,"Best Fund",$L$6:$L$505,"&gt;"&amp;$L77)+COUNTIFS($R$6:$R77,"Best Fund",$L$6:$L77,$L77))</f>
        <v/>
      </c>
      <c r="V77" s="7" t="str">
        <f aca="false">IF($R77&lt;&gt;"Need to Improve","",COUNTIFS($R$6:$R$505,"Need to Improve",$L$6:$L$505,"&lt;"&amp;$L77)+COUNTIFS($R$6:$R77,"Need to Improve",$L$6:$L77,$L77))</f>
        <v/>
      </c>
      <c r="W77" s="7" t="str">
        <f aca="false">IF($R77&lt;&gt;"Not Performing","",COUNTIFS($R$6:$R$505,"Not Performing",$L$6:$L$505,"&lt;"&amp;$L77)+COUNTIFS($R$6:$R77,"Not Performing",$L$6:$L77,$L77))</f>
        <v/>
      </c>
    </row>
    <row r="78" customFormat="false" ht="15" hidden="false" customHeight="true" outlineLevel="0" collapsed="false">
      <c r="A78" s="26"/>
      <c r="B78" s="26"/>
      <c r="C78" s="26"/>
      <c r="D78" s="27" t="str">
        <f aca="false">IF($C78="","",IFERROR(TRIM(LEFT($C78,FIND("-",$C78)-1)),""))</f>
        <v/>
      </c>
      <c r="E78" s="26"/>
      <c r="F78" s="28"/>
      <c r="G78" s="29"/>
      <c r="H78" s="29"/>
      <c r="I78" s="30" t="str">
        <f aca="false">IF($B78="","",$H78-$G78)</f>
        <v/>
      </c>
      <c r="J78" s="31" t="str">
        <f aca="false">IF(OR($B78="",$G78=0,$G78=""),"",$I78/$G78)</f>
        <v/>
      </c>
      <c r="K78" s="32"/>
      <c r="L78" s="32"/>
      <c r="M78" s="32"/>
      <c r="N78" s="32"/>
      <c r="O78" s="32"/>
      <c r="P78" s="31" t="str">
        <f aca="false">IF(OR($L78="",$N78=""),"",$L78-$N78)</f>
        <v/>
      </c>
      <c r="Q78" s="27" t="str">
        <f aca="false">IF($B78="","",IF(N($H78)&gt;0,"Live","Exited"))</f>
        <v/>
      </c>
      <c r="R78" s="27" t="str">
        <f aca="false">IF($B78="","",IF($L78="","Data Pending",IF($L78&gt;=Instructions!$D$19,"Best Fund",IF($L78&gt;=Instructions!$D$20,"Need to Improve","Not Performing"))))</f>
        <v/>
      </c>
      <c r="S78" s="7" t="str">
        <f aca="false">IF($R78="","",IF($R78="Data Pending","Enter the 3Y return",IF($R78="Best Fund","Hold / consider top-up",IF($R78="Need to Improve","Watch 2 quarters, then decide","Review with client - switch or exit"))))</f>
        <v/>
      </c>
      <c r="T78" s="26"/>
      <c r="U78" s="7" t="str">
        <f aca="false">IF($R78&lt;&gt;"Best Fund","",COUNTIFS($R$6:$R$505,"Best Fund",$L$6:$L$505,"&gt;"&amp;$L78)+COUNTIFS($R$6:$R78,"Best Fund",$L$6:$L78,$L78))</f>
        <v/>
      </c>
      <c r="V78" s="7" t="str">
        <f aca="false">IF($R78&lt;&gt;"Need to Improve","",COUNTIFS($R$6:$R$505,"Need to Improve",$L$6:$L$505,"&lt;"&amp;$L78)+COUNTIFS($R$6:$R78,"Need to Improve",$L$6:$L78,$L78))</f>
        <v/>
      </c>
      <c r="W78" s="7" t="str">
        <f aca="false">IF($R78&lt;&gt;"Not Performing","",COUNTIFS($R$6:$R$505,"Not Performing",$L$6:$L$505,"&lt;"&amp;$L78)+COUNTIFS($R$6:$R78,"Not Performing",$L$6:$L78,$L78))</f>
        <v/>
      </c>
    </row>
    <row r="79" customFormat="false" ht="15" hidden="false" customHeight="true" outlineLevel="0" collapsed="false">
      <c r="A79" s="26"/>
      <c r="B79" s="26"/>
      <c r="C79" s="26"/>
      <c r="D79" s="27" t="str">
        <f aca="false">IF($C79="","",IFERROR(TRIM(LEFT($C79,FIND("-",$C79)-1)),""))</f>
        <v/>
      </c>
      <c r="E79" s="26"/>
      <c r="F79" s="28"/>
      <c r="G79" s="29"/>
      <c r="H79" s="29"/>
      <c r="I79" s="30" t="str">
        <f aca="false">IF($B79="","",$H79-$G79)</f>
        <v/>
      </c>
      <c r="J79" s="31" t="str">
        <f aca="false">IF(OR($B79="",$G79=0,$G79=""),"",$I79/$G79)</f>
        <v/>
      </c>
      <c r="K79" s="32"/>
      <c r="L79" s="32"/>
      <c r="M79" s="32"/>
      <c r="N79" s="32"/>
      <c r="O79" s="32"/>
      <c r="P79" s="31" t="str">
        <f aca="false">IF(OR($L79="",$N79=""),"",$L79-$N79)</f>
        <v/>
      </c>
      <c r="Q79" s="27" t="str">
        <f aca="false">IF($B79="","",IF(N($H79)&gt;0,"Live","Exited"))</f>
        <v/>
      </c>
      <c r="R79" s="27" t="str">
        <f aca="false">IF($B79="","",IF($L79="","Data Pending",IF($L79&gt;=Instructions!$D$19,"Best Fund",IF($L79&gt;=Instructions!$D$20,"Need to Improve","Not Performing"))))</f>
        <v/>
      </c>
      <c r="S79" s="7" t="str">
        <f aca="false">IF($R79="","",IF($R79="Data Pending","Enter the 3Y return",IF($R79="Best Fund","Hold / consider top-up",IF($R79="Need to Improve","Watch 2 quarters, then decide","Review with client - switch or exit"))))</f>
        <v/>
      </c>
      <c r="T79" s="26"/>
      <c r="U79" s="7" t="str">
        <f aca="false">IF($R79&lt;&gt;"Best Fund","",COUNTIFS($R$6:$R$505,"Best Fund",$L$6:$L$505,"&gt;"&amp;$L79)+COUNTIFS($R$6:$R79,"Best Fund",$L$6:$L79,$L79))</f>
        <v/>
      </c>
      <c r="V79" s="7" t="str">
        <f aca="false">IF($R79&lt;&gt;"Need to Improve","",COUNTIFS($R$6:$R$505,"Need to Improve",$L$6:$L$505,"&lt;"&amp;$L79)+COUNTIFS($R$6:$R79,"Need to Improve",$L$6:$L79,$L79))</f>
        <v/>
      </c>
      <c r="W79" s="7" t="str">
        <f aca="false">IF($R79&lt;&gt;"Not Performing","",COUNTIFS($R$6:$R$505,"Not Performing",$L$6:$L$505,"&lt;"&amp;$L79)+COUNTIFS($R$6:$R79,"Not Performing",$L$6:$L79,$L79))</f>
        <v/>
      </c>
    </row>
    <row r="80" customFormat="false" ht="15" hidden="false" customHeight="true" outlineLevel="0" collapsed="false">
      <c r="A80" s="26"/>
      <c r="B80" s="26"/>
      <c r="C80" s="26"/>
      <c r="D80" s="27" t="str">
        <f aca="false">IF($C80="","",IFERROR(TRIM(LEFT($C80,FIND("-",$C80)-1)),""))</f>
        <v/>
      </c>
      <c r="E80" s="26"/>
      <c r="F80" s="28"/>
      <c r="G80" s="29"/>
      <c r="H80" s="29"/>
      <c r="I80" s="30" t="str">
        <f aca="false">IF($B80="","",$H80-$G80)</f>
        <v/>
      </c>
      <c r="J80" s="31" t="str">
        <f aca="false">IF(OR($B80="",$G80=0,$G80=""),"",$I80/$G80)</f>
        <v/>
      </c>
      <c r="K80" s="32"/>
      <c r="L80" s="32"/>
      <c r="M80" s="32"/>
      <c r="N80" s="32"/>
      <c r="O80" s="32"/>
      <c r="P80" s="31" t="str">
        <f aca="false">IF(OR($L80="",$N80=""),"",$L80-$N80)</f>
        <v/>
      </c>
      <c r="Q80" s="27" t="str">
        <f aca="false">IF($B80="","",IF(N($H80)&gt;0,"Live","Exited"))</f>
        <v/>
      </c>
      <c r="R80" s="27" t="str">
        <f aca="false">IF($B80="","",IF($L80="","Data Pending",IF($L80&gt;=Instructions!$D$19,"Best Fund",IF($L80&gt;=Instructions!$D$20,"Need to Improve","Not Performing"))))</f>
        <v/>
      </c>
      <c r="S80" s="7" t="str">
        <f aca="false">IF($R80="","",IF($R80="Data Pending","Enter the 3Y return",IF($R80="Best Fund","Hold / consider top-up",IF($R80="Need to Improve","Watch 2 quarters, then decide","Review with client - switch or exit"))))</f>
        <v/>
      </c>
      <c r="T80" s="26"/>
      <c r="U80" s="7" t="str">
        <f aca="false">IF($R80&lt;&gt;"Best Fund","",COUNTIFS($R$6:$R$505,"Best Fund",$L$6:$L$505,"&gt;"&amp;$L80)+COUNTIFS($R$6:$R80,"Best Fund",$L$6:$L80,$L80))</f>
        <v/>
      </c>
      <c r="V80" s="7" t="str">
        <f aca="false">IF($R80&lt;&gt;"Need to Improve","",COUNTIFS($R$6:$R$505,"Need to Improve",$L$6:$L$505,"&lt;"&amp;$L80)+COUNTIFS($R$6:$R80,"Need to Improve",$L$6:$L80,$L80))</f>
        <v/>
      </c>
      <c r="W80" s="7" t="str">
        <f aca="false">IF($R80&lt;&gt;"Not Performing","",COUNTIFS($R$6:$R$505,"Not Performing",$L$6:$L$505,"&lt;"&amp;$L80)+COUNTIFS($R$6:$R80,"Not Performing",$L$6:$L80,$L80))</f>
        <v/>
      </c>
    </row>
    <row r="81" customFormat="false" ht="15" hidden="false" customHeight="true" outlineLevel="0" collapsed="false">
      <c r="A81" s="26"/>
      <c r="B81" s="26"/>
      <c r="C81" s="26"/>
      <c r="D81" s="27" t="str">
        <f aca="false">IF($C81="","",IFERROR(TRIM(LEFT($C81,FIND("-",$C81)-1)),""))</f>
        <v/>
      </c>
      <c r="E81" s="26"/>
      <c r="F81" s="28"/>
      <c r="G81" s="29"/>
      <c r="H81" s="29"/>
      <c r="I81" s="30" t="str">
        <f aca="false">IF($B81="","",$H81-$G81)</f>
        <v/>
      </c>
      <c r="J81" s="31" t="str">
        <f aca="false">IF(OR($B81="",$G81=0,$G81=""),"",$I81/$G81)</f>
        <v/>
      </c>
      <c r="K81" s="32"/>
      <c r="L81" s="32"/>
      <c r="M81" s="32"/>
      <c r="N81" s="32"/>
      <c r="O81" s="32"/>
      <c r="P81" s="31" t="str">
        <f aca="false">IF(OR($L81="",$N81=""),"",$L81-$N81)</f>
        <v/>
      </c>
      <c r="Q81" s="27" t="str">
        <f aca="false">IF($B81="","",IF(N($H81)&gt;0,"Live","Exited"))</f>
        <v/>
      </c>
      <c r="R81" s="27" t="str">
        <f aca="false">IF($B81="","",IF($L81="","Data Pending",IF($L81&gt;=Instructions!$D$19,"Best Fund",IF($L81&gt;=Instructions!$D$20,"Need to Improve","Not Performing"))))</f>
        <v/>
      </c>
      <c r="S81" s="7" t="str">
        <f aca="false">IF($R81="","",IF($R81="Data Pending","Enter the 3Y return",IF($R81="Best Fund","Hold / consider top-up",IF($R81="Need to Improve","Watch 2 quarters, then decide","Review with client - switch or exit"))))</f>
        <v/>
      </c>
      <c r="T81" s="26"/>
      <c r="U81" s="7" t="str">
        <f aca="false">IF($R81&lt;&gt;"Best Fund","",COUNTIFS($R$6:$R$505,"Best Fund",$L$6:$L$505,"&gt;"&amp;$L81)+COUNTIFS($R$6:$R81,"Best Fund",$L$6:$L81,$L81))</f>
        <v/>
      </c>
      <c r="V81" s="7" t="str">
        <f aca="false">IF($R81&lt;&gt;"Need to Improve","",COUNTIFS($R$6:$R$505,"Need to Improve",$L$6:$L$505,"&lt;"&amp;$L81)+COUNTIFS($R$6:$R81,"Need to Improve",$L$6:$L81,$L81))</f>
        <v/>
      </c>
      <c r="W81" s="7" t="str">
        <f aca="false">IF($R81&lt;&gt;"Not Performing","",COUNTIFS($R$6:$R$505,"Not Performing",$L$6:$L$505,"&lt;"&amp;$L81)+COUNTIFS($R$6:$R81,"Not Performing",$L$6:$L81,$L81))</f>
        <v/>
      </c>
    </row>
    <row r="82" customFormat="false" ht="15" hidden="false" customHeight="true" outlineLevel="0" collapsed="false">
      <c r="A82" s="26"/>
      <c r="B82" s="26"/>
      <c r="C82" s="26"/>
      <c r="D82" s="27" t="str">
        <f aca="false">IF($C82="","",IFERROR(TRIM(LEFT($C82,FIND("-",$C82)-1)),""))</f>
        <v/>
      </c>
      <c r="E82" s="26"/>
      <c r="F82" s="28"/>
      <c r="G82" s="29"/>
      <c r="H82" s="29"/>
      <c r="I82" s="30" t="str">
        <f aca="false">IF($B82="","",$H82-$G82)</f>
        <v/>
      </c>
      <c r="J82" s="31" t="str">
        <f aca="false">IF(OR($B82="",$G82=0,$G82=""),"",$I82/$G82)</f>
        <v/>
      </c>
      <c r="K82" s="32"/>
      <c r="L82" s="32"/>
      <c r="M82" s="32"/>
      <c r="N82" s="32"/>
      <c r="O82" s="32"/>
      <c r="P82" s="31" t="str">
        <f aca="false">IF(OR($L82="",$N82=""),"",$L82-$N82)</f>
        <v/>
      </c>
      <c r="Q82" s="27" t="str">
        <f aca="false">IF($B82="","",IF(N($H82)&gt;0,"Live","Exited"))</f>
        <v/>
      </c>
      <c r="R82" s="27" t="str">
        <f aca="false">IF($B82="","",IF($L82="","Data Pending",IF($L82&gt;=Instructions!$D$19,"Best Fund",IF($L82&gt;=Instructions!$D$20,"Need to Improve","Not Performing"))))</f>
        <v/>
      </c>
      <c r="S82" s="7" t="str">
        <f aca="false">IF($R82="","",IF($R82="Data Pending","Enter the 3Y return",IF($R82="Best Fund","Hold / consider top-up",IF($R82="Need to Improve","Watch 2 quarters, then decide","Review with client - switch or exit"))))</f>
        <v/>
      </c>
      <c r="T82" s="26"/>
      <c r="U82" s="7" t="str">
        <f aca="false">IF($R82&lt;&gt;"Best Fund","",COUNTIFS($R$6:$R$505,"Best Fund",$L$6:$L$505,"&gt;"&amp;$L82)+COUNTIFS($R$6:$R82,"Best Fund",$L$6:$L82,$L82))</f>
        <v/>
      </c>
      <c r="V82" s="7" t="str">
        <f aca="false">IF($R82&lt;&gt;"Need to Improve","",COUNTIFS($R$6:$R$505,"Need to Improve",$L$6:$L$505,"&lt;"&amp;$L82)+COUNTIFS($R$6:$R82,"Need to Improve",$L$6:$L82,$L82))</f>
        <v/>
      </c>
      <c r="W82" s="7" t="str">
        <f aca="false">IF($R82&lt;&gt;"Not Performing","",COUNTIFS($R$6:$R$505,"Not Performing",$L$6:$L$505,"&lt;"&amp;$L82)+COUNTIFS($R$6:$R82,"Not Performing",$L$6:$L82,$L82))</f>
        <v/>
      </c>
    </row>
    <row r="83" customFormat="false" ht="15" hidden="false" customHeight="true" outlineLevel="0" collapsed="false">
      <c r="A83" s="26"/>
      <c r="B83" s="26"/>
      <c r="C83" s="26"/>
      <c r="D83" s="27" t="str">
        <f aca="false">IF($C83="","",IFERROR(TRIM(LEFT($C83,FIND("-",$C83)-1)),""))</f>
        <v/>
      </c>
      <c r="E83" s="26"/>
      <c r="F83" s="28"/>
      <c r="G83" s="29"/>
      <c r="H83" s="29"/>
      <c r="I83" s="30" t="str">
        <f aca="false">IF($B83="","",$H83-$G83)</f>
        <v/>
      </c>
      <c r="J83" s="31" t="str">
        <f aca="false">IF(OR($B83="",$G83=0,$G83=""),"",$I83/$G83)</f>
        <v/>
      </c>
      <c r="K83" s="32"/>
      <c r="L83" s="32"/>
      <c r="M83" s="32"/>
      <c r="N83" s="32"/>
      <c r="O83" s="32"/>
      <c r="P83" s="31" t="str">
        <f aca="false">IF(OR($L83="",$N83=""),"",$L83-$N83)</f>
        <v/>
      </c>
      <c r="Q83" s="27" t="str">
        <f aca="false">IF($B83="","",IF(N($H83)&gt;0,"Live","Exited"))</f>
        <v/>
      </c>
      <c r="R83" s="27" t="str">
        <f aca="false">IF($B83="","",IF($L83="","Data Pending",IF($L83&gt;=Instructions!$D$19,"Best Fund",IF($L83&gt;=Instructions!$D$20,"Need to Improve","Not Performing"))))</f>
        <v/>
      </c>
      <c r="S83" s="7" t="str">
        <f aca="false">IF($R83="","",IF($R83="Data Pending","Enter the 3Y return",IF($R83="Best Fund","Hold / consider top-up",IF($R83="Need to Improve","Watch 2 quarters, then decide","Review with client - switch or exit"))))</f>
        <v/>
      </c>
      <c r="T83" s="26"/>
      <c r="U83" s="7" t="str">
        <f aca="false">IF($R83&lt;&gt;"Best Fund","",COUNTIFS($R$6:$R$505,"Best Fund",$L$6:$L$505,"&gt;"&amp;$L83)+COUNTIFS($R$6:$R83,"Best Fund",$L$6:$L83,$L83))</f>
        <v/>
      </c>
      <c r="V83" s="7" t="str">
        <f aca="false">IF($R83&lt;&gt;"Need to Improve","",COUNTIFS($R$6:$R$505,"Need to Improve",$L$6:$L$505,"&lt;"&amp;$L83)+COUNTIFS($R$6:$R83,"Need to Improve",$L$6:$L83,$L83))</f>
        <v/>
      </c>
      <c r="W83" s="7" t="str">
        <f aca="false">IF($R83&lt;&gt;"Not Performing","",COUNTIFS($R$6:$R$505,"Not Performing",$L$6:$L$505,"&lt;"&amp;$L83)+COUNTIFS($R$6:$R83,"Not Performing",$L$6:$L83,$L83))</f>
        <v/>
      </c>
    </row>
    <row r="84" customFormat="false" ht="15" hidden="false" customHeight="true" outlineLevel="0" collapsed="false">
      <c r="A84" s="26"/>
      <c r="B84" s="26"/>
      <c r="C84" s="26"/>
      <c r="D84" s="27" t="str">
        <f aca="false">IF($C84="","",IFERROR(TRIM(LEFT($C84,FIND("-",$C84)-1)),""))</f>
        <v/>
      </c>
      <c r="E84" s="26"/>
      <c r="F84" s="28"/>
      <c r="G84" s="29"/>
      <c r="H84" s="29"/>
      <c r="I84" s="30" t="str">
        <f aca="false">IF($B84="","",$H84-$G84)</f>
        <v/>
      </c>
      <c r="J84" s="31" t="str">
        <f aca="false">IF(OR($B84="",$G84=0,$G84=""),"",$I84/$G84)</f>
        <v/>
      </c>
      <c r="K84" s="32"/>
      <c r="L84" s="32"/>
      <c r="M84" s="32"/>
      <c r="N84" s="32"/>
      <c r="O84" s="32"/>
      <c r="P84" s="31" t="str">
        <f aca="false">IF(OR($L84="",$N84=""),"",$L84-$N84)</f>
        <v/>
      </c>
      <c r="Q84" s="27" t="str">
        <f aca="false">IF($B84="","",IF(N($H84)&gt;0,"Live","Exited"))</f>
        <v/>
      </c>
      <c r="R84" s="27" t="str">
        <f aca="false">IF($B84="","",IF($L84="","Data Pending",IF($L84&gt;=Instructions!$D$19,"Best Fund",IF($L84&gt;=Instructions!$D$20,"Need to Improve","Not Performing"))))</f>
        <v/>
      </c>
      <c r="S84" s="7" t="str">
        <f aca="false">IF($R84="","",IF($R84="Data Pending","Enter the 3Y return",IF($R84="Best Fund","Hold / consider top-up",IF($R84="Need to Improve","Watch 2 quarters, then decide","Review with client - switch or exit"))))</f>
        <v/>
      </c>
      <c r="T84" s="26"/>
      <c r="U84" s="7" t="str">
        <f aca="false">IF($R84&lt;&gt;"Best Fund","",COUNTIFS($R$6:$R$505,"Best Fund",$L$6:$L$505,"&gt;"&amp;$L84)+COUNTIFS($R$6:$R84,"Best Fund",$L$6:$L84,$L84))</f>
        <v/>
      </c>
      <c r="V84" s="7" t="str">
        <f aca="false">IF($R84&lt;&gt;"Need to Improve","",COUNTIFS($R$6:$R$505,"Need to Improve",$L$6:$L$505,"&lt;"&amp;$L84)+COUNTIFS($R$6:$R84,"Need to Improve",$L$6:$L84,$L84))</f>
        <v/>
      </c>
      <c r="W84" s="7" t="str">
        <f aca="false">IF($R84&lt;&gt;"Not Performing","",COUNTIFS($R$6:$R$505,"Not Performing",$L$6:$L$505,"&lt;"&amp;$L84)+COUNTIFS($R$6:$R84,"Not Performing",$L$6:$L84,$L84))</f>
        <v/>
      </c>
    </row>
    <row r="85" customFormat="false" ht="15" hidden="false" customHeight="true" outlineLevel="0" collapsed="false">
      <c r="A85" s="26"/>
      <c r="B85" s="26"/>
      <c r="C85" s="26"/>
      <c r="D85" s="27" t="str">
        <f aca="false">IF($C85="","",IFERROR(TRIM(LEFT($C85,FIND("-",$C85)-1)),""))</f>
        <v/>
      </c>
      <c r="E85" s="26"/>
      <c r="F85" s="28"/>
      <c r="G85" s="29"/>
      <c r="H85" s="29"/>
      <c r="I85" s="30" t="str">
        <f aca="false">IF($B85="","",$H85-$G85)</f>
        <v/>
      </c>
      <c r="J85" s="31" t="str">
        <f aca="false">IF(OR($B85="",$G85=0,$G85=""),"",$I85/$G85)</f>
        <v/>
      </c>
      <c r="K85" s="32"/>
      <c r="L85" s="32"/>
      <c r="M85" s="32"/>
      <c r="N85" s="32"/>
      <c r="O85" s="32"/>
      <c r="P85" s="31" t="str">
        <f aca="false">IF(OR($L85="",$N85=""),"",$L85-$N85)</f>
        <v/>
      </c>
      <c r="Q85" s="27" t="str">
        <f aca="false">IF($B85="","",IF(N($H85)&gt;0,"Live","Exited"))</f>
        <v/>
      </c>
      <c r="R85" s="27" t="str">
        <f aca="false">IF($B85="","",IF($L85="","Data Pending",IF($L85&gt;=Instructions!$D$19,"Best Fund",IF($L85&gt;=Instructions!$D$20,"Need to Improve","Not Performing"))))</f>
        <v/>
      </c>
      <c r="S85" s="7" t="str">
        <f aca="false">IF($R85="","",IF($R85="Data Pending","Enter the 3Y return",IF($R85="Best Fund","Hold / consider top-up",IF($R85="Need to Improve","Watch 2 quarters, then decide","Review with client - switch or exit"))))</f>
        <v/>
      </c>
      <c r="T85" s="26"/>
      <c r="U85" s="7" t="str">
        <f aca="false">IF($R85&lt;&gt;"Best Fund","",COUNTIFS($R$6:$R$505,"Best Fund",$L$6:$L$505,"&gt;"&amp;$L85)+COUNTIFS($R$6:$R85,"Best Fund",$L$6:$L85,$L85))</f>
        <v/>
      </c>
      <c r="V85" s="7" t="str">
        <f aca="false">IF($R85&lt;&gt;"Need to Improve","",COUNTIFS($R$6:$R$505,"Need to Improve",$L$6:$L$505,"&lt;"&amp;$L85)+COUNTIFS($R$6:$R85,"Need to Improve",$L$6:$L85,$L85))</f>
        <v/>
      </c>
      <c r="W85" s="7" t="str">
        <f aca="false">IF($R85&lt;&gt;"Not Performing","",COUNTIFS($R$6:$R$505,"Not Performing",$L$6:$L$505,"&lt;"&amp;$L85)+COUNTIFS($R$6:$R85,"Not Performing",$L$6:$L85,$L85))</f>
        <v/>
      </c>
    </row>
    <row r="86" customFormat="false" ht="15" hidden="false" customHeight="true" outlineLevel="0" collapsed="false">
      <c r="A86" s="26"/>
      <c r="B86" s="26"/>
      <c r="C86" s="26"/>
      <c r="D86" s="27" t="str">
        <f aca="false">IF($C86="","",IFERROR(TRIM(LEFT($C86,FIND("-",$C86)-1)),""))</f>
        <v/>
      </c>
      <c r="E86" s="26"/>
      <c r="F86" s="28"/>
      <c r="G86" s="29"/>
      <c r="H86" s="29"/>
      <c r="I86" s="30" t="str">
        <f aca="false">IF($B86="","",$H86-$G86)</f>
        <v/>
      </c>
      <c r="J86" s="31" t="str">
        <f aca="false">IF(OR($B86="",$G86=0,$G86=""),"",$I86/$G86)</f>
        <v/>
      </c>
      <c r="K86" s="32"/>
      <c r="L86" s="32"/>
      <c r="M86" s="32"/>
      <c r="N86" s="32"/>
      <c r="O86" s="32"/>
      <c r="P86" s="31" t="str">
        <f aca="false">IF(OR($L86="",$N86=""),"",$L86-$N86)</f>
        <v/>
      </c>
      <c r="Q86" s="27" t="str">
        <f aca="false">IF($B86="","",IF(N($H86)&gt;0,"Live","Exited"))</f>
        <v/>
      </c>
      <c r="R86" s="27" t="str">
        <f aca="false">IF($B86="","",IF($L86="","Data Pending",IF($L86&gt;=Instructions!$D$19,"Best Fund",IF($L86&gt;=Instructions!$D$20,"Need to Improve","Not Performing"))))</f>
        <v/>
      </c>
      <c r="S86" s="7" t="str">
        <f aca="false">IF($R86="","",IF($R86="Data Pending","Enter the 3Y return",IF($R86="Best Fund","Hold / consider top-up",IF($R86="Need to Improve","Watch 2 quarters, then decide","Review with client - switch or exit"))))</f>
        <v/>
      </c>
      <c r="T86" s="26"/>
      <c r="U86" s="7" t="str">
        <f aca="false">IF($R86&lt;&gt;"Best Fund","",COUNTIFS($R$6:$R$505,"Best Fund",$L$6:$L$505,"&gt;"&amp;$L86)+COUNTIFS($R$6:$R86,"Best Fund",$L$6:$L86,$L86))</f>
        <v/>
      </c>
      <c r="V86" s="7" t="str">
        <f aca="false">IF($R86&lt;&gt;"Need to Improve","",COUNTIFS($R$6:$R$505,"Need to Improve",$L$6:$L$505,"&lt;"&amp;$L86)+COUNTIFS($R$6:$R86,"Need to Improve",$L$6:$L86,$L86))</f>
        <v/>
      </c>
      <c r="W86" s="7" t="str">
        <f aca="false">IF($R86&lt;&gt;"Not Performing","",COUNTIFS($R$6:$R$505,"Not Performing",$L$6:$L$505,"&lt;"&amp;$L86)+COUNTIFS($R$6:$R86,"Not Performing",$L$6:$L86,$L86))</f>
        <v/>
      </c>
    </row>
    <row r="87" customFormat="false" ht="15" hidden="false" customHeight="true" outlineLevel="0" collapsed="false">
      <c r="A87" s="26"/>
      <c r="B87" s="26"/>
      <c r="C87" s="26"/>
      <c r="D87" s="27" t="str">
        <f aca="false">IF($C87="","",IFERROR(TRIM(LEFT($C87,FIND("-",$C87)-1)),""))</f>
        <v/>
      </c>
      <c r="E87" s="26"/>
      <c r="F87" s="28"/>
      <c r="G87" s="29"/>
      <c r="H87" s="29"/>
      <c r="I87" s="30" t="str">
        <f aca="false">IF($B87="","",$H87-$G87)</f>
        <v/>
      </c>
      <c r="J87" s="31" t="str">
        <f aca="false">IF(OR($B87="",$G87=0,$G87=""),"",$I87/$G87)</f>
        <v/>
      </c>
      <c r="K87" s="32"/>
      <c r="L87" s="32"/>
      <c r="M87" s="32"/>
      <c r="N87" s="32"/>
      <c r="O87" s="32"/>
      <c r="P87" s="31" t="str">
        <f aca="false">IF(OR($L87="",$N87=""),"",$L87-$N87)</f>
        <v/>
      </c>
      <c r="Q87" s="27" t="str">
        <f aca="false">IF($B87="","",IF(N($H87)&gt;0,"Live","Exited"))</f>
        <v/>
      </c>
      <c r="R87" s="27" t="str">
        <f aca="false">IF($B87="","",IF($L87="","Data Pending",IF($L87&gt;=Instructions!$D$19,"Best Fund",IF($L87&gt;=Instructions!$D$20,"Need to Improve","Not Performing"))))</f>
        <v/>
      </c>
      <c r="S87" s="7" t="str">
        <f aca="false">IF($R87="","",IF($R87="Data Pending","Enter the 3Y return",IF($R87="Best Fund","Hold / consider top-up",IF($R87="Need to Improve","Watch 2 quarters, then decide","Review with client - switch or exit"))))</f>
        <v/>
      </c>
      <c r="T87" s="26"/>
      <c r="U87" s="7" t="str">
        <f aca="false">IF($R87&lt;&gt;"Best Fund","",COUNTIFS($R$6:$R$505,"Best Fund",$L$6:$L$505,"&gt;"&amp;$L87)+COUNTIFS($R$6:$R87,"Best Fund",$L$6:$L87,$L87))</f>
        <v/>
      </c>
      <c r="V87" s="7" t="str">
        <f aca="false">IF($R87&lt;&gt;"Need to Improve","",COUNTIFS($R$6:$R$505,"Need to Improve",$L$6:$L$505,"&lt;"&amp;$L87)+COUNTIFS($R$6:$R87,"Need to Improve",$L$6:$L87,$L87))</f>
        <v/>
      </c>
      <c r="W87" s="7" t="str">
        <f aca="false">IF($R87&lt;&gt;"Not Performing","",COUNTIFS($R$6:$R$505,"Not Performing",$L$6:$L$505,"&lt;"&amp;$L87)+COUNTIFS($R$6:$R87,"Not Performing",$L$6:$L87,$L87))</f>
        <v/>
      </c>
    </row>
    <row r="88" customFormat="false" ht="15" hidden="false" customHeight="true" outlineLevel="0" collapsed="false">
      <c r="A88" s="26"/>
      <c r="B88" s="26"/>
      <c r="C88" s="26"/>
      <c r="D88" s="27" t="str">
        <f aca="false">IF($C88="","",IFERROR(TRIM(LEFT($C88,FIND("-",$C88)-1)),""))</f>
        <v/>
      </c>
      <c r="E88" s="26"/>
      <c r="F88" s="28"/>
      <c r="G88" s="29"/>
      <c r="H88" s="29"/>
      <c r="I88" s="30" t="str">
        <f aca="false">IF($B88="","",$H88-$G88)</f>
        <v/>
      </c>
      <c r="J88" s="31" t="str">
        <f aca="false">IF(OR($B88="",$G88=0,$G88=""),"",$I88/$G88)</f>
        <v/>
      </c>
      <c r="K88" s="32"/>
      <c r="L88" s="32"/>
      <c r="M88" s="32"/>
      <c r="N88" s="32"/>
      <c r="O88" s="32"/>
      <c r="P88" s="31" t="str">
        <f aca="false">IF(OR($L88="",$N88=""),"",$L88-$N88)</f>
        <v/>
      </c>
      <c r="Q88" s="27" t="str">
        <f aca="false">IF($B88="","",IF(N($H88)&gt;0,"Live","Exited"))</f>
        <v/>
      </c>
      <c r="R88" s="27" t="str">
        <f aca="false">IF($B88="","",IF($L88="","Data Pending",IF($L88&gt;=Instructions!$D$19,"Best Fund",IF($L88&gt;=Instructions!$D$20,"Need to Improve","Not Performing"))))</f>
        <v/>
      </c>
      <c r="S88" s="7" t="str">
        <f aca="false">IF($R88="","",IF($R88="Data Pending","Enter the 3Y return",IF($R88="Best Fund","Hold / consider top-up",IF($R88="Need to Improve","Watch 2 quarters, then decide","Review with client - switch or exit"))))</f>
        <v/>
      </c>
      <c r="T88" s="26"/>
      <c r="U88" s="7" t="str">
        <f aca="false">IF($R88&lt;&gt;"Best Fund","",COUNTIFS($R$6:$R$505,"Best Fund",$L$6:$L$505,"&gt;"&amp;$L88)+COUNTIFS($R$6:$R88,"Best Fund",$L$6:$L88,$L88))</f>
        <v/>
      </c>
      <c r="V88" s="7" t="str">
        <f aca="false">IF($R88&lt;&gt;"Need to Improve","",COUNTIFS($R$6:$R$505,"Need to Improve",$L$6:$L$505,"&lt;"&amp;$L88)+COUNTIFS($R$6:$R88,"Need to Improve",$L$6:$L88,$L88))</f>
        <v/>
      </c>
      <c r="W88" s="7" t="str">
        <f aca="false">IF($R88&lt;&gt;"Not Performing","",COUNTIFS($R$6:$R$505,"Not Performing",$L$6:$L$505,"&lt;"&amp;$L88)+COUNTIFS($R$6:$R88,"Not Performing",$L$6:$L88,$L88))</f>
        <v/>
      </c>
    </row>
    <row r="89" customFormat="false" ht="15" hidden="false" customHeight="true" outlineLevel="0" collapsed="false">
      <c r="A89" s="26"/>
      <c r="B89" s="26"/>
      <c r="C89" s="26"/>
      <c r="D89" s="27" t="str">
        <f aca="false">IF($C89="","",IFERROR(TRIM(LEFT($C89,FIND("-",$C89)-1)),""))</f>
        <v/>
      </c>
      <c r="E89" s="26"/>
      <c r="F89" s="28"/>
      <c r="G89" s="29"/>
      <c r="H89" s="29"/>
      <c r="I89" s="30" t="str">
        <f aca="false">IF($B89="","",$H89-$G89)</f>
        <v/>
      </c>
      <c r="J89" s="31" t="str">
        <f aca="false">IF(OR($B89="",$G89=0,$G89=""),"",$I89/$G89)</f>
        <v/>
      </c>
      <c r="K89" s="32"/>
      <c r="L89" s="32"/>
      <c r="M89" s="32"/>
      <c r="N89" s="32"/>
      <c r="O89" s="32"/>
      <c r="P89" s="31" t="str">
        <f aca="false">IF(OR($L89="",$N89=""),"",$L89-$N89)</f>
        <v/>
      </c>
      <c r="Q89" s="27" t="str">
        <f aca="false">IF($B89="","",IF(N($H89)&gt;0,"Live","Exited"))</f>
        <v/>
      </c>
      <c r="R89" s="27" t="str">
        <f aca="false">IF($B89="","",IF($L89="","Data Pending",IF($L89&gt;=Instructions!$D$19,"Best Fund",IF($L89&gt;=Instructions!$D$20,"Need to Improve","Not Performing"))))</f>
        <v/>
      </c>
      <c r="S89" s="7" t="str">
        <f aca="false">IF($R89="","",IF($R89="Data Pending","Enter the 3Y return",IF($R89="Best Fund","Hold / consider top-up",IF($R89="Need to Improve","Watch 2 quarters, then decide","Review with client - switch or exit"))))</f>
        <v/>
      </c>
      <c r="T89" s="26"/>
      <c r="U89" s="7" t="str">
        <f aca="false">IF($R89&lt;&gt;"Best Fund","",COUNTIFS($R$6:$R$505,"Best Fund",$L$6:$L$505,"&gt;"&amp;$L89)+COUNTIFS($R$6:$R89,"Best Fund",$L$6:$L89,$L89))</f>
        <v/>
      </c>
      <c r="V89" s="7" t="str">
        <f aca="false">IF($R89&lt;&gt;"Need to Improve","",COUNTIFS($R$6:$R$505,"Need to Improve",$L$6:$L$505,"&lt;"&amp;$L89)+COUNTIFS($R$6:$R89,"Need to Improve",$L$6:$L89,$L89))</f>
        <v/>
      </c>
      <c r="W89" s="7" t="str">
        <f aca="false">IF($R89&lt;&gt;"Not Performing","",COUNTIFS($R$6:$R$505,"Not Performing",$L$6:$L$505,"&lt;"&amp;$L89)+COUNTIFS($R$6:$R89,"Not Performing",$L$6:$L89,$L89))</f>
        <v/>
      </c>
    </row>
    <row r="90" customFormat="false" ht="15" hidden="false" customHeight="true" outlineLevel="0" collapsed="false">
      <c r="A90" s="26"/>
      <c r="B90" s="26"/>
      <c r="C90" s="26"/>
      <c r="D90" s="27" t="str">
        <f aca="false">IF($C90="","",IFERROR(TRIM(LEFT($C90,FIND("-",$C90)-1)),""))</f>
        <v/>
      </c>
      <c r="E90" s="26"/>
      <c r="F90" s="28"/>
      <c r="G90" s="29"/>
      <c r="H90" s="29"/>
      <c r="I90" s="30" t="str">
        <f aca="false">IF($B90="","",$H90-$G90)</f>
        <v/>
      </c>
      <c r="J90" s="31" t="str">
        <f aca="false">IF(OR($B90="",$G90=0,$G90=""),"",$I90/$G90)</f>
        <v/>
      </c>
      <c r="K90" s="32"/>
      <c r="L90" s="32"/>
      <c r="M90" s="32"/>
      <c r="N90" s="32"/>
      <c r="O90" s="32"/>
      <c r="P90" s="31" t="str">
        <f aca="false">IF(OR($L90="",$N90=""),"",$L90-$N90)</f>
        <v/>
      </c>
      <c r="Q90" s="27" t="str">
        <f aca="false">IF($B90="","",IF(N($H90)&gt;0,"Live","Exited"))</f>
        <v/>
      </c>
      <c r="R90" s="27" t="str">
        <f aca="false">IF($B90="","",IF($L90="","Data Pending",IF($L90&gt;=Instructions!$D$19,"Best Fund",IF($L90&gt;=Instructions!$D$20,"Need to Improve","Not Performing"))))</f>
        <v/>
      </c>
      <c r="S90" s="7" t="str">
        <f aca="false">IF($R90="","",IF($R90="Data Pending","Enter the 3Y return",IF($R90="Best Fund","Hold / consider top-up",IF($R90="Need to Improve","Watch 2 quarters, then decide","Review with client - switch or exit"))))</f>
        <v/>
      </c>
      <c r="T90" s="26"/>
      <c r="U90" s="7" t="str">
        <f aca="false">IF($R90&lt;&gt;"Best Fund","",COUNTIFS($R$6:$R$505,"Best Fund",$L$6:$L$505,"&gt;"&amp;$L90)+COUNTIFS($R$6:$R90,"Best Fund",$L$6:$L90,$L90))</f>
        <v/>
      </c>
      <c r="V90" s="7" t="str">
        <f aca="false">IF($R90&lt;&gt;"Need to Improve","",COUNTIFS($R$6:$R$505,"Need to Improve",$L$6:$L$505,"&lt;"&amp;$L90)+COUNTIFS($R$6:$R90,"Need to Improve",$L$6:$L90,$L90))</f>
        <v/>
      </c>
      <c r="W90" s="7" t="str">
        <f aca="false">IF($R90&lt;&gt;"Not Performing","",COUNTIFS($R$6:$R$505,"Not Performing",$L$6:$L$505,"&lt;"&amp;$L90)+COUNTIFS($R$6:$R90,"Not Performing",$L$6:$L90,$L90))</f>
        <v/>
      </c>
    </row>
    <row r="91" customFormat="false" ht="15" hidden="false" customHeight="true" outlineLevel="0" collapsed="false">
      <c r="A91" s="26"/>
      <c r="B91" s="26"/>
      <c r="C91" s="26"/>
      <c r="D91" s="27" t="str">
        <f aca="false">IF($C91="","",IFERROR(TRIM(LEFT($C91,FIND("-",$C91)-1)),""))</f>
        <v/>
      </c>
      <c r="E91" s="26"/>
      <c r="F91" s="28"/>
      <c r="G91" s="29"/>
      <c r="H91" s="29"/>
      <c r="I91" s="30" t="str">
        <f aca="false">IF($B91="","",$H91-$G91)</f>
        <v/>
      </c>
      <c r="J91" s="31" t="str">
        <f aca="false">IF(OR($B91="",$G91=0,$G91=""),"",$I91/$G91)</f>
        <v/>
      </c>
      <c r="K91" s="32"/>
      <c r="L91" s="32"/>
      <c r="M91" s="32"/>
      <c r="N91" s="32"/>
      <c r="O91" s="32"/>
      <c r="P91" s="31" t="str">
        <f aca="false">IF(OR($L91="",$N91=""),"",$L91-$N91)</f>
        <v/>
      </c>
      <c r="Q91" s="27" t="str">
        <f aca="false">IF($B91="","",IF(N($H91)&gt;0,"Live","Exited"))</f>
        <v/>
      </c>
      <c r="R91" s="27" t="str">
        <f aca="false">IF($B91="","",IF($L91="","Data Pending",IF($L91&gt;=Instructions!$D$19,"Best Fund",IF($L91&gt;=Instructions!$D$20,"Need to Improve","Not Performing"))))</f>
        <v/>
      </c>
      <c r="S91" s="7" t="str">
        <f aca="false">IF($R91="","",IF($R91="Data Pending","Enter the 3Y return",IF($R91="Best Fund","Hold / consider top-up",IF($R91="Need to Improve","Watch 2 quarters, then decide","Review with client - switch or exit"))))</f>
        <v/>
      </c>
      <c r="T91" s="26"/>
      <c r="U91" s="7" t="str">
        <f aca="false">IF($R91&lt;&gt;"Best Fund","",COUNTIFS($R$6:$R$505,"Best Fund",$L$6:$L$505,"&gt;"&amp;$L91)+COUNTIFS($R$6:$R91,"Best Fund",$L$6:$L91,$L91))</f>
        <v/>
      </c>
      <c r="V91" s="7" t="str">
        <f aca="false">IF($R91&lt;&gt;"Need to Improve","",COUNTIFS($R$6:$R$505,"Need to Improve",$L$6:$L$505,"&lt;"&amp;$L91)+COUNTIFS($R$6:$R91,"Need to Improve",$L$6:$L91,$L91))</f>
        <v/>
      </c>
      <c r="W91" s="7" t="str">
        <f aca="false">IF($R91&lt;&gt;"Not Performing","",COUNTIFS($R$6:$R$505,"Not Performing",$L$6:$L$505,"&lt;"&amp;$L91)+COUNTIFS($R$6:$R91,"Not Performing",$L$6:$L91,$L91))</f>
        <v/>
      </c>
    </row>
    <row r="92" customFormat="false" ht="15" hidden="false" customHeight="true" outlineLevel="0" collapsed="false">
      <c r="A92" s="26"/>
      <c r="B92" s="26"/>
      <c r="C92" s="26"/>
      <c r="D92" s="27" t="str">
        <f aca="false">IF($C92="","",IFERROR(TRIM(LEFT($C92,FIND("-",$C92)-1)),""))</f>
        <v/>
      </c>
      <c r="E92" s="26"/>
      <c r="F92" s="28"/>
      <c r="G92" s="29"/>
      <c r="H92" s="29"/>
      <c r="I92" s="30" t="str">
        <f aca="false">IF($B92="","",$H92-$G92)</f>
        <v/>
      </c>
      <c r="J92" s="31" t="str">
        <f aca="false">IF(OR($B92="",$G92=0,$G92=""),"",$I92/$G92)</f>
        <v/>
      </c>
      <c r="K92" s="32"/>
      <c r="L92" s="32"/>
      <c r="M92" s="32"/>
      <c r="N92" s="32"/>
      <c r="O92" s="32"/>
      <c r="P92" s="31" t="str">
        <f aca="false">IF(OR($L92="",$N92=""),"",$L92-$N92)</f>
        <v/>
      </c>
      <c r="Q92" s="27" t="str">
        <f aca="false">IF($B92="","",IF(N($H92)&gt;0,"Live","Exited"))</f>
        <v/>
      </c>
      <c r="R92" s="27" t="str">
        <f aca="false">IF($B92="","",IF($L92="","Data Pending",IF($L92&gt;=Instructions!$D$19,"Best Fund",IF($L92&gt;=Instructions!$D$20,"Need to Improve","Not Performing"))))</f>
        <v/>
      </c>
      <c r="S92" s="7" t="str">
        <f aca="false">IF($R92="","",IF($R92="Data Pending","Enter the 3Y return",IF($R92="Best Fund","Hold / consider top-up",IF($R92="Need to Improve","Watch 2 quarters, then decide","Review with client - switch or exit"))))</f>
        <v/>
      </c>
      <c r="T92" s="26"/>
      <c r="U92" s="7" t="str">
        <f aca="false">IF($R92&lt;&gt;"Best Fund","",COUNTIFS($R$6:$R$505,"Best Fund",$L$6:$L$505,"&gt;"&amp;$L92)+COUNTIFS($R$6:$R92,"Best Fund",$L$6:$L92,$L92))</f>
        <v/>
      </c>
      <c r="V92" s="7" t="str">
        <f aca="false">IF($R92&lt;&gt;"Need to Improve","",COUNTIFS($R$6:$R$505,"Need to Improve",$L$6:$L$505,"&lt;"&amp;$L92)+COUNTIFS($R$6:$R92,"Need to Improve",$L$6:$L92,$L92))</f>
        <v/>
      </c>
      <c r="W92" s="7" t="str">
        <f aca="false">IF($R92&lt;&gt;"Not Performing","",COUNTIFS($R$6:$R$505,"Not Performing",$L$6:$L$505,"&lt;"&amp;$L92)+COUNTIFS($R$6:$R92,"Not Performing",$L$6:$L92,$L92))</f>
        <v/>
      </c>
    </row>
    <row r="93" customFormat="false" ht="15" hidden="false" customHeight="true" outlineLevel="0" collapsed="false">
      <c r="A93" s="26"/>
      <c r="B93" s="26"/>
      <c r="C93" s="26"/>
      <c r="D93" s="27" t="str">
        <f aca="false">IF($C93="","",IFERROR(TRIM(LEFT($C93,FIND("-",$C93)-1)),""))</f>
        <v/>
      </c>
      <c r="E93" s="26"/>
      <c r="F93" s="28"/>
      <c r="G93" s="29"/>
      <c r="H93" s="29"/>
      <c r="I93" s="30" t="str">
        <f aca="false">IF($B93="","",$H93-$G93)</f>
        <v/>
      </c>
      <c r="J93" s="31" t="str">
        <f aca="false">IF(OR($B93="",$G93=0,$G93=""),"",$I93/$G93)</f>
        <v/>
      </c>
      <c r="K93" s="32"/>
      <c r="L93" s="32"/>
      <c r="M93" s="32"/>
      <c r="N93" s="32"/>
      <c r="O93" s="32"/>
      <c r="P93" s="31" t="str">
        <f aca="false">IF(OR($L93="",$N93=""),"",$L93-$N93)</f>
        <v/>
      </c>
      <c r="Q93" s="27" t="str">
        <f aca="false">IF($B93="","",IF(N($H93)&gt;0,"Live","Exited"))</f>
        <v/>
      </c>
      <c r="R93" s="27" t="str">
        <f aca="false">IF($B93="","",IF($L93="","Data Pending",IF($L93&gt;=Instructions!$D$19,"Best Fund",IF($L93&gt;=Instructions!$D$20,"Need to Improve","Not Performing"))))</f>
        <v/>
      </c>
      <c r="S93" s="7" t="str">
        <f aca="false">IF($R93="","",IF($R93="Data Pending","Enter the 3Y return",IF($R93="Best Fund","Hold / consider top-up",IF($R93="Need to Improve","Watch 2 quarters, then decide","Review with client - switch or exit"))))</f>
        <v/>
      </c>
      <c r="T93" s="26"/>
      <c r="U93" s="7" t="str">
        <f aca="false">IF($R93&lt;&gt;"Best Fund","",COUNTIFS($R$6:$R$505,"Best Fund",$L$6:$L$505,"&gt;"&amp;$L93)+COUNTIFS($R$6:$R93,"Best Fund",$L$6:$L93,$L93))</f>
        <v/>
      </c>
      <c r="V93" s="7" t="str">
        <f aca="false">IF($R93&lt;&gt;"Need to Improve","",COUNTIFS($R$6:$R$505,"Need to Improve",$L$6:$L$505,"&lt;"&amp;$L93)+COUNTIFS($R$6:$R93,"Need to Improve",$L$6:$L93,$L93))</f>
        <v/>
      </c>
      <c r="W93" s="7" t="str">
        <f aca="false">IF($R93&lt;&gt;"Not Performing","",COUNTIFS($R$6:$R$505,"Not Performing",$L$6:$L$505,"&lt;"&amp;$L93)+COUNTIFS($R$6:$R93,"Not Performing",$L$6:$L93,$L93))</f>
        <v/>
      </c>
    </row>
    <row r="94" customFormat="false" ht="15" hidden="false" customHeight="true" outlineLevel="0" collapsed="false">
      <c r="A94" s="26"/>
      <c r="B94" s="26"/>
      <c r="C94" s="26"/>
      <c r="D94" s="27" t="str">
        <f aca="false">IF($C94="","",IFERROR(TRIM(LEFT($C94,FIND("-",$C94)-1)),""))</f>
        <v/>
      </c>
      <c r="E94" s="26"/>
      <c r="F94" s="28"/>
      <c r="G94" s="29"/>
      <c r="H94" s="29"/>
      <c r="I94" s="30" t="str">
        <f aca="false">IF($B94="","",$H94-$G94)</f>
        <v/>
      </c>
      <c r="J94" s="31" t="str">
        <f aca="false">IF(OR($B94="",$G94=0,$G94=""),"",$I94/$G94)</f>
        <v/>
      </c>
      <c r="K94" s="32"/>
      <c r="L94" s="32"/>
      <c r="M94" s="32"/>
      <c r="N94" s="32"/>
      <c r="O94" s="32"/>
      <c r="P94" s="31" t="str">
        <f aca="false">IF(OR($L94="",$N94=""),"",$L94-$N94)</f>
        <v/>
      </c>
      <c r="Q94" s="27" t="str">
        <f aca="false">IF($B94="","",IF(N($H94)&gt;0,"Live","Exited"))</f>
        <v/>
      </c>
      <c r="R94" s="27" t="str">
        <f aca="false">IF($B94="","",IF($L94="","Data Pending",IF($L94&gt;=Instructions!$D$19,"Best Fund",IF($L94&gt;=Instructions!$D$20,"Need to Improve","Not Performing"))))</f>
        <v/>
      </c>
      <c r="S94" s="7" t="str">
        <f aca="false">IF($R94="","",IF($R94="Data Pending","Enter the 3Y return",IF($R94="Best Fund","Hold / consider top-up",IF($R94="Need to Improve","Watch 2 quarters, then decide","Review with client - switch or exit"))))</f>
        <v/>
      </c>
      <c r="T94" s="26"/>
      <c r="U94" s="7" t="str">
        <f aca="false">IF($R94&lt;&gt;"Best Fund","",COUNTIFS($R$6:$R$505,"Best Fund",$L$6:$L$505,"&gt;"&amp;$L94)+COUNTIFS($R$6:$R94,"Best Fund",$L$6:$L94,$L94))</f>
        <v/>
      </c>
      <c r="V94" s="7" t="str">
        <f aca="false">IF($R94&lt;&gt;"Need to Improve","",COUNTIFS($R$6:$R$505,"Need to Improve",$L$6:$L$505,"&lt;"&amp;$L94)+COUNTIFS($R$6:$R94,"Need to Improve",$L$6:$L94,$L94))</f>
        <v/>
      </c>
      <c r="W94" s="7" t="str">
        <f aca="false">IF($R94&lt;&gt;"Not Performing","",COUNTIFS($R$6:$R$505,"Not Performing",$L$6:$L$505,"&lt;"&amp;$L94)+COUNTIFS($R$6:$R94,"Not Performing",$L$6:$L94,$L94))</f>
        <v/>
      </c>
    </row>
    <row r="95" customFormat="false" ht="15" hidden="false" customHeight="true" outlineLevel="0" collapsed="false">
      <c r="A95" s="26"/>
      <c r="B95" s="26"/>
      <c r="C95" s="26"/>
      <c r="D95" s="27" t="str">
        <f aca="false">IF($C95="","",IFERROR(TRIM(LEFT($C95,FIND("-",$C95)-1)),""))</f>
        <v/>
      </c>
      <c r="E95" s="26"/>
      <c r="F95" s="28"/>
      <c r="G95" s="29"/>
      <c r="H95" s="29"/>
      <c r="I95" s="30" t="str">
        <f aca="false">IF($B95="","",$H95-$G95)</f>
        <v/>
      </c>
      <c r="J95" s="31" t="str">
        <f aca="false">IF(OR($B95="",$G95=0,$G95=""),"",$I95/$G95)</f>
        <v/>
      </c>
      <c r="K95" s="32"/>
      <c r="L95" s="32"/>
      <c r="M95" s="32"/>
      <c r="N95" s="32"/>
      <c r="O95" s="32"/>
      <c r="P95" s="31" t="str">
        <f aca="false">IF(OR($L95="",$N95=""),"",$L95-$N95)</f>
        <v/>
      </c>
      <c r="Q95" s="27" t="str">
        <f aca="false">IF($B95="","",IF(N($H95)&gt;0,"Live","Exited"))</f>
        <v/>
      </c>
      <c r="R95" s="27" t="str">
        <f aca="false">IF($B95="","",IF($L95="","Data Pending",IF($L95&gt;=Instructions!$D$19,"Best Fund",IF($L95&gt;=Instructions!$D$20,"Need to Improve","Not Performing"))))</f>
        <v/>
      </c>
      <c r="S95" s="7" t="str">
        <f aca="false">IF($R95="","",IF($R95="Data Pending","Enter the 3Y return",IF($R95="Best Fund","Hold / consider top-up",IF($R95="Need to Improve","Watch 2 quarters, then decide","Review with client - switch or exit"))))</f>
        <v/>
      </c>
      <c r="T95" s="26"/>
      <c r="U95" s="7" t="str">
        <f aca="false">IF($R95&lt;&gt;"Best Fund","",COUNTIFS($R$6:$R$505,"Best Fund",$L$6:$L$505,"&gt;"&amp;$L95)+COUNTIFS($R$6:$R95,"Best Fund",$L$6:$L95,$L95))</f>
        <v/>
      </c>
      <c r="V95" s="7" t="str">
        <f aca="false">IF($R95&lt;&gt;"Need to Improve","",COUNTIFS($R$6:$R$505,"Need to Improve",$L$6:$L$505,"&lt;"&amp;$L95)+COUNTIFS($R$6:$R95,"Need to Improve",$L$6:$L95,$L95))</f>
        <v/>
      </c>
      <c r="W95" s="7" t="str">
        <f aca="false">IF($R95&lt;&gt;"Not Performing","",COUNTIFS($R$6:$R$505,"Not Performing",$L$6:$L$505,"&lt;"&amp;$L95)+COUNTIFS($R$6:$R95,"Not Performing",$L$6:$L95,$L95))</f>
        <v/>
      </c>
    </row>
    <row r="96" customFormat="false" ht="15" hidden="false" customHeight="true" outlineLevel="0" collapsed="false">
      <c r="A96" s="26"/>
      <c r="B96" s="26"/>
      <c r="C96" s="26"/>
      <c r="D96" s="27" t="str">
        <f aca="false">IF($C96="","",IFERROR(TRIM(LEFT($C96,FIND("-",$C96)-1)),""))</f>
        <v/>
      </c>
      <c r="E96" s="26"/>
      <c r="F96" s="28"/>
      <c r="G96" s="29"/>
      <c r="H96" s="29"/>
      <c r="I96" s="30" t="str">
        <f aca="false">IF($B96="","",$H96-$G96)</f>
        <v/>
      </c>
      <c r="J96" s="31" t="str">
        <f aca="false">IF(OR($B96="",$G96=0,$G96=""),"",$I96/$G96)</f>
        <v/>
      </c>
      <c r="K96" s="32"/>
      <c r="L96" s="32"/>
      <c r="M96" s="32"/>
      <c r="N96" s="32"/>
      <c r="O96" s="32"/>
      <c r="P96" s="31" t="str">
        <f aca="false">IF(OR($L96="",$N96=""),"",$L96-$N96)</f>
        <v/>
      </c>
      <c r="Q96" s="27" t="str">
        <f aca="false">IF($B96="","",IF(N($H96)&gt;0,"Live","Exited"))</f>
        <v/>
      </c>
      <c r="R96" s="27" t="str">
        <f aca="false">IF($B96="","",IF($L96="","Data Pending",IF($L96&gt;=Instructions!$D$19,"Best Fund",IF($L96&gt;=Instructions!$D$20,"Need to Improve","Not Performing"))))</f>
        <v/>
      </c>
      <c r="S96" s="7" t="str">
        <f aca="false">IF($R96="","",IF($R96="Data Pending","Enter the 3Y return",IF($R96="Best Fund","Hold / consider top-up",IF($R96="Need to Improve","Watch 2 quarters, then decide","Review with client - switch or exit"))))</f>
        <v/>
      </c>
      <c r="T96" s="26"/>
      <c r="U96" s="7" t="str">
        <f aca="false">IF($R96&lt;&gt;"Best Fund","",COUNTIFS($R$6:$R$505,"Best Fund",$L$6:$L$505,"&gt;"&amp;$L96)+COUNTIFS($R$6:$R96,"Best Fund",$L$6:$L96,$L96))</f>
        <v/>
      </c>
      <c r="V96" s="7" t="str">
        <f aca="false">IF($R96&lt;&gt;"Need to Improve","",COUNTIFS($R$6:$R$505,"Need to Improve",$L$6:$L$505,"&lt;"&amp;$L96)+COUNTIFS($R$6:$R96,"Need to Improve",$L$6:$L96,$L96))</f>
        <v/>
      </c>
      <c r="W96" s="7" t="str">
        <f aca="false">IF($R96&lt;&gt;"Not Performing","",COUNTIFS($R$6:$R$505,"Not Performing",$L$6:$L$505,"&lt;"&amp;$L96)+COUNTIFS($R$6:$R96,"Not Performing",$L$6:$L96,$L96))</f>
        <v/>
      </c>
    </row>
    <row r="97" customFormat="false" ht="15" hidden="false" customHeight="true" outlineLevel="0" collapsed="false">
      <c r="A97" s="26"/>
      <c r="B97" s="26"/>
      <c r="C97" s="26"/>
      <c r="D97" s="27" t="str">
        <f aca="false">IF($C97="","",IFERROR(TRIM(LEFT($C97,FIND("-",$C97)-1)),""))</f>
        <v/>
      </c>
      <c r="E97" s="26"/>
      <c r="F97" s="28"/>
      <c r="G97" s="29"/>
      <c r="H97" s="29"/>
      <c r="I97" s="30" t="str">
        <f aca="false">IF($B97="","",$H97-$G97)</f>
        <v/>
      </c>
      <c r="J97" s="31" t="str">
        <f aca="false">IF(OR($B97="",$G97=0,$G97=""),"",$I97/$G97)</f>
        <v/>
      </c>
      <c r="K97" s="32"/>
      <c r="L97" s="32"/>
      <c r="M97" s="32"/>
      <c r="N97" s="32"/>
      <c r="O97" s="32"/>
      <c r="P97" s="31" t="str">
        <f aca="false">IF(OR($L97="",$N97=""),"",$L97-$N97)</f>
        <v/>
      </c>
      <c r="Q97" s="27" t="str">
        <f aca="false">IF($B97="","",IF(N($H97)&gt;0,"Live","Exited"))</f>
        <v/>
      </c>
      <c r="R97" s="27" t="str">
        <f aca="false">IF($B97="","",IF($L97="","Data Pending",IF($L97&gt;=Instructions!$D$19,"Best Fund",IF($L97&gt;=Instructions!$D$20,"Need to Improve","Not Performing"))))</f>
        <v/>
      </c>
      <c r="S97" s="7" t="str">
        <f aca="false">IF($R97="","",IF($R97="Data Pending","Enter the 3Y return",IF($R97="Best Fund","Hold / consider top-up",IF($R97="Need to Improve","Watch 2 quarters, then decide","Review with client - switch or exit"))))</f>
        <v/>
      </c>
      <c r="T97" s="26"/>
      <c r="U97" s="7" t="str">
        <f aca="false">IF($R97&lt;&gt;"Best Fund","",COUNTIFS($R$6:$R$505,"Best Fund",$L$6:$L$505,"&gt;"&amp;$L97)+COUNTIFS($R$6:$R97,"Best Fund",$L$6:$L97,$L97))</f>
        <v/>
      </c>
      <c r="V97" s="7" t="str">
        <f aca="false">IF($R97&lt;&gt;"Need to Improve","",COUNTIFS($R$6:$R$505,"Need to Improve",$L$6:$L$505,"&lt;"&amp;$L97)+COUNTIFS($R$6:$R97,"Need to Improve",$L$6:$L97,$L97))</f>
        <v/>
      </c>
      <c r="W97" s="7" t="str">
        <f aca="false">IF($R97&lt;&gt;"Not Performing","",COUNTIFS($R$6:$R$505,"Not Performing",$L$6:$L$505,"&lt;"&amp;$L97)+COUNTIFS($R$6:$R97,"Not Performing",$L$6:$L97,$L97))</f>
        <v/>
      </c>
    </row>
    <row r="98" customFormat="false" ht="15" hidden="false" customHeight="true" outlineLevel="0" collapsed="false">
      <c r="A98" s="26"/>
      <c r="B98" s="26"/>
      <c r="C98" s="26"/>
      <c r="D98" s="27" t="str">
        <f aca="false">IF($C98="","",IFERROR(TRIM(LEFT($C98,FIND("-",$C98)-1)),""))</f>
        <v/>
      </c>
      <c r="E98" s="26"/>
      <c r="F98" s="28"/>
      <c r="G98" s="29"/>
      <c r="H98" s="29"/>
      <c r="I98" s="30" t="str">
        <f aca="false">IF($B98="","",$H98-$G98)</f>
        <v/>
      </c>
      <c r="J98" s="31" t="str">
        <f aca="false">IF(OR($B98="",$G98=0,$G98=""),"",$I98/$G98)</f>
        <v/>
      </c>
      <c r="K98" s="32"/>
      <c r="L98" s="32"/>
      <c r="M98" s="32"/>
      <c r="N98" s="32"/>
      <c r="O98" s="32"/>
      <c r="P98" s="31" t="str">
        <f aca="false">IF(OR($L98="",$N98=""),"",$L98-$N98)</f>
        <v/>
      </c>
      <c r="Q98" s="27" t="str">
        <f aca="false">IF($B98="","",IF(N($H98)&gt;0,"Live","Exited"))</f>
        <v/>
      </c>
      <c r="R98" s="27" t="str">
        <f aca="false">IF($B98="","",IF($L98="","Data Pending",IF($L98&gt;=Instructions!$D$19,"Best Fund",IF($L98&gt;=Instructions!$D$20,"Need to Improve","Not Performing"))))</f>
        <v/>
      </c>
      <c r="S98" s="7" t="str">
        <f aca="false">IF($R98="","",IF($R98="Data Pending","Enter the 3Y return",IF($R98="Best Fund","Hold / consider top-up",IF($R98="Need to Improve","Watch 2 quarters, then decide","Review with client - switch or exit"))))</f>
        <v/>
      </c>
      <c r="T98" s="26"/>
      <c r="U98" s="7" t="str">
        <f aca="false">IF($R98&lt;&gt;"Best Fund","",COUNTIFS($R$6:$R$505,"Best Fund",$L$6:$L$505,"&gt;"&amp;$L98)+COUNTIFS($R$6:$R98,"Best Fund",$L$6:$L98,$L98))</f>
        <v/>
      </c>
      <c r="V98" s="7" t="str">
        <f aca="false">IF($R98&lt;&gt;"Need to Improve","",COUNTIFS($R$6:$R$505,"Need to Improve",$L$6:$L$505,"&lt;"&amp;$L98)+COUNTIFS($R$6:$R98,"Need to Improve",$L$6:$L98,$L98))</f>
        <v/>
      </c>
      <c r="W98" s="7" t="str">
        <f aca="false">IF($R98&lt;&gt;"Not Performing","",COUNTIFS($R$6:$R$505,"Not Performing",$L$6:$L$505,"&lt;"&amp;$L98)+COUNTIFS($R$6:$R98,"Not Performing",$L$6:$L98,$L98))</f>
        <v/>
      </c>
    </row>
    <row r="99" customFormat="false" ht="15" hidden="false" customHeight="true" outlineLevel="0" collapsed="false">
      <c r="A99" s="26"/>
      <c r="B99" s="26"/>
      <c r="C99" s="26"/>
      <c r="D99" s="27" t="str">
        <f aca="false">IF($C99="","",IFERROR(TRIM(LEFT($C99,FIND("-",$C99)-1)),""))</f>
        <v/>
      </c>
      <c r="E99" s="26"/>
      <c r="F99" s="28"/>
      <c r="G99" s="29"/>
      <c r="H99" s="29"/>
      <c r="I99" s="30" t="str">
        <f aca="false">IF($B99="","",$H99-$G99)</f>
        <v/>
      </c>
      <c r="J99" s="31" t="str">
        <f aca="false">IF(OR($B99="",$G99=0,$G99=""),"",$I99/$G99)</f>
        <v/>
      </c>
      <c r="K99" s="32"/>
      <c r="L99" s="32"/>
      <c r="M99" s="32"/>
      <c r="N99" s="32"/>
      <c r="O99" s="32"/>
      <c r="P99" s="31" t="str">
        <f aca="false">IF(OR($L99="",$N99=""),"",$L99-$N99)</f>
        <v/>
      </c>
      <c r="Q99" s="27" t="str">
        <f aca="false">IF($B99="","",IF(N($H99)&gt;0,"Live","Exited"))</f>
        <v/>
      </c>
      <c r="R99" s="27" t="str">
        <f aca="false">IF($B99="","",IF($L99="","Data Pending",IF($L99&gt;=Instructions!$D$19,"Best Fund",IF($L99&gt;=Instructions!$D$20,"Need to Improve","Not Performing"))))</f>
        <v/>
      </c>
      <c r="S99" s="7" t="str">
        <f aca="false">IF($R99="","",IF($R99="Data Pending","Enter the 3Y return",IF($R99="Best Fund","Hold / consider top-up",IF($R99="Need to Improve","Watch 2 quarters, then decide","Review with client - switch or exit"))))</f>
        <v/>
      </c>
      <c r="T99" s="26"/>
      <c r="U99" s="7" t="str">
        <f aca="false">IF($R99&lt;&gt;"Best Fund","",COUNTIFS($R$6:$R$505,"Best Fund",$L$6:$L$505,"&gt;"&amp;$L99)+COUNTIFS($R$6:$R99,"Best Fund",$L$6:$L99,$L99))</f>
        <v/>
      </c>
      <c r="V99" s="7" t="str">
        <f aca="false">IF($R99&lt;&gt;"Need to Improve","",COUNTIFS($R$6:$R$505,"Need to Improve",$L$6:$L$505,"&lt;"&amp;$L99)+COUNTIFS($R$6:$R99,"Need to Improve",$L$6:$L99,$L99))</f>
        <v/>
      </c>
      <c r="W99" s="7" t="str">
        <f aca="false">IF($R99&lt;&gt;"Not Performing","",COUNTIFS($R$6:$R$505,"Not Performing",$L$6:$L$505,"&lt;"&amp;$L99)+COUNTIFS($R$6:$R99,"Not Performing",$L$6:$L99,$L99))</f>
        <v/>
      </c>
    </row>
    <row r="100" customFormat="false" ht="15" hidden="false" customHeight="true" outlineLevel="0" collapsed="false">
      <c r="A100" s="26"/>
      <c r="B100" s="26"/>
      <c r="C100" s="26"/>
      <c r="D100" s="27" t="str">
        <f aca="false">IF($C100="","",IFERROR(TRIM(LEFT($C100,FIND("-",$C100)-1)),""))</f>
        <v/>
      </c>
      <c r="E100" s="26"/>
      <c r="F100" s="28"/>
      <c r="G100" s="29"/>
      <c r="H100" s="29"/>
      <c r="I100" s="30" t="str">
        <f aca="false">IF($B100="","",$H100-$G100)</f>
        <v/>
      </c>
      <c r="J100" s="31" t="str">
        <f aca="false">IF(OR($B100="",$G100=0,$G100=""),"",$I100/$G100)</f>
        <v/>
      </c>
      <c r="K100" s="32"/>
      <c r="L100" s="32"/>
      <c r="M100" s="32"/>
      <c r="N100" s="32"/>
      <c r="O100" s="32"/>
      <c r="P100" s="31" t="str">
        <f aca="false">IF(OR($L100="",$N100=""),"",$L100-$N100)</f>
        <v/>
      </c>
      <c r="Q100" s="27" t="str">
        <f aca="false">IF($B100="","",IF(N($H100)&gt;0,"Live","Exited"))</f>
        <v/>
      </c>
      <c r="R100" s="27" t="str">
        <f aca="false">IF($B100="","",IF($L100="","Data Pending",IF($L100&gt;=Instructions!$D$19,"Best Fund",IF($L100&gt;=Instructions!$D$20,"Need to Improve","Not Performing"))))</f>
        <v/>
      </c>
      <c r="S100" s="7" t="str">
        <f aca="false">IF($R100="","",IF($R100="Data Pending","Enter the 3Y return",IF($R100="Best Fund","Hold / consider top-up",IF($R100="Need to Improve","Watch 2 quarters, then decide","Review with client - switch or exit"))))</f>
        <v/>
      </c>
      <c r="T100" s="26"/>
      <c r="U100" s="7" t="str">
        <f aca="false">IF($R100&lt;&gt;"Best Fund","",COUNTIFS($R$6:$R$505,"Best Fund",$L$6:$L$505,"&gt;"&amp;$L100)+COUNTIFS($R$6:$R100,"Best Fund",$L$6:$L100,$L100))</f>
        <v/>
      </c>
      <c r="V100" s="7" t="str">
        <f aca="false">IF($R100&lt;&gt;"Need to Improve","",COUNTIFS($R$6:$R$505,"Need to Improve",$L$6:$L$505,"&lt;"&amp;$L100)+COUNTIFS($R$6:$R100,"Need to Improve",$L$6:$L100,$L100))</f>
        <v/>
      </c>
      <c r="W100" s="7" t="str">
        <f aca="false">IF($R100&lt;&gt;"Not Performing","",COUNTIFS($R$6:$R$505,"Not Performing",$L$6:$L$505,"&lt;"&amp;$L100)+COUNTIFS($R$6:$R100,"Not Performing",$L$6:$L100,$L100))</f>
        <v/>
      </c>
    </row>
    <row r="101" customFormat="false" ht="15" hidden="false" customHeight="true" outlineLevel="0" collapsed="false">
      <c r="A101" s="26"/>
      <c r="B101" s="26"/>
      <c r="C101" s="26"/>
      <c r="D101" s="27" t="str">
        <f aca="false">IF($C101="","",IFERROR(TRIM(LEFT($C101,FIND("-",$C101)-1)),""))</f>
        <v/>
      </c>
      <c r="E101" s="26"/>
      <c r="F101" s="28"/>
      <c r="G101" s="29"/>
      <c r="H101" s="29"/>
      <c r="I101" s="30" t="str">
        <f aca="false">IF($B101="","",$H101-$G101)</f>
        <v/>
      </c>
      <c r="J101" s="31" t="str">
        <f aca="false">IF(OR($B101="",$G101=0,$G101=""),"",$I101/$G101)</f>
        <v/>
      </c>
      <c r="K101" s="32"/>
      <c r="L101" s="32"/>
      <c r="M101" s="32"/>
      <c r="N101" s="32"/>
      <c r="O101" s="32"/>
      <c r="P101" s="31" t="str">
        <f aca="false">IF(OR($L101="",$N101=""),"",$L101-$N101)</f>
        <v/>
      </c>
      <c r="Q101" s="27" t="str">
        <f aca="false">IF($B101="","",IF(N($H101)&gt;0,"Live","Exited"))</f>
        <v/>
      </c>
      <c r="R101" s="27" t="str">
        <f aca="false">IF($B101="","",IF($L101="","Data Pending",IF($L101&gt;=Instructions!$D$19,"Best Fund",IF($L101&gt;=Instructions!$D$20,"Need to Improve","Not Performing"))))</f>
        <v/>
      </c>
      <c r="S101" s="7" t="str">
        <f aca="false">IF($R101="","",IF($R101="Data Pending","Enter the 3Y return",IF($R101="Best Fund","Hold / consider top-up",IF($R101="Need to Improve","Watch 2 quarters, then decide","Review with client - switch or exit"))))</f>
        <v/>
      </c>
      <c r="T101" s="26"/>
      <c r="U101" s="7" t="str">
        <f aca="false">IF($R101&lt;&gt;"Best Fund","",COUNTIFS($R$6:$R$505,"Best Fund",$L$6:$L$505,"&gt;"&amp;$L101)+COUNTIFS($R$6:$R101,"Best Fund",$L$6:$L101,$L101))</f>
        <v/>
      </c>
      <c r="V101" s="7" t="str">
        <f aca="false">IF($R101&lt;&gt;"Need to Improve","",COUNTIFS($R$6:$R$505,"Need to Improve",$L$6:$L$505,"&lt;"&amp;$L101)+COUNTIFS($R$6:$R101,"Need to Improve",$L$6:$L101,$L101))</f>
        <v/>
      </c>
      <c r="W101" s="7" t="str">
        <f aca="false">IF($R101&lt;&gt;"Not Performing","",COUNTIFS($R$6:$R$505,"Not Performing",$L$6:$L$505,"&lt;"&amp;$L101)+COUNTIFS($R$6:$R101,"Not Performing",$L$6:$L101,$L101))</f>
        <v/>
      </c>
    </row>
    <row r="102" customFormat="false" ht="15" hidden="false" customHeight="true" outlineLevel="0" collapsed="false">
      <c r="A102" s="26"/>
      <c r="B102" s="26"/>
      <c r="C102" s="26"/>
      <c r="D102" s="27" t="str">
        <f aca="false">IF($C102="","",IFERROR(TRIM(LEFT($C102,FIND("-",$C102)-1)),""))</f>
        <v/>
      </c>
      <c r="E102" s="26"/>
      <c r="F102" s="28"/>
      <c r="G102" s="29"/>
      <c r="H102" s="29"/>
      <c r="I102" s="30" t="str">
        <f aca="false">IF($B102="","",$H102-$G102)</f>
        <v/>
      </c>
      <c r="J102" s="31" t="str">
        <f aca="false">IF(OR($B102="",$G102=0,$G102=""),"",$I102/$G102)</f>
        <v/>
      </c>
      <c r="K102" s="32"/>
      <c r="L102" s="32"/>
      <c r="M102" s="32"/>
      <c r="N102" s="32"/>
      <c r="O102" s="32"/>
      <c r="P102" s="31" t="str">
        <f aca="false">IF(OR($L102="",$N102=""),"",$L102-$N102)</f>
        <v/>
      </c>
      <c r="Q102" s="27" t="str">
        <f aca="false">IF($B102="","",IF(N($H102)&gt;0,"Live","Exited"))</f>
        <v/>
      </c>
      <c r="R102" s="27" t="str">
        <f aca="false">IF($B102="","",IF($L102="","Data Pending",IF($L102&gt;=Instructions!$D$19,"Best Fund",IF($L102&gt;=Instructions!$D$20,"Need to Improve","Not Performing"))))</f>
        <v/>
      </c>
      <c r="S102" s="7" t="str">
        <f aca="false">IF($R102="","",IF($R102="Data Pending","Enter the 3Y return",IF($R102="Best Fund","Hold / consider top-up",IF($R102="Need to Improve","Watch 2 quarters, then decide","Review with client - switch or exit"))))</f>
        <v/>
      </c>
      <c r="T102" s="26"/>
      <c r="U102" s="7" t="str">
        <f aca="false">IF($R102&lt;&gt;"Best Fund","",COUNTIFS($R$6:$R$505,"Best Fund",$L$6:$L$505,"&gt;"&amp;$L102)+COUNTIFS($R$6:$R102,"Best Fund",$L$6:$L102,$L102))</f>
        <v/>
      </c>
      <c r="V102" s="7" t="str">
        <f aca="false">IF($R102&lt;&gt;"Need to Improve","",COUNTIFS($R$6:$R$505,"Need to Improve",$L$6:$L$505,"&lt;"&amp;$L102)+COUNTIFS($R$6:$R102,"Need to Improve",$L$6:$L102,$L102))</f>
        <v/>
      </c>
      <c r="W102" s="7" t="str">
        <f aca="false">IF($R102&lt;&gt;"Not Performing","",COUNTIFS($R$6:$R$505,"Not Performing",$L$6:$L$505,"&lt;"&amp;$L102)+COUNTIFS($R$6:$R102,"Not Performing",$L$6:$L102,$L102))</f>
        <v/>
      </c>
    </row>
    <row r="103" customFormat="false" ht="15" hidden="false" customHeight="true" outlineLevel="0" collapsed="false">
      <c r="A103" s="26"/>
      <c r="B103" s="26"/>
      <c r="C103" s="26"/>
      <c r="D103" s="27" t="str">
        <f aca="false">IF($C103="","",IFERROR(TRIM(LEFT($C103,FIND("-",$C103)-1)),""))</f>
        <v/>
      </c>
      <c r="E103" s="26"/>
      <c r="F103" s="28"/>
      <c r="G103" s="29"/>
      <c r="H103" s="29"/>
      <c r="I103" s="30" t="str">
        <f aca="false">IF($B103="","",$H103-$G103)</f>
        <v/>
      </c>
      <c r="J103" s="31" t="str">
        <f aca="false">IF(OR($B103="",$G103=0,$G103=""),"",$I103/$G103)</f>
        <v/>
      </c>
      <c r="K103" s="32"/>
      <c r="L103" s="32"/>
      <c r="M103" s="32"/>
      <c r="N103" s="32"/>
      <c r="O103" s="32"/>
      <c r="P103" s="31" t="str">
        <f aca="false">IF(OR($L103="",$N103=""),"",$L103-$N103)</f>
        <v/>
      </c>
      <c r="Q103" s="27" t="str">
        <f aca="false">IF($B103="","",IF(N($H103)&gt;0,"Live","Exited"))</f>
        <v/>
      </c>
      <c r="R103" s="27" t="str">
        <f aca="false">IF($B103="","",IF($L103="","Data Pending",IF($L103&gt;=Instructions!$D$19,"Best Fund",IF($L103&gt;=Instructions!$D$20,"Need to Improve","Not Performing"))))</f>
        <v/>
      </c>
      <c r="S103" s="7" t="str">
        <f aca="false">IF($R103="","",IF($R103="Data Pending","Enter the 3Y return",IF($R103="Best Fund","Hold / consider top-up",IF($R103="Need to Improve","Watch 2 quarters, then decide","Review with client - switch or exit"))))</f>
        <v/>
      </c>
      <c r="T103" s="26"/>
      <c r="U103" s="7" t="str">
        <f aca="false">IF($R103&lt;&gt;"Best Fund","",COUNTIFS($R$6:$R$505,"Best Fund",$L$6:$L$505,"&gt;"&amp;$L103)+COUNTIFS($R$6:$R103,"Best Fund",$L$6:$L103,$L103))</f>
        <v/>
      </c>
      <c r="V103" s="7" t="str">
        <f aca="false">IF($R103&lt;&gt;"Need to Improve","",COUNTIFS($R$6:$R$505,"Need to Improve",$L$6:$L$505,"&lt;"&amp;$L103)+COUNTIFS($R$6:$R103,"Need to Improve",$L$6:$L103,$L103))</f>
        <v/>
      </c>
      <c r="W103" s="7" t="str">
        <f aca="false">IF($R103&lt;&gt;"Not Performing","",COUNTIFS($R$6:$R$505,"Not Performing",$L$6:$L$505,"&lt;"&amp;$L103)+COUNTIFS($R$6:$R103,"Not Performing",$L$6:$L103,$L103))</f>
        <v/>
      </c>
    </row>
    <row r="104" customFormat="false" ht="15" hidden="false" customHeight="true" outlineLevel="0" collapsed="false">
      <c r="A104" s="26"/>
      <c r="B104" s="26"/>
      <c r="C104" s="26"/>
      <c r="D104" s="27" t="str">
        <f aca="false">IF($C104="","",IFERROR(TRIM(LEFT($C104,FIND("-",$C104)-1)),""))</f>
        <v/>
      </c>
      <c r="E104" s="26"/>
      <c r="F104" s="28"/>
      <c r="G104" s="29"/>
      <c r="H104" s="29"/>
      <c r="I104" s="30" t="str">
        <f aca="false">IF($B104="","",$H104-$G104)</f>
        <v/>
      </c>
      <c r="J104" s="31" t="str">
        <f aca="false">IF(OR($B104="",$G104=0,$G104=""),"",$I104/$G104)</f>
        <v/>
      </c>
      <c r="K104" s="32"/>
      <c r="L104" s="32"/>
      <c r="M104" s="32"/>
      <c r="N104" s="32"/>
      <c r="O104" s="32"/>
      <c r="P104" s="31" t="str">
        <f aca="false">IF(OR($L104="",$N104=""),"",$L104-$N104)</f>
        <v/>
      </c>
      <c r="Q104" s="27" t="str">
        <f aca="false">IF($B104="","",IF(N($H104)&gt;0,"Live","Exited"))</f>
        <v/>
      </c>
      <c r="R104" s="27" t="str">
        <f aca="false">IF($B104="","",IF($L104="","Data Pending",IF($L104&gt;=Instructions!$D$19,"Best Fund",IF($L104&gt;=Instructions!$D$20,"Need to Improve","Not Performing"))))</f>
        <v/>
      </c>
      <c r="S104" s="7" t="str">
        <f aca="false">IF($R104="","",IF($R104="Data Pending","Enter the 3Y return",IF($R104="Best Fund","Hold / consider top-up",IF($R104="Need to Improve","Watch 2 quarters, then decide","Review with client - switch or exit"))))</f>
        <v/>
      </c>
      <c r="T104" s="26"/>
      <c r="U104" s="7" t="str">
        <f aca="false">IF($R104&lt;&gt;"Best Fund","",COUNTIFS($R$6:$R$505,"Best Fund",$L$6:$L$505,"&gt;"&amp;$L104)+COUNTIFS($R$6:$R104,"Best Fund",$L$6:$L104,$L104))</f>
        <v/>
      </c>
      <c r="V104" s="7" t="str">
        <f aca="false">IF($R104&lt;&gt;"Need to Improve","",COUNTIFS($R$6:$R$505,"Need to Improve",$L$6:$L$505,"&lt;"&amp;$L104)+COUNTIFS($R$6:$R104,"Need to Improve",$L$6:$L104,$L104))</f>
        <v/>
      </c>
      <c r="W104" s="7" t="str">
        <f aca="false">IF($R104&lt;&gt;"Not Performing","",COUNTIFS($R$6:$R$505,"Not Performing",$L$6:$L$505,"&lt;"&amp;$L104)+COUNTIFS($R$6:$R104,"Not Performing",$L$6:$L104,$L104))</f>
        <v/>
      </c>
    </row>
    <row r="105" customFormat="false" ht="15" hidden="false" customHeight="true" outlineLevel="0" collapsed="false">
      <c r="A105" s="26"/>
      <c r="B105" s="26"/>
      <c r="C105" s="26"/>
      <c r="D105" s="27" t="str">
        <f aca="false">IF($C105="","",IFERROR(TRIM(LEFT($C105,FIND("-",$C105)-1)),""))</f>
        <v/>
      </c>
      <c r="E105" s="26"/>
      <c r="F105" s="28"/>
      <c r="G105" s="29"/>
      <c r="H105" s="29"/>
      <c r="I105" s="30" t="str">
        <f aca="false">IF($B105="","",$H105-$G105)</f>
        <v/>
      </c>
      <c r="J105" s="31" t="str">
        <f aca="false">IF(OR($B105="",$G105=0,$G105=""),"",$I105/$G105)</f>
        <v/>
      </c>
      <c r="K105" s="32"/>
      <c r="L105" s="32"/>
      <c r="M105" s="32"/>
      <c r="N105" s="32"/>
      <c r="O105" s="32"/>
      <c r="P105" s="31" t="str">
        <f aca="false">IF(OR($L105="",$N105=""),"",$L105-$N105)</f>
        <v/>
      </c>
      <c r="Q105" s="27" t="str">
        <f aca="false">IF($B105="","",IF(N($H105)&gt;0,"Live","Exited"))</f>
        <v/>
      </c>
      <c r="R105" s="27" t="str">
        <f aca="false">IF($B105="","",IF($L105="","Data Pending",IF($L105&gt;=Instructions!$D$19,"Best Fund",IF($L105&gt;=Instructions!$D$20,"Need to Improve","Not Performing"))))</f>
        <v/>
      </c>
      <c r="S105" s="7" t="str">
        <f aca="false">IF($R105="","",IF($R105="Data Pending","Enter the 3Y return",IF($R105="Best Fund","Hold / consider top-up",IF($R105="Need to Improve","Watch 2 quarters, then decide","Review with client - switch or exit"))))</f>
        <v/>
      </c>
      <c r="T105" s="26"/>
      <c r="U105" s="7" t="str">
        <f aca="false">IF($R105&lt;&gt;"Best Fund","",COUNTIFS($R$6:$R$505,"Best Fund",$L$6:$L$505,"&gt;"&amp;$L105)+COUNTIFS($R$6:$R105,"Best Fund",$L$6:$L105,$L105))</f>
        <v/>
      </c>
      <c r="V105" s="7" t="str">
        <f aca="false">IF($R105&lt;&gt;"Need to Improve","",COUNTIFS($R$6:$R$505,"Need to Improve",$L$6:$L$505,"&lt;"&amp;$L105)+COUNTIFS($R$6:$R105,"Need to Improve",$L$6:$L105,$L105))</f>
        <v/>
      </c>
      <c r="W105" s="7" t="str">
        <f aca="false">IF($R105&lt;&gt;"Not Performing","",COUNTIFS($R$6:$R$505,"Not Performing",$L$6:$L$505,"&lt;"&amp;$L105)+COUNTIFS($R$6:$R105,"Not Performing",$L$6:$L105,$L105))</f>
        <v/>
      </c>
    </row>
    <row r="106" customFormat="false" ht="15" hidden="false" customHeight="true" outlineLevel="0" collapsed="false">
      <c r="A106" s="26"/>
      <c r="B106" s="26"/>
      <c r="C106" s="26"/>
      <c r="D106" s="27" t="str">
        <f aca="false">IF($C106="","",IFERROR(TRIM(LEFT($C106,FIND("-",$C106)-1)),""))</f>
        <v/>
      </c>
      <c r="E106" s="26"/>
      <c r="F106" s="28"/>
      <c r="G106" s="29"/>
      <c r="H106" s="29"/>
      <c r="I106" s="30" t="str">
        <f aca="false">IF($B106="","",$H106-$G106)</f>
        <v/>
      </c>
      <c r="J106" s="31" t="str">
        <f aca="false">IF(OR($B106="",$G106=0,$G106=""),"",$I106/$G106)</f>
        <v/>
      </c>
      <c r="K106" s="32"/>
      <c r="L106" s="32"/>
      <c r="M106" s="32"/>
      <c r="N106" s="32"/>
      <c r="O106" s="32"/>
      <c r="P106" s="31" t="str">
        <f aca="false">IF(OR($L106="",$N106=""),"",$L106-$N106)</f>
        <v/>
      </c>
      <c r="Q106" s="27" t="str">
        <f aca="false">IF($B106="","",IF(N($H106)&gt;0,"Live","Exited"))</f>
        <v/>
      </c>
      <c r="R106" s="27" t="str">
        <f aca="false">IF($B106="","",IF($L106="","Data Pending",IF($L106&gt;=Instructions!$D$19,"Best Fund",IF($L106&gt;=Instructions!$D$20,"Need to Improve","Not Performing"))))</f>
        <v/>
      </c>
      <c r="S106" s="7" t="str">
        <f aca="false">IF($R106="","",IF($R106="Data Pending","Enter the 3Y return",IF($R106="Best Fund","Hold / consider top-up",IF($R106="Need to Improve","Watch 2 quarters, then decide","Review with client - switch or exit"))))</f>
        <v/>
      </c>
      <c r="T106" s="26"/>
      <c r="U106" s="7" t="str">
        <f aca="false">IF($R106&lt;&gt;"Best Fund","",COUNTIFS($R$6:$R$505,"Best Fund",$L$6:$L$505,"&gt;"&amp;$L106)+COUNTIFS($R$6:$R106,"Best Fund",$L$6:$L106,$L106))</f>
        <v/>
      </c>
      <c r="V106" s="7" t="str">
        <f aca="false">IF($R106&lt;&gt;"Need to Improve","",COUNTIFS($R$6:$R$505,"Need to Improve",$L$6:$L$505,"&lt;"&amp;$L106)+COUNTIFS($R$6:$R106,"Need to Improve",$L$6:$L106,$L106))</f>
        <v/>
      </c>
      <c r="W106" s="7" t="str">
        <f aca="false">IF($R106&lt;&gt;"Not Performing","",COUNTIFS($R$6:$R$505,"Not Performing",$L$6:$L$505,"&lt;"&amp;$L106)+COUNTIFS($R$6:$R106,"Not Performing",$L$6:$L106,$L106))</f>
        <v/>
      </c>
    </row>
    <row r="107" customFormat="false" ht="15" hidden="false" customHeight="true" outlineLevel="0" collapsed="false">
      <c r="A107" s="26"/>
      <c r="B107" s="26"/>
      <c r="C107" s="26"/>
      <c r="D107" s="27" t="str">
        <f aca="false">IF($C107="","",IFERROR(TRIM(LEFT($C107,FIND("-",$C107)-1)),""))</f>
        <v/>
      </c>
      <c r="E107" s="26"/>
      <c r="F107" s="28"/>
      <c r="G107" s="29"/>
      <c r="H107" s="29"/>
      <c r="I107" s="30" t="str">
        <f aca="false">IF($B107="","",$H107-$G107)</f>
        <v/>
      </c>
      <c r="J107" s="31" t="str">
        <f aca="false">IF(OR($B107="",$G107=0,$G107=""),"",$I107/$G107)</f>
        <v/>
      </c>
      <c r="K107" s="32"/>
      <c r="L107" s="32"/>
      <c r="M107" s="32"/>
      <c r="N107" s="32"/>
      <c r="O107" s="32"/>
      <c r="P107" s="31" t="str">
        <f aca="false">IF(OR($L107="",$N107=""),"",$L107-$N107)</f>
        <v/>
      </c>
      <c r="Q107" s="27" t="str">
        <f aca="false">IF($B107="","",IF(N($H107)&gt;0,"Live","Exited"))</f>
        <v/>
      </c>
      <c r="R107" s="27" t="str">
        <f aca="false">IF($B107="","",IF($L107="","Data Pending",IF($L107&gt;=Instructions!$D$19,"Best Fund",IF($L107&gt;=Instructions!$D$20,"Need to Improve","Not Performing"))))</f>
        <v/>
      </c>
      <c r="S107" s="7" t="str">
        <f aca="false">IF($R107="","",IF($R107="Data Pending","Enter the 3Y return",IF($R107="Best Fund","Hold / consider top-up",IF($R107="Need to Improve","Watch 2 quarters, then decide","Review with client - switch or exit"))))</f>
        <v/>
      </c>
      <c r="T107" s="26"/>
      <c r="U107" s="7" t="str">
        <f aca="false">IF($R107&lt;&gt;"Best Fund","",COUNTIFS($R$6:$R$505,"Best Fund",$L$6:$L$505,"&gt;"&amp;$L107)+COUNTIFS($R$6:$R107,"Best Fund",$L$6:$L107,$L107))</f>
        <v/>
      </c>
      <c r="V107" s="7" t="str">
        <f aca="false">IF($R107&lt;&gt;"Need to Improve","",COUNTIFS($R$6:$R$505,"Need to Improve",$L$6:$L$505,"&lt;"&amp;$L107)+COUNTIFS($R$6:$R107,"Need to Improve",$L$6:$L107,$L107))</f>
        <v/>
      </c>
      <c r="W107" s="7" t="str">
        <f aca="false">IF($R107&lt;&gt;"Not Performing","",COUNTIFS($R$6:$R$505,"Not Performing",$L$6:$L$505,"&lt;"&amp;$L107)+COUNTIFS($R$6:$R107,"Not Performing",$L$6:$L107,$L107))</f>
        <v/>
      </c>
    </row>
    <row r="108" customFormat="false" ht="15" hidden="false" customHeight="true" outlineLevel="0" collapsed="false">
      <c r="A108" s="26"/>
      <c r="B108" s="26"/>
      <c r="C108" s="26"/>
      <c r="D108" s="27" t="str">
        <f aca="false">IF($C108="","",IFERROR(TRIM(LEFT($C108,FIND("-",$C108)-1)),""))</f>
        <v/>
      </c>
      <c r="E108" s="26"/>
      <c r="F108" s="28"/>
      <c r="G108" s="29"/>
      <c r="H108" s="29"/>
      <c r="I108" s="30" t="str">
        <f aca="false">IF($B108="","",$H108-$G108)</f>
        <v/>
      </c>
      <c r="J108" s="31" t="str">
        <f aca="false">IF(OR($B108="",$G108=0,$G108=""),"",$I108/$G108)</f>
        <v/>
      </c>
      <c r="K108" s="32"/>
      <c r="L108" s="32"/>
      <c r="M108" s="32"/>
      <c r="N108" s="32"/>
      <c r="O108" s="32"/>
      <c r="P108" s="31" t="str">
        <f aca="false">IF(OR($L108="",$N108=""),"",$L108-$N108)</f>
        <v/>
      </c>
      <c r="Q108" s="27" t="str">
        <f aca="false">IF($B108="","",IF(N($H108)&gt;0,"Live","Exited"))</f>
        <v/>
      </c>
      <c r="R108" s="27" t="str">
        <f aca="false">IF($B108="","",IF($L108="","Data Pending",IF($L108&gt;=Instructions!$D$19,"Best Fund",IF($L108&gt;=Instructions!$D$20,"Need to Improve","Not Performing"))))</f>
        <v/>
      </c>
      <c r="S108" s="7" t="str">
        <f aca="false">IF($R108="","",IF($R108="Data Pending","Enter the 3Y return",IF($R108="Best Fund","Hold / consider top-up",IF($R108="Need to Improve","Watch 2 quarters, then decide","Review with client - switch or exit"))))</f>
        <v/>
      </c>
      <c r="T108" s="26"/>
      <c r="U108" s="7" t="str">
        <f aca="false">IF($R108&lt;&gt;"Best Fund","",COUNTIFS($R$6:$R$505,"Best Fund",$L$6:$L$505,"&gt;"&amp;$L108)+COUNTIFS($R$6:$R108,"Best Fund",$L$6:$L108,$L108))</f>
        <v/>
      </c>
      <c r="V108" s="7" t="str">
        <f aca="false">IF($R108&lt;&gt;"Need to Improve","",COUNTIFS($R$6:$R$505,"Need to Improve",$L$6:$L$505,"&lt;"&amp;$L108)+COUNTIFS($R$6:$R108,"Need to Improve",$L$6:$L108,$L108))</f>
        <v/>
      </c>
      <c r="W108" s="7" t="str">
        <f aca="false">IF($R108&lt;&gt;"Not Performing","",COUNTIFS($R$6:$R$505,"Not Performing",$L$6:$L$505,"&lt;"&amp;$L108)+COUNTIFS($R$6:$R108,"Not Performing",$L$6:$L108,$L108))</f>
        <v/>
      </c>
    </row>
    <row r="109" customFormat="false" ht="15" hidden="false" customHeight="true" outlineLevel="0" collapsed="false">
      <c r="A109" s="26"/>
      <c r="B109" s="26"/>
      <c r="C109" s="26"/>
      <c r="D109" s="27" t="str">
        <f aca="false">IF($C109="","",IFERROR(TRIM(LEFT($C109,FIND("-",$C109)-1)),""))</f>
        <v/>
      </c>
      <c r="E109" s="26"/>
      <c r="F109" s="28"/>
      <c r="G109" s="29"/>
      <c r="H109" s="29"/>
      <c r="I109" s="30" t="str">
        <f aca="false">IF($B109="","",$H109-$G109)</f>
        <v/>
      </c>
      <c r="J109" s="31" t="str">
        <f aca="false">IF(OR($B109="",$G109=0,$G109=""),"",$I109/$G109)</f>
        <v/>
      </c>
      <c r="K109" s="32"/>
      <c r="L109" s="32"/>
      <c r="M109" s="32"/>
      <c r="N109" s="32"/>
      <c r="O109" s="32"/>
      <c r="P109" s="31" t="str">
        <f aca="false">IF(OR($L109="",$N109=""),"",$L109-$N109)</f>
        <v/>
      </c>
      <c r="Q109" s="27" t="str">
        <f aca="false">IF($B109="","",IF(N($H109)&gt;0,"Live","Exited"))</f>
        <v/>
      </c>
      <c r="R109" s="27" t="str">
        <f aca="false">IF($B109="","",IF($L109="","Data Pending",IF($L109&gt;=Instructions!$D$19,"Best Fund",IF($L109&gt;=Instructions!$D$20,"Need to Improve","Not Performing"))))</f>
        <v/>
      </c>
      <c r="S109" s="7" t="str">
        <f aca="false">IF($R109="","",IF($R109="Data Pending","Enter the 3Y return",IF($R109="Best Fund","Hold / consider top-up",IF($R109="Need to Improve","Watch 2 quarters, then decide","Review with client - switch or exit"))))</f>
        <v/>
      </c>
      <c r="T109" s="26"/>
      <c r="U109" s="7" t="str">
        <f aca="false">IF($R109&lt;&gt;"Best Fund","",COUNTIFS($R$6:$R$505,"Best Fund",$L$6:$L$505,"&gt;"&amp;$L109)+COUNTIFS($R$6:$R109,"Best Fund",$L$6:$L109,$L109))</f>
        <v/>
      </c>
      <c r="V109" s="7" t="str">
        <f aca="false">IF($R109&lt;&gt;"Need to Improve","",COUNTIFS($R$6:$R$505,"Need to Improve",$L$6:$L$505,"&lt;"&amp;$L109)+COUNTIFS($R$6:$R109,"Need to Improve",$L$6:$L109,$L109))</f>
        <v/>
      </c>
      <c r="W109" s="7" t="str">
        <f aca="false">IF($R109&lt;&gt;"Not Performing","",COUNTIFS($R$6:$R$505,"Not Performing",$L$6:$L$505,"&lt;"&amp;$L109)+COUNTIFS($R$6:$R109,"Not Performing",$L$6:$L109,$L109))</f>
        <v/>
      </c>
    </row>
    <row r="110" customFormat="false" ht="15" hidden="false" customHeight="true" outlineLevel="0" collapsed="false">
      <c r="A110" s="26"/>
      <c r="B110" s="26"/>
      <c r="C110" s="26"/>
      <c r="D110" s="27" t="str">
        <f aca="false">IF($C110="","",IFERROR(TRIM(LEFT($C110,FIND("-",$C110)-1)),""))</f>
        <v/>
      </c>
      <c r="E110" s="26"/>
      <c r="F110" s="28"/>
      <c r="G110" s="29"/>
      <c r="H110" s="29"/>
      <c r="I110" s="30" t="str">
        <f aca="false">IF($B110="","",$H110-$G110)</f>
        <v/>
      </c>
      <c r="J110" s="31" t="str">
        <f aca="false">IF(OR($B110="",$G110=0,$G110=""),"",$I110/$G110)</f>
        <v/>
      </c>
      <c r="K110" s="32"/>
      <c r="L110" s="32"/>
      <c r="M110" s="32"/>
      <c r="N110" s="32"/>
      <c r="O110" s="32"/>
      <c r="P110" s="31" t="str">
        <f aca="false">IF(OR($L110="",$N110=""),"",$L110-$N110)</f>
        <v/>
      </c>
      <c r="Q110" s="27" t="str">
        <f aca="false">IF($B110="","",IF(N($H110)&gt;0,"Live","Exited"))</f>
        <v/>
      </c>
      <c r="R110" s="27" t="str">
        <f aca="false">IF($B110="","",IF($L110="","Data Pending",IF($L110&gt;=Instructions!$D$19,"Best Fund",IF($L110&gt;=Instructions!$D$20,"Need to Improve","Not Performing"))))</f>
        <v/>
      </c>
      <c r="S110" s="7" t="str">
        <f aca="false">IF($R110="","",IF($R110="Data Pending","Enter the 3Y return",IF($R110="Best Fund","Hold / consider top-up",IF($R110="Need to Improve","Watch 2 quarters, then decide","Review with client - switch or exit"))))</f>
        <v/>
      </c>
      <c r="T110" s="26"/>
      <c r="U110" s="7" t="str">
        <f aca="false">IF($R110&lt;&gt;"Best Fund","",COUNTIFS($R$6:$R$505,"Best Fund",$L$6:$L$505,"&gt;"&amp;$L110)+COUNTIFS($R$6:$R110,"Best Fund",$L$6:$L110,$L110))</f>
        <v/>
      </c>
      <c r="V110" s="7" t="str">
        <f aca="false">IF($R110&lt;&gt;"Need to Improve","",COUNTIFS($R$6:$R$505,"Need to Improve",$L$6:$L$505,"&lt;"&amp;$L110)+COUNTIFS($R$6:$R110,"Need to Improve",$L$6:$L110,$L110))</f>
        <v/>
      </c>
      <c r="W110" s="7" t="str">
        <f aca="false">IF($R110&lt;&gt;"Not Performing","",COUNTIFS($R$6:$R$505,"Not Performing",$L$6:$L$505,"&lt;"&amp;$L110)+COUNTIFS($R$6:$R110,"Not Performing",$L$6:$L110,$L110))</f>
        <v/>
      </c>
    </row>
    <row r="111" customFormat="false" ht="15" hidden="false" customHeight="true" outlineLevel="0" collapsed="false">
      <c r="A111" s="26"/>
      <c r="B111" s="26"/>
      <c r="C111" s="26"/>
      <c r="D111" s="27" t="str">
        <f aca="false">IF($C111="","",IFERROR(TRIM(LEFT($C111,FIND("-",$C111)-1)),""))</f>
        <v/>
      </c>
      <c r="E111" s="26"/>
      <c r="F111" s="28"/>
      <c r="G111" s="29"/>
      <c r="H111" s="29"/>
      <c r="I111" s="30" t="str">
        <f aca="false">IF($B111="","",$H111-$G111)</f>
        <v/>
      </c>
      <c r="J111" s="31" t="str">
        <f aca="false">IF(OR($B111="",$G111=0,$G111=""),"",$I111/$G111)</f>
        <v/>
      </c>
      <c r="K111" s="32"/>
      <c r="L111" s="32"/>
      <c r="M111" s="32"/>
      <c r="N111" s="32"/>
      <c r="O111" s="32"/>
      <c r="P111" s="31" t="str">
        <f aca="false">IF(OR($L111="",$N111=""),"",$L111-$N111)</f>
        <v/>
      </c>
      <c r="Q111" s="27" t="str">
        <f aca="false">IF($B111="","",IF(N($H111)&gt;0,"Live","Exited"))</f>
        <v/>
      </c>
      <c r="R111" s="27" t="str">
        <f aca="false">IF($B111="","",IF($L111="","Data Pending",IF($L111&gt;=Instructions!$D$19,"Best Fund",IF($L111&gt;=Instructions!$D$20,"Need to Improve","Not Performing"))))</f>
        <v/>
      </c>
      <c r="S111" s="7" t="str">
        <f aca="false">IF($R111="","",IF($R111="Data Pending","Enter the 3Y return",IF($R111="Best Fund","Hold / consider top-up",IF($R111="Need to Improve","Watch 2 quarters, then decide","Review with client - switch or exit"))))</f>
        <v/>
      </c>
      <c r="T111" s="26"/>
      <c r="U111" s="7" t="str">
        <f aca="false">IF($R111&lt;&gt;"Best Fund","",COUNTIFS($R$6:$R$505,"Best Fund",$L$6:$L$505,"&gt;"&amp;$L111)+COUNTIFS($R$6:$R111,"Best Fund",$L$6:$L111,$L111))</f>
        <v/>
      </c>
      <c r="V111" s="7" t="str">
        <f aca="false">IF($R111&lt;&gt;"Need to Improve","",COUNTIFS($R$6:$R$505,"Need to Improve",$L$6:$L$505,"&lt;"&amp;$L111)+COUNTIFS($R$6:$R111,"Need to Improve",$L$6:$L111,$L111))</f>
        <v/>
      </c>
      <c r="W111" s="7" t="str">
        <f aca="false">IF($R111&lt;&gt;"Not Performing","",COUNTIFS($R$6:$R$505,"Not Performing",$L$6:$L$505,"&lt;"&amp;$L111)+COUNTIFS($R$6:$R111,"Not Performing",$L$6:$L111,$L111))</f>
        <v/>
      </c>
    </row>
    <row r="112" customFormat="false" ht="15" hidden="false" customHeight="true" outlineLevel="0" collapsed="false">
      <c r="A112" s="26"/>
      <c r="B112" s="26"/>
      <c r="C112" s="26"/>
      <c r="D112" s="27" t="str">
        <f aca="false">IF($C112="","",IFERROR(TRIM(LEFT($C112,FIND("-",$C112)-1)),""))</f>
        <v/>
      </c>
      <c r="E112" s="26"/>
      <c r="F112" s="28"/>
      <c r="G112" s="29"/>
      <c r="H112" s="29"/>
      <c r="I112" s="30" t="str">
        <f aca="false">IF($B112="","",$H112-$G112)</f>
        <v/>
      </c>
      <c r="J112" s="31" t="str">
        <f aca="false">IF(OR($B112="",$G112=0,$G112=""),"",$I112/$G112)</f>
        <v/>
      </c>
      <c r="K112" s="32"/>
      <c r="L112" s="32"/>
      <c r="M112" s="32"/>
      <c r="N112" s="32"/>
      <c r="O112" s="32"/>
      <c r="P112" s="31" t="str">
        <f aca="false">IF(OR($L112="",$N112=""),"",$L112-$N112)</f>
        <v/>
      </c>
      <c r="Q112" s="27" t="str">
        <f aca="false">IF($B112="","",IF(N($H112)&gt;0,"Live","Exited"))</f>
        <v/>
      </c>
      <c r="R112" s="27" t="str">
        <f aca="false">IF($B112="","",IF($L112="","Data Pending",IF($L112&gt;=Instructions!$D$19,"Best Fund",IF($L112&gt;=Instructions!$D$20,"Need to Improve","Not Performing"))))</f>
        <v/>
      </c>
      <c r="S112" s="7" t="str">
        <f aca="false">IF($R112="","",IF($R112="Data Pending","Enter the 3Y return",IF($R112="Best Fund","Hold / consider top-up",IF($R112="Need to Improve","Watch 2 quarters, then decide","Review with client - switch or exit"))))</f>
        <v/>
      </c>
      <c r="T112" s="26"/>
      <c r="U112" s="7" t="str">
        <f aca="false">IF($R112&lt;&gt;"Best Fund","",COUNTIFS($R$6:$R$505,"Best Fund",$L$6:$L$505,"&gt;"&amp;$L112)+COUNTIFS($R$6:$R112,"Best Fund",$L$6:$L112,$L112))</f>
        <v/>
      </c>
      <c r="V112" s="7" t="str">
        <f aca="false">IF($R112&lt;&gt;"Need to Improve","",COUNTIFS($R$6:$R$505,"Need to Improve",$L$6:$L$505,"&lt;"&amp;$L112)+COUNTIFS($R$6:$R112,"Need to Improve",$L$6:$L112,$L112))</f>
        <v/>
      </c>
      <c r="W112" s="7" t="str">
        <f aca="false">IF($R112&lt;&gt;"Not Performing","",COUNTIFS($R$6:$R$505,"Not Performing",$L$6:$L$505,"&lt;"&amp;$L112)+COUNTIFS($R$6:$R112,"Not Performing",$L$6:$L112,$L112))</f>
        <v/>
      </c>
    </row>
    <row r="113" customFormat="false" ht="15" hidden="false" customHeight="true" outlineLevel="0" collapsed="false">
      <c r="A113" s="26"/>
      <c r="B113" s="26"/>
      <c r="C113" s="26"/>
      <c r="D113" s="27" t="str">
        <f aca="false">IF($C113="","",IFERROR(TRIM(LEFT($C113,FIND("-",$C113)-1)),""))</f>
        <v/>
      </c>
      <c r="E113" s="26"/>
      <c r="F113" s="28"/>
      <c r="G113" s="29"/>
      <c r="H113" s="29"/>
      <c r="I113" s="30" t="str">
        <f aca="false">IF($B113="","",$H113-$G113)</f>
        <v/>
      </c>
      <c r="J113" s="31" t="str">
        <f aca="false">IF(OR($B113="",$G113=0,$G113=""),"",$I113/$G113)</f>
        <v/>
      </c>
      <c r="K113" s="32"/>
      <c r="L113" s="32"/>
      <c r="M113" s="32"/>
      <c r="N113" s="32"/>
      <c r="O113" s="32"/>
      <c r="P113" s="31" t="str">
        <f aca="false">IF(OR($L113="",$N113=""),"",$L113-$N113)</f>
        <v/>
      </c>
      <c r="Q113" s="27" t="str">
        <f aca="false">IF($B113="","",IF(N($H113)&gt;0,"Live","Exited"))</f>
        <v/>
      </c>
      <c r="R113" s="27" t="str">
        <f aca="false">IF($B113="","",IF($L113="","Data Pending",IF($L113&gt;=Instructions!$D$19,"Best Fund",IF($L113&gt;=Instructions!$D$20,"Need to Improve","Not Performing"))))</f>
        <v/>
      </c>
      <c r="S113" s="7" t="str">
        <f aca="false">IF($R113="","",IF($R113="Data Pending","Enter the 3Y return",IF($R113="Best Fund","Hold / consider top-up",IF($R113="Need to Improve","Watch 2 quarters, then decide","Review with client - switch or exit"))))</f>
        <v/>
      </c>
      <c r="T113" s="26"/>
      <c r="U113" s="7" t="str">
        <f aca="false">IF($R113&lt;&gt;"Best Fund","",COUNTIFS($R$6:$R$505,"Best Fund",$L$6:$L$505,"&gt;"&amp;$L113)+COUNTIFS($R$6:$R113,"Best Fund",$L$6:$L113,$L113))</f>
        <v/>
      </c>
      <c r="V113" s="7" t="str">
        <f aca="false">IF($R113&lt;&gt;"Need to Improve","",COUNTIFS($R$6:$R$505,"Need to Improve",$L$6:$L$505,"&lt;"&amp;$L113)+COUNTIFS($R$6:$R113,"Need to Improve",$L$6:$L113,$L113))</f>
        <v/>
      </c>
      <c r="W113" s="7" t="str">
        <f aca="false">IF($R113&lt;&gt;"Not Performing","",COUNTIFS($R$6:$R$505,"Not Performing",$L$6:$L$505,"&lt;"&amp;$L113)+COUNTIFS($R$6:$R113,"Not Performing",$L$6:$L113,$L113))</f>
        <v/>
      </c>
    </row>
    <row r="114" customFormat="false" ht="15" hidden="false" customHeight="true" outlineLevel="0" collapsed="false">
      <c r="A114" s="26"/>
      <c r="B114" s="26"/>
      <c r="C114" s="26"/>
      <c r="D114" s="27" t="str">
        <f aca="false">IF($C114="","",IFERROR(TRIM(LEFT($C114,FIND("-",$C114)-1)),""))</f>
        <v/>
      </c>
      <c r="E114" s="26"/>
      <c r="F114" s="28"/>
      <c r="G114" s="29"/>
      <c r="H114" s="29"/>
      <c r="I114" s="30" t="str">
        <f aca="false">IF($B114="","",$H114-$G114)</f>
        <v/>
      </c>
      <c r="J114" s="31" t="str">
        <f aca="false">IF(OR($B114="",$G114=0,$G114=""),"",$I114/$G114)</f>
        <v/>
      </c>
      <c r="K114" s="32"/>
      <c r="L114" s="32"/>
      <c r="M114" s="32"/>
      <c r="N114" s="32"/>
      <c r="O114" s="32"/>
      <c r="P114" s="31" t="str">
        <f aca="false">IF(OR($L114="",$N114=""),"",$L114-$N114)</f>
        <v/>
      </c>
      <c r="Q114" s="27" t="str">
        <f aca="false">IF($B114="","",IF(N($H114)&gt;0,"Live","Exited"))</f>
        <v/>
      </c>
      <c r="R114" s="27" t="str">
        <f aca="false">IF($B114="","",IF($L114="","Data Pending",IF($L114&gt;=Instructions!$D$19,"Best Fund",IF($L114&gt;=Instructions!$D$20,"Need to Improve","Not Performing"))))</f>
        <v/>
      </c>
      <c r="S114" s="7" t="str">
        <f aca="false">IF($R114="","",IF($R114="Data Pending","Enter the 3Y return",IF($R114="Best Fund","Hold / consider top-up",IF($R114="Need to Improve","Watch 2 quarters, then decide","Review with client - switch or exit"))))</f>
        <v/>
      </c>
      <c r="T114" s="26"/>
      <c r="U114" s="7" t="str">
        <f aca="false">IF($R114&lt;&gt;"Best Fund","",COUNTIFS($R$6:$R$505,"Best Fund",$L$6:$L$505,"&gt;"&amp;$L114)+COUNTIFS($R$6:$R114,"Best Fund",$L$6:$L114,$L114))</f>
        <v/>
      </c>
      <c r="V114" s="7" t="str">
        <f aca="false">IF($R114&lt;&gt;"Need to Improve","",COUNTIFS($R$6:$R$505,"Need to Improve",$L$6:$L$505,"&lt;"&amp;$L114)+COUNTIFS($R$6:$R114,"Need to Improve",$L$6:$L114,$L114))</f>
        <v/>
      </c>
      <c r="W114" s="7" t="str">
        <f aca="false">IF($R114&lt;&gt;"Not Performing","",COUNTIFS($R$6:$R$505,"Not Performing",$L$6:$L$505,"&lt;"&amp;$L114)+COUNTIFS($R$6:$R114,"Not Performing",$L$6:$L114,$L114))</f>
        <v/>
      </c>
    </row>
    <row r="115" customFormat="false" ht="15" hidden="false" customHeight="true" outlineLevel="0" collapsed="false">
      <c r="A115" s="26"/>
      <c r="B115" s="26"/>
      <c r="C115" s="26"/>
      <c r="D115" s="27" t="str">
        <f aca="false">IF($C115="","",IFERROR(TRIM(LEFT($C115,FIND("-",$C115)-1)),""))</f>
        <v/>
      </c>
      <c r="E115" s="26"/>
      <c r="F115" s="28"/>
      <c r="G115" s="29"/>
      <c r="H115" s="29"/>
      <c r="I115" s="30" t="str">
        <f aca="false">IF($B115="","",$H115-$G115)</f>
        <v/>
      </c>
      <c r="J115" s="31" t="str">
        <f aca="false">IF(OR($B115="",$G115=0,$G115=""),"",$I115/$G115)</f>
        <v/>
      </c>
      <c r="K115" s="32"/>
      <c r="L115" s="32"/>
      <c r="M115" s="32"/>
      <c r="N115" s="32"/>
      <c r="O115" s="32"/>
      <c r="P115" s="31" t="str">
        <f aca="false">IF(OR($L115="",$N115=""),"",$L115-$N115)</f>
        <v/>
      </c>
      <c r="Q115" s="27" t="str">
        <f aca="false">IF($B115="","",IF(N($H115)&gt;0,"Live","Exited"))</f>
        <v/>
      </c>
      <c r="R115" s="27" t="str">
        <f aca="false">IF($B115="","",IF($L115="","Data Pending",IF($L115&gt;=Instructions!$D$19,"Best Fund",IF($L115&gt;=Instructions!$D$20,"Need to Improve","Not Performing"))))</f>
        <v/>
      </c>
      <c r="S115" s="7" t="str">
        <f aca="false">IF($R115="","",IF($R115="Data Pending","Enter the 3Y return",IF($R115="Best Fund","Hold / consider top-up",IF($R115="Need to Improve","Watch 2 quarters, then decide","Review with client - switch or exit"))))</f>
        <v/>
      </c>
      <c r="T115" s="26"/>
      <c r="U115" s="7" t="str">
        <f aca="false">IF($R115&lt;&gt;"Best Fund","",COUNTIFS($R$6:$R$505,"Best Fund",$L$6:$L$505,"&gt;"&amp;$L115)+COUNTIFS($R$6:$R115,"Best Fund",$L$6:$L115,$L115))</f>
        <v/>
      </c>
      <c r="V115" s="7" t="str">
        <f aca="false">IF($R115&lt;&gt;"Need to Improve","",COUNTIFS($R$6:$R$505,"Need to Improve",$L$6:$L$505,"&lt;"&amp;$L115)+COUNTIFS($R$6:$R115,"Need to Improve",$L$6:$L115,$L115))</f>
        <v/>
      </c>
      <c r="W115" s="7" t="str">
        <f aca="false">IF($R115&lt;&gt;"Not Performing","",COUNTIFS($R$6:$R$505,"Not Performing",$L$6:$L$505,"&lt;"&amp;$L115)+COUNTIFS($R$6:$R115,"Not Performing",$L$6:$L115,$L115))</f>
        <v/>
      </c>
    </row>
    <row r="116" customFormat="false" ht="15" hidden="false" customHeight="true" outlineLevel="0" collapsed="false">
      <c r="A116" s="26"/>
      <c r="B116" s="26"/>
      <c r="C116" s="26"/>
      <c r="D116" s="27" t="str">
        <f aca="false">IF($C116="","",IFERROR(TRIM(LEFT($C116,FIND("-",$C116)-1)),""))</f>
        <v/>
      </c>
      <c r="E116" s="26"/>
      <c r="F116" s="28"/>
      <c r="G116" s="29"/>
      <c r="H116" s="29"/>
      <c r="I116" s="30" t="str">
        <f aca="false">IF($B116="","",$H116-$G116)</f>
        <v/>
      </c>
      <c r="J116" s="31" t="str">
        <f aca="false">IF(OR($B116="",$G116=0,$G116=""),"",$I116/$G116)</f>
        <v/>
      </c>
      <c r="K116" s="32"/>
      <c r="L116" s="32"/>
      <c r="M116" s="32"/>
      <c r="N116" s="32"/>
      <c r="O116" s="32"/>
      <c r="P116" s="31" t="str">
        <f aca="false">IF(OR($L116="",$N116=""),"",$L116-$N116)</f>
        <v/>
      </c>
      <c r="Q116" s="27" t="str">
        <f aca="false">IF($B116="","",IF(N($H116)&gt;0,"Live","Exited"))</f>
        <v/>
      </c>
      <c r="R116" s="27" t="str">
        <f aca="false">IF($B116="","",IF($L116="","Data Pending",IF($L116&gt;=Instructions!$D$19,"Best Fund",IF($L116&gt;=Instructions!$D$20,"Need to Improve","Not Performing"))))</f>
        <v/>
      </c>
      <c r="S116" s="7" t="str">
        <f aca="false">IF($R116="","",IF($R116="Data Pending","Enter the 3Y return",IF($R116="Best Fund","Hold / consider top-up",IF($R116="Need to Improve","Watch 2 quarters, then decide","Review with client - switch or exit"))))</f>
        <v/>
      </c>
      <c r="T116" s="26"/>
      <c r="U116" s="7" t="str">
        <f aca="false">IF($R116&lt;&gt;"Best Fund","",COUNTIFS($R$6:$R$505,"Best Fund",$L$6:$L$505,"&gt;"&amp;$L116)+COUNTIFS($R$6:$R116,"Best Fund",$L$6:$L116,$L116))</f>
        <v/>
      </c>
      <c r="V116" s="7" t="str">
        <f aca="false">IF($R116&lt;&gt;"Need to Improve","",COUNTIFS($R$6:$R$505,"Need to Improve",$L$6:$L$505,"&lt;"&amp;$L116)+COUNTIFS($R$6:$R116,"Need to Improve",$L$6:$L116,$L116))</f>
        <v/>
      </c>
      <c r="W116" s="7" t="str">
        <f aca="false">IF($R116&lt;&gt;"Not Performing","",COUNTIFS($R$6:$R$505,"Not Performing",$L$6:$L$505,"&lt;"&amp;$L116)+COUNTIFS($R$6:$R116,"Not Performing",$L$6:$L116,$L116))</f>
        <v/>
      </c>
    </row>
    <row r="117" customFormat="false" ht="15" hidden="false" customHeight="true" outlineLevel="0" collapsed="false">
      <c r="A117" s="26"/>
      <c r="B117" s="26"/>
      <c r="C117" s="26"/>
      <c r="D117" s="27" t="str">
        <f aca="false">IF($C117="","",IFERROR(TRIM(LEFT($C117,FIND("-",$C117)-1)),""))</f>
        <v/>
      </c>
      <c r="E117" s="26"/>
      <c r="F117" s="28"/>
      <c r="G117" s="29"/>
      <c r="H117" s="29"/>
      <c r="I117" s="30" t="str">
        <f aca="false">IF($B117="","",$H117-$G117)</f>
        <v/>
      </c>
      <c r="J117" s="31" t="str">
        <f aca="false">IF(OR($B117="",$G117=0,$G117=""),"",$I117/$G117)</f>
        <v/>
      </c>
      <c r="K117" s="32"/>
      <c r="L117" s="32"/>
      <c r="M117" s="32"/>
      <c r="N117" s="32"/>
      <c r="O117" s="32"/>
      <c r="P117" s="31" t="str">
        <f aca="false">IF(OR($L117="",$N117=""),"",$L117-$N117)</f>
        <v/>
      </c>
      <c r="Q117" s="27" t="str">
        <f aca="false">IF($B117="","",IF(N($H117)&gt;0,"Live","Exited"))</f>
        <v/>
      </c>
      <c r="R117" s="27" t="str">
        <f aca="false">IF($B117="","",IF($L117="","Data Pending",IF($L117&gt;=Instructions!$D$19,"Best Fund",IF($L117&gt;=Instructions!$D$20,"Need to Improve","Not Performing"))))</f>
        <v/>
      </c>
      <c r="S117" s="7" t="str">
        <f aca="false">IF($R117="","",IF($R117="Data Pending","Enter the 3Y return",IF($R117="Best Fund","Hold / consider top-up",IF($R117="Need to Improve","Watch 2 quarters, then decide","Review with client - switch or exit"))))</f>
        <v/>
      </c>
      <c r="T117" s="26"/>
      <c r="U117" s="7" t="str">
        <f aca="false">IF($R117&lt;&gt;"Best Fund","",COUNTIFS($R$6:$R$505,"Best Fund",$L$6:$L$505,"&gt;"&amp;$L117)+COUNTIFS($R$6:$R117,"Best Fund",$L$6:$L117,$L117))</f>
        <v/>
      </c>
      <c r="V117" s="7" t="str">
        <f aca="false">IF($R117&lt;&gt;"Need to Improve","",COUNTIFS($R$6:$R$505,"Need to Improve",$L$6:$L$505,"&lt;"&amp;$L117)+COUNTIFS($R$6:$R117,"Need to Improve",$L$6:$L117,$L117))</f>
        <v/>
      </c>
      <c r="W117" s="7" t="str">
        <f aca="false">IF($R117&lt;&gt;"Not Performing","",COUNTIFS($R$6:$R$505,"Not Performing",$L$6:$L$505,"&lt;"&amp;$L117)+COUNTIFS($R$6:$R117,"Not Performing",$L$6:$L117,$L117))</f>
        <v/>
      </c>
    </row>
    <row r="118" customFormat="false" ht="15" hidden="false" customHeight="true" outlineLevel="0" collapsed="false">
      <c r="A118" s="26"/>
      <c r="B118" s="26"/>
      <c r="C118" s="26"/>
      <c r="D118" s="27" t="str">
        <f aca="false">IF($C118="","",IFERROR(TRIM(LEFT($C118,FIND("-",$C118)-1)),""))</f>
        <v/>
      </c>
      <c r="E118" s="26"/>
      <c r="F118" s="28"/>
      <c r="G118" s="29"/>
      <c r="H118" s="29"/>
      <c r="I118" s="30" t="str">
        <f aca="false">IF($B118="","",$H118-$G118)</f>
        <v/>
      </c>
      <c r="J118" s="31" t="str">
        <f aca="false">IF(OR($B118="",$G118=0,$G118=""),"",$I118/$G118)</f>
        <v/>
      </c>
      <c r="K118" s="32"/>
      <c r="L118" s="32"/>
      <c r="M118" s="32"/>
      <c r="N118" s="32"/>
      <c r="O118" s="32"/>
      <c r="P118" s="31" t="str">
        <f aca="false">IF(OR($L118="",$N118=""),"",$L118-$N118)</f>
        <v/>
      </c>
      <c r="Q118" s="27" t="str">
        <f aca="false">IF($B118="","",IF(N($H118)&gt;0,"Live","Exited"))</f>
        <v/>
      </c>
      <c r="R118" s="27" t="str">
        <f aca="false">IF($B118="","",IF($L118="","Data Pending",IF($L118&gt;=Instructions!$D$19,"Best Fund",IF($L118&gt;=Instructions!$D$20,"Need to Improve","Not Performing"))))</f>
        <v/>
      </c>
      <c r="S118" s="7" t="str">
        <f aca="false">IF($R118="","",IF($R118="Data Pending","Enter the 3Y return",IF($R118="Best Fund","Hold / consider top-up",IF($R118="Need to Improve","Watch 2 quarters, then decide","Review with client - switch or exit"))))</f>
        <v/>
      </c>
      <c r="T118" s="26"/>
      <c r="U118" s="7" t="str">
        <f aca="false">IF($R118&lt;&gt;"Best Fund","",COUNTIFS($R$6:$R$505,"Best Fund",$L$6:$L$505,"&gt;"&amp;$L118)+COUNTIFS($R$6:$R118,"Best Fund",$L$6:$L118,$L118))</f>
        <v/>
      </c>
      <c r="V118" s="7" t="str">
        <f aca="false">IF($R118&lt;&gt;"Need to Improve","",COUNTIFS($R$6:$R$505,"Need to Improve",$L$6:$L$505,"&lt;"&amp;$L118)+COUNTIFS($R$6:$R118,"Need to Improve",$L$6:$L118,$L118))</f>
        <v/>
      </c>
      <c r="W118" s="7" t="str">
        <f aca="false">IF($R118&lt;&gt;"Not Performing","",COUNTIFS($R$6:$R$505,"Not Performing",$L$6:$L$505,"&lt;"&amp;$L118)+COUNTIFS($R$6:$R118,"Not Performing",$L$6:$L118,$L118))</f>
        <v/>
      </c>
    </row>
    <row r="119" customFormat="false" ht="15" hidden="false" customHeight="true" outlineLevel="0" collapsed="false">
      <c r="A119" s="26"/>
      <c r="B119" s="26"/>
      <c r="C119" s="26"/>
      <c r="D119" s="27" t="str">
        <f aca="false">IF($C119="","",IFERROR(TRIM(LEFT($C119,FIND("-",$C119)-1)),""))</f>
        <v/>
      </c>
      <c r="E119" s="26"/>
      <c r="F119" s="28"/>
      <c r="G119" s="29"/>
      <c r="H119" s="29"/>
      <c r="I119" s="30" t="str">
        <f aca="false">IF($B119="","",$H119-$G119)</f>
        <v/>
      </c>
      <c r="J119" s="31" t="str">
        <f aca="false">IF(OR($B119="",$G119=0,$G119=""),"",$I119/$G119)</f>
        <v/>
      </c>
      <c r="K119" s="32"/>
      <c r="L119" s="32"/>
      <c r="M119" s="32"/>
      <c r="N119" s="32"/>
      <c r="O119" s="32"/>
      <c r="P119" s="31" t="str">
        <f aca="false">IF(OR($L119="",$N119=""),"",$L119-$N119)</f>
        <v/>
      </c>
      <c r="Q119" s="27" t="str">
        <f aca="false">IF($B119="","",IF(N($H119)&gt;0,"Live","Exited"))</f>
        <v/>
      </c>
      <c r="R119" s="27" t="str">
        <f aca="false">IF($B119="","",IF($L119="","Data Pending",IF($L119&gt;=Instructions!$D$19,"Best Fund",IF($L119&gt;=Instructions!$D$20,"Need to Improve","Not Performing"))))</f>
        <v/>
      </c>
      <c r="S119" s="7" t="str">
        <f aca="false">IF($R119="","",IF($R119="Data Pending","Enter the 3Y return",IF($R119="Best Fund","Hold / consider top-up",IF($R119="Need to Improve","Watch 2 quarters, then decide","Review with client - switch or exit"))))</f>
        <v/>
      </c>
      <c r="T119" s="26"/>
      <c r="U119" s="7" t="str">
        <f aca="false">IF($R119&lt;&gt;"Best Fund","",COUNTIFS($R$6:$R$505,"Best Fund",$L$6:$L$505,"&gt;"&amp;$L119)+COUNTIFS($R$6:$R119,"Best Fund",$L$6:$L119,$L119))</f>
        <v/>
      </c>
      <c r="V119" s="7" t="str">
        <f aca="false">IF($R119&lt;&gt;"Need to Improve","",COUNTIFS($R$6:$R$505,"Need to Improve",$L$6:$L$505,"&lt;"&amp;$L119)+COUNTIFS($R$6:$R119,"Need to Improve",$L$6:$L119,$L119))</f>
        <v/>
      </c>
      <c r="W119" s="7" t="str">
        <f aca="false">IF($R119&lt;&gt;"Not Performing","",COUNTIFS($R$6:$R$505,"Not Performing",$L$6:$L$505,"&lt;"&amp;$L119)+COUNTIFS($R$6:$R119,"Not Performing",$L$6:$L119,$L119))</f>
        <v/>
      </c>
    </row>
    <row r="120" customFormat="false" ht="15" hidden="false" customHeight="true" outlineLevel="0" collapsed="false">
      <c r="A120" s="26"/>
      <c r="B120" s="26"/>
      <c r="C120" s="26"/>
      <c r="D120" s="27" t="str">
        <f aca="false">IF($C120="","",IFERROR(TRIM(LEFT($C120,FIND("-",$C120)-1)),""))</f>
        <v/>
      </c>
      <c r="E120" s="26"/>
      <c r="F120" s="28"/>
      <c r="G120" s="29"/>
      <c r="H120" s="29"/>
      <c r="I120" s="30" t="str">
        <f aca="false">IF($B120="","",$H120-$G120)</f>
        <v/>
      </c>
      <c r="J120" s="31" t="str">
        <f aca="false">IF(OR($B120="",$G120=0,$G120=""),"",$I120/$G120)</f>
        <v/>
      </c>
      <c r="K120" s="32"/>
      <c r="L120" s="32"/>
      <c r="M120" s="32"/>
      <c r="N120" s="32"/>
      <c r="O120" s="32"/>
      <c r="P120" s="31" t="str">
        <f aca="false">IF(OR($L120="",$N120=""),"",$L120-$N120)</f>
        <v/>
      </c>
      <c r="Q120" s="27" t="str">
        <f aca="false">IF($B120="","",IF(N($H120)&gt;0,"Live","Exited"))</f>
        <v/>
      </c>
      <c r="R120" s="27" t="str">
        <f aca="false">IF($B120="","",IF($L120="","Data Pending",IF($L120&gt;=Instructions!$D$19,"Best Fund",IF($L120&gt;=Instructions!$D$20,"Need to Improve","Not Performing"))))</f>
        <v/>
      </c>
      <c r="S120" s="7" t="str">
        <f aca="false">IF($R120="","",IF($R120="Data Pending","Enter the 3Y return",IF($R120="Best Fund","Hold / consider top-up",IF($R120="Need to Improve","Watch 2 quarters, then decide","Review with client - switch or exit"))))</f>
        <v/>
      </c>
      <c r="T120" s="26"/>
      <c r="U120" s="7" t="str">
        <f aca="false">IF($R120&lt;&gt;"Best Fund","",COUNTIFS($R$6:$R$505,"Best Fund",$L$6:$L$505,"&gt;"&amp;$L120)+COUNTIFS($R$6:$R120,"Best Fund",$L$6:$L120,$L120))</f>
        <v/>
      </c>
      <c r="V120" s="7" t="str">
        <f aca="false">IF($R120&lt;&gt;"Need to Improve","",COUNTIFS($R$6:$R$505,"Need to Improve",$L$6:$L$505,"&lt;"&amp;$L120)+COUNTIFS($R$6:$R120,"Need to Improve",$L$6:$L120,$L120))</f>
        <v/>
      </c>
      <c r="W120" s="7" t="str">
        <f aca="false">IF($R120&lt;&gt;"Not Performing","",COUNTIFS($R$6:$R$505,"Not Performing",$L$6:$L$505,"&lt;"&amp;$L120)+COUNTIFS($R$6:$R120,"Not Performing",$L$6:$L120,$L120))</f>
        <v/>
      </c>
    </row>
    <row r="121" customFormat="false" ht="15" hidden="false" customHeight="true" outlineLevel="0" collapsed="false">
      <c r="A121" s="26"/>
      <c r="B121" s="26"/>
      <c r="C121" s="26"/>
      <c r="D121" s="27" t="str">
        <f aca="false">IF($C121="","",IFERROR(TRIM(LEFT($C121,FIND("-",$C121)-1)),""))</f>
        <v/>
      </c>
      <c r="E121" s="26"/>
      <c r="F121" s="28"/>
      <c r="G121" s="29"/>
      <c r="H121" s="29"/>
      <c r="I121" s="30" t="str">
        <f aca="false">IF($B121="","",$H121-$G121)</f>
        <v/>
      </c>
      <c r="J121" s="31" t="str">
        <f aca="false">IF(OR($B121="",$G121=0,$G121=""),"",$I121/$G121)</f>
        <v/>
      </c>
      <c r="K121" s="32"/>
      <c r="L121" s="32"/>
      <c r="M121" s="32"/>
      <c r="N121" s="32"/>
      <c r="O121" s="32"/>
      <c r="P121" s="31" t="str">
        <f aca="false">IF(OR($L121="",$N121=""),"",$L121-$N121)</f>
        <v/>
      </c>
      <c r="Q121" s="27" t="str">
        <f aca="false">IF($B121="","",IF(N($H121)&gt;0,"Live","Exited"))</f>
        <v/>
      </c>
      <c r="R121" s="27" t="str">
        <f aca="false">IF($B121="","",IF($L121="","Data Pending",IF($L121&gt;=Instructions!$D$19,"Best Fund",IF($L121&gt;=Instructions!$D$20,"Need to Improve","Not Performing"))))</f>
        <v/>
      </c>
      <c r="S121" s="7" t="str">
        <f aca="false">IF($R121="","",IF($R121="Data Pending","Enter the 3Y return",IF($R121="Best Fund","Hold / consider top-up",IF($R121="Need to Improve","Watch 2 quarters, then decide","Review with client - switch or exit"))))</f>
        <v/>
      </c>
      <c r="T121" s="26"/>
      <c r="U121" s="7" t="str">
        <f aca="false">IF($R121&lt;&gt;"Best Fund","",COUNTIFS($R$6:$R$505,"Best Fund",$L$6:$L$505,"&gt;"&amp;$L121)+COUNTIFS($R$6:$R121,"Best Fund",$L$6:$L121,$L121))</f>
        <v/>
      </c>
      <c r="V121" s="7" t="str">
        <f aca="false">IF($R121&lt;&gt;"Need to Improve","",COUNTIFS($R$6:$R$505,"Need to Improve",$L$6:$L$505,"&lt;"&amp;$L121)+COUNTIFS($R$6:$R121,"Need to Improve",$L$6:$L121,$L121))</f>
        <v/>
      </c>
      <c r="W121" s="7" t="str">
        <f aca="false">IF($R121&lt;&gt;"Not Performing","",COUNTIFS($R$6:$R$505,"Not Performing",$L$6:$L$505,"&lt;"&amp;$L121)+COUNTIFS($R$6:$R121,"Not Performing",$L$6:$L121,$L121))</f>
        <v/>
      </c>
    </row>
    <row r="122" customFormat="false" ht="15" hidden="false" customHeight="true" outlineLevel="0" collapsed="false">
      <c r="A122" s="26"/>
      <c r="B122" s="26"/>
      <c r="C122" s="26"/>
      <c r="D122" s="27" t="str">
        <f aca="false">IF($C122="","",IFERROR(TRIM(LEFT($C122,FIND("-",$C122)-1)),""))</f>
        <v/>
      </c>
      <c r="E122" s="26"/>
      <c r="F122" s="28"/>
      <c r="G122" s="29"/>
      <c r="H122" s="29"/>
      <c r="I122" s="30" t="str">
        <f aca="false">IF($B122="","",$H122-$G122)</f>
        <v/>
      </c>
      <c r="J122" s="31" t="str">
        <f aca="false">IF(OR($B122="",$G122=0,$G122=""),"",$I122/$G122)</f>
        <v/>
      </c>
      <c r="K122" s="32"/>
      <c r="L122" s="32"/>
      <c r="M122" s="32"/>
      <c r="N122" s="32"/>
      <c r="O122" s="32"/>
      <c r="P122" s="31" t="str">
        <f aca="false">IF(OR($L122="",$N122=""),"",$L122-$N122)</f>
        <v/>
      </c>
      <c r="Q122" s="27" t="str">
        <f aca="false">IF($B122="","",IF(N($H122)&gt;0,"Live","Exited"))</f>
        <v/>
      </c>
      <c r="R122" s="27" t="str">
        <f aca="false">IF($B122="","",IF($L122="","Data Pending",IF($L122&gt;=Instructions!$D$19,"Best Fund",IF($L122&gt;=Instructions!$D$20,"Need to Improve","Not Performing"))))</f>
        <v/>
      </c>
      <c r="S122" s="7" t="str">
        <f aca="false">IF($R122="","",IF($R122="Data Pending","Enter the 3Y return",IF($R122="Best Fund","Hold / consider top-up",IF($R122="Need to Improve","Watch 2 quarters, then decide","Review with client - switch or exit"))))</f>
        <v/>
      </c>
      <c r="T122" s="26"/>
      <c r="U122" s="7" t="str">
        <f aca="false">IF($R122&lt;&gt;"Best Fund","",COUNTIFS($R$6:$R$505,"Best Fund",$L$6:$L$505,"&gt;"&amp;$L122)+COUNTIFS($R$6:$R122,"Best Fund",$L$6:$L122,$L122))</f>
        <v/>
      </c>
      <c r="V122" s="7" t="str">
        <f aca="false">IF($R122&lt;&gt;"Need to Improve","",COUNTIFS($R$6:$R$505,"Need to Improve",$L$6:$L$505,"&lt;"&amp;$L122)+COUNTIFS($R$6:$R122,"Need to Improve",$L$6:$L122,$L122))</f>
        <v/>
      </c>
      <c r="W122" s="7" t="str">
        <f aca="false">IF($R122&lt;&gt;"Not Performing","",COUNTIFS($R$6:$R$505,"Not Performing",$L$6:$L$505,"&lt;"&amp;$L122)+COUNTIFS($R$6:$R122,"Not Performing",$L$6:$L122,$L122))</f>
        <v/>
      </c>
    </row>
    <row r="123" customFormat="false" ht="15" hidden="false" customHeight="true" outlineLevel="0" collapsed="false">
      <c r="A123" s="26"/>
      <c r="B123" s="26"/>
      <c r="C123" s="26"/>
      <c r="D123" s="27" t="str">
        <f aca="false">IF($C123="","",IFERROR(TRIM(LEFT($C123,FIND("-",$C123)-1)),""))</f>
        <v/>
      </c>
      <c r="E123" s="26"/>
      <c r="F123" s="28"/>
      <c r="G123" s="29"/>
      <c r="H123" s="29"/>
      <c r="I123" s="30" t="str">
        <f aca="false">IF($B123="","",$H123-$G123)</f>
        <v/>
      </c>
      <c r="J123" s="31" t="str">
        <f aca="false">IF(OR($B123="",$G123=0,$G123=""),"",$I123/$G123)</f>
        <v/>
      </c>
      <c r="K123" s="32"/>
      <c r="L123" s="32"/>
      <c r="M123" s="32"/>
      <c r="N123" s="32"/>
      <c r="O123" s="32"/>
      <c r="P123" s="31" t="str">
        <f aca="false">IF(OR($L123="",$N123=""),"",$L123-$N123)</f>
        <v/>
      </c>
      <c r="Q123" s="27" t="str">
        <f aca="false">IF($B123="","",IF(N($H123)&gt;0,"Live","Exited"))</f>
        <v/>
      </c>
      <c r="R123" s="27" t="str">
        <f aca="false">IF($B123="","",IF($L123="","Data Pending",IF($L123&gt;=Instructions!$D$19,"Best Fund",IF($L123&gt;=Instructions!$D$20,"Need to Improve","Not Performing"))))</f>
        <v/>
      </c>
      <c r="S123" s="7" t="str">
        <f aca="false">IF($R123="","",IF($R123="Data Pending","Enter the 3Y return",IF($R123="Best Fund","Hold / consider top-up",IF($R123="Need to Improve","Watch 2 quarters, then decide","Review with client - switch or exit"))))</f>
        <v/>
      </c>
      <c r="T123" s="26"/>
      <c r="U123" s="7" t="str">
        <f aca="false">IF($R123&lt;&gt;"Best Fund","",COUNTIFS($R$6:$R$505,"Best Fund",$L$6:$L$505,"&gt;"&amp;$L123)+COUNTIFS($R$6:$R123,"Best Fund",$L$6:$L123,$L123))</f>
        <v/>
      </c>
      <c r="V123" s="7" t="str">
        <f aca="false">IF($R123&lt;&gt;"Need to Improve","",COUNTIFS($R$6:$R$505,"Need to Improve",$L$6:$L$505,"&lt;"&amp;$L123)+COUNTIFS($R$6:$R123,"Need to Improve",$L$6:$L123,$L123))</f>
        <v/>
      </c>
      <c r="W123" s="7" t="str">
        <f aca="false">IF($R123&lt;&gt;"Not Performing","",COUNTIFS($R$6:$R$505,"Not Performing",$L$6:$L$505,"&lt;"&amp;$L123)+COUNTIFS($R$6:$R123,"Not Performing",$L$6:$L123,$L123))</f>
        <v/>
      </c>
    </row>
    <row r="124" customFormat="false" ht="15" hidden="false" customHeight="true" outlineLevel="0" collapsed="false">
      <c r="A124" s="26"/>
      <c r="B124" s="26"/>
      <c r="C124" s="26"/>
      <c r="D124" s="27" t="str">
        <f aca="false">IF($C124="","",IFERROR(TRIM(LEFT($C124,FIND("-",$C124)-1)),""))</f>
        <v/>
      </c>
      <c r="E124" s="26"/>
      <c r="F124" s="28"/>
      <c r="G124" s="29"/>
      <c r="H124" s="29"/>
      <c r="I124" s="30" t="str">
        <f aca="false">IF($B124="","",$H124-$G124)</f>
        <v/>
      </c>
      <c r="J124" s="31" t="str">
        <f aca="false">IF(OR($B124="",$G124=0,$G124=""),"",$I124/$G124)</f>
        <v/>
      </c>
      <c r="K124" s="32"/>
      <c r="L124" s="32"/>
      <c r="M124" s="32"/>
      <c r="N124" s="32"/>
      <c r="O124" s="32"/>
      <c r="P124" s="31" t="str">
        <f aca="false">IF(OR($L124="",$N124=""),"",$L124-$N124)</f>
        <v/>
      </c>
      <c r="Q124" s="27" t="str">
        <f aca="false">IF($B124="","",IF(N($H124)&gt;0,"Live","Exited"))</f>
        <v/>
      </c>
      <c r="R124" s="27" t="str">
        <f aca="false">IF($B124="","",IF($L124="","Data Pending",IF($L124&gt;=Instructions!$D$19,"Best Fund",IF($L124&gt;=Instructions!$D$20,"Need to Improve","Not Performing"))))</f>
        <v/>
      </c>
      <c r="S124" s="7" t="str">
        <f aca="false">IF($R124="","",IF($R124="Data Pending","Enter the 3Y return",IF($R124="Best Fund","Hold / consider top-up",IF($R124="Need to Improve","Watch 2 quarters, then decide","Review with client - switch or exit"))))</f>
        <v/>
      </c>
      <c r="T124" s="26"/>
      <c r="U124" s="7" t="str">
        <f aca="false">IF($R124&lt;&gt;"Best Fund","",COUNTIFS($R$6:$R$505,"Best Fund",$L$6:$L$505,"&gt;"&amp;$L124)+COUNTIFS($R$6:$R124,"Best Fund",$L$6:$L124,$L124))</f>
        <v/>
      </c>
      <c r="V124" s="7" t="str">
        <f aca="false">IF($R124&lt;&gt;"Need to Improve","",COUNTIFS($R$6:$R$505,"Need to Improve",$L$6:$L$505,"&lt;"&amp;$L124)+COUNTIFS($R$6:$R124,"Need to Improve",$L$6:$L124,$L124))</f>
        <v/>
      </c>
      <c r="W124" s="7" t="str">
        <f aca="false">IF($R124&lt;&gt;"Not Performing","",COUNTIFS($R$6:$R$505,"Not Performing",$L$6:$L$505,"&lt;"&amp;$L124)+COUNTIFS($R$6:$R124,"Not Performing",$L$6:$L124,$L124))</f>
        <v/>
      </c>
    </row>
    <row r="125" customFormat="false" ht="15" hidden="false" customHeight="true" outlineLevel="0" collapsed="false">
      <c r="A125" s="26"/>
      <c r="B125" s="26"/>
      <c r="C125" s="26"/>
      <c r="D125" s="27" t="str">
        <f aca="false">IF($C125="","",IFERROR(TRIM(LEFT($C125,FIND("-",$C125)-1)),""))</f>
        <v/>
      </c>
      <c r="E125" s="26"/>
      <c r="F125" s="28"/>
      <c r="G125" s="29"/>
      <c r="H125" s="29"/>
      <c r="I125" s="30" t="str">
        <f aca="false">IF($B125="","",$H125-$G125)</f>
        <v/>
      </c>
      <c r="J125" s="31" t="str">
        <f aca="false">IF(OR($B125="",$G125=0,$G125=""),"",$I125/$G125)</f>
        <v/>
      </c>
      <c r="K125" s="32"/>
      <c r="L125" s="32"/>
      <c r="M125" s="32"/>
      <c r="N125" s="32"/>
      <c r="O125" s="32"/>
      <c r="P125" s="31" t="str">
        <f aca="false">IF(OR($L125="",$N125=""),"",$L125-$N125)</f>
        <v/>
      </c>
      <c r="Q125" s="27" t="str">
        <f aca="false">IF($B125="","",IF(N($H125)&gt;0,"Live","Exited"))</f>
        <v/>
      </c>
      <c r="R125" s="27" t="str">
        <f aca="false">IF($B125="","",IF($L125="","Data Pending",IF($L125&gt;=Instructions!$D$19,"Best Fund",IF($L125&gt;=Instructions!$D$20,"Need to Improve","Not Performing"))))</f>
        <v/>
      </c>
      <c r="S125" s="7" t="str">
        <f aca="false">IF($R125="","",IF($R125="Data Pending","Enter the 3Y return",IF($R125="Best Fund","Hold / consider top-up",IF($R125="Need to Improve","Watch 2 quarters, then decide","Review with client - switch or exit"))))</f>
        <v/>
      </c>
      <c r="T125" s="26"/>
      <c r="U125" s="7" t="str">
        <f aca="false">IF($R125&lt;&gt;"Best Fund","",COUNTIFS($R$6:$R$505,"Best Fund",$L$6:$L$505,"&gt;"&amp;$L125)+COUNTIFS($R$6:$R125,"Best Fund",$L$6:$L125,$L125))</f>
        <v/>
      </c>
      <c r="V125" s="7" t="str">
        <f aca="false">IF($R125&lt;&gt;"Need to Improve","",COUNTIFS($R$6:$R$505,"Need to Improve",$L$6:$L$505,"&lt;"&amp;$L125)+COUNTIFS($R$6:$R125,"Need to Improve",$L$6:$L125,$L125))</f>
        <v/>
      </c>
      <c r="W125" s="7" t="str">
        <f aca="false">IF($R125&lt;&gt;"Not Performing","",COUNTIFS($R$6:$R$505,"Not Performing",$L$6:$L$505,"&lt;"&amp;$L125)+COUNTIFS($R$6:$R125,"Not Performing",$L$6:$L125,$L125))</f>
        <v/>
      </c>
    </row>
    <row r="126" customFormat="false" ht="15" hidden="false" customHeight="true" outlineLevel="0" collapsed="false">
      <c r="A126" s="26"/>
      <c r="B126" s="26"/>
      <c r="C126" s="26"/>
      <c r="D126" s="27" t="str">
        <f aca="false">IF($C126="","",IFERROR(TRIM(LEFT($C126,FIND("-",$C126)-1)),""))</f>
        <v/>
      </c>
      <c r="E126" s="26"/>
      <c r="F126" s="28"/>
      <c r="G126" s="29"/>
      <c r="H126" s="29"/>
      <c r="I126" s="30" t="str">
        <f aca="false">IF($B126="","",$H126-$G126)</f>
        <v/>
      </c>
      <c r="J126" s="31" t="str">
        <f aca="false">IF(OR($B126="",$G126=0,$G126=""),"",$I126/$G126)</f>
        <v/>
      </c>
      <c r="K126" s="32"/>
      <c r="L126" s="32"/>
      <c r="M126" s="32"/>
      <c r="N126" s="32"/>
      <c r="O126" s="32"/>
      <c r="P126" s="31" t="str">
        <f aca="false">IF(OR($L126="",$N126=""),"",$L126-$N126)</f>
        <v/>
      </c>
      <c r="Q126" s="27" t="str">
        <f aca="false">IF($B126="","",IF(N($H126)&gt;0,"Live","Exited"))</f>
        <v/>
      </c>
      <c r="R126" s="27" t="str">
        <f aca="false">IF($B126="","",IF($L126="","Data Pending",IF($L126&gt;=Instructions!$D$19,"Best Fund",IF($L126&gt;=Instructions!$D$20,"Need to Improve","Not Performing"))))</f>
        <v/>
      </c>
      <c r="S126" s="7" t="str">
        <f aca="false">IF($R126="","",IF($R126="Data Pending","Enter the 3Y return",IF($R126="Best Fund","Hold / consider top-up",IF($R126="Need to Improve","Watch 2 quarters, then decide","Review with client - switch or exit"))))</f>
        <v/>
      </c>
      <c r="T126" s="26"/>
      <c r="U126" s="7" t="str">
        <f aca="false">IF($R126&lt;&gt;"Best Fund","",COUNTIFS($R$6:$R$505,"Best Fund",$L$6:$L$505,"&gt;"&amp;$L126)+COUNTIFS($R$6:$R126,"Best Fund",$L$6:$L126,$L126))</f>
        <v/>
      </c>
      <c r="V126" s="7" t="str">
        <f aca="false">IF($R126&lt;&gt;"Need to Improve","",COUNTIFS($R$6:$R$505,"Need to Improve",$L$6:$L$505,"&lt;"&amp;$L126)+COUNTIFS($R$6:$R126,"Need to Improve",$L$6:$L126,$L126))</f>
        <v/>
      </c>
      <c r="W126" s="7" t="str">
        <f aca="false">IF($R126&lt;&gt;"Not Performing","",COUNTIFS($R$6:$R$505,"Not Performing",$L$6:$L$505,"&lt;"&amp;$L126)+COUNTIFS($R$6:$R126,"Not Performing",$L$6:$L126,$L126))</f>
        <v/>
      </c>
    </row>
    <row r="127" customFormat="false" ht="15" hidden="false" customHeight="true" outlineLevel="0" collapsed="false">
      <c r="A127" s="26"/>
      <c r="B127" s="26"/>
      <c r="C127" s="26"/>
      <c r="D127" s="27" t="str">
        <f aca="false">IF($C127="","",IFERROR(TRIM(LEFT($C127,FIND("-",$C127)-1)),""))</f>
        <v/>
      </c>
      <c r="E127" s="26"/>
      <c r="F127" s="28"/>
      <c r="G127" s="29"/>
      <c r="H127" s="29"/>
      <c r="I127" s="30" t="str">
        <f aca="false">IF($B127="","",$H127-$G127)</f>
        <v/>
      </c>
      <c r="J127" s="31" t="str">
        <f aca="false">IF(OR($B127="",$G127=0,$G127=""),"",$I127/$G127)</f>
        <v/>
      </c>
      <c r="K127" s="32"/>
      <c r="L127" s="32"/>
      <c r="M127" s="32"/>
      <c r="N127" s="32"/>
      <c r="O127" s="32"/>
      <c r="P127" s="31" t="str">
        <f aca="false">IF(OR($L127="",$N127=""),"",$L127-$N127)</f>
        <v/>
      </c>
      <c r="Q127" s="27" t="str">
        <f aca="false">IF($B127="","",IF(N($H127)&gt;0,"Live","Exited"))</f>
        <v/>
      </c>
      <c r="R127" s="27" t="str">
        <f aca="false">IF($B127="","",IF($L127="","Data Pending",IF($L127&gt;=Instructions!$D$19,"Best Fund",IF($L127&gt;=Instructions!$D$20,"Need to Improve","Not Performing"))))</f>
        <v/>
      </c>
      <c r="S127" s="7" t="str">
        <f aca="false">IF($R127="","",IF($R127="Data Pending","Enter the 3Y return",IF($R127="Best Fund","Hold / consider top-up",IF($R127="Need to Improve","Watch 2 quarters, then decide","Review with client - switch or exit"))))</f>
        <v/>
      </c>
      <c r="T127" s="26"/>
      <c r="U127" s="7" t="str">
        <f aca="false">IF($R127&lt;&gt;"Best Fund","",COUNTIFS($R$6:$R$505,"Best Fund",$L$6:$L$505,"&gt;"&amp;$L127)+COUNTIFS($R$6:$R127,"Best Fund",$L$6:$L127,$L127))</f>
        <v/>
      </c>
      <c r="V127" s="7" t="str">
        <f aca="false">IF($R127&lt;&gt;"Need to Improve","",COUNTIFS($R$6:$R$505,"Need to Improve",$L$6:$L$505,"&lt;"&amp;$L127)+COUNTIFS($R$6:$R127,"Need to Improve",$L$6:$L127,$L127))</f>
        <v/>
      </c>
      <c r="W127" s="7" t="str">
        <f aca="false">IF($R127&lt;&gt;"Not Performing","",COUNTIFS($R$6:$R$505,"Not Performing",$L$6:$L$505,"&lt;"&amp;$L127)+COUNTIFS($R$6:$R127,"Not Performing",$L$6:$L127,$L127))</f>
        <v/>
      </c>
    </row>
    <row r="128" customFormat="false" ht="15" hidden="false" customHeight="true" outlineLevel="0" collapsed="false">
      <c r="A128" s="26"/>
      <c r="B128" s="26"/>
      <c r="C128" s="26"/>
      <c r="D128" s="27" t="str">
        <f aca="false">IF($C128="","",IFERROR(TRIM(LEFT($C128,FIND("-",$C128)-1)),""))</f>
        <v/>
      </c>
      <c r="E128" s="26"/>
      <c r="F128" s="28"/>
      <c r="G128" s="29"/>
      <c r="H128" s="29"/>
      <c r="I128" s="30" t="str">
        <f aca="false">IF($B128="","",$H128-$G128)</f>
        <v/>
      </c>
      <c r="J128" s="31" t="str">
        <f aca="false">IF(OR($B128="",$G128=0,$G128=""),"",$I128/$G128)</f>
        <v/>
      </c>
      <c r="K128" s="32"/>
      <c r="L128" s="32"/>
      <c r="M128" s="32"/>
      <c r="N128" s="32"/>
      <c r="O128" s="32"/>
      <c r="P128" s="31" t="str">
        <f aca="false">IF(OR($L128="",$N128=""),"",$L128-$N128)</f>
        <v/>
      </c>
      <c r="Q128" s="27" t="str">
        <f aca="false">IF($B128="","",IF(N($H128)&gt;0,"Live","Exited"))</f>
        <v/>
      </c>
      <c r="R128" s="27" t="str">
        <f aca="false">IF($B128="","",IF($L128="","Data Pending",IF($L128&gt;=Instructions!$D$19,"Best Fund",IF($L128&gt;=Instructions!$D$20,"Need to Improve","Not Performing"))))</f>
        <v/>
      </c>
      <c r="S128" s="7" t="str">
        <f aca="false">IF($R128="","",IF($R128="Data Pending","Enter the 3Y return",IF($R128="Best Fund","Hold / consider top-up",IF($R128="Need to Improve","Watch 2 quarters, then decide","Review with client - switch or exit"))))</f>
        <v/>
      </c>
      <c r="T128" s="26"/>
      <c r="U128" s="7" t="str">
        <f aca="false">IF($R128&lt;&gt;"Best Fund","",COUNTIFS($R$6:$R$505,"Best Fund",$L$6:$L$505,"&gt;"&amp;$L128)+COUNTIFS($R$6:$R128,"Best Fund",$L$6:$L128,$L128))</f>
        <v/>
      </c>
      <c r="V128" s="7" t="str">
        <f aca="false">IF($R128&lt;&gt;"Need to Improve","",COUNTIFS($R$6:$R$505,"Need to Improve",$L$6:$L$505,"&lt;"&amp;$L128)+COUNTIFS($R$6:$R128,"Need to Improve",$L$6:$L128,$L128))</f>
        <v/>
      </c>
      <c r="W128" s="7" t="str">
        <f aca="false">IF($R128&lt;&gt;"Not Performing","",COUNTIFS($R$6:$R$505,"Not Performing",$L$6:$L$505,"&lt;"&amp;$L128)+COUNTIFS($R$6:$R128,"Not Performing",$L$6:$L128,$L128))</f>
        <v/>
      </c>
    </row>
    <row r="129" customFormat="false" ht="15" hidden="false" customHeight="true" outlineLevel="0" collapsed="false">
      <c r="A129" s="26"/>
      <c r="B129" s="26"/>
      <c r="C129" s="26"/>
      <c r="D129" s="27" t="str">
        <f aca="false">IF($C129="","",IFERROR(TRIM(LEFT($C129,FIND("-",$C129)-1)),""))</f>
        <v/>
      </c>
      <c r="E129" s="26"/>
      <c r="F129" s="28"/>
      <c r="G129" s="29"/>
      <c r="H129" s="29"/>
      <c r="I129" s="30" t="str">
        <f aca="false">IF($B129="","",$H129-$G129)</f>
        <v/>
      </c>
      <c r="J129" s="31" t="str">
        <f aca="false">IF(OR($B129="",$G129=0,$G129=""),"",$I129/$G129)</f>
        <v/>
      </c>
      <c r="K129" s="32"/>
      <c r="L129" s="32"/>
      <c r="M129" s="32"/>
      <c r="N129" s="32"/>
      <c r="O129" s="32"/>
      <c r="P129" s="31" t="str">
        <f aca="false">IF(OR($L129="",$N129=""),"",$L129-$N129)</f>
        <v/>
      </c>
      <c r="Q129" s="27" t="str">
        <f aca="false">IF($B129="","",IF(N($H129)&gt;0,"Live","Exited"))</f>
        <v/>
      </c>
      <c r="R129" s="27" t="str">
        <f aca="false">IF($B129="","",IF($L129="","Data Pending",IF($L129&gt;=Instructions!$D$19,"Best Fund",IF($L129&gt;=Instructions!$D$20,"Need to Improve","Not Performing"))))</f>
        <v/>
      </c>
      <c r="S129" s="7" t="str">
        <f aca="false">IF($R129="","",IF($R129="Data Pending","Enter the 3Y return",IF($R129="Best Fund","Hold / consider top-up",IF($R129="Need to Improve","Watch 2 quarters, then decide","Review with client - switch or exit"))))</f>
        <v/>
      </c>
      <c r="T129" s="26"/>
      <c r="U129" s="7" t="str">
        <f aca="false">IF($R129&lt;&gt;"Best Fund","",COUNTIFS($R$6:$R$505,"Best Fund",$L$6:$L$505,"&gt;"&amp;$L129)+COUNTIFS($R$6:$R129,"Best Fund",$L$6:$L129,$L129))</f>
        <v/>
      </c>
      <c r="V129" s="7" t="str">
        <f aca="false">IF($R129&lt;&gt;"Need to Improve","",COUNTIFS($R$6:$R$505,"Need to Improve",$L$6:$L$505,"&lt;"&amp;$L129)+COUNTIFS($R$6:$R129,"Need to Improve",$L$6:$L129,$L129))</f>
        <v/>
      </c>
      <c r="W129" s="7" t="str">
        <f aca="false">IF($R129&lt;&gt;"Not Performing","",COUNTIFS($R$6:$R$505,"Not Performing",$L$6:$L$505,"&lt;"&amp;$L129)+COUNTIFS($R$6:$R129,"Not Performing",$L$6:$L129,$L129))</f>
        <v/>
      </c>
    </row>
    <row r="130" customFormat="false" ht="15" hidden="false" customHeight="true" outlineLevel="0" collapsed="false">
      <c r="A130" s="26"/>
      <c r="B130" s="26"/>
      <c r="C130" s="26"/>
      <c r="D130" s="27" t="str">
        <f aca="false">IF($C130="","",IFERROR(TRIM(LEFT($C130,FIND("-",$C130)-1)),""))</f>
        <v/>
      </c>
      <c r="E130" s="26"/>
      <c r="F130" s="28"/>
      <c r="G130" s="29"/>
      <c r="H130" s="29"/>
      <c r="I130" s="30" t="str">
        <f aca="false">IF($B130="","",$H130-$G130)</f>
        <v/>
      </c>
      <c r="J130" s="31" t="str">
        <f aca="false">IF(OR($B130="",$G130=0,$G130=""),"",$I130/$G130)</f>
        <v/>
      </c>
      <c r="K130" s="32"/>
      <c r="L130" s="32"/>
      <c r="M130" s="32"/>
      <c r="N130" s="32"/>
      <c r="O130" s="32"/>
      <c r="P130" s="31" t="str">
        <f aca="false">IF(OR($L130="",$N130=""),"",$L130-$N130)</f>
        <v/>
      </c>
      <c r="Q130" s="27" t="str">
        <f aca="false">IF($B130="","",IF(N($H130)&gt;0,"Live","Exited"))</f>
        <v/>
      </c>
      <c r="R130" s="27" t="str">
        <f aca="false">IF($B130="","",IF($L130="","Data Pending",IF($L130&gt;=Instructions!$D$19,"Best Fund",IF($L130&gt;=Instructions!$D$20,"Need to Improve","Not Performing"))))</f>
        <v/>
      </c>
      <c r="S130" s="7" t="str">
        <f aca="false">IF($R130="","",IF($R130="Data Pending","Enter the 3Y return",IF($R130="Best Fund","Hold / consider top-up",IF($R130="Need to Improve","Watch 2 quarters, then decide","Review with client - switch or exit"))))</f>
        <v/>
      </c>
      <c r="T130" s="26"/>
      <c r="U130" s="7" t="str">
        <f aca="false">IF($R130&lt;&gt;"Best Fund","",COUNTIFS($R$6:$R$505,"Best Fund",$L$6:$L$505,"&gt;"&amp;$L130)+COUNTIFS($R$6:$R130,"Best Fund",$L$6:$L130,$L130))</f>
        <v/>
      </c>
      <c r="V130" s="7" t="str">
        <f aca="false">IF($R130&lt;&gt;"Need to Improve","",COUNTIFS($R$6:$R$505,"Need to Improve",$L$6:$L$505,"&lt;"&amp;$L130)+COUNTIFS($R$6:$R130,"Need to Improve",$L$6:$L130,$L130))</f>
        <v/>
      </c>
      <c r="W130" s="7" t="str">
        <f aca="false">IF($R130&lt;&gt;"Not Performing","",COUNTIFS($R$6:$R$505,"Not Performing",$L$6:$L$505,"&lt;"&amp;$L130)+COUNTIFS($R$6:$R130,"Not Performing",$L$6:$L130,$L130))</f>
        <v/>
      </c>
    </row>
    <row r="131" customFormat="false" ht="15" hidden="false" customHeight="true" outlineLevel="0" collapsed="false">
      <c r="A131" s="26"/>
      <c r="B131" s="26"/>
      <c r="C131" s="26"/>
      <c r="D131" s="27" t="str">
        <f aca="false">IF($C131="","",IFERROR(TRIM(LEFT($C131,FIND("-",$C131)-1)),""))</f>
        <v/>
      </c>
      <c r="E131" s="26"/>
      <c r="F131" s="28"/>
      <c r="G131" s="29"/>
      <c r="H131" s="29"/>
      <c r="I131" s="30" t="str">
        <f aca="false">IF($B131="","",$H131-$G131)</f>
        <v/>
      </c>
      <c r="J131" s="31" t="str">
        <f aca="false">IF(OR($B131="",$G131=0,$G131=""),"",$I131/$G131)</f>
        <v/>
      </c>
      <c r="K131" s="32"/>
      <c r="L131" s="32"/>
      <c r="M131" s="32"/>
      <c r="N131" s="32"/>
      <c r="O131" s="32"/>
      <c r="P131" s="31" t="str">
        <f aca="false">IF(OR($L131="",$N131=""),"",$L131-$N131)</f>
        <v/>
      </c>
      <c r="Q131" s="27" t="str">
        <f aca="false">IF($B131="","",IF(N($H131)&gt;0,"Live","Exited"))</f>
        <v/>
      </c>
      <c r="R131" s="27" t="str">
        <f aca="false">IF($B131="","",IF($L131="","Data Pending",IF($L131&gt;=Instructions!$D$19,"Best Fund",IF($L131&gt;=Instructions!$D$20,"Need to Improve","Not Performing"))))</f>
        <v/>
      </c>
      <c r="S131" s="7" t="str">
        <f aca="false">IF($R131="","",IF($R131="Data Pending","Enter the 3Y return",IF($R131="Best Fund","Hold / consider top-up",IF($R131="Need to Improve","Watch 2 quarters, then decide","Review with client - switch or exit"))))</f>
        <v/>
      </c>
      <c r="T131" s="26"/>
      <c r="U131" s="7" t="str">
        <f aca="false">IF($R131&lt;&gt;"Best Fund","",COUNTIFS($R$6:$R$505,"Best Fund",$L$6:$L$505,"&gt;"&amp;$L131)+COUNTIFS($R$6:$R131,"Best Fund",$L$6:$L131,$L131))</f>
        <v/>
      </c>
      <c r="V131" s="7" t="str">
        <f aca="false">IF($R131&lt;&gt;"Need to Improve","",COUNTIFS($R$6:$R$505,"Need to Improve",$L$6:$L$505,"&lt;"&amp;$L131)+COUNTIFS($R$6:$R131,"Need to Improve",$L$6:$L131,$L131))</f>
        <v/>
      </c>
      <c r="W131" s="7" t="str">
        <f aca="false">IF($R131&lt;&gt;"Not Performing","",COUNTIFS($R$6:$R$505,"Not Performing",$L$6:$L$505,"&lt;"&amp;$L131)+COUNTIFS($R$6:$R131,"Not Performing",$L$6:$L131,$L131))</f>
        <v/>
      </c>
    </row>
    <row r="132" customFormat="false" ht="15" hidden="false" customHeight="true" outlineLevel="0" collapsed="false">
      <c r="A132" s="26"/>
      <c r="B132" s="26"/>
      <c r="C132" s="26"/>
      <c r="D132" s="27" t="str">
        <f aca="false">IF($C132="","",IFERROR(TRIM(LEFT($C132,FIND("-",$C132)-1)),""))</f>
        <v/>
      </c>
      <c r="E132" s="26"/>
      <c r="F132" s="28"/>
      <c r="G132" s="29"/>
      <c r="H132" s="29"/>
      <c r="I132" s="30" t="str">
        <f aca="false">IF($B132="","",$H132-$G132)</f>
        <v/>
      </c>
      <c r="J132" s="31" t="str">
        <f aca="false">IF(OR($B132="",$G132=0,$G132=""),"",$I132/$G132)</f>
        <v/>
      </c>
      <c r="K132" s="32"/>
      <c r="L132" s="32"/>
      <c r="M132" s="32"/>
      <c r="N132" s="32"/>
      <c r="O132" s="32"/>
      <c r="P132" s="31" t="str">
        <f aca="false">IF(OR($L132="",$N132=""),"",$L132-$N132)</f>
        <v/>
      </c>
      <c r="Q132" s="27" t="str">
        <f aca="false">IF($B132="","",IF(N($H132)&gt;0,"Live","Exited"))</f>
        <v/>
      </c>
      <c r="R132" s="27" t="str">
        <f aca="false">IF($B132="","",IF($L132="","Data Pending",IF($L132&gt;=Instructions!$D$19,"Best Fund",IF($L132&gt;=Instructions!$D$20,"Need to Improve","Not Performing"))))</f>
        <v/>
      </c>
      <c r="S132" s="7" t="str">
        <f aca="false">IF($R132="","",IF($R132="Data Pending","Enter the 3Y return",IF($R132="Best Fund","Hold / consider top-up",IF($R132="Need to Improve","Watch 2 quarters, then decide","Review with client - switch or exit"))))</f>
        <v/>
      </c>
      <c r="T132" s="26"/>
      <c r="U132" s="7" t="str">
        <f aca="false">IF($R132&lt;&gt;"Best Fund","",COUNTIFS($R$6:$R$505,"Best Fund",$L$6:$L$505,"&gt;"&amp;$L132)+COUNTIFS($R$6:$R132,"Best Fund",$L$6:$L132,$L132))</f>
        <v/>
      </c>
      <c r="V132" s="7" t="str">
        <f aca="false">IF($R132&lt;&gt;"Need to Improve","",COUNTIFS($R$6:$R$505,"Need to Improve",$L$6:$L$505,"&lt;"&amp;$L132)+COUNTIFS($R$6:$R132,"Need to Improve",$L$6:$L132,$L132))</f>
        <v/>
      </c>
      <c r="W132" s="7" t="str">
        <f aca="false">IF($R132&lt;&gt;"Not Performing","",COUNTIFS($R$6:$R$505,"Not Performing",$L$6:$L$505,"&lt;"&amp;$L132)+COUNTIFS($R$6:$R132,"Not Performing",$L$6:$L132,$L132))</f>
        <v/>
      </c>
    </row>
    <row r="133" customFormat="false" ht="15" hidden="false" customHeight="true" outlineLevel="0" collapsed="false">
      <c r="A133" s="26"/>
      <c r="B133" s="26"/>
      <c r="C133" s="26"/>
      <c r="D133" s="27" t="str">
        <f aca="false">IF($C133="","",IFERROR(TRIM(LEFT($C133,FIND("-",$C133)-1)),""))</f>
        <v/>
      </c>
      <c r="E133" s="26"/>
      <c r="F133" s="28"/>
      <c r="G133" s="29"/>
      <c r="H133" s="29"/>
      <c r="I133" s="30" t="str">
        <f aca="false">IF($B133="","",$H133-$G133)</f>
        <v/>
      </c>
      <c r="J133" s="31" t="str">
        <f aca="false">IF(OR($B133="",$G133=0,$G133=""),"",$I133/$G133)</f>
        <v/>
      </c>
      <c r="K133" s="32"/>
      <c r="L133" s="32"/>
      <c r="M133" s="32"/>
      <c r="N133" s="32"/>
      <c r="O133" s="32"/>
      <c r="P133" s="31" t="str">
        <f aca="false">IF(OR($L133="",$N133=""),"",$L133-$N133)</f>
        <v/>
      </c>
      <c r="Q133" s="27" t="str">
        <f aca="false">IF($B133="","",IF(N($H133)&gt;0,"Live","Exited"))</f>
        <v/>
      </c>
      <c r="R133" s="27" t="str">
        <f aca="false">IF($B133="","",IF($L133="","Data Pending",IF($L133&gt;=Instructions!$D$19,"Best Fund",IF($L133&gt;=Instructions!$D$20,"Need to Improve","Not Performing"))))</f>
        <v/>
      </c>
      <c r="S133" s="7" t="str">
        <f aca="false">IF($R133="","",IF($R133="Data Pending","Enter the 3Y return",IF($R133="Best Fund","Hold / consider top-up",IF($R133="Need to Improve","Watch 2 quarters, then decide","Review with client - switch or exit"))))</f>
        <v/>
      </c>
      <c r="T133" s="26"/>
      <c r="U133" s="7" t="str">
        <f aca="false">IF($R133&lt;&gt;"Best Fund","",COUNTIFS($R$6:$R$505,"Best Fund",$L$6:$L$505,"&gt;"&amp;$L133)+COUNTIFS($R$6:$R133,"Best Fund",$L$6:$L133,$L133))</f>
        <v/>
      </c>
      <c r="V133" s="7" t="str">
        <f aca="false">IF($R133&lt;&gt;"Need to Improve","",COUNTIFS($R$6:$R$505,"Need to Improve",$L$6:$L$505,"&lt;"&amp;$L133)+COUNTIFS($R$6:$R133,"Need to Improve",$L$6:$L133,$L133))</f>
        <v/>
      </c>
      <c r="W133" s="7" t="str">
        <f aca="false">IF($R133&lt;&gt;"Not Performing","",COUNTIFS($R$6:$R$505,"Not Performing",$L$6:$L$505,"&lt;"&amp;$L133)+COUNTIFS($R$6:$R133,"Not Performing",$L$6:$L133,$L133))</f>
        <v/>
      </c>
    </row>
    <row r="134" customFormat="false" ht="15" hidden="false" customHeight="true" outlineLevel="0" collapsed="false">
      <c r="A134" s="26"/>
      <c r="B134" s="26"/>
      <c r="C134" s="26"/>
      <c r="D134" s="27" t="str">
        <f aca="false">IF($C134="","",IFERROR(TRIM(LEFT($C134,FIND("-",$C134)-1)),""))</f>
        <v/>
      </c>
      <c r="E134" s="26"/>
      <c r="F134" s="28"/>
      <c r="G134" s="29"/>
      <c r="H134" s="29"/>
      <c r="I134" s="30" t="str">
        <f aca="false">IF($B134="","",$H134-$G134)</f>
        <v/>
      </c>
      <c r="J134" s="31" t="str">
        <f aca="false">IF(OR($B134="",$G134=0,$G134=""),"",$I134/$G134)</f>
        <v/>
      </c>
      <c r="K134" s="32"/>
      <c r="L134" s="32"/>
      <c r="M134" s="32"/>
      <c r="N134" s="32"/>
      <c r="O134" s="32"/>
      <c r="P134" s="31" t="str">
        <f aca="false">IF(OR($L134="",$N134=""),"",$L134-$N134)</f>
        <v/>
      </c>
      <c r="Q134" s="27" t="str">
        <f aca="false">IF($B134="","",IF(N($H134)&gt;0,"Live","Exited"))</f>
        <v/>
      </c>
      <c r="R134" s="27" t="str">
        <f aca="false">IF($B134="","",IF($L134="","Data Pending",IF($L134&gt;=Instructions!$D$19,"Best Fund",IF($L134&gt;=Instructions!$D$20,"Need to Improve","Not Performing"))))</f>
        <v/>
      </c>
      <c r="S134" s="7" t="str">
        <f aca="false">IF($R134="","",IF($R134="Data Pending","Enter the 3Y return",IF($R134="Best Fund","Hold / consider top-up",IF($R134="Need to Improve","Watch 2 quarters, then decide","Review with client - switch or exit"))))</f>
        <v/>
      </c>
      <c r="T134" s="26"/>
      <c r="U134" s="7" t="str">
        <f aca="false">IF($R134&lt;&gt;"Best Fund","",COUNTIFS($R$6:$R$505,"Best Fund",$L$6:$L$505,"&gt;"&amp;$L134)+COUNTIFS($R$6:$R134,"Best Fund",$L$6:$L134,$L134))</f>
        <v/>
      </c>
      <c r="V134" s="7" t="str">
        <f aca="false">IF($R134&lt;&gt;"Need to Improve","",COUNTIFS($R$6:$R$505,"Need to Improve",$L$6:$L$505,"&lt;"&amp;$L134)+COUNTIFS($R$6:$R134,"Need to Improve",$L$6:$L134,$L134))</f>
        <v/>
      </c>
      <c r="W134" s="7" t="str">
        <f aca="false">IF($R134&lt;&gt;"Not Performing","",COUNTIFS($R$6:$R$505,"Not Performing",$L$6:$L$505,"&lt;"&amp;$L134)+COUNTIFS($R$6:$R134,"Not Performing",$L$6:$L134,$L134))</f>
        <v/>
      </c>
    </row>
    <row r="135" customFormat="false" ht="15" hidden="false" customHeight="true" outlineLevel="0" collapsed="false">
      <c r="A135" s="26"/>
      <c r="B135" s="26"/>
      <c r="C135" s="26"/>
      <c r="D135" s="27" t="str">
        <f aca="false">IF($C135="","",IFERROR(TRIM(LEFT($C135,FIND("-",$C135)-1)),""))</f>
        <v/>
      </c>
      <c r="E135" s="26"/>
      <c r="F135" s="28"/>
      <c r="G135" s="29"/>
      <c r="H135" s="29"/>
      <c r="I135" s="30" t="str">
        <f aca="false">IF($B135="","",$H135-$G135)</f>
        <v/>
      </c>
      <c r="J135" s="31" t="str">
        <f aca="false">IF(OR($B135="",$G135=0,$G135=""),"",$I135/$G135)</f>
        <v/>
      </c>
      <c r="K135" s="32"/>
      <c r="L135" s="32"/>
      <c r="M135" s="32"/>
      <c r="N135" s="32"/>
      <c r="O135" s="32"/>
      <c r="P135" s="31" t="str">
        <f aca="false">IF(OR($L135="",$N135=""),"",$L135-$N135)</f>
        <v/>
      </c>
      <c r="Q135" s="27" t="str">
        <f aca="false">IF($B135="","",IF(N($H135)&gt;0,"Live","Exited"))</f>
        <v/>
      </c>
      <c r="R135" s="27" t="str">
        <f aca="false">IF($B135="","",IF($L135="","Data Pending",IF($L135&gt;=Instructions!$D$19,"Best Fund",IF($L135&gt;=Instructions!$D$20,"Need to Improve","Not Performing"))))</f>
        <v/>
      </c>
      <c r="S135" s="7" t="str">
        <f aca="false">IF($R135="","",IF($R135="Data Pending","Enter the 3Y return",IF($R135="Best Fund","Hold / consider top-up",IF($R135="Need to Improve","Watch 2 quarters, then decide","Review with client - switch or exit"))))</f>
        <v/>
      </c>
      <c r="T135" s="26"/>
      <c r="U135" s="7" t="str">
        <f aca="false">IF($R135&lt;&gt;"Best Fund","",COUNTIFS($R$6:$R$505,"Best Fund",$L$6:$L$505,"&gt;"&amp;$L135)+COUNTIFS($R$6:$R135,"Best Fund",$L$6:$L135,$L135))</f>
        <v/>
      </c>
      <c r="V135" s="7" t="str">
        <f aca="false">IF($R135&lt;&gt;"Need to Improve","",COUNTIFS($R$6:$R$505,"Need to Improve",$L$6:$L$505,"&lt;"&amp;$L135)+COUNTIFS($R$6:$R135,"Need to Improve",$L$6:$L135,$L135))</f>
        <v/>
      </c>
      <c r="W135" s="7" t="str">
        <f aca="false">IF($R135&lt;&gt;"Not Performing","",COUNTIFS($R$6:$R$505,"Not Performing",$L$6:$L$505,"&lt;"&amp;$L135)+COUNTIFS($R$6:$R135,"Not Performing",$L$6:$L135,$L135))</f>
        <v/>
      </c>
    </row>
    <row r="136" customFormat="false" ht="15" hidden="false" customHeight="true" outlineLevel="0" collapsed="false">
      <c r="A136" s="26"/>
      <c r="B136" s="26"/>
      <c r="C136" s="26"/>
      <c r="D136" s="27" t="str">
        <f aca="false">IF($C136="","",IFERROR(TRIM(LEFT($C136,FIND("-",$C136)-1)),""))</f>
        <v/>
      </c>
      <c r="E136" s="26"/>
      <c r="F136" s="28"/>
      <c r="G136" s="29"/>
      <c r="H136" s="29"/>
      <c r="I136" s="30" t="str">
        <f aca="false">IF($B136="","",$H136-$G136)</f>
        <v/>
      </c>
      <c r="J136" s="31" t="str">
        <f aca="false">IF(OR($B136="",$G136=0,$G136=""),"",$I136/$G136)</f>
        <v/>
      </c>
      <c r="K136" s="32"/>
      <c r="L136" s="32"/>
      <c r="M136" s="32"/>
      <c r="N136" s="32"/>
      <c r="O136" s="32"/>
      <c r="P136" s="31" t="str">
        <f aca="false">IF(OR($L136="",$N136=""),"",$L136-$N136)</f>
        <v/>
      </c>
      <c r="Q136" s="27" t="str">
        <f aca="false">IF($B136="","",IF(N($H136)&gt;0,"Live","Exited"))</f>
        <v/>
      </c>
      <c r="R136" s="27" t="str">
        <f aca="false">IF($B136="","",IF($L136="","Data Pending",IF($L136&gt;=Instructions!$D$19,"Best Fund",IF($L136&gt;=Instructions!$D$20,"Need to Improve","Not Performing"))))</f>
        <v/>
      </c>
      <c r="S136" s="7" t="str">
        <f aca="false">IF($R136="","",IF($R136="Data Pending","Enter the 3Y return",IF($R136="Best Fund","Hold / consider top-up",IF($R136="Need to Improve","Watch 2 quarters, then decide","Review with client - switch or exit"))))</f>
        <v/>
      </c>
      <c r="T136" s="26"/>
      <c r="U136" s="7" t="str">
        <f aca="false">IF($R136&lt;&gt;"Best Fund","",COUNTIFS($R$6:$R$505,"Best Fund",$L$6:$L$505,"&gt;"&amp;$L136)+COUNTIFS($R$6:$R136,"Best Fund",$L$6:$L136,$L136))</f>
        <v/>
      </c>
      <c r="V136" s="7" t="str">
        <f aca="false">IF($R136&lt;&gt;"Need to Improve","",COUNTIFS($R$6:$R$505,"Need to Improve",$L$6:$L$505,"&lt;"&amp;$L136)+COUNTIFS($R$6:$R136,"Need to Improve",$L$6:$L136,$L136))</f>
        <v/>
      </c>
      <c r="W136" s="7" t="str">
        <f aca="false">IF($R136&lt;&gt;"Not Performing","",COUNTIFS($R$6:$R$505,"Not Performing",$L$6:$L$505,"&lt;"&amp;$L136)+COUNTIFS($R$6:$R136,"Not Performing",$L$6:$L136,$L136))</f>
        <v/>
      </c>
    </row>
    <row r="137" customFormat="false" ht="15" hidden="false" customHeight="true" outlineLevel="0" collapsed="false">
      <c r="A137" s="26"/>
      <c r="B137" s="26"/>
      <c r="C137" s="26"/>
      <c r="D137" s="27" t="str">
        <f aca="false">IF($C137="","",IFERROR(TRIM(LEFT($C137,FIND("-",$C137)-1)),""))</f>
        <v/>
      </c>
      <c r="E137" s="26"/>
      <c r="F137" s="28"/>
      <c r="G137" s="29"/>
      <c r="H137" s="29"/>
      <c r="I137" s="30" t="str">
        <f aca="false">IF($B137="","",$H137-$G137)</f>
        <v/>
      </c>
      <c r="J137" s="31" t="str">
        <f aca="false">IF(OR($B137="",$G137=0,$G137=""),"",$I137/$G137)</f>
        <v/>
      </c>
      <c r="K137" s="32"/>
      <c r="L137" s="32"/>
      <c r="M137" s="32"/>
      <c r="N137" s="32"/>
      <c r="O137" s="32"/>
      <c r="P137" s="31" t="str">
        <f aca="false">IF(OR($L137="",$N137=""),"",$L137-$N137)</f>
        <v/>
      </c>
      <c r="Q137" s="27" t="str">
        <f aca="false">IF($B137="","",IF(N($H137)&gt;0,"Live","Exited"))</f>
        <v/>
      </c>
      <c r="R137" s="27" t="str">
        <f aca="false">IF($B137="","",IF($L137="","Data Pending",IF($L137&gt;=Instructions!$D$19,"Best Fund",IF($L137&gt;=Instructions!$D$20,"Need to Improve","Not Performing"))))</f>
        <v/>
      </c>
      <c r="S137" s="7" t="str">
        <f aca="false">IF($R137="","",IF($R137="Data Pending","Enter the 3Y return",IF($R137="Best Fund","Hold / consider top-up",IF($R137="Need to Improve","Watch 2 quarters, then decide","Review with client - switch or exit"))))</f>
        <v/>
      </c>
      <c r="T137" s="26"/>
      <c r="U137" s="7" t="str">
        <f aca="false">IF($R137&lt;&gt;"Best Fund","",COUNTIFS($R$6:$R$505,"Best Fund",$L$6:$L$505,"&gt;"&amp;$L137)+COUNTIFS($R$6:$R137,"Best Fund",$L$6:$L137,$L137))</f>
        <v/>
      </c>
      <c r="V137" s="7" t="str">
        <f aca="false">IF($R137&lt;&gt;"Need to Improve","",COUNTIFS($R$6:$R$505,"Need to Improve",$L$6:$L$505,"&lt;"&amp;$L137)+COUNTIFS($R$6:$R137,"Need to Improve",$L$6:$L137,$L137))</f>
        <v/>
      </c>
      <c r="W137" s="7" t="str">
        <f aca="false">IF($R137&lt;&gt;"Not Performing","",COUNTIFS($R$6:$R$505,"Not Performing",$L$6:$L$505,"&lt;"&amp;$L137)+COUNTIFS($R$6:$R137,"Not Performing",$L$6:$L137,$L137))</f>
        <v/>
      </c>
    </row>
    <row r="138" customFormat="false" ht="15" hidden="false" customHeight="true" outlineLevel="0" collapsed="false">
      <c r="A138" s="26"/>
      <c r="B138" s="26"/>
      <c r="C138" s="26"/>
      <c r="D138" s="27" t="str">
        <f aca="false">IF($C138="","",IFERROR(TRIM(LEFT($C138,FIND("-",$C138)-1)),""))</f>
        <v/>
      </c>
      <c r="E138" s="26"/>
      <c r="F138" s="28"/>
      <c r="G138" s="29"/>
      <c r="H138" s="29"/>
      <c r="I138" s="30" t="str">
        <f aca="false">IF($B138="","",$H138-$G138)</f>
        <v/>
      </c>
      <c r="J138" s="31" t="str">
        <f aca="false">IF(OR($B138="",$G138=0,$G138=""),"",$I138/$G138)</f>
        <v/>
      </c>
      <c r="K138" s="32"/>
      <c r="L138" s="32"/>
      <c r="M138" s="32"/>
      <c r="N138" s="32"/>
      <c r="O138" s="32"/>
      <c r="P138" s="31" t="str">
        <f aca="false">IF(OR($L138="",$N138=""),"",$L138-$N138)</f>
        <v/>
      </c>
      <c r="Q138" s="27" t="str">
        <f aca="false">IF($B138="","",IF(N($H138)&gt;0,"Live","Exited"))</f>
        <v/>
      </c>
      <c r="R138" s="27" t="str">
        <f aca="false">IF($B138="","",IF($L138="","Data Pending",IF($L138&gt;=Instructions!$D$19,"Best Fund",IF($L138&gt;=Instructions!$D$20,"Need to Improve","Not Performing"))))</f>
        <v/>
      </c>
      <c r="S138" s="7" t="str">
        <f aca="false">IF($R138="","",IF($R138="Data Pending","Enter the 3Y return",IF($R138="Best Fund","Hold / consider top-up",IF($R138="Need to Improve","Watch 2 quarters, then decide","Review with client - switch or exit"))))</f>
        <v/>
      </c>
      <c r="T138" s="26"/>
      <c r="U138" s="7" t="str">
        <f aca="false">IF($R138&lt;&gt;"Best Fund","",COUNTIFS($R$6:$R$505,"Best Fund",$L$6:$L$505,"&gt;"&amp;$L138)+COUNTIFS($R$6:$R138,"Best Fund",$L$6:$L138,$L138))</f>
        <v/>
      </c>
      <c r="V138" s="7" t="str">
        <f aca="false">IF($R138&lt;&gt;"Need to Improve","",COUNTIFS($R$6:$R$505,"Need to Improve",$L$6:$L$505,"&lt;"&amp;$L138)+COUNTIFS($R$6:$R138,"Need to Improve",$L$6:$L138,$L138))</f>
        <v/>
      </c>
      <c r="W138" s="7" t="str">
        <f aca="false">IF($R138&lt;&gt;"Not Performing","",COUNTIFS($R$6:$R$505,"Not Performing",$L$6:$L$505,"&lt;"&amp;$L138)+COUNTIFS($R$6:$R138,"Not Performing",$L$6:$L138,$L138))</f>
        <v/>
      </c>
    </row>
    <row r="139" customFormat="false" ht="15" hidden="false" customHeight="true" outlineLevel="0" collapsed="false">
      <c r="A139" s="26"/>
      <c r="B139" s="26"/>
      <c r="C139" s="26"/>
      <c r="D139" s="27" t="str">
        <f aca="false">IF($C139="","",IFERROR(TRIM(LEFT($C139,FIND("-",$C139)-1)),""))</f>
        <v/>
      </c>
      <c r="E139" s="26"/>
      <c r="F139" s="28"/>
      <c r="G139" s="29"/>
      <c r="H139" s="29"/>
      <c r="I139" s="30" t="str">
        <f aca="false">IF($B139="","",$H139-$G139)</f>
        <v/>
      </c>
      <c r="J139" s="31" t="str">
        <f aca="false">IF(OR($B139="",$G139=0,$G139=""),"",$I139/$G139)</f>
        <v/>
      </c>
      <c r="K139" s="32"/>
      <c r="L139" s="32"/>
      <c r="M139" s="32"/>
      <c r="N139" s="32"/>
      <c r="O139" s="32"/>
      <c r="P139" s="31" t="str">
        <f aca="false">IF(OR($L139="",$N139=""),"",$L139-$N139)</f>
        <v/>
      </c>
      <c r="Q139" s="27" t="str">
        <f aca="false">IF($B139="","",IF(N($H139)&gt;0,"Live","Exited"))</f>
        <v/>
      </c>
      <c r="R139" s="27" t="str">
        <f aca="false">IF($B139="","",IF($L139="","Data Pending",IF($L139&gt;=Instructions!$D$19,"Best Fund",IF($L139&gt;=Instructions!$D$20,"Need to Improve","Not Performing"))))</f>
        <v/>
      </c>
      <c r="S139" s="7" t="str">
        <f aca="false">IF($R139="","",IF($R139="Data Pending","Enter the 3Y return",IF($R139="Best Fund","Hold / consider top-up",IF($R139="Need to Improve","Watch 2 quarters, then decide","Review with client - switch or exit"))))</f>
        <v/>
      </c>
      <c r="T139" s="26"/>
      <c r="U139" s="7" t="str">
        <f aca="false">IF($R139&lt;&gt;"Best Fund","",COUNTIFS($R$6:$R$505,"Best Fund",$L$6:$L$505,"&gt;"&amp;$L139)+COUNTIFS($R$6:$R139,"Best Fund",$L$6:$L139,$L139))</f>
        <v/>
      </c>
      <c r="V139" s="7" t="str">
        <f aca="false">IF($R139&lt;&gt;"Need to Improve","",COUNTIFS($R$6:$R$505,"Need to Improve",$L$6:$L$505,"&lt;"&amp;$L139)+COUNTIFS($R$6:$R139,"Need to Improve",$L$6:$L139,$L139))</f>
        <v/>
      </c>
      <c r="W139" s="7" t="str">
        <f aca="false">IF($R139&lt;&gt;"Not Performing","",COUNTIFS($R$6:$R$505,"Not Performing",$L$6:$L$505,"&lt;"&amp;$L139)+COUNTIFS($R$6:$R139,"Not Performing",$L$6:$L139,$L139))</f>
        <v/>
      </c>
    </row>
    <row r="140" customFormat="false" ht="15" hidden="false" customHeight="true" outlineLevel="0" collapsed="false">
      <c r="A140" s="26"/>
      <c r="B140" s="26"/>
      <c r="C140" s="26"/>
      <c r="D140" s="27" t="str">
        <f aca="false">IF($C140="","",IFERROR(TRIM(LEFT($C140,FIND("-",$C140)-1)),""))</f>
        <v/>
      </c>
      <c r="E140" s="26"/>
      <c r="F140" s="28"/>
      <c r="G140" s="29"/>
      <c r="H140" s="29"/>
      <c r="I140" s="30" t="str">
        <f aca="false">IF($B140="","",$H140-$G140)</f>
        <v/>
      </c>
      <c r="J140" s="31" t="str">
        <f aca="false">IF(OR($B140="",$G140=0,$G140=""),"",$I140/$G140)</f>
        <v/>
      </c>
      <c r="K140" s="32"/>
      <c r="L140" s="32"/>
      <c r="M140" s="32"/>
      <c r="N140" s="32"/>
      <c r="O140" s="32"/>
      <c r="P140" s="31" t="str">
        <f aca="false">IF(OR($L140="",$N140=""),"",$L140-$N140)</f>
        <v/>
      </c>
      <c r="Q140" s="27" t="str">
        <f aca="false">IF($B140="","",IF(N($H140)&gt;0,"Live","Exited"))</f>
        <v/>
      </c>
      <c r="R140" s="27" t="str">
        <f aca="false">IF($B140="","",IF($L140="","Data Pending",IF($L140&gt;=Instructions!$D$19,"Best Fund",IF($L140&gt;=Instructions!$D$20,"Need to Improve","Not Performing"))))</f>
        <v/>
      </c>
      <c r="S140" s="7" t="str">
        <f aca="false">IF($R140="","",IF($R140="Data Pending","Enter the 3Y return",IF($R140="Best Fund","Hold / consider top-up",IF($R140="Need to Improve","Watch 2 quarters, then decide","Review with client - switch or exit"))))</f>
        <v/>
      </c>
      <c r="T140" s="26"/>
      <c r="U140" s="7" t="str">
        <f aca="false">IF($R140&lt;&gt;"Best Fund","",COUNTIFS($R$6:$R$505,"Best Fund",$L$6:$L$505,"&gt;"&amp;$L140)+COUNTIFS($R$6:$R140,"Best Fund",$L$6:$L140,$L140))</f>
        <v/>
      </c>
      <c r="V140" s="7" t="str">
        <f aca="false">IF($R140&lt;&gt;"Need to Improve","",COUNTIFS($R$6:$R$505,"Need to Improve",$L$6:$L$505,"&lt;"&amp;$L140)+COUNTIFS($R$6:$R140,"Need to Improve",$L$6:$L140,$L140))</f>
        <v/>
      </c>
      <c r="W140" s="7" t="str">
        <f aca="false">IF($R140&lt;&gt;"Not Performing","",COUNTIFS($R$6:$R$505,"Not Performing",$L$6:$L$505,"&lt;"&amp;$L140)+COUNTIFS($R$6:$R140,"Not Performing",$L$6:$L140,$L140))</f>
        <v/>
      </c>
    </row>
    <row r="141" customFormat="false" ht="15" hidden="false" customHeight="true" outlineLevel="0" collapsed="false">
      <c r="A141" s="26"/>
      <c r="B141" s="26"/>
      <c r="C141" s="26"/>
      <c r="D141" s="27" t="str">
        <f aca="false">IF($C141="","",IFERROR(TRIM(LEFT($C141,FIND("-",$C141)-1)),""))</f>
        <v/>
      </c>
      <c r="E141" s="26"/>
      <c r="F141" s="28"/>
      <c r="G141" s="29"/>
      <c r="H141" s="29"/>
      <c r="I141" s="30" t="str">
        <f aca="false">IF($B141="","",$H141-$G141)</f>
        <v/>
      </c>
      <c r="J141" s="31" t="str">
        <f aca="false">IF(OR($B141="",$G141=0,$G141=""),"",$I141/$G141)</f>
        <v/>
      </c>
      <c r="K141" s="32"/>
      <c r="L141" s="32"/>
      <c r="M141" s="32"/>
      <c r="N141" s="32"/>
      <c r="O141" s="32"/>
      <c r="P141" s="31" t="str">
        <f aca="false">IF(OR($L141="",$N141=""),"",$L141-$N141)</f>
        <v/>
      </c>
      <c r="Q141" s="27" t="str">
        <f aca="false">IF($B141="","",IF(N($H141)&gt;0,"Live","Exited"))</f>
        <v/>
      </c>
      <c r="R141" s="27" t="str">
        <f aca="false">IF($B141="","",IF($L141="","Data Pending",IF($L141&gt;=Instructions!$D$19,"Best Fund",IF($L141&gt;=Instructions!$D$20,"Need to Improve","Not Performing"))))</f>
        <v/>
      </c>
      <c r="S141" s="7" t="str">
        <f aca="false">IF($R141="","",IF($R141="Data Pending","Enter the 3Y return",IF($R141="Best Fund","Hold / consider top-up",IF($R141="Need to Improve","Watch 2 quarters, then decide","Review with client - switch or exit"))))</f>
        <v/>
      </c>
      <c r="T141" s="26"/>
      <c r="U141" s="7" t="str">
        <f aca="false">IF($R141&lt;&gt;"Best Fund","",COUNTIFS($R$6:$R$505,"Best Fund",$L$6:$L$505,"&gt;"&amp;$L141)+COUNTIFS($R$6:$R141,"Best Fund",$L$6:$L141,$L141))</f>
        <v/>
      </c>
      <c r="V141" s="7" t="str">
        <f aca="false">IF($R141&lt;&gt;"Need to Improve","",COUNTIFS($R$6:$R$505,"Need to Improve",$L$6:$L$505,"&lt;"&amp;$L141)+COUNTIFS($R$6:$R141,"Need to Improve",$L$6:$L141,$L141))</f>
        <v/>
      </c>
      <c r="W141" s="7" t="str">
        <f aca="false">IF($R141&lt;&gt;"Not Performing","",COUNTIFS($R$6:$R$505,"Not Performing",$L$6:$L$505,"&lt;"&amp;$L141)+COUNTIFS($R$6:$R141,"Not Performing",$L$6:$L141,$L141))</f>
        <v/>
      </c>
    </row>
    <row r="142" customFormat="false" ht="15" hidden="false" customHeight="true" outlineLevel="0" collapsed="false">
      <c r="A142" s="26"/>
      <c r="B142" s="26"/>
      <c r="C142" s="26"/>
      <c r="D142" s="27" t="str">
        <f aca="false">IF($C142="","",IFERROR(TRIM(LEFT($C142,FIND("-",$C142)-1)),""))</f>
        <v/>
      </c>
      <c r="E142" s="26"/>
      <c r="F142" s="28"/>
      <c r="G142" s="29"/>
      <c r="H142" s="29"/>
      <c r="I142" s="30" t="str">
        <f aca="false">IF($B142="","",$H142-$G142)</f>
        <v/>
      </c>
      <c r="J142" s="31" t="str">
        <f aca="false">IF(OR($B142="",$G142=0,$G142=""),"",$I142/$G142)</f>
        <v/>
      </c>
      <c r="K142" s="32"/>
      <c r="L142" s="32"/>
      <c r="M142" s="32"/>
      <c r="N142" s="32"/>
      <c r="O142" s="32"/>
      <c r="P142" s="31" t="str">
        <f aca="false">IF(OR($L142="",$N142=""),"",$L142-$N142)</f>
        <v/>
      </c>
      <c r="Q142" s="27" t="str">
        <f aca="false">IF($B142="","",IF(N($H142)&gt;0,"Live","Exited"))</f>
        <v/>
      </c>
      <c r="R142" s="27" t="str">
        <f aca="false">IF($B142="","",IF($L142="","Data Pending",IF($L142&gt;=Instructions!$D$19,"Best Fund",IF($L142&gt;=Instructions!$D$20,"Need to Improve","Not Performing"))))</f>
        <v/>
      </c>
      <c r="S142" s="7" t="str">
        <f aca="false">IF($R142="","",IF($R142="Data Pending","Enter the 3Y return",IF($R142="Best Fund","Hold / consider top-up",IF($R142="Need to Improve","Watch 2 quarters, then decide","Review with client - switch or exit"))))</f>
        <v/>
      </c>
      <c r="T142" s="26"/>
      <c r="U142" s="7" t="str">
        <f aca="false">IF($R142&lt;&gt;"Best Fund","",COUNTIFS($R$6:$R$505,"Best Fund",$L$6:$L$505,"&gt;"&amp;$L142)+COUNTIFS($R$6:$R142,"Best Fund",$L$6:$L142,$L142))</f>
        <v/>
      </c>
      <c r="V142" s="7" t="str">
        <f aca="false">IF($R142&lt;&gt;"Need to Improve","",COUNTIFS($R$6:$R$505,"Need to Improve",$L$6:$L$505,"&lt;"&amp;$L142)+COUNTIFS($R$6:$R142,"Need to Improve",$L$6:$L142,$L142))</f>
        <v/>
      </c>
      <c r="W142" s="7" t="str">
        <f aca="false">IF($R142&lt;&gt;"Not Performing","",COUNTIFS($R$6:$R$505,"Not Performing",$L$6:$L$505,"&lt;"&amp;$L142)+COUNTIFS($R$6:$R142,"Not Performing",$L$6:$L142,$L142))</f>
        <v/>
      </c>
    </row>
    <row r="143" customFormat="false" ht="15" hidden="false" customHeight="true" outlineLevel="0" collapsed="false">
      <c r="A143" s="26"/>
      <c r="B143" s="26"/>
      <c r="C143" s="26"/>
      <c r="D143" s="27" t="str">
        <f aca="false">IF($C143="","",IFERROR(TRIM(LEFT($C143,FIND("-",$C143)-1)),""))</f>
        <v/>
      </c>
      <c r="E143" s="26"/>
      <c r="F143" s="28"/>
      <c r="G143" s="29"/>
      <c r="H143" s="29"/>
      <c r="I143" s="30" t="str">
        <f aca="false">IF($B143="","",$H143-$G143)</f>
        <v/>
      </c>
      <c r="J143" s="31" t="str">
        <f aca="false">IF(OR($B143="",$G143=0,$G143=""),"",$I143/$G143)</f>
        <v/>
      </c>
      <c r="K143" s="32"/>
      <c r="L143" s="32"/>
      <c r="M143" s="32"/>
      <c r="N143" s="32"/>
      <c r="O143" s="32"/>
      <c r="P143" s="31" t="str">
        <f aca="false">IF(OR($L143="",$N143=""),"",$L143-$N143)</f>
        <v/>
      </c>
      <c r="Q143" s="27" t="str">
        <f aca="false">IF($B143="","",IF(N($H143)&gt;0,"Live","Exited"))</f>
        <v/>
      </c>
      <c r="R143" s="27" t="str">
        <f aca="false">IF($B143="","",IF($L143="","Data Pending",IF($L143&gt;=Instructions!$D$19,"Best Fund",IF($L143&gt;=Instructions!$D$20,"Need to Improve","Not Performing"))))</f>
        <v/>
      </c>
      <c r="S143" s="7" t="str">
        <f aca="false">IF($R143="","",IF($R143="Data Pending","Enter the 3Y return",IF($R143="Best Fund","Hold / consider top-up",IF($R143="Need to Improve","Watch 2 quarters, then decide","Review with client - switch or exit"))))</f>
        <v/>
      </c>
      <c r="T143" s="26"/>
      <c r="U143" s="7" t="str">
        <f aca="false">IF($R143&lt;&gt;"Best Fund","",COUNTIFS($R$6:$R$505,"Best Fund",$L$6:$L$505,"&gt;"&amp;$L143)+COUNTIFS($R$6:$R143,"Best Fund",$L$6:$L143,$L143))</f>
        <v/>
      </c>
      <c r="V143" s="7" t="str">
        <f aca="false">IF($R143&lt;&gt;"Need to Improve","",COUNTIFS($R$6:$R$505,"Need to Improve",$L$6:$L$505,"&lt;"&amp;$L143)+COUNTIFS($R$6:$R143,"Need to Improve",$L$6:$L143,$L143))</f>
        <v/>
      </c>
      <c r="W143" s="7" t="str">
        <f aca="false">IF($R143&lt;&gt;"Not Performing","",COUNTIFS($R$6:$R$505,"Not Performing",$L$6:$L$505,"&lt;"&amp;$L143)+COUNTIFS($R$6:$R143,"Not Performing",$L$6:$L143,$L143))</f>
        <v/>
      </c>
    </row>
    <row r="144" customFormat="false" ht="15" hidden="false" customHeight="true" outlineLevel="0" collapsed="false">
      <c r="A144" s="26"/>
      <c r="B144" s="26"/>
      <c r="C144" s="26"/>
      <c r="D144" s="27" t="str">
        <f aca="false">IF($C144="","",IFERROR(TRIM(LEFT($C144,FIND("-",$C144)-1)),""))</f>
        <v/>
      </c>
      <c r="E144" s="26"/>
      <c r="F144" s="28"/>
      <c r="G144" s="29"/>
      <c r="H144" s="29"/>
      <c r="I144" s="30" t="str">
        <f aca="false">IF($B144="","",$H144-$G144)</f>
        <v/>
      </c>
      <c r="J144" s="31" t="str">
        <f aca="false">IF(OR($B144="",$G144=0,$G144=""),"",$I144/$G144)</f>
        <v/>
      </c>
      <c r="K144" s="32"/>
      <c r="L144" s="32"/>
      <c r="M144" s="32"/>
      <c r="N144" s="32"/>
      <c r="O144" s="32"/>
      <c r="P144" s="31" t="str">
        <f aca="false">IF(OR($L144="",$N144=""),"",$L144-$N144)</f>
        <v/>
      </c>
      <c r="Q144" s="27" t="str">
        <f aca="false">IF($B144="","",IF(N($H144)&gt;0,"Live","Exited"))</f>
        <v/>
      </c>
      <c r="R144" s="27" t="str">
        <f aca="false">IF($B144="","",IF($L144="","Data Pending",IF($L144&gt;=Instructions!$D$19,"Best Fund",IF($L144&gt;=Instructions!$D$20,"Need to Improve","Not Performing"))))</f>
        <v/>
      </c>
      <c r="S144" s="7" t="str">
        <f aca="false">IF($R144="","",IF($R144="Data Pending","Enter the 3Y return",IF($R144="Best Fund","Hold / consider top-up",IF($R144="Need to Improve","Watch 2 quarters, then decide","Review with client - switch or exit"))))</f>
        <v/>
      </c>
      <c r="T144" s="26"/>
      <c r="U144" s="7" t="str">
        <f aca="false">IF($R144&lt;&gt;"Best Fund","",COUNTIFS($R$6:$R$505,"Best Fund",$L$6:$L$505,"&gt;"&amp;$L144)+COUNTIFS($R$6:$R144,"Best Fund",$L$6:$L144,$L144))</f>
        <v/>
      </c>
      <c r="V144" s="7" t="str">
        <f aca="false">IF($R144&lt;&gt;"Need to Improve","",COUNTIFS($R$6:$R$505,"Need to Improve",$L$6:$L$505,"&lt;"&amp;$L144)+COUNTIFS($R$6:$R144,"Need to Improve",$L$6:$L144,$L144))</f>
        <v/>
      </c>
      <c r="W144" s="7" t="str">
        <f aca="false">IF($R144&lt;&gt;"Not Performing","",COUNTIFS($R$6:$R$505,"Not Performing",$L$6:$L$505,"&lt;"&amp;$L144)+COUNTIFS($R$6:$R144,"Not Performing",$L$6:$L144,$L144))</f>
        <v/>
      </c>
    </row>
    <row r="145" customFormat="false" ht="15" hidden="false" customHeight="true" outlineLevel="0" collapsed="false">
      <c r="A145" s="26"/>
      <c r="B145" s="26"/>
      <c r="C145" s="26"/>
      <c r="D145" s="27" t="str">
        <f aca="false">IF($C145="","",IFERROR(TRIM(LEFT($C145,FIND("-",$C145)-1)),""))</f>
        <v/>
      </c>
      <c r="E145" s="26"/>
      <c r="F145" s="28"/>
      <c r="G145" s="29"/>
      <c r="H145" s="29"/>
      <c r="I145" s="30" t="str">
        <f aca="false">IF($B145="","",$H145-$G145)</f>
        <v/>
      </c>
      <c r="J145" s="31" t="str">
        <f aca="false">IF(OR($B145="",$G145=0,$G145=""),"",$I145/$G145)</f>
        <v/>
      </c>
      <c r="K145" s="32"/>
      <c r="L145" s="32"/>
      <c r="M145" s="32"/>
      <c r="N145" s="32"/>
      <c r="O145" s="32"/>
      <c r="P145" s="31" t="str">
        <f aca="false">IF(OR($L145="",$N145=""),"",$L145-$N145)</f>
        <v/>
      </c>
      <c r="Q145" s="27" t="str">
        <f aca="false">IF($B145="","",IF(N($H145)&gt;0,"Live","Exited"))</f>
        <v/>
      </c>
      <c r="R145" s="27" t="str">
        <f aca="false">IF($B145="","",IF($L145="","Data Pending",IF($L145&gt;=Instructions!$D$19,"Best Fund",IF($L145&gt;=Instructions!$D$20,"Need to Improve","Not Performing"))))</f>
        <v/>
      </c>
      <c r="S145" s="7" t="str">
        <f aca="false">IF($R145="","",IF($R145="Data Pending","Enter the 3Y return",IF($R145="Best Fund","Hold / consider top-up",IF($R145="Need to Improve","Watch 2 quarters, then decide","Review with client - switch or exit"))))</f>
        <v/>
      </c>
      <c r="T145" s="26"/>
      <c r="U145" s="7" t="str">
        <f aca="false">IF($R145&lt;&gt;"Best Fund","",COUNTIFS($R$6:$R$505,"Best Fund",$L$6:$L$505,"&gt;"&amp;$L145)+COUNTIFS($R$6:$R145,"Best Fund",$L$6:$L145,$L145))</f>
        <v/>
      </c>
      <c r="V145" s="7" t="str">
        <f aca="false">IF($R145&lt;&gt;"Need to Improve","",COUNTIFS($R$6:$R$505,"Need to Improve",$L$6:$L$505,"&lt;"&amp;$L145)+COUNTIFS($R$6:$R145,"Need to Improve",$L$6:$L145,$L145))</f>
        <v/>
      </c>
      <c r="W145" s="7" t="str">
        <f aca="false">IF($R145&lt;&gt;"Not Performing","",COUNTIFS($R$6:$R$505,"Not Performing",$L$6:$L$505,"&lt;"&amp;$L145)+COUNTIFS($R$6:$R145,"Not Performing",$L$6:$L145,$L145))</f>
        <v/>
      </c>
    </row>
    <row r="146" customFormat="false" ht="15" hidden="false" customHeight="true" outlineLevel="0" collapsed="false">
      <c r="A146" s="26"/>
      <c r="B146" s="26"/>
      <c r="C146" s="26"/>
      <c r="D146" s="27" t="str">
        <f aca="false">IF($C146="","",IFERROR(TRIM(LEFT($C146,FIND("-",$C146)-1)),""))</f>
        <v/>
      </c>
      <c r="E146" s="26"/>
      <c r="F146" s="28"/>
      <c r="G146" s="29"/>
      <c r="H146" s="29"/>
      <c r="I146" s="30" t="str">
        <f aca="false">IF($B146="","",$H146-$G146)</f>
        <v/>
      </c>
      <c r="J146" s="31" t="str">
        <f aca="false">IF(OR($B146="",$G146=0,$G146=""),"",$I146/$G146)</f>
        <v/>
      </c>
      <c r="K146" s="32"/>
      <c r="L146" s="32"/>
      <c r="M146" s="32"/>
      <c r="N146" s="32"/>
      <c r="O146" s="32"/>
      <c r="P146" s="31" t="str">
        <f aca="false">IF(OR($L146="",$N146=""),"",$L146-$N146)</f>
        <v/>
      </c>
      <c r="Q146" s="27" t="str">
        <f aca="false">IF($B146="","",IF(N($H146)&gt;0,"Live","Exited"))</f>
        <v/>
      </c>
      <c r="R146" s="27" t="str">
        <f aca="false">IF($B146="","",IF($L146="","Data Pending",IF($L146&gt;=Instructions!$D$19,"Best Fund",IF($L146&gt;=Instructions!$D$20,"Need to Improve","Not Performing"))))</f>
        <v/>
      </c>
      <c r="S146" s="7" t="str">
        <f aca="false">IF($R146="","",IF($R146="Data Pending","Enter the 3Y return",IF($R146="Best Fund","Hold / consider top-up",IF($R146="Need to Improve","Watch 2 quarters, then decide","Review with client - switch or exit"))))</f>
        <v/>
      </c>
      <c r="T146" s="26"/>
      <c r="U146" s="7" t="str">
        <f aca="false">IF($R146&lt;&gt;"Best Fund","",COUNTIFS($R$6:$R$505,"Best Fund",$L$6:$L$505,"&gt;"&amp;$L146)+COUNTIFS($R$6:$R146,"Best Fund",$L$6:$L146,$L146))</f>
        <v/>
      </c>
      <c r="V146" s="7" t="str">
        <f aca="false">IF($R146&lt;&gt;"Need to Improve","",COUNTIFS($R$6:$R$505,"Need to Improve",$L$6:$L$505,"&lt;"&amp;$L146)+COUNTIFS($R$6:$R146,"Need to Improve",$L$6:$L146,$L146))</f>
        <v/>
      </c>
      <c r="W146" s="7" t="str">
        <f aca="false">IF($R146&lt;&gt;"Not Performing","",COUNTIFS($R$6:$R$505,"Not Performing",$L$6:$L$505,"&lt;"&amp;$L146)+COUNTIFS($R$6:$R146,"Not Performing",$L$6:$L146,$L146))</f>
        <v/>
      </c>
    </row>
    <row r="147" customFormat="false" ht="15" hidden="false" customHeight="true" outlineLevel="0" collapsed="false">
      <c r="A147" s="26"/>
      <c r="B147" s="26"/>
      <c r="C147" s="26"/>
      <c r="D147" s="27" t="str">
        <f aca="false">IF($C147="","",IFERROR(TRIM(LEFT($C147,FIND("-",$C147)-1)),""))</f>
        <v/>
      </c>
      <c r="E147" s="26"/>
      <c r="F147" s="28"/>
      <c r="G147" s="29"/>
      <c r="H147" s="29"/>
      <c r="I147" s="30" t="str">
        <f aca="false">IF($B147="","",$H147-$G147)</f>
        <v/>
      </c>
      <c r="J147" s="31" t="str">
        <f aca="false">IF(OR($B147="",$G147=0,$G147=""),"",$I147/$G147)</f>
        <v/>
      </c>
      <c r="K147" s="32"/>
      <c r="L147" s="32"/>
      <c r="M147" s="32"/>
      <c r="N147" s="32"/>
      <c r="O147" s="32"/>
      <c r="P147" s="31" t="str">
        <f aca="false">IF(OR($L147="",$N147=""),"",$L147-$N147)</f>
        <v/>
      </c>
      <c r="Q147" s="27" t="str">
        <f aca="false">IF($B147="","",IF(N($H147)&gt;0,"Live","Exited"))</f>
        <v/>
      </c>
      <c r="R147" s="27" t="str">
        <f aca="false">IF($B147="","",IF($L147="","Data Pending",IF($L147&gt;=Instructions!$D$19,"Best Fund",IF($L147&gt;=Instructions!$D$20,"Need to Improve","Not Performing"))))</f>
        <v/>
      </c>
      <c r="S147" s="7" t="str">
        <f aca="false">IF($R147="","",IF($R147="Data Pending","Enter the 3Y return",IF($R147="Best Fund","Hold / consider top-up",IF($R147="Need to Improve","Watch 2 quarters, then decide","Review with client - switch or exit"))))</f>
        <v/>
      </c>
      <c r="T147" s="26"/>
      <c r="U147" s="7" t="str">
        <f aca="false">IF($R147&lt;&gt;"Best Fund","",COUNTIFS($R$6:$R$505,"Best Fund",$L$6:$L$505,"&gt;"&amp;$L147)+COUNTIFS($R$6:$R147,"Best Fund",$L$6:$L147,$L147))</f>
        <v/>
      </c>
      <c r="V147" s="7" t="str">
        <f aca="false">IF($R147&lt;&gt;"Need to Improve","",COUNTIFS($R$6:$R$505,"Need to Improve",$L$6:$L$505,"&lt;"&amp;$L147)+COUNTIFS($R$6:$R147,"Need to Improve",$L$6:$L147,$L147))</f>
        <v/>
      </c>
      <c r="W147" s="7" t="str">
        <f aca="false">IF($R147&lt;&gt;"Not Performing","",COUNTIFS($R$6:$R$505,"Not Performing",$L$6:$L$505,"&lt;"&amp;$L147)+COUNTIFS($R$6:$R147,"Not Performing",$L$6:$L147,$L147))</f>
        <v/>
      </c>
    </row>
    <row r="148" customFormat="false" ht="15" hidden="false" customHeight="true" outlineLevel="0" collapsed="false">
      <c r="A148" s="26"/>
      <c r="B148" s="26"/>
      <c r="C148" s="26"/>
      <c r="D148" s="27" t="str">
        <f aca="false">IF($C148="","",IFERROR(TRIM(LEFT($C148,FIND("-",$C148)-1)),""))</f>
        <v/>
      </c>
      <c r="E148" s="26"/>
      <c r="F148" s="28"/>
      <c r="G148" s="29"/>
      <c r="H148" s="29"/>
      <c r="I148" s="30" t="str">
        <f aca="false">IF($B148="","",$H148-$G148)</f>
        <v/>
      </c>
      <c r="J148" s="31" t="str">
        <f aca="false">IF(OR($B148="",$G148=0,$G148=""),"",$I148/$G148)</f>
        <v/>
      </c>
      <c r="K148" s="32"/>
      <c r="L148" s="32"/>
      <c r="M148" s="32"/>
      <c r="N148" s="32"/>
      <c r="O148" s="32"/>
      <c r="P148" s="31" t="str">
        <f aca="false">IF(OR($L148="",$N148=""),"",$L148-$N148)</f>
        <v/>
      </c>
      <c r="Q148" s="27" t="str">
        <f aca="false">IF($B148="","",IF(N($H148)&gt;0,"Live","Exited"))</f>
        <v/>
      </c>
      <c r="R148" s="27" t="str">
        <f aca="false">IF($B148="","",IF($L148="","Data Pending",IF($L148&gt;=Instructions!$D$19,"Best Fund",IF($L148&gt;=Instructions!$D$20,"Need to Improve","Not Performing"))))</f>
        <v/>
      </c>
      <c r="S148" s="7" t="str">
        <f aca="false">IF($R148="","",IF($R148="Data Pending","Enter the 3Y return",IF($R148="Best Fund","Hold / consider top-up",IF($R148="Need to Improve","Watch 2 quarters, then decide","Review with client - switch or exit"))))</f>
        <v/>
      </c>
      <c r="T148" s="26"/>
      <c r="U148" s="7" t="str">
        <f aca="false">IF($R148&lt;&gt;"Best Fund","",COUNTIFS($R$6:$R$505,"Best Fund",$L$6:$L$505,"&gt;"&amp;$L148)+COUNTIFS($R$6:$R148,"Best Fund",$L$6:$L148,$L148))</f>
        <v/>
      </c>
      <c r="V148" s="7" t="str">
        <f aca="false">IF($R148&lt;&gt;"Need to Improve","",COUNTIFS($R$6:$R$505,"Need to Improve",$L$6:$L$505,"&lt;"&amp;$L148)+COUNTIFS($R$6:$R148,"Need to Improve",$L$6:$L148,$L148))</f>
        <v/>
      </c>
      <c r="W148" s="7" t="str">
        <f aca="false">IF($R148&lt;&gt;"Not Performing","",COUNTIFS($R$6:$R$505,"Not Performing",$L$6:$L$505,"&lt;"&amp;$L148)+COUNTIFS($R$6:$R148,"Not Performing",$L$6:$L148,$L148))</f>
        <v/>
      </c>
    </row>
    <row r="149" customFormat="false" ht="15" hidden="false" customHeight="true" outlineLevel="0" collapsed="false">
      <c r="A149" s="26"/>
      <c r="B149" s="26"/>
      <c r="C149" s="26"/>
      <c r="D149" s="27" t="str">
        <f aca="false">IF($C149="","",IFERROR(TRIM(LEFT($C149,FIND("-",$C149)-1)),""))</f>
        <v/>
      </c>
      <c r="E149" s="26"/>
      <c r="F149" s="28"/>
      <c r="G149" s="29"/>
      <c r="H149" s="29"/>
      <c r="I149" s="30" t="str">
        <f aca="false">IF($B149="","",$H149-$G149)</f>
        <v/>
      </c>
      <c r="J149" s="31" t="str">
        <f aca="false">IF(OR($B149="",$G149=0,$G149=""),"",$I149/$G149)</f>
        <v/>
      </c>
      <c r="K149" s="32"/>
      <c r="L149" s="32"/>
      <c r="M149" s="32"/>
      <c r="N149" s="32"/>
      <c r="O149" s="32"/>
      <c r="P149" s="31" t="str">
        <f aca="false">IF(OR($L149="",$N149=""),"",$L149-$N149)</f>
        <v/>
      </c>
      <c r="Q149" s="27" t="str">
        <f aca="false">IF($B149="","",IF(N($H149)&gt;0,"Live","Exited"))</f>
        <v/>
      </c>
      <c r="R149" s="27" t="str">
        <f aca="false">IF($B149="","",IF($L149="","Data Pending",IF($L149&gt;=Instructions!$D$19,"Best Fund",IF($L149&gt;=Instructions!$D$20,"Need to Improve","Not Performing"))))</f>
        <v/>
      </c>
      <c r="S149" s="7" t="str">
        <f aca="false">IF($R149="","",IF($R149="Data Pending","Enter the 3Y return",IF($R149="Best Fund","Hold / consider top-up",IF($R149="Need to Improve","Watch 2 quarters, then decide","Review with client - switch or exit"))))</f>
        <v/>
      </c>
      <c r="T149" s="26"/>
      <c r="U149" s="7" t="str">
        <f aca="false">IF($R149&lt;&gt;"Best Fund","",COUNTIFS($R$6:$R$505,"Best Fund",$L$6:$L$505,"&gt;"&amp;$L149)+COUNTIFS($R$6:$R149,"Best Fund",$L$6:$L149,$L149))</f>
        <v/>
      </c>
      <c r="V149" s="7" t="str">
        <f aca="false">IF($R149&lt;&gt;"Need to Improve","",COUNTIFS($R$6:$R$505,"Need to Improve",$L$6:$L$505,"&lt;"&amp;$L149)+COUNTIFS($R$6:$R149,"Need to Improve",$L$6:$L149,$L149))</f>
        <v/>
      </c>
      <c r="W149" s="7" t="str">
        <f aca="false">IF($R149&lt;&gt;"Not Performing","",COUNTIFS($R$6:$R$505,"Not Performing",$L$6:$L$505,"&lt;"&amp;$L149)+COUNTIFS($R$6:$R149,"Not Performing",$L$6:$L149,$L149))</f>
        <v/>
      </c>
    </row>
    <row r="150" customFormat="false" ht="15" hidden="false" customHeight="true" outlineLevel="0" collapsed="false">
      <c r="A150" s="26"/>
      <c r="B150" s="26"/>
      <c r="C150" s="26"/>
      <c r="D150" s="27" t="str">
        <f aca="false">IF($C150="","",IFERROR(TRIM(LEFT($C150,FIND("-",$C150)-1)),""))</f>
        <v/>
      </c>
      <c r="E150" s="26"/>
      <c r="F150" s="28"/>
      <c r="G150" s="29"/>
      <c r="H150" s="29"/>
      <c r="I150" s="30" t="str">
        <f aca="false">IF($B150="","",$H150-$G150)</f>
        <v/>
      </c>
      <c r="J150" s="31" t="str">
        <f aca="false">IF(OR($B150="",$G150=0,$G150=""),"",$I150/$G150)</f>
        <v/>
      </c>
      <c r="K150" s="32"/>
      <c r="L150" s="32"/>
      <c r="M150" s="32"/>
      <c r="N150" s="32"/>
      <c r="O150" s="32"/>
      <c r="P150" s="31" t="str">
        <f aca="false">IF(OR($L150="",$N150=""),"",$L150-$N150)</f>
        <v/>
      </c>
      <c r="Q150" s="27" t="str">
        <f aca="false">IF($B150="","",IF(N($H150)&gt;0,"Live","Exited"))</f>
        <v/>
      </c>
      <c r="R150" s="27" t="str">
        <f aca="false">IF($B150="","",IF($L150="","Data Pending",IF($L150&gt;=Instructions!$D$19,"Best Fund",IF($L150&gt;=Instructions!$D$20,"Need to Improve","Not Performing"))))</f>
        <v/>
      </c>
      <c r="S150" s="7" t="str">
        <f aca="false">IF($R150="","",IF($R150="Data Pending","Enter the 3Y return",IF($R150="Best Fund","Hold / consider top-up",IF($R150="Need to Improve","Watch 2 quarters, then decide","Review with client - switch or exit"))))</f>
        <v/>
      </c>
      <c r="T150" s="26"/>
      <c r="U150" s="7" t="str">
        <f aca="false">IF($R150&lt;&gt;"Best Fund","",COUNTIFS($R$6:$R$505,"Best Fund",$L$6:$L$505,"&gt;"&amp;$L150)+COUNTIFS($R$6:$R150,"Best Fund",$L$6:$L150,$L150))</f>
        <v/>
      </c>
      <c r="V150" s="7" t="str">
        <f aca="false">IF($R150&lt;&gt;"Need to Improve","",COUNTIFS($R$6:$R$505,"Need to Improve",$L$6:$L$505,"&lt;"&amp;$L150)+COUNTIFS($R$6:$R150,"Need to Improve",$L$6:$L150,$L150))</f>
        <v/>
      </c>
      <c r="W150" s="7" t="str">
        <f aca="false">IF($R150&lt;&gt;"Not Performing","",COUNTIFS($R$6:$R$505,"Not Performing",$L$6:$L$505,"&lt;"&amp;$L150)+COUNTIFS($R$6:$R150,"Not Performing",$L$6:$L150,$L150))</f>
        <v/>
      </c>
    </row>
    <row r="151" customFormat="false" ht="15" hidden="false" customHeight="true" outlineLevel="0" collapsed="false">
      <c r="A151" s="26"/>
      <c r="B151" s="26"/>
      <c r="C151" s="26"/>
      <c r="D151" s="27" t="str">
        <f aca="false">IF($C151="","",IFERROR(TRIM(LEFT($C151,FIND("-",$C151)-1)),""))</f>
        <v/>
      </c>
      <c r="E151" s="26"/>
      <c r="F151" s="28"/>
      <c r="G151" s="29"/>
      <c r="H151" s="29"/>
      <c r="I151" s="30" t="str">
        <f aca="false">IF($B151="","",$H151-$G151)</f>
        <v/>
      </c>
      <c r="J151" s="31" t="str">
        <f aca="false">IF(OR($B151="",$G151=0,$G151=""),"",$I151/$G151)</f>
        <v/>
      </c>
      <c r="K151" s="32"/>
      <c r="L151" s="32"/>
      <c r="M151" s="32"/>
      <c r="N151" s="32"/>
      <c r="O151" s="32"/>
      <c r="P151" s="31" t="str">
        <f aca="false">IF(OR($L151="",$N151=""),"",$L151-$N151)</f>
        <v/>
      </c>
      <c r="Q151" s="27" t="str">
        <f aca="false">IF($B151="","",IF(N($H151)&gt;0,"Live","Exited"))</f>
        <v/>
      </c>
      <c r="R151" s="27" t="str">
        <f aca="false">IF($B151="","",IF($L151="","Data Pending",IF($L151&gt;=Instructions!$D$19,"Best Fund",IF($L151&gt;=Instructions!$D$20,"Need to Improve","Not Performing"))))</f>
        <v/>
      </c>
      <c r="S151" s="7" t="str">
        <f aca="false">IF($R151="","",IF($R151="Data Pending","Enter the 3Y return",IF($R151="Best Fund","Hold / consider top-up",IF($R151="Need to Improve","Watch 2 quarters, then decide","Review with client - switch or exit"))))</f>
        <v/>
      </c>
      <c r="T151" s="26"/>
      <c r="U151" s="7" t="str">
        <f aca="false">IF($R151&lt;&gt;"Best Fund","",COUNTIFS($R$6:$R$505,"Best Fund",$L$6:$L$505,"&gt;"&amp;$L151)+COUNTIFS($R$6:$R151,"Best Fund",$L$6:$L151,$L151))</f>
        <v/>
      </c>
      <c r="V151" s="7" t="str">
        <f aca="false">IF($R151&lt;&gt;"Need to Improve","",COUNTIFS($R$6:$R$505,"Need to Improve",$L$6:$L$505,"&lt;"&amp;$L151)+COUNTIFS($R$6:$R151,"Need to Improve",$L$6:$L151,$L151))</f>
        <v/>
      </c>
      <c r="W151" s="7" t="str">
        <f aca="false">IF($R151&lt;&gt;"Not Performing","",COUNTIFS($R$6:$R$505,"Not Performing",$L$6:$L$505,"&lt;"&amp;$L151)+COUNTIFS($R$6:$R151,"Not Performing",$L$6:$L151,$L151))</f>
        <v/>
      </c>
    </row>
    <row r="152" customFormat="false" ht="15" hidden="false" customHeight="true" outlineLevel="0" collapsed="false">
      <c r="A152" s="26"/>
      <c r="B152" s="26"/>
      <c r="C152" s="26"/>
      <c r="D152" s="27" t="str">
        <f aca="false">IF($C152="","",IFERROR(TRIM(LEFT($C152,FIND("-",$C152)-1)),""))</f>
        <v/>
      </c>
      <c r="E152" s="26"/>
      <c r="F152" s="28"/>
      <c r="G152" s="29"/>
      <c r="H152" s="29"/>
      <c r="I152" s="30" t="str">
        <f aca="false">IF($B152="","",$H152-$G152)</f>
        <v/>
      </c>
      <c r="J152" s="31" t="str">
        <f aca="false">IF(OR($B152="",$G152=0,$G152=""),"",$I152/$G152)</f>
        <v/>
      </c>
      <c r="K152" s="32"/>
      <c r="L152" s="32"/>
      <c r="M152" s="32"/>
      <c r="N152" s="32"/>
      <c r="O152" s="32"/>
      <c r="P152" s="31" t="str">
        <f aca="false">IF(OR($L152="",$N152=""),"",$L152-$N152)</f>
        <v/>
      </c>
      <c r="Q152" s="27" t="str">
        <f aca="false">IF($B152="","",IF(N($H152)&gt;0,"Live","Exited"))</f>
        <v/>
      </c>
      <c r="R152" s="27" t="str">
        <f aca="false">IF($B152="","",IF($L152="","Data Pending",IF($L152&gt;=Instructions!$D$19,"Best Fund",IF($L152&gt;=Instructions!$D$20,"Need to Improve","Not Performing"))))</f>
        <v/>
      </c>
      <c r="S152" s="7" t="str">
        <f aca="false">IF($R152="","",IF($R152="Data Pending","Enter the 3Y return",IF($R152="Best Fund","Hold / consider top-up",IF($R152="Need to Improve","Watch 2 quarters, then decide","Review with client - switch or exit"))))</f>
        <v/>
      </c>
      <c r="T152" s="26"/>
      <c r="U152" s="7" t="str">
        <f aca="false">IF($R152&lt;&gt;"Best Fund","",COUNTIFS($R$6:$R$505,"Best Fund",$L$6:$L$505,"&gt;"&amp;$L152)+COUNTIFS($R$6:$R152,"Best Fund",$L$6:$L152,$L152))</f>
        <v/>
      </c>
      <c r="V152" s="7" t="str">
        <f aca="false">IF($R152&lt;&gt;"Need to Improve","",COUNTIFS($R$6:$R$505,"Need to Improve",$L$6:$L$505,"&lt;"&amp;$L152)+COUNTIFS($R$6:$R152,"Need to Improve",$L$6:$L152,$L152))</f>
        <v/>
      </c>
      <c r="W152" s="7" t="str">
        <f aca="false">IF($R152&lt;&gt;"Not Performing","",COUNTIFS($R$6:$R$505,"Not Performing",$L$6:$L$505,"&lt;"&amp;$L152)+COUNTIFS($R$6:$R152,"Not Performing",$L$6:$L152,$L152))</f>
        <v/>
      </c>
    </row>
    <row r="153" customFormat="false" ht="15" hidden="false" customHeight="true" outlineLevel="0" collapsed="false">
      <c r="A153" s="26"/>
      <c r="B153" s="26"/>
      <c r="C153" s="26"/>
      <c r="D153" s="27" t="str">
        <f aca="false">IF($C153="","",IFERROR(TRIM(LEFT($C153,FIND("-",$C153)-1)),""))</f>
        <v/>
      </c>
      <c r="E153" s="26"/>
      <c r="F153" s="28"/>
      <c r="G153" s="29"/>
      <c r="H153" s="29"/>
      <c r="I153" s="30" t="str">
        <f aca="false">IF($B153="","",$H153-$G153)</f>
        <v/>
      </c>
      <c r="J153" s="31" t="str">
        <f aca="false">IF(OR($B153="",$G153=0,$G153=""),"",$I153/$G153)</f>
        <v/>
      </c>
      <c r="K153" s="32"/>
      <c r="L153" s="32"/>
      <c r="M153" s="32"/>
      <c r="N153" s="32"/>
      <c r="O153" s="32"/>
      <c r="P153" s="31" t="str">
        <f aca="false">IF(OR($L153="",$N153=""),"",$L153-$N153)</f>
        <v/>
      </c>
      <c r="Q153" s="27" t="str">
        <f aca="false">IF($B153="","",IF(N($H153)&gt;0,"Live","Exited"))</f>
        <v/>
      </c>
      <c r="R153" s="27" t="str">
        <f aca="false">IF($B153="","",IF($L153="","Data Pending",IF($L153&gt;=Instructions!$D$19,"Best Fund",IF($L153&gt;=Instructions!$D$20,"Need to Improve","Not Performing"))))</f>
        <v/>
      </c>
      <c r="S153" s="7" t="str">
        <f aca="false">IF($R153="","",IF($R153="Data Pending","Enter the 3Y return",IF($R153="Best Fund","Hold / consider top-up",IF($R153="Need to Improve","Watch 2 quarters, then decide","Review with client - switch or exit"))))</f>
        <v/>
      </c>
      <c r="T153" s="26"/>
      <c r="U153" s="7" t="str">
        <f aca="false">IF($R153&lt;&gt;"Best Fund","",COUNTIFS($R$6:$R$505,"Best Fund",$L$6:$L$505,"&gt;"&amp;$L153)+COUNTIFS($R$6:$R153,"Best Fund",$L$6:$L153,$L153))</f>
        <v/>
      </c>
      <c r="V153" s="7" t="str">
        <f aca="false">IF($R153&lt;&gt;"Need to Improve","",COUNTIFS($R$6:$R$505,"Need to Improve",$L$6:$L$505,"&lt;"&amp;$L153)+COUNTIFS($R$6:$R153,"Need to Improve",$L$6:$L153,$L153))</f>
        <v/>
      </c>
      <c r="W153" s="7" t="str">
        <f aca="false">IF($R153&lt;&gt;"Not Performing","",COUNTIFS($R$6:$R$505,"Not Performing",$L$6:$L$505,"&lt;"&amp;$L153)+COUNTIFS($R$6:$R153,"Not Performing",$L$6:$L153,$L153))</f>
        <v/>
      </c>
    </row>
    <row r="154" customFormat="false" ht="15" hidden="false" customHeight="true" outlineLevel="0" collapsed="false">
      <c r="A154" s="26"/>
      <c r="B154" s="26"/>
      <c r="C154" s="26"/>
      <c r="D154" s="27" t="str">
        <f aca="false">IF($C154="","",IFERROR(TRIM(LEFT($C154,FIND("-",$C154)-1)),""))</f>
        <v/>
      </c>
      <c r="E154" s="26"/>
      <c r="F154" s="28"/>
      <c r="G154" s="29"/>
      <c r="H154" s="29"/>
      <c r="I154" s="30" t="str">
        <f aca="false">IF($B154="","",$H154-$G154)</f>
        <v/>
      </c>
      <c r="J154" s="31" t="str">
        <f aca="false">IF(OR($B154="",$G154=0,$G154=""),"",$I154/$G154)</f>
        <v/>
      </c>
      <c r="K154" s="32"/>
      <c r="L154" s="32"/>
      <c r="M154" s="32"/>
      <c r="N154" s="32"/>
      <c r="O154" s="32"/>
      <c r="P154" s="31" t="str">
        <f aca="false">IF(OR($L154="",$N154=""),"",$L154-$N154)</f>
        <v/>
      </c>
      <c r="Q154" s="27" t="str">
        <f aca="false">IF($B154="","",IF(N($H154)&gt;0,"Live","Exited"))</f>
        <v/>
      </c>
      <c r="R154" s="27" t="str">
        <f aca="false">IF($B154="","",IF($L154="","Data Pending",IF($L154&gt;=Instructions!$D$19,"Best Fund",IF($L154&gt;=Instructions!$D$20,"Need to Improve","Not Performing"))))</f>
        <v/>
      </c>
      <c r="S154" s="7" t="str">
        <f aca="false">IF($R154="","",IF($R154="Data Pending","Enter the 3Y return",IF($R154="Best Fund","Hold / consider top-up",IF($R154="Need to Improve","Watch 2 quarters, then decide","Review with client - switch or exit"))))</f>
        <v/>
      </c>
      <c r="T154" s="26"/>
      <c r="U154" s="7" t="str">
        <f aca="false">IF($R154&lt;&gt;"Best Fund","",COUNTIFS($R$6:$R$505,"Best Fund",$L$6:$L$505,"&gt;"&amp;$L154)+COUNTIFS($R$6:$R154,"Best Fund",$L$6:$L154,$L154))</f>
        <v/>
      </c>
      <c r="V154" s="7" t="str">
        <f aca="false">IF($R154&lt;&gt;"Need to Improve","",COUNTIFS($R$6:$R$505,"Need to Improve",$L$6:$L$505,"&lt;"&amp;$L154)+COUNTIFS($R$6:$R154,"Need to Improve",$L$6:$L154,$L154))</f>
        <v/>
      </c>
      <c r="W154" s="7" t="str">
        <f aca="false">IF($R154&lt;&gt;"Not Performing","",COUNTIFS($R$6:$R$505,"Not Performing",$L$6:$L$505,"&lt;"&amp;$L154)+COUNTIFS($R$6:$R154,"Not Performing",$L$6:$L154,$L154))</f>
        <v/>
      </c>
    </row>
    <row r="155" customFormat="false" ht="15" hidden="false" customHeight="true" outlineLevel="0" collapsed="false">
      <c r="A155" s="26"/>
      <c r="B155" s="26"/>
      <c r="C155" s="26"/>
      <c r="D155" s="27" t="str">
        <f aca="false">IF($C155="","",IFERROR(TRIM(LEFT($C155,FIND("-",$C155)-1)),""))</f>
        <v/>
      </c>
      <c r="E155" s="26"/>
      <c r="F155" s="28"/>
      <c r="G155" s="29"/>
      <c r="H155" s="29"/>
      <c r="I155" s="30" t="str">
        <f aca="false">IF($B155="","",$H155-$G155)</f>
        <v/>
      </c>
      <c r="J155" s="31" t="str">
        <f aca="false">IF(OR($B155="",$G155=0,$G155=""),"",$I155/$G155)</f>
        <v/>
      </c>
      <c r="K155" s="32"/>
      <c r="L155" s="32"/>
      <c r="M155" s="32"/>
      <c r="N155" s="32"/>
      <c r="O155" s="32"/>
      <c r="P155" s="31" t="str">
        <f aca="false">IF(OR($L155="",$N155=""),"",$L155-$N155)</f>
        <v/>
      </c>
      <c r="Q155" s="27" t="str">
        <f aca="false">IF($B155="","",IF(N($H155)&gt;0,"Live","Exited"))</f>
        <v/>
      </c>
      <c r="R155" s="27" t="str">
        <f aca="false">IF($B155="","",IF($L155="","Data Pending",IF($L155&gt;=Instructions!$D$19,"Best Fund",IF($L155&gt;=Instructions!$D$20,"Need to Improve","Not Performing"))))</f>
        <v/>
      </c>
      <c r="S155" s="7" t="str">
        <f aca="false">IF($R155="","",IF($R155="Data Pending","Enter the 3Y return",IF($R155="Best Fund","Hold / consider top-up",IF($R155="Need to Improve","Watch 2 quarters, then decide","Review with client - switch or exit"))))</f>
        <v/>
      </c>
      <c r="T155" s="26"/>
      <c r="U155" s="7" t="str">
        <f aca="false">IF($R155&lt;&gt;"Best Fund","",COUNTIFS($R$6:$R$505,"Best Fund",$L$6:$L$505,"&gt;"&amp;$L155)+COUNTIFS($R$6:$R155,"Best Fund",$L$6:$L155,$L155))</f>
        <v/>
      </c>
      <c r="V155" s="7" t="str">
        <f aca="false">IF($R155&lt;&gt;"Need to Improve","",COUNTIFS($R$6:$R$505,"Need to Improve",$L$6:$L$505,"&lt;"&amp;$L155)+COUNTIFS($R$6:$R155,"Need to Improve",$L$6:$L155,$L155))</f>
        <v/>
      </c>
      <c r="W155" s="7" t="str">
        <f aca="false">IF($R155&lt;&gt;"Not Performing","",COUNTIFS($R$6:$R$505,"Not Performing",$L$6:$L$505,"&lt;"&amp;$L155)+COUNTIFS($R$6:$R155,"Not Performing",$L$6:$L155,$L155))</f>
        <v/>
      </c>
    </row>
    <row r="156" customFormat="false" ht="15" hidden="false" customHeight="true" outlineLevel="0" collapsed="false">
      <c r="A156" s="26"/>
      <c r="B156" s="26"/>
      <c r="C156" s="26"/>
      <c r="D156" s="27" t="str">
        <f aca="false">IF($C156="","",IFERROR(TRIM(LEFT($C156,FIND("-",$C156)-1)),""))</f>
        <v/>
      </c>
      <c r="E156" s="26"/>
      <c r="F156" s="28"/>
      <c r="G156" s="29"/>
      <c r="H156" s="29"/>
      <c r="I156" s="30" t="str">
        <f aca="false">IF($B156="","",$H156-$G156)</f>
        <v/>
      </c>
      <c r="J156" s="31" t="str">
        <f aca="false">IF(OR($B156="",$G156=0,$G156=""),"",$I156/$G156)</f>
        <v/>
      </c>
      <c r="K156" s="32"/>
      <c r="L156" s="32"/>
      <c r="M156" s="32"/>
      <c r="N156" s="32"/>
      <c r="O156" s="32"/>
      <c r="P156" s="31" t="str">
        <f aca="false">IF(OR($L156="",$N156=""),"",$L156-$N156)</f>
        <v/>
      </c>
      <c r="Q156" s="27" t="str">
        <f aca="false">IF($B156="","",IF(N($H156)&gt;0,"Live","Exited"))</f>
        <v/>
      </c>
      <c r="R156" s="27" t="str">
        <f aca="false">IF($B156="","",IF($L156="","Data Pending",IF($L156&gt;=Instructions!$D$19,"Best Fund",IF($L156&gt;=Instructions!$D$20,"Need to Improve","Not Performing"))))</f>
        <v/>
      </c>
      <c r="S156" s="7" t="str">
        <f aca="false">IF($R156="","",IF($R156="Data Pending","Enter the 3Y return",IF($R156="Best Fund","Hold / consider top-up",IF($R156="Need to Improve","Watch 2 quarters, then decide","Review with client - switch or exit"))))</f>
        <v/>
      </c>
      <c r="T156" s="26"/>
      <c r="U156" s="7" t="str">
        <f aca="false">IF($R156&lt;&gt;"Best Fund","",COUNTIFS($R$6:$R$505,"Best Fund",$L$6:$L$505,"&gt;"&amp;$L156)+COUNTIFS($R$6:$R156,"Best Fund",$L$6:$L156,$L156))</f>
        <v/>
      </c>
      <c r="V156" s="7" t="str">
        <f aca="false">IF($R156&lt;&gt;"Need to Improve","",COUNTIFS($R$6:$R$505,"Need to Improve",$L$6:$L$505,"&lt;"&amp;$L156)+COUNTIFS($R$6:$R156,"Need to Improve",$L$6:$L156,$L156))</f>
        <v/>
      </c>
      <c r="W156" s="7" t="str">
        <f aca="false">IF($R156&lt;&gt;"Not Performing","",COUNTIFS($R$6:$R$505,"Not Performing",$L$6:$L$505,"&lt;"&amp;$L156)+COUNTIFS($R$6:$R156,"Not Performing",$L$6:$L156,$L156))</f>
        <v/>
      </c>
    </row>
    <row r="157" customFormat="false" ht="15" hidden="false" customHeight="true" outlineLevel="0" collapsed="false">
      <c r="A157" s="26"/>
      <c r="B157" s="26"/>
      <c r="C157" s="26"/>
      <c r="D157" s="27" t="str">
        <f aca="false">IF($C157="","",IFERROR(TRIM(LEFT($C157,FIND("-",$C157)-1)),""))</f>
        <v/>
      </c>
      <c r="E157" s="26"/>
      <c r="F157" s="28"/>
      <c r="G157" s="29"/>
      <c r="H157" s="29"/>
      <c r="I157" s="30" t="str">
        <f aca="false">IF($B157="","",$H157-$G157)</f>
        <v/>
      </c>
      <c r="J157" s="31" t="str">
        <f aca="false">IF(OR($B157="",$G157=0,$G157=""),"",$I157/$G157)</f>
        <v/>
      </c>
      <c r="K157" s="32"/>
      <c r="L157" s="32"/>
      <c r="M157" s="32"/>
      <c r="N157" s="32"/>
      <c r="O157" s="32"/>
      <c r="P157" s="31" t="str">
        <f aca="false">IF(OR($L157="",$N157=""),"",$L157-$N157)</f>
        <v/>
      </c>
      <c r="Q157" s="27" t="str">
        <f aca="false">IF($B157="","",IF(N($H157)&gt;0,"Live","Exited"))</f>
        <v/>
      </c>
      <c r="R157" s="27" t="str">
        <f aca="false">IF($B157="","",IF($L157="","Data Pending",IF($L157&gt;=Instructions!$D$19,"Best Fund",IF($L157&gt;=Instructions!$D$20,"Need to Improve","Not Performing"))))</f>
        <v/>
      </c>
      <c r="S157" s="7" t="str">
        <f aca="false">IF($R157="","",IF($R157="Data Pending","Enter the 3Y return",IF($R157="Best Fund","Hold / consider top-up",IF($R157="Need to Improve","Watch 2 quarters, then decide","Review with client - switch or exit"))))</f>
        <v/>
      </c>
      <c r="T157" s="26"/>
      <c r="U157" s="7" t="str">
        <f aca="false">IF($R157&lt;&gt;"Best Fund","",COUNTIFS($R$6:$R$505,"Best Fund",$L$6:$L$505,"&gt;"&amp;$L157)+COUNTIFS($R$6:$R157,"Best Fund",$L$6:$L157,$L157))</f>
        <v/>
      </c>
      <c r="V157" s="7" t="str">
        <f aca="false">IF($R157&lt;&gt;"Need to Improve","",COUNTIFS($R$6:$R$505,"Need to Improve",$L$6:$L$505,"&lt;"&amp;$L157)+COUNTIFS($R$6:$R157,"Need to Improve",$L$6:$L157,$L157))</f>
        <v/>
      </c>
      <c r="W157" s="7" t="str">
        <f aca="false">IF($R157&lt;&gt;"Not Performing","",COUNTIFS($R$6:$R$505,"Not Performing",$L$6:$L$505,"&lt;"&amp;$L157)+COUNTIFS($R$6:$R157,"Not Performing",$L$6:$L157,$L157))</f>
        <v/>
      </c>
    </row>
    <row r="158" customFormat="false" ht="15" hidden="false" customHeight="true" outlineLevel="0" collapsed="false">
      <c r="A158" s="26"/>
      <c r="B158" s="26"/>
      <c r="C158" s="26"/>
      <c r="D158" s="27" t="str">
        <f aca="false">IF($C158="","",IFERROR(TRIM(LEFT($C158,FIND("-",$C158)-1)),""))</f>
        <v/>
      </c>
      <c r="E158" s="26"/>
      <c r="F158" s="28"/>
      <c r="G158" s="29"/>
      <c r="H158" s="29"/>
      <c r="I158" s="30" t="str">
        <f aca="false">IF($B158="","",$H158-$G158)</f>
        <v/>
      </c>
      <c r="J158" s="31" t="str">
        <f aca="false">IF(OR($B158="",$G158=0,$G158=""),"",$I158/$G158)</f>
        <v/>
      </c>
      <c r="K158" s="32"/>
      <c r="L158" s="32"/>
      <c r="M158" s="32"/>
      <c r="N158" s="32"/>
      <c r="O158" s="32"/>
      <c r="P158" s="31" t="str">
        <f aca="false">IF(OR($L158="",$N158=""),"",$L158-$N158)</f>
        <v/>
      </c>
      <c r="Q158" s="27" t="str">
        <f aca="false">IF($B158="","",IF(N($H158)&gt;0,"Live","Exited"))</f>
        <v/>
      </c>
      <c r="R158" s="27" t="str">
        <f aca="false">IF($B158="","",IF($L158="","Data Pending",IF($L158&gt;=Instructions!$D$19,"Best Fund",IF($L158&gt;=Instructions!$D$20,"Need to Improve","Not Performing"))))</f>
        <v/>
      </c>
      <c r="S158" s="7" t="str">
        <f aca="false">IF($R158="","",IF($R158="Data Pending","Enter the 3Y return",IF($R158="Best Fund","Hold / consider top-up",IF($R158="Need to Improve","Watch 2 quarters, then decide","Review with client - switch or exit"))))</f>
        <v/>
      </c>
      <c r="T158" s="26"/>
      <c r="U158" s="7" t="str">
        <f aca="false">IF($R158&lt;&gt;"Best Fund","",COUNTIFS($R$6:$R$505,"Best Fund",$L$6:$L$505,"&gt;"&amp;$L158)+COUNTIFS($R$6:$R158,"Best Fund",$L$6:$L158,$L158))</f>
        <v/>
      </c>
      <c r="V158" s="7" t="str">
        <f aca="false">IF($R158&lt;&gt;"Need to Improve","",COUNTIFS($R$6:$R$505,"Need to Improve",$L$6:$L$505,"&lt;"&amp;$L158)+COUNTIFS($R$6:$R158,"Need to Improve",$L$6:$L158,$L158))</f>
        <v/>
      </c>
      <c r="W158" s="7" t="str">
        <f aca="false">IF($R158&lt;&gt;"Not Performing","",COUNTIFS($R$6:$R$505,"Not Performing",$L$6:$L$505,"&lt;"&amp;$L158)+COUNTIFS($R$6:$R158,"Not Performing",$L$6:$L158,$L158))</f>
        <v/>
      </c>
    </row>
    <row r="159" customFormat="false" ht="15" hidden="false" customHeight="true" outlineLevel="0" collapsed="false">
      <c r="A159" s="26"/>
      <c r="B159" s="26"/>
      <c r="C159" s="26"/>
      <c r="D159" s="27" t="str">
        <f aca="false">IF($C159="","",IFERROR(TRIM(LEFT($C159,FIND("-",$C159)-1)),""))</f>
        <v/>
      </c>
      <c r="E159" s="26"/>
      <c r="F159" s="28"/>
      <c r="G159" s="29"/>
      <c r="H159" s="29"/>
      <c r="I159" s="30" t="str">
        <f aca="false">IF($B159="","",$H159-$G159)</f>
        <v/>
      </c>
      <c r="J159" s="31" t="str">
        <f aca="false">IF(OR($B159="",$G159=0,$G159=""),"",$I159/$G159)</f>
        <v/>
      </c>
      <c r="K159" s="32"/>
      <c r="L159" s="32"/>
      <c r="M159" s="32"/>
      <c r="N159" s="32"/>
      <c r="O159" s="32"/>
      <c r="P159" s="31" t="str">
        <f aca="false">IF(OR($L159="",$N159=""),"",$L159-$N159)</f>
        <v/>
      </c>
      <c r="Q159" s="27" t="str">
        <f aca="false">IF($B159="","",IF(N($H159)&gt;0,"Live","Exited"))</f>
        <v/>
      </c>
      <c r="R159" s="27" t="str">
        <f aca="false">IF($B159="","",IF($L159="","Data Pending",IF($L159&gt;=Instructions!$D$19,"Best Fund",IF($L159&gt;=Instructions!$D$20,"Need to Improve","Not Performing"))))</f>
        <v/>
      </c>
      <c r="S159" s="7" t="str">
        <f aca="false">IF($R159="","",IF($R159="Data Pending","Enter the 3Y return",IF($R159="Best Fund","Hold / consider top-up",IF($R159="Need to Improve","Watch 2 quarters, then decide","Review with client - switch or exit"))))</f>
        <v/>
      </c>
      <c r="T159" s="26"/>
      <c r="U159" s="7" t="str">
        <f aca="false">IF($R159&lt;&gt;"Best Fund","",COUNTIFS($R$6:$R$505,"Best Fund",$L$6:$L$505,"&gt;"&amp;$L159)+COUNTIFS($R$6:$R159,"Best Fund",$L$6:$L159,$L159))</f>
        <v/>
      </c>
      <c r="V159" s="7" t="str">
        <f aca="false">IF($R159&lt;&gt;"Need to Improve","",COUNTIFS($R$6:$R$505,"Need to Improve",$L$6:$L$505,"&lt;"&amp;$L159)+COUNTIFS($R$6:$R159,"Need to Improve",$L$6:$L159,$L159))</f>
        <v/>
      </c>
      <c r="W159" s="7" t="str">
        <f aca="false">IF($R159&lt;&gt;"Not Performing","",COUNTIFS($R$6:$R$505,"Not Performing",$L$6:$L$505,"&lt;"&amp;$L159)+COUNTIFS($R$6:$R159,"Not Performing",$L$6:$L159,$L159))</f>
        <v/>
      </c>
    </row>
    <row r="160" customFormat="false" ht="15" hidden="false" customHeight="true" outlineLevel="0" collapsed="false">
      <c r="A160" s="26"/>
      <c r="B160" s="26"/>
      <c r="C160" s="26"/>
      <c r="D160" s="27" t="str">
        <f aca="false">IF($C160="","",IFERROR(TRIM(LEFT($C160,FIND("-",$C160)-1)),""))</f>
        <v/>
      </c>
      <c r="E160" s="26"/>
      <c r="F160" s="28"/>
      <c r="G160" s="29"/>
      <c r="H160" s="29"/>
      <c r="I160" s="30" t="str">
        <f aca="false">IF($B160="","",$H160-$G160)</f>
        <v/>
      </c>
      <c r="J160" s="31" t="str">
        <f aca="false">IF(OR($B160="",$G160=0,$G160=""),"",$I160/$G160)</f>
        <v/>
      </c>
      <c r="K160" s="32"/>
      <c r="L160" s="32"/>
      <c r="M160" s="32"/>
      <c r="N160" s="32"/>
      <c r="O160" s="32"/>
      <c r="P160" s="31" t="str">
        <f aca="false">IF(OR($L160="",$N160=""),"",$L160-$N160)</f>
        <v/>
      </c>
      <c r="Q160" s="27" t="str">
        <f aca="false">IF($B160="","",IF(N($H160)&gt;0,"Live","Exited"))</f>
        <v/>
      </c>
      <c r="R160" s="27" t="str">
        <f aca="false">IF($B160="","",IF($L160="","Data Pending",IF($L160&gt;=Instructions!$D$19,"Best Fund",IF($L160&gt;=Instructions!$D$20,"Need to Improve","Not Performing"))))</f>
        <v/>
      </c>
      <c r="S160" s="7" t="str">
        <f aca="false">IF($R160="","",IF($R160="Data Pending","Enter the 3Y return",IF($R160="Best Fund","Hold / consider top-up",IF($R160="Need to Improve","Watch 2 quarters, then decide","Review with client - switch or exit"))))</f>
        <v/>
      </c>
      <c r="T160" s="26"/>
      <c r="U160" s="7" t="str">
        <f aca="false">IF($R160&lt;&gt;"Best Fund","",COUNTIFS($R$6:$R$505,"Best Fund",$L$6:$L$505,"&gt;"&amp;$L160)+COUNTIFS($R$6:$R160,"Best Fund",$L$6:$L160,$L160))</f>
        <v/>
      </c>
      <c r="V160" s="7" t="str">
        <f aca="false">IF($R160&lt;&gt;"Need to Improve","",COUNTIFS($R$6:$R$505,"Need to Improve",$L$6:$L$505,"&lt;"&amp;$L160)+COUNTIFS($R$6:$R160,"Need to Improve",$L$6:$L160,$L160))</f>
        <v/>
      </c>
      <c r="W160" s="7" t="str">
        <f aca="false">IF($R160&lt;&gt;"Not Performing","",COUNTIFS($R$6:$R$505,"Not Performing",$L$6:$L$505,"&lt;"&amp;$L160)+COUNTIFS($R$6:$R160,"Not Performing",$L$6:$L160,$L160))</f>
        <v/>
      </c>
    </row>
    <row r="161" customFormat="false" ht="15" hidden="false" customHeight="true" outlineLevel="0" collapsed="false">
      <c r="A161" s="26"/>
      <c r="B161" s="26"/>
      <c r="C161" s="26"/>
      <c r="D161" s="27" t="str">
        <f aca="false">IF($C161="","",IFERROR(TRIM(LEFT($C161,FIND("-",$C161)-1)),""))</f>
        <v/>
      </c>
      <c r="E161" s="26"/>
      <c r="F161" s="28"/>
      <c r="G161" s="29"/>
      <c r="H161" s="29"/>
      <c r="I161" s="30" t="str">
        <f aca="false">IF($B161="","",$H161-$G161)</f>
        <v/>
      </c>
      <c r="J161" s="31" t="str">
        <f aca="false">IF(OR($B161="",$G161=0,$G161=""),"",$I161/$G161)</f>
        <v/>
      </c>
      <c r="K161" s="32"/>
      <c r="L161" s="32"/>
      <c r="M161" s="32"/>
      <c r="N161" s="32"/>
      <c r="O161" s="32"/>
      <c r="P161" s="31" t="str">
        <f aca="false">IF(OR($L161="",$N161=""),"",$L161-$N161)</f>
        <v/>
      </c>
      <c r="Q161" s="27" t="str">
        <f aca="false">IF($B161="","",IF(N($H161)&gt;0,"Live","Exited"))</f>
        <v/>
      </c>
      <c r="R161" s="27" t="str">
        <f aca="false">IF($B161="","",IF($L161="","Data Pending",IF($L161&gt;=Instructions!$D$19,"Best Fund",IF($L161&gt;=Instructions!$D$20,"Need to Improve","Not Performing"))))</f>
        <v/>
      </c>
      <c r="S161" s="7" t="str">
        <f aca="false">IF($R161="","",IF($R161="Data Pending","Enter the 3Y return",IF($R161="Best Fund","Hold / consider top-up",IF($R161="Need to Improve","Watch 2 quarters, then decide","Review with client - switch or exit"))))</f>
        <v/>
      </c>
      <c r="T161" s="26"/>
      <c r="U161" s="7" t="str">
        <f aca="false">IF($R161&lt;&gt;"Best Fund","",COUNTIFS($R$6:$R$505,"Best Fund",$L$6:$L$505,"&gt;"&amp;$L161)+COUNTIFS($R$6:$R161,"Best Fund",$L$6:$L161,$L161))</f>
        <v/>
      </c>
      <c r="V161" s="7" t="str">
        <f aca="false">IF($R161&lt;&gt;"Need to Improve","",COUNTIFS($R$6:$R$505,"Need to Improve",$L$6:$L$505,"&lt;"&amp;$L161)+COUNTIFS($R$6:$R161,"Need to Improve",$L$6:$L161,$L161))</f>
        <v/>
      </c>
      <c r="W161" s="7" t="str">
        <f aca="false">IF($R161&lt;&gt;"Not Performing","",COUNTIFS($R$6:$R$505,"Not Performing",$L$6:$L$505,"&lt;"&amp;$L161)+COUNTIFS($R$6:$R161,"Not Performing",$L$6:$L161,$L161))</f>
        <v/>
      </c>
    </row>
    <row r="162" customFormat="false" ht="15" hidden="false" customHeight="true" outlineLevel="0" collapsed="false">
      <c r="A162" s="26"/>
      <c r="B162" s="26"/>
      <c r="C162" s="26"/>
      <c r="D162" s="27" t="str">
        <f aca="false">IF($C162="","",IFERROR(TRIM(LEFT($C162,FIND("-",$C162)-1)),""))</f>
        <v/>
      </c>
      <c r="E162" s="26"/>
      <c r="F162" s="28"/>
      <c r="G162" s="29"/>
      <c r="H162" s="29"/>
      <c r="I162" s="30" t="str">
        <f aca="false">IF($B162="","",$H162-$G162)</f>
        <v/>
      </c>
      <c r="J162" s="31" t="str">
        <f aca="false">IF(OR($B162="",$G162=0,$G162=""),"",$I162/$G162)</f>
        <v/>
      </c>
      <c r="K162" s="32"/>
      <c r="L162" s="32"/>
      <c r="M162" s="32"/>
      <c r="N162" s="32"/>
      <c r="O162" s="32"/>
      <c r="P162" s="31" t="str">
        <f aca="false">IF(OR($L162="",$N162=""),"",$L162-$N162)</f>
        <v/>
      </c>
      <c r="Q162" s="27" t="str">
        <f aca="false">IF($B162="","",IF(N($H162)&gt;0,"Live","Exited"))</f>
        <v/>
      </c>
      <c r="R162" s="27" t="str">
        <f aca="false">IF($B162="","",IF($L162="","Data Pending",IF($L162&gt;=Instructions!$D$19,"Best Fund",IF($L162&gt;=Instructions!$D$20,"Need to Improve","Not Performing"))))</f>
        <v/>
      </c>
      <c r="S162" s="7" t="str">
        <f aca="false">IF($R162="","",IF($R162="Data Pending","Enter the 3Y return",IF($R162="Best Fund","Hold / consider top-up",IF($R162="Need to Improve","Watch 2 quarters, then decide","Review with client - switch or exit"))))</f>
        <v/>
      </c>
      <c r="T162" s="26"/>
      <c r="U162" s="7" t="str">
        <f aca="false">IF($R162&lt;&gt;"Best Fund","",COUNTIFS($R$6:$R$505,"Best Fund",$L$6:$L$505,"&gt;"&amp;$L162)+COUNTIFS($R$6:$R162,"Best Fund",$L$6:$L162,$L162))</f>
        <v/>
      </c>
      <c r="V162" s="7" t="str">
        <f aca="false">IF($R162&lt;&gt;"Need to Improve","",COUNTIFS($R$6:$R$505,"Need to Improve",$L$6:$L$505,"&lt;"&amp;$L162)+COUNTIFS($R$6:$R162,"Need to Improve",$L$6:$L162,$L162))</f>
        <v/>
      </c>
      <c r="W162" s="7" t="str">
        <f aca="false">IF($R162&lt;&gt;"Not Performing","",COUNTIFS($R$6:$R$505,"Not Performing",$L$6:$L$505,"&lt;"&amp;$L162)+COUNTIFS($R$6:$R162,"Not Performing",$L$6:$L162,$L162))</f>
        <v/>
      </c>
    </row>
    <row r="163" customFormat="false" ht="15" hidden="false" customHeight="true" outlineLevel="0" collapsed="false">
      <c r="A163" s="26"/>
      <c r="B163" s="26"/>
      <c r="C163" s="26"/>
      <c r="D163" s="27" t="str">
        <f aca="false">IF($C163="","",IFERROR(TRIM(LEFT($C163,FIND("-",$C163)-1)),""))</f>
        <v/>
      </c>
      <c r="E163" s="26"/>
      <c r="F163" s="28"/>
      <c r="G163" s="29"/>
      <c r="H163" s="29"/>
      <c r="I163" s="30" t="str">
        <f aca="false">IF($B163="","",$H163-$G163)</f>
        <v/>
      </c>
      <c r="J163" s="31" t="str">
        <f aca="false">IF(OR($B163="",$G163=0,$G163=""),"",$I163/$G163)</f>
        <v/>
      </c>
      <c r="K163" s="32"/>
      <c r="L163" s="32"/>
      <c r="M163" s="32"/>
      <c r="N163" s="32"/>
      <c r="O163" s="32"/>
      <c r="P163" s="31" t="str">
        <f aca="false">IF(OR($L163="",$N163=""),"",$L163-$N163)</f>
        <v/>
      </c>
      <c r="Q163" s="27" t="str">
        <f aca="false">IF($B163="","",IF(N($H163)&gt;0,"Live","Exited"))</f>
        <v/>
      </c>
      <c r="R163" s="27" t="str">
        <f aca="false">IF($B163="","",IF($L163="","Data Pending",IF($L163&gt;=Instructions!$D$19,"Best Fund",IF($L163&gt;=Instructions!$D$20,"Need to Improve","Not Performing"))))</f>
        <v/>
      </c>
      <c r="S163" s="7" t="str">
        <f aca="false">IF($R163="","",IF($R163="Data Pending","Enter the 3Y return",IF($R163="Best Fund","Hold / consider top-up",IF($R163="Need to Improve","Watch 2 quarters, then decide","Review with client - switch or exit"))))</f>
        <v/>
      </c>
      <c r="T163" s="26"/>
      <c r="U163" s="7" t="str">
        <f aca="false">IF($R163&lt;&gt;"Best Fund","",COUNTIFS($R$6:$R$505,"Best Fund",$L$6:$L$505,"&gt;"&amp;$L163)+COUNTIFS($R$6:$R163,"Best Fund",$L$6:$L163,$L163))</f>
        <v/>
      </c>
      <c r="V163" s="7" t="str">
        <f aca="false">IF($R163&lt;&gt;"Need to Improve","",COUNTIFS($R$6:$R$505,"Need to Improve",$L$6:$L$505,"&lt;"&amp;$L163)+COUNTIFS($R$6:$R163,"Need to Improve",$L$6:$L163,$L163))</f>
        <v/>
      </c>
      <c r="W163" s="7" t="str">
        <f aca="false">IF($R163&lt;&gt;"Not Performing","",COUNTIFS($R$6:$R$505,"Not Performing",$L$6:$L$505,"&lt;"&amp;$L163)+COUNTIFS($R$6:$R163,"Not Performing",$L$6:$L163,$L163))</f>
        <v/>
      </c>
    </row>
    <row r="164" customFormat="false" ht="15" hidden="false" customHeight="true" outlineLevel="0" collapsed="false">
      <c r="A164" s="26"/>
      <c r="B164" s="26"/>
      <c r="C164" s="26"/>
      <c r="D164" s="27" t="str">
        <f aca="false">IF($C164="","",IFERROR(TRIM(LEFT($C164,FIND("-",$C164)-1)),""))</f>
        <v/>
      </c>
      <c r="E164" s="26"/>
      <c r="F164" s="28"/>
      <c r="G164" s="29"/>
      <c r="H164" s="29"/>
      <c r="I164" s="30" t="str">
        <f aca="false">IF($B164="","",$H164-$G164)</f>
        <v/>
      </c>
      <c r="J164" s="31" t="str">
        <f aca="false">IF(OR($B164="",$G164=0,$G164=""),"",$I164/$G164)</f>
        <v/>
      </c>
      <c r="K164" s="32"/>
      <c r="L164" s="32"/>
      <c r="M164" s="32"/>
      <c r="N164" s="32"/>
      <c r="O164" s="32"/>
      <c r="P164" s="31" t="str">
        <f aca="false">IF(OR($L164="",$N164=""),"",$L164-$N164)</f>
        <v/>
      </c>
      <c r="Q164" s="27" t="str">
        <f aca="false">IF($B164="","",IF(N($H164)&gt;0,"Live","Exited"))</f>
        <v/>
      </c>
      <c r="R164" s="27" t="str">
        <f aca="false">IF($B164="","",IF($L164="","Data Pending",IF($L164&gt;=Instructions!$D$19,"Best Fund",IF($L164&gt;=Instructions!$D$20,"Need to Improve","Not Performing"))))</f>
        <v/>
      </c>
      <c r="S164" s="7" t="str">
        <f aca="false">IF($R164="","",IF($R164="Data Pending","Enter the 3Y return",IF($R164="Best Fund","Hold / consider top-up",IF($R164="Need to Improve","Watch 2 quarters, then decide","Review with client - switch or exit"))))</f>
        <v/>
      </c>
      <c r="T164" s="26"/>
      <c r="U164" s="7" t="str">
        <f aca="false">IF($R164&lt;&gt;"Best Fund","",COUNTIFS($R$6:$R$505,"Best Fund",$L$6:$L$505,"&gt;"&amp;$L164)+COUNTIFS($R$6:$R164,"Best Fund",$L$6:$L164,$L164))</f>
        <v/>
      </c>
      <c r="V164" s="7" t="str">
        <f aca="false">IF($R164&lt;&gt;"Need to Improve","",COUNTIFS($R$6:$R$505,"Need to Improve",$L$6:$L$505,"&lt;"&amp;$L164)+COUNTIFS($R$6:$R164,"Need to Improve",$L$6:$L164,$L164))</f>
        <v/>
      </c>
      <c r="W164" s="7" t="str">
        <f aca="false">IF($R164&lt;&gt;"Not Performing","",COUNTIFS($R$6:$R$505,"Not Performing",$L$6:$L$505,"&lt;"&amp;$L164)+COUNTIFS($R$6:$R164,"Not Performing",$L$6:$L164,$L164))</f>
        <v/>
      </c>
    </row>
    <row r="165" customFormat="false" ht="15" hidden="false" customHeight="true" outlineLevel="0" collapsed="false">
      <c r="A165" s="26"/>
      <c r="B165" s="26"/>
      <c r="C165" s="26"/>
      <c r="D165" s="27" t="str">
        <f aca="false">IF($C165="","",IFERROR(TRIM(LEFT($C165,FIND("-",$C165)-1)),""))</f>
        <v/>
      </c>
      <c r="E165" s="26"/>
      <c r="F165" s="28"/>
      <c r="G165" s="29"/>
      <c r="H165" s="29"/>
      <c r="I165" s="30" t="str">
        <f aca="false">IF($B165="","",$H165-$G165)</f>
        <v/>
      </c>
      <c r="J165" s="31" t="str">
        <f aca="false">IF(OR($B165="",$G165=0,$G165=""),"",$I165/$G165)</f>
        <v/>
      </c>
      <c r="K165" s="32"/>
      <c r="L165" s="32"/>
      <c r="M165" s="32"/>
      <c r="N165" s="32"/>
      <c r="O165" s="32"/>
      <c r="P165" s="31" t="str">
        <f aca="false">IF(OR($L165="",$N165=""),"",$L165-$N165)</f>
        <v/>
      </c>
      <c r="Q165" s="27" t="str">
        <f aca="false">IF($B165="","",IF(N($H165)&gt;0,"Live","Exited"))</f>
        <v/>
      </c>
      <c r="R165" s="27" t="str">
        <f aca="false">IF($B165="","",IF($L165="","Data Pending",IF($L165&gt;=Instructions!$D$19,"Best Fund",IF($L165&gt;=Instructions!$D$20,"Need to Improve","Not Performing"))))</f>
        <v/>
      </c>
      <c r="S165" s="7" t="str">
        <f aca="false">IF($R165="","",IF($R165="Data Pending","Enter the 3Y return",IF($R165="Best Fund","Hold / consider top-up",IF($R165="Need to Improve","Watch 2 quarters, then decide","Review with client - switch or exit"))))</f>
        <v/>
      </c>
      <c r="T165" s="26"/>
      <c r="U165" s="7" t="str">
        <f aca="false">IF($R165&lt;&gt;"Best Fund","",COUNTIFS($R$6:$R$505,"Best Fund",$L$6:$L$505,"&gt;"&amp;$L165)+COUNTIFS($R$6:$R165,"Best Fund",$L$6:$L165,$L165))</f>
        <v/>
      </c>
      <c r="V165" s="7" t="str">
        <f aca="false">IF($R165&lt;&gt;"Need to Improve","",COUNTIFS($R$6:$R$505,"Need to Improve",$L$6:$L$505,"&lt;"&amp;$L165)+COUNTIFS($R$6:$R165,"Need to Improve",$L$6:$L165,$L165))</f>
        <v/>
      </c>
      <c r="W165" s="7" t="str">
        <f aca="false">IF($R165&lt;&gt;"Not Performing","",COUNTIFS($R$6:$R$505,"Not Performing",$L$6:$L$505,"&lt;"&amp;$L165)+COUNTIFS($R$6:$R165,"Not Performing",$L$6:$L165,$L165))</f>
        <v/>
      </c>
    </row>
    <row r="166" customFormat="false" ht="15" hidden="false" customHeight="true" outlineLevel="0" collapsed="false">
      <c r="A166" s="26"/>
      <c r="B166" s="26"/>
      <c r="C166" s="26"/>
      <c r="D166" s="27" t="str">
        <f aca="false">IF($C166="","",IFERROR(TRIM(LEFT($C166,FIND("-",$C166)-1)),""))</f>
        <v/>
      </c>
      <c r="E166" s="26"/>
      <c r="F166" s="28"/>
      <c r="G166" s="29"/>
      <c r="H166" s="29"/>
      <c r="I166" s="30" t="str">
        <f aca="false">IF($B166="","",$H166-$G166)</f>
        <v/>
      </c>
      <c r="J166" s="31" t="str">
        <f aca="false">IF(OR($B166="",$G166=0,$G166=""),"",$I166/$G166)</f>
        <v/>
      </c>
      <c r="K166" s="32"/>
      <c r="L166" s="32"/>
      <c r="M166" s="32"/>
      <c r="N166" s="32"/>
      <c r="O166" s="32"/>
      <c r="P166" s="31" t="str">
        <f aca="false">IF(OR($L166="",$N166=""),"",$L166-$N166)</f>
        <v/>
      </c>
      <c r="Q166" s="27" t="str">
        <f aca="false">IF($B166="","",IF(N($H166)&gt;0,"Live","Exited"))</f>
        <v/>
      </c>
      <c r="R166" s="27" t="str">
        <f aca="false">IF($B166="","",IF($L166="","Data Pending",IF($L166&gt;=Instructions!$D$19,"Best Fund",IF($L166&gt;=Instructions!$D$20,"Need to Improve","Not Performing"))))</f>
        <v/>
      </c>
      <c r="S166" s="7" t="str">
        <f aca="false">IF($R166="","",IF($R166="Data Pending","Enter the 3Y return",IF($R166="Best Fund","Hold / consider top-up",IF($R166="Need to Improve","Watch 2 quarters, then decide","Review with client - switch or exit"))))</f>
        <v/>
      </c>
      <c r="T166" s="26"/>
      <c r="U166" s="7" t="str">
        <f aca="false">IF($R166&lt;&gt;"Best Fund","",COUNTIFS($R$6:$R$505,"Best Fund",$L$6:$L$505,"&gt;"&amp;$L166)+COUNTIFS($R$6:$R166,"Best Fund",$L$6:$L166,$L166))</f>
        <v/>
      </c>
      <c r="V166" s="7" t="str">
        <f aca="false">IF($R166&lt;&gt;"Need to Improve","",COUNTIFS($R$6:$R$505,"Need to Improve",$L$6:$L$505,"&lt;"&amp;$L166)+COUNTIFS($R$6:$R166,"Need to Improve",$L$6:$L166,$L166))</f>
        <v/>
      </c>
      <c r="W166" s="7" t="str">
        <f aca="false">IF($R166&lt;&gt;"Not Performing","",COUNTIFS($R$6:$R$505,"Not Performing",$L$6:$L$505,"&lt;"&amp;$L166)+COUNTIFS($R$6:$R166,"Not Performing",$L$6:$L166,$L166))</f>
        <v/>
      </c>
    </row>
    <row r="167" customFormat="false" ht="15" hidden="false" customHeight="true" outlineLevel="0" collapsed="false">
      <c r="A167" s="26"/>
      <c r="B167" s="26"/>
      <c r="C167" s="26"/>
      <c r="D167" s="27" t="str">
        <f aca="false">IF($C167="","",IFERROR(TRIM(LEFT($C167,FIND("-",$C167)-1)),""))</f>
        <v/>
      </c>
      <c r="E167" s="26"/>
      <c r="F167" s="28"/>
      <c r="G167" s="29"/>
      <c r="H167" s="29"/>
      <c r="I167" s="30" t="str">
        <f aca="false">IF($B167="","",$H167-$G167)</f>
        <v/>
      </c>
      <c r="J167" s="31" t="str">
        <f aca="false">IF(OR($B167="",$G167=0,$G167=""),"",$I167/$G167)</f>
        <v/>
      </c>
      <c r="K167" s="32"/>
      <c r="L167" s="32"/>
      <c r="M167" s="32"/>
      <c r="N167" s="32"/>
      <c r="O167" s="32"/>
      <c r="P167" s="31" t="str">
        <f aca="false">IF(OR($L167="",$N167=""),"",$L167-$N167)</f>
        <v/>
      </c>
      <c r="Q167" s="27" t="str">
        <f aca="false">IF($B167="","",IF(N($H167)&gt;0,"Live","Exited"))</f>
        <v/>
      </c>
      <c r="R167" s="27" t="str">
        <f aca="false">IF($B167="","",IF($L167="","Data Pending",IF($L167&gt;=Instructions!$D$19,"Best Fund",IF($L167&gt;=Instructions!$D$20,"Need to Improve","Not Performing"))))</f>
        <v/>
      </c>
      <c r="S167" s="7" t="str">
        <f aca="false">IF($R167="","",IF($R167="Data Pending","Enter the 3Y return",IF($R167="Best Fund","Hold / consider top-up",IF($R167="Need to Improve","Watch 2 quarters, then decide","Review with client - switch or exit"))))</f>
        <v/>
      </c>
      <c r="T167" s="26"/>
      <c r="U167" s="7" t="str">
        <f aca="false">IF($R167&lt;&gt;"Best Fund","",COUNTIFS($R$6:$R$505,"Best Fund",$L$6:$L$505,"&gt;"&amp;$L167)+COUNTIFS($R$6:$R167,"Best Fund",$L$6:$L167,$L167))</f>
        <v/>
      </c>
      <c r="V167" s="7" t="str">
        <f aca="false">IF($R167&lt;&gt;"Need to Improve","",COUNTIFS($R$6:$R$505,"Need to Improve",$L$6:$L$505,"&lt;"&amp;$L167)+COUNTIFS($R$6:$R167,"Need to Improve",$L$6:$L167,$L167))</f>
        <v/>
      </c>
      <c r="W167" s="7" t="str">
        <f aca="false">IF($R167&lt;&gt;"Not Performing","",COUNTIFS($R$6:$R$505,"Not Performing",$L$6:$L$505,"&lt;"&amp;$L167)+COUNTIFS($R$6:$R167,"Not Performing",$L$6:$L167,$L167))</f>
        <v/>
      </c>
    </row>
    <row r="168" customFormat="false" ht="15" hidden="false" customHeight="true" outlineLevel="0" collapsed="false">
      <c r="A168" s="26"/>
      <c r="B168" s="26"/>
      <c r="C168" s="26"/>
      <c r="D168" s="27" t="str">
        <f aca="false">IF($C168="","",IFERROR(TRIM(LEFT($C168,FIND("-",$C168)-1)),""))</f>
        <v/>
      </c>
      <c r="E168" s="26"/>
      <c r="F168" s="28"/>
      <c r="G168" s="29"/>
      <c r="H168" s="29"/>
      <c r="I168" s="30" t="str">
        <f aca="false">IF($B168="","",$H168-$G168)</f>
        <v/>
      </c>
      <c r="J168" s="31" t="str">
        <f aca="false">IF(OR($B168="",$G168=0,$G168=""),"",$I168/$G168)</f>
        <v/>
      </c>
      <c r="K168" s="32"/>
      <c r="L168" s="32"/>
      <c r="M168" s="32"/>
      <c r="N168" s="32"/>
      <c r="O168" s="32"/>
      <c r="P168" s="31" t="str">
        <f aca="false">IF(OR($L168="",$N168=""),"",$L168-$N168)</f>
        <v/>
      </c>
      <c r="Q168" s="27" t="str">
        <f aca="false">IF($B168="","",IF(N($H168)&gt;0,"Live","Exited"))</f>
        <v/>
      </c>
      <c r="R168" s="27" t="str">
        <f aca="false">IF($B168="","",IF($L168="","Data Pending",IF($L168&gt;=Instructions!$D$19,"Best Fund",IF($L168&gt;=Instructions!$D$20,"Need to Improve","Not Performing"))))</f>
        <v/>
      </c>
      <c r="S168" s="7" t="str">
        <f aca="false">IF($R168="","",IF($R168="Data Pending","Enter the 3Y return",IF($R168="Best Fund","Hold / consider top-up",IF($R168="Need to Improve","Watch 2 quarters, then decide","Review with client - switch or exit"))))</f>
        <v/>
      </c>
      <c r="T168" s="26"/>
      <c r="U168" s="7" t="str">
        <f aca="false">IF($R168&lt;&gt;"Best Fund","",COUNTIFS($R$6:$R$505,"Best Fund",$L$6:$L$505,"&gt;"&amp;$L168)+COUNTIFS($R$6:$R168,"Best Fund",$L$6:$L168,$L168))</f>
        <v/>
      </c>
      <c r="V168" s="7" t="str">
        <f aca="false">IF($R168&lt;&gt;"Need to Improve","",COUNTIFS($R$6:$R$505,"Need to Improve",$L$6:$L$505,"&lt;"&amp;$L168)+COUNTIFS($R$6:$R168,"Need to Improve",$L$6:$L168,$L168))</f>
        <v/>
      </c>
      <c r="W168" s="7" t="str">
        <f aca="false">IF($R168&lt;&gt;"Not Performing","",COUNTIFS($R$6:$R$505,"Not Performing",$L$6:$L$505,"&lt;"&amp;$L168)+COUNTIFS($R$6:$R168,"Not Performing",$L$6:$L168,$L168))</f>
        <v/>
      </c>
    </row>
    <row r="169" customFormat="false" ht="15" hidden="false" customHeight="true" outlineLevel="0" collapsed="false">
      <c r="A169" s="26"/>
      <c r="B169" s="26"/>
      <c r="C169" s="26"/>
      <c r="D169" s="27" t="str">
        <f aca="false">IF($C169="","",IFERROR(TRIM(LEFT($C169,FIND("-",$C169)-1)),""))</f>
        <v/>
      </c>
      <c r="E169" s="26"/>
      <c r="F169" s="28"/>
      <c r="G169" s="29"/>
      <c r="H169" s="29"/>
      <c r="I169" s="30" t="str">
        <f aca="false">IF($B169="","",$H169-$G169)</f>
        <v/>
      </c>
      <c r="J169" s="31" t="str">
        <f aca="false">IF(OR($B169="",$G169=0,$G169=""),"",$I169/$G169)</f>
        <v/>
      </c>
      <c r="K169" s="32"/>
      <c r="L169" s="32"/>
      <c r="M169" s="32"/>
      <c r="N169" s="32"/>
      <c r="O169" s="32"/>
      <c r="P169" s="31" t="str">
        <f aca="false">IF(OR($L169="",$N169=""),"",$L169-$N169)</f>
        <v/>
      </c>
      <c r="Q169" s="27" t="str">
        <f aca="false">IF($B169="","",IF(N($H169)&gt;0,"Live","Exited"))</f>
        <v/>
      </c>
      <c r="R169" s="27" t="str">
        <f aca="false">IF($B169="","",IF($L169="","Data Pending",IF($L169&gt;=Instructions!$D$19,"Best Fund",IF($L169&gt;=Instructions!$D$20,"Need to Improve","Not Performing"))))</f>
        <v/>
      </c>
      <c r="S169" s="7" t="str">
        <f aca="false">IF($R169="","",IF($R169="Data Pending","Enter the 3Y return",IF($R169="Best Fund","Hold / consider top-up",IF($R169="Need to Improve","Watch 2 quarters, then decide","Review with client - switch or exit"))))</f>
        <v/>
      </c>
      <c r="T169" s="26"/>
      <c r="U169" s="7" t="str">
        <f aca="false">IF($R169&lt;&gt;"Best Fund","",COUNTIFS($R$6:$R$505,"Best Fund",$L$6:$L$505,"&gt;"&amp;$L169)+COUNTIFS($R$6:$R169,"Best Fund",$L$6:$L169,$L169))</f>
        <v/>
      </c>
      <c r="V169" s="7" t="str">
        <f aca="false">IF($R169&lt;&gt;"Need to Improve","",COUNTIFS($R$6:$R$505,"Need to Improve",$L$6:$L$505,"&lt;"&amp;$L169)+COUNTIFS($R$6:$R169,"Need to Improve",$L$6:$L169,$L169))</f>
        <v/>
      </c>
      <c r="W169" s="7" t="str">
        <f aca="false">IF($R169&lt;&gt;"Not Performing","",COUNTIFS($R$6:$R$505,"Not Performing",$L$6:$L$505,"&lt;"&amp;$L169)+COUNTIFS($R$6:$R169,"Not Performing",$L$6:$L169,$L169))</f>
        <v/>
      </c>
    </row>
    <row r="170" customFormat="false" ht="15" hidden="false" customHeight="true" outlineLevel="0" collapsed="false">
      <c r="A170" s="26"/>
      <c r="B170" s="26"/>
      <c r="C170" s="26"/>
      <c r="D170" s="27" t="str">
        <f aca="false">IF($C170="","",IFERROR(TRIM(LEFT($C170,FIND("-",$C170)-1)),""))</f>
        <v/>
      </c>
      <c r="E170" s="26"/>
      <c r="F170" s="28"/>
      <c r="G170" s="29"/>
      <c r="H170" s="29"/>
      <c r="I170" s="30" t="str">
        <f aca="false">IF($B170="","",$H170-$G170)</f>
        <v/>
      </c>
      <c r="J170" s="31" t="str">
        <f aca="false">IF(OR($B170="",$G170=0,$G170=""),"",$I170/$G170)</f>
        <v/>
      </c>
      <c r="K170" s="32"/>
      <c r="L170" s="32"/>
      <c r="M170" s="32"/>
      <c r="N170" s="32"/>
      <c r="O170" s="32"/>
      <c r="P170" s="31" t="str">
        <f aca="false">IF(OR($L170="",$N170=""),"",$L170-$N170)</f>
        <v/>
      </c>
      <c r="Q170" s="27" t="str">
        <f aca="false">IF($B170="","",IF(N($H170)&gt;0,"Live","Exited"))</f>
        <v/>
      </c>
      <c r="R170" s="27" t="str">
        <f aca="false">IF($B170="","",IF($L170="","Data Pending",IF($L170&gt;=Instructions!$D$19,"Best Fund",IF($L170&gt;=Instructions!$D$20,"Need to Improve","Not Performing"))))</f>
        <v/>
      </c>
      <c r="S170" s="7" t="str">
        <f aca="false">IF($R170="","",IF($R170="Data Pending","Enter the 3Y return",IF($R170="Best Fund","Hold / consider top-up",IF($R170="Need to Improve","Watch 2 quarters, then decide","Review with client - switch or exit"))))</f>
        <v/>
      </c>
      <c r="T170" s="26"/>
      <c r="U170" s="7" t="str">
        <f aca="false">IF($R170&lt;&gt;"Best Fund","",COUNTIFS($R$6:$R$505,"Best Fund",$L$6:$L$505,"&gt;"&amp;$L170)+COUNTIFS($R$6:$R170,"Best Fund",$L$6:$L170,$L170))</f>
        <v/>
      </c>
      <c r="V170" s="7" t="str">
        <f aca="false">IF($R170&lt;&gt;"Need to Improve","",COUNTIFS($R$6:$R$505,"Need to Improve",$L$6:$L$505,"&lt;"&amp;$L170)+COUNTIFS($R$6:$R170,"Need to Improve",$L$6:$L170,$L170))</f>
        <v/>
      </c>
      <c r="W170" s="7" t="str">
        <f aca="false">IF($R170&lt;&gt;"Not Performing","",COUNTIFS($R$6:$R$505,"Not Performing",$L$6:$L$505,"&lt;"&amp;$L170)+COUNTIFS($R$6:$R170,"Not Performing",$L$6:$L170,$L170))</f>
        <v/>
      </c>
    </row>
    <row r="171" customFormat="false" ht="15" hidden="false" customHeight="true" outlineLevel="0" collapsed="false">
      <c r="A171" s="26"/>
      <c r="B171" s="26"/>
      <c r="C171" s="26"/>
      <c r="D171" s="27" t="str">
        <f aca="false">IF($C171="","",IFERROR(TRIM(LEFT($C171,FIND("-",$C171)-1)),""))</f>
        <v/>
      </c>
      <c r="E171" s="26"/>
      <c r="F171" s="28"/>
      <c r="G171" s="29"/>
      <c r="H171" s="29"/>
      <c r="I171" s="30" t="str">
        <f aca="false">IF($B171="","",$H171-$G171)</f>
        <v/>
      </c>
      <c r="J171" s="31" t="str">
        <f aca="false">IF(OR($B171="",$G171=0,$G171=""),"",$I171/$G171)</f>
        <v/>
      </c>
      <c r="K171" s="32"/>
      <c r="L171" s="32"/>
      <c r="M171" s="32"/>
      <c r="N171" s="32"/>
      <c r="O171" s="32"/>
      <c r="P171" s="31" t="str">
        <f aca="false">IF(OR($L171="",$N171=""),"",$L171-$N171)</f>
        <v/>
      </c>
      <c r="Q171" s="27" t="str">
        <f aca="false">IF($B171="","",IF(N($H171)&gt;0,"Live","Exited"))</f>
        <v/>
      </c>
      <c r="R171" s="27" t="str">
        <f aca="false">IF($B171="","",IF($L171="","Data Pending",IF($L171&gt;=Instructions!$D$19,"Best Fund",IF($L171&gt;=Instructions!$D$20,"Need to Improve","Not Performing"))))</f>
        <v/>
      </c>
      <c r="S171" s="7" t="str">
        <f aca="false">IF($R171="","",IF($R171="Data Pending","Enter the 3Y return",IF($R171="Best Fund","Hold / consider top-up",IF($R171="Need to Improve","Watch 2 quarters, then decide","Review with client - switch or exit"))))</f>
        <v/>
      </c>
      <c r="T171" s="26"/>
      <c r="U171" s="7" t="str">
        <f aca="false">IF($R171&lt;&gt;"Best Fund","",COUNTIFS($R$6:$R$505,"Best Fund",$L$6:$L$505,"&gt;"&amp;$L171)+COUNTIFS($R$6:$R171,"Best Fund",$L$6:$L171,$L171))</f>
        <v/>
      </c>
      <c r="V171" s="7" t="str">
        <f aca="false">IF($R171&lt;&gt;"Need to Improve","",COUNTIFS($R$6:$R$505,"Need to Improve",$L$6:$L$505,"&lt;"&amp;$L171)+COUNTIFS($R$6:$R171,"Need to Improve",$L$6:$L171,$L171))</f>
        <v/>
      </c>
      <c r="W171" s="7" t="str">
        <f aca="false">IF($R171&lt;&gt;"Not Performing","",COUNTIFS($R$6:$R$505,"Not Performing",$L$6:$L$505,"&lt;"&amp;$L171)+COUNTIFS($R$6:$R171,"Not Performing",$L$6:$L171,$L171))</f>
        <v/>
      </c>
    </row>
    <row r="172" customFormat="false" ht="15" hidden="false" customHeight="true" outlineLevel="0" collapsed="false">
      <c r="A172" s="26"/>
      <c r="B172" s="26"/>
      <c r="C172" s="26"/>
      <c r="D172" s="27" t="str">
        <f aca="false">IF($C172="","",IFERROR(TRIM(LEFT($C172,FIND("-",$C172)-1)),""))</f>
        <v/>
      </c>
      <c r="E172" s="26"/>
      <c r="F172" s="28"/>
      <c r="G172" s="29"/>
      <c r="H172" s="29"/>
      <c r="I172" s="30" t="str">
        <f aca="false">IF($B172="","",$H172-$G172)</f>
        <v/>
      </c>
      <c r="J172" s="31" t="str">
        <f aca="false">IF(OR($B172="",$G172=0,$G172=""),"",$I172/$G172)</f>
        <v/>
      </c>
      <c r="K172" s="32"/>
      <c r="L172" s="32"/>
      <c r="M172" s="32"/>
      <c r="N172" s="32"/>
      <c r="O172" s="32"/>
      <c r="P172" s="31" t="str">
        <f aca="false">IF(OR($L172="",$N172=""),"",$L172-$N172)</f>
        <v/>
      </c>
      <c r="Q172" s="27" t="str">
        <f aca="false">IF($B172="","",IF(N($H172)&gt;0,"Live","Exited"))</f>
        <v/>
      </c>
      <c r="R172" s="27" t="str">
        <f aca="false">IF($B172="","",IF($L172="","Data Pending",IF($L172&gt;=Instructions!$D$19,"Best Fund",IF($L172&gt;=Instructions!$D$20,"Need to Improve","Not Performing"))))</f>
        <v/>
      </c>
      <c r="S172" s="7" t="str">
        <f aca="false">IF($R172="","",IF($R172="Data Pending","Enter the 3Y return",IF($R172="Best Fund","Hold / consider top-up",IF($R172="Need to Improve","Watch 2 quarters, then decide","Review with client - switch or exit"))))</f>
        <v/>
      </c>
      <c r="T172" s="26"/>
      <c r="U172" s="7" t="str">
        <f aca="false">IF($R172&lt;&gt;"Best Fund","",COUNTIFS($R$6:$R$505,"Best Fund",$L$6:$L$505,"&gt;"&amp;$L172)+COUNTIFS($R$6:$R172,"Best Fund",$L$6:$L172,$L172))</f>
        <v/>
      </c>
      <c r="V172" s="7" t="str">
        <f aca="false">IF($R172&lt;&gt;"Need to Improve","",COUNTIFS($R$6:$R$505,"Need to Improve",$L$6:$L$505,"&lt;"&amp;$L172)+COUNTIFS($R$6:$R172,"Need to Improve",$L$6:$L172,$L172))</f>
        <v/>
      </c>
      <c r="W172" s="7" t="str">
        <f aca="false">IF($R172&lt;&gt;"Not Performing","",COUNTIFS($R$6:$R$505,"Not Performing",$L$6:$L$505,"&lt;"&amp;$L172)+COUNTIFS($R$6:$R172,"Not Performing",$L$6:$L172,$L172))</f>
        <v/>
      </c>
    </row>
    <row r="173" customFormat="false" ht="15" hidden="false" customHeight="true" outlineLevel="0" collapsed="false">
      <c r="A173" s="26"/>
      <c r="B173" s="26"/>
      <c r="C173" s="26"/>
      <c r="D173" s="27" t="str">
        <f aca="false">IF($C173="","",IFERROR(TRIM(LEFT($C173,FIND("-",$C173)-1)),""))</f>
        <v/>
      </c>
      <c r="E173" s="26"/>
      <c r="F173" s="28"/>
      <c r="G173" s="29"/>
      <c r="H173" s="29"/>
      <c r="I173" s="30" t="str">
        <f aca="false">IF($B173="","",$H173-$G173)</f>
        <v/>
      </c>
      <c r="J173" s="31" t="str">
        <f aca="false">IF(OR($B173="",$G173=0,$G173=""),"",$I173/$G173)</f>
        <v/>
      </c>
      <c r="K173" s="32"/>
      <c r="L173" s="32"/>
      <c r="M173" s="32"/>
      <c r="N173" s="32"/>
      <c r="O173" s="32"/>
      <c r="P173" s="31" t="str">
        <f aca="false">IF(OR($L173="",$N173=""),"",$L173-$N173)</f>
        <v/>
      </c>
      <c r="Q173" s="27" t="str">
        <f aca="false">IF($B173="","",IF(N($H173)&gt;0,"Live","Exited"))</f>
        <v/>
      </c>
      <c r="R173" s="27" t="str">
        <f aca="false">IF($B173="","",IF($L173="","Data Pending",IF($L173&gt;=Instructions!$D$19,"Best Fund",IF($L173&gt;=Instructions!$D$20,"Need to Improve","Not Performing"))))</f>
        <v/>
      </c>
      <c r="S173" s="7" t="str">
        <f aca="false">IF($R173="","",IF($R173="Data Pending","Enter the 3Y return",IF($R173="Best Fund","Hold / consider top-up",IF($R173="Need to Improve","Watch 2 quarters, then decide","Review with client - switch or exit"))))</f>
        <v/>
      </c>
      <c r="T173" s="26"/>
      <c r="U173" s="7" t="str">
        <f aca="false">IF($R173&lt;&gt;"Best Fund","",COUNTIFS($R$6:$R$505,"Best Fund",$L$6:$L$505,"&gt;"&amp;$L173)+COUNTIFS($R$6:$R173,"Best Fund",$L$6:$L173,$L173))</f>
        <v/>
      </c>
      <c r="V173" s="7" t="str">
        <f aca="false">IF($R173&lt;&gt;"Need to Improve","",COUNTIFS($R$6:$R$505,"Need to Improve",$L$6:$L$505,"&lt;"&amp;$L173)+COUNTIFS($R$6:$R173,"Need to Improve",$L$6:$L173,$L173))</f>
        <v/>
      </c>
      <c r="W173" s="7" t="str">
        <f aca="false">IF($R173&lt;&gt;"Not Performing","",COUNTIFS($R$6:$R$505,"Not Performing",$L$6:$L$505,"&lt;"&amp;$L173)+COUNTIFS($R$6:$R173,"Not Performing",$L$6:$L173,$L173))</f>
        <v/>
      </c>
    </row>
    <row r="174" customFormat="false" ht="15" hidden="false" customHeight="true" outlineLevel="0" collapsed="false">
      <c r="A174" s="26"/>
      <c r="B174" s="26"/>
      <c r="C174" s="26"/>
      <c r="D174" s="27" t="str">
        <f aca="false">IF($C174="","",IFERROR(TRIM(LEFT($C174,FIND("-",$C174)-1)),""))</f>
        <v/>
      </c>
      <c r="E174" s="26"/>
      <c r="F174" s="28"/>
      <c r="G174" s="29"/>
      <c r="H174" s="29"/>
      <c r="I174" s="30" t="str">
        <f aca="false">IF($B174="","",$H174-$G174)</f>
        <v/>
      </c>
      <c r="J174" s="31" t="str">
        <f aca="false">IF(OR($B174="",$G174=0,$G174=""),"",$I174/$G174)</f>
        <v/>
      </c>
      <c r="K174" s="32"/>
      <c r="L174" s="32"/>
      <c r="M174" s="32"/>
      <c r="N174" s="32"/>
      <c r="O174" s="32"/>
      <c r="P174" s="31" t="str">
        <f aca="false">IF(OR($L174="",$N174=""),"",$L174-$N174)</f>
        <v/>
      </c>
      <c r="Q174" s="27" t="str">
        <f aca="false">IF($B174="","",IF(N($H174)&gt;0,"Live","Exited"))</f>
        <v/>
      </c>
      <c r="R174" s="27" t="str">
        <f aca="false">IF($B174="","",IF($L174="","Data Pending",IF($L174&gt;=Instructions!$D$19,"Best Fund",IF($L174&gt;=Instructions!$D$20,"Need to Improve","Not Performing"))))</f>
        <v/>
      </c>
      <c r="S174" s="7" t="str">
        <f aca="false">IF($R174="","",IF($R174="Data Pending","Enter the 3Y return",IF($R174="Best Fund","Hold / consider top-up",IF($R174="Need to Improve","Watch 2 quarters, then decide","Review with client - switch or exit"))))</f>
        <v/>
      </c>
      <c r="T174" s="26"/>
      <c r="U174" s="7" t="str">
        <f aca="false">IF($R174&lt;&gt;"Best Fund","",COUNTIFS($R$6:$R$505,"Best Fund",$L$6:$L$505,"&gt;"&amp;$L174)+COUNTIFS($R$6:$R174,"Best Fund",$L$6:$L174,$L174))</f>
        <v/>
      </c>
      <c r="V174" s="7" t="str">
        <f aca="false">IF($R174&lt;&gt;"Need to Improve","",COUNTIFS($R$6:$R$505,"Need to Improve",$L$6:$L$505,"&lt;"&amp;$L174)+COUNTIFS($R$6:$R174,"Need to Improve",$L$6:$L174,$L174))</f>
        <v/>
      </c>
      <c r="W174" s="7" t="str">
        <f aca="false">IF($R174&lt;&gt;"Not Performing","",COUNTIFS($R$6:$R$505,"Not Performing",$L$6:$L$505,"&lt;"&amp;$L174)+COUNTIFS($R$6:$R174,"Not Performing",$L$6:$L174,$L174))</f>
        <v/>
      </c>
    </row>
    <row r="175" customFormat="false" ht="15" hidden="false" customHeight="true" outlineLevel="0" collapsed="false">
      <c r="A175" s="26"/>
      <c r="B175" s="26"/>
      <c r="C175" s="26"/>
      <c r="D175" s="27" t="str">
        <f aca="false">IF($C175="","",IFERROR(TRIM(LEFT($C175,FIND("-",$C175)-1)),""))</f>
        <v/>
      </c>
      <c r="E175" s="26"/>
      <c r="F175" s="28"/>
      <c r="G175" s="29"/>
      <c r="H175" s="29"/>
      <c r="I175" s="30" t="str">
        <f aca="false">IF($B175="","",$H175-$G175)</f>
        <v/>
      </c>
      <c r="J175" s="31" t="str">
        <f aca="false">IF(OR($B175="",$G175=0,$G175=""),"",$I175/$G175)</f>
        <v/>
      </c>
      <c r="K175" s="32"/>
      <c r="L175" s="32"/>
      <c r="M175" s="32"/>
      <c r="N175" s="32"/>
      <c r="O175" s="32"/>
      <c r="P175" s="31" t="str">
        <f aca="false">IF(OR($L175="",$N175=""),"",$L175-$N175)</f>
        <v/>
      </c>
      <c r="Q175" s="27" t="str">
        <f aca="false">IF($B175="","",IF(N($H175)&gt;0,"Live","Exited"))</f>
        <v/>
      </c>
      <c r="R175" s="27" t="str">
        <f aca="false">IF($B175="","",IF($L175="","Data Pending",IF($L175&gt;=Instructions!$D$19,"Best Fund",IF($L175&gt;=Instructions!$D$20,"Need to Improve","Not Performing"))))</f>
        <v/>
      </c>
      <c r="S175" s="7" t="str">
        <f aca="false">IF($R175="","",IF($R175="Data Pending","Enter the 3Y return",IF($R175="Best Fund","Hold / consider top-up",IF($R175="Need to Improve","Watch 2 quarters, then decide","Review with client - switch or exit"))))</f>
        <v/>
      </c>
      <c r="T175" s="26"/>
      <c r="U175" s="7" t="str">
        <f aca="false">IF($R175&lt;&gt;"Best Fund","",COUNTIFS($R$6:$R$505,"Best Fund",$L$6:$L$505,"&gt;"&amp;$L175)+COUNTIFS($R$6:$R175,"Best Fund",$L$6:$L175,$L175))</f>
        <v/>
      </c>
      <c r="V175" s="7" t="str">
        <f aca="false">IF($R175&lt;&gt;"Need to Improve","",COUNTIFS($R$6:$R$505,"Need to Improve",$L$6:$L$505,"&lt;"&amp;$L175)+COUNTIFS($R$6:$R175,"Need to Improve",$L$6:$L175,$L175))</f>
        <v/>
      </c>
      <c r="W175" s="7" t="str">
        <f aca="false">IF($R175&lt;&gt;"Not Performing","",COUNTIFS($R$6:$R$505,"Not Performing",$L$6:$L$505,"&lt;"&amp;$L175)+COUNTIFS($R$6:$R175,"Not Performing",$L$6:$L175,$L175))</f>
        <v/>
      </c>
    </row>
    <row r="176" customFormat="false" ht="15" hidden="false" customHeight="true" outlineLevel="0" collapsed="false">
      <c r="A176" s="26"/>
      <c r="B176" s="26"/>
      <c r="C176" s="26"/>
      <c r="D176" s="27" t="str">
        <f aca="false">IF($C176="","",IFERROR(TRIM(LEFT($C176,FIND("-",$C176)-1)),""))</f>
        <v/>
      </c>
      <c r="E176" s="26"/>
      <c r="F176" s="28"/>
      <c r="G176" s="29"/>
      <c r="H176" s="29"/>
      <c r="I176" s="30" t="str">
        <f aca="false">IF($B176="","",$H176-$G176)</f>
        <v/>
      </c>
      <c r="J176" s="31" t="str">
        <f aca="false">IF(OR($B176="",$G176=0,$G176=""),"",$I176/$G176)</f>
        <v/>
      </c>
      <c r="K176" s="32"/>
      <c r="L176" s="32"/>
      <c r="M176" s="32"/>
      <c r="N176" s="32"/>
      <c r="O176" s="32"/>
      <c r="P176" s="31" t="str">
        <f aca="false">IF(OR($L176="",$N176=""),"",$L176-$N176)</f>
        <v/>
      </c>
      <c r="Q176" s="27" t="str">
        <f aca="false">IF($B176="","",IF(N($H176)&gt;0,"Live","Exited"))</f>
        <v/>
      </c>
      <c r="R176" s="27" t="str">
        <f aca="false">IF($B176="","",IF($L176="","Data Pending",IF($L176&gt;=Instructions!$D$19,"Best Fund",IF($L176&gt;=Instructions!$D$20,"Need to Improve","Not Performing"))))</f>
        <v/>
      </c>
      <c r="S176" s="7" t="str">
        <f aca="false">IF($R176="","",IF($R176="Data Pending","Enter the 3Y return",IF($R176="Best Fund","Hold / consider top-up",IF($R176="Need to Improve","Watch 2 quarters, then decide","Review with client - switch or exit"))))</f>
        <v/>
      </c>
      <c r="T176" s="26"/>
      <c r="U176" s="7" t="str">
        <f aca="false">IF($R176&lt;&gt;"Best Fund","",COUNTIFS($R$6:$R$505,"Best Fund",$L$6:$L$505,"&gt;"&amp;$L176)+COUNTIFS($R$6:$R176,"Best Fund",$L$6:$L176,$L176))</f>
        <v/>
      </c>
      <c r="V176" s="7" t="str">
        <f aca="false">IF($R176&lt;&gt;"Need to Improve","",COUNTIFS($R$6:$R$505,"Need to Improve",$L$6:$L$505,"&lt;"&amp;$L176)+COUNTIFS($R$6:$R176,"Need to Improve",$L$6:$L176,$L176))</f>
        <v/>
      </c>
      <c r="W176" s="7" t="str">
        <f aca="false">IF($R176&lt;&gt;"Not Performing","",COUNTIFS($R$6:$R$505,"Not Performing",$L$6:$L$505,"&lt;"&amp;$L176)+COUNTIFS($R$6:$R176,"Not Performing",$L$6:$L176,$L176))</f>
        <v/>
      </c>
    </row>
    <row r="177" customFormat="false" ht="15" hidden="false" customHeight="true" outlineLevel="0" collapsed="false">
      <c r="A177" s="26"/>
      <c r="B177" s="26"/>
      <c r="C177" s="26"/>
      <c r="D177" s="27" t="str">
        <f aca="false">IF($C177="","",IFERROR(TRIM(LEFT($C177,FIND("-",$C177)-1)),""))</f>
        <v/>
      </c>
      <c r="E177" s="26"/>
      <c r="F177" s="28"/>
      <c r="G177" s="29"/>
      <c r="H177" s="29"/>
      <c r="I177" s="30" t="str">
        <f aca="false">IF($B177="","",$H177-$G177)</f>
        <v/>
      </c>
      <c r="J177" s="31" t="str">
        <f aca="false">IF(OR($B177="",$G177=0,$G177=""),"",$I177/$G177)</f>
        <v/>
      </c>
      <c r="K177" s="32"/>
      <c r="L177" s="32"/>
      <c r="M177" s="32"/>
      <c r="N177" s="32"/>
      <c r="O177" s="32"/>
      <c r="P177" s="31" t="str">
        <f aca="false">IF(OR($L177="",$N177=""),"",$L177-$N177)</f>
        <v/>
      </c>
      <c r="Q177" s="27" t="str">
        <f aca="false">IF($B177="","",IF(N($H177)&gt;0,"Live","Exited"))</f>
        <v/>
      </c>
      <c r="R177" s="27" t="str">
        <f aca="false">IF($B177="","",IF($L177="","Data Pending",IF($L177&gt;=Instructions!$D$19,"Best Fund",IF($L177&gt;=Instructions!$D$20,"Need to Improve","Not Performing"))))</f>
        <v/>
      </c>
      <c r="S177" s="7" t="str">
        <f aca="false">IF($R177="","",IF($R177="Data Pending","Enter the 3Y return",IF($R177="Best Fund","Hold / consider top-up",IF($R177="Need to Improve","Watch 2 quarters, then decide","Review with client - switch or exit"))))</f>
        <v/>
      </c>
      <c r="T177" s="26"/>
      <c r="U177" s="7" t="str">
        <f aca="false">IF($R177&lt;&gt;"Best Fund","",COUNTIFS($R$6:$R$505,"Best Fund",$L$6:$L$505,"&gt;"&amp;$L177)+COUNTIFS($R$6:$R177,"Best Fund",$L$6:$L177,$L177))</f>
        <v/>
      </c>
      <c r="V177" s="7" t="str">
        <f aca="false">IF($R177&lt;&gt;"Need to Improve","",COUNTIFS($R$6:$R$505,"Need to Improve",$L$6:$L$505,"&lt;"&amp;$L177)+COUNTIFS($R$6:$R177,"Need to Improve",$L$6:$L177,$L177))</f>
        <v/>
      </c>
      <c r="W177" s="7" t="str">
        <f aca="false">IF($R177&lt;&gt;"Not Performing","",COUNTIFS($R$6:$R$505,"Not Performing",$L$6:$L$505,"&lt;"&amp;$L177)+COUNTIFS($R$6:$R177,"Not Performing",$L$6:$L177,$L177))</f>
        <v/>
      </c>
    </row>
    <row r="178" customFormat="false" ht="15" hidden="false" customHeight="true" outlineLevel="0" collapsed="false">
      <c r="A178" s="26"/>
      <c r="B178" s="26"/>
      <c r="C178" s="26"/>
      <c r="D178" s="27" t="str">
        <f aca="false">IF($C178="","",IFERROR(TRIM(LEFT($C178,FIND("-",$C178)-1)),""))</f>
        <v/>
      </c>
      <c r="E178" s="26"/>
      <c r="F178" s="28"/>
      <c r="G178" s="29"/>
      <c r="H178" s="29"/>
      <c r="I178" s="30" t="str">
        <f aca="false">IF($B178="","",$H178-$G178)</f>
        <v/>
      </c>
      <c r="J178" s="31" t="str">
        <f aca="false">IF(OR($B178="",$G178=0,$G178=""),"",$I178/$G178)</f>
        <v/>
      </c>
      <c r="K178" s="32"/>
      <c r="L178" s="32"/>
      <c r="M178" s="32"/>
      <c r="N178" s="32"/>
      <c r="O178" s="32"/>
      <c r="P178" s="31" t="str">
        <f aca="false">IF(OR($L178="",$N178=""),"",$L178-$N178)</f>
        <v/>
      </c>
      <c r="Q178" s="27" t="str">
        <f aca="false">IF($B178="","",IF(N($H178)&gt;0,"Live","Exited"))</f>
        <v/>
      </c>
      <c r="R178" s="27" t="str">
        <f aca="false">IF($B178="","",IF($L178="","Data Pending",IF($L178&gt;=Instructions!$D$19,"Best Fund",IF($L178&gt;=Instructions!$D$20,"Need to Improve","Not Performing"))))</f>
        <v/>
      </c>
      <c r="S178" s="7" t="str">
        <f aca="false">IF($R178="","",IF($R178="Data Pending","Enter the 3Y return",IF($R178="Best Fund","Hold / consider top-up",IF($R178="Need to Improve","Watch 2 quarters, then decide","Review with client - switch or exit"))))</f>
        <v/>
      </c>
      <c r="T178" s="26"/>
      <c r="U178" s="7" t="str">
        <f aca="false">IF($R178&lt;&gt;"Best Fund","",COUNTIFS($R$6:$R$505,"Best Fund",$L$6:$L$505,"&gt;"&amp;$L178)+COUNTIFS($R$6:$R178,"Best Fund",$L$6:$L178,$L178))</f>
        <v/>
      </c>
      <c r="V178" s="7" t="str">
        <f aca="false">IF($R178&lt;&gt;"Need to Improve","",COUNTIFS($R$6:$R$505,"Need to Improve",$L$6:$L$505,"&lt;"&amp;$L178)+COUNTIFS($R$6:$R178,"Need to Improve",$L$6:$L178,$L178))</f>
        <v/>
      </c>
      <c r="W178" s="7" t="str">
        <f aca="false">IF($R178&lt;&gt;"Not Performing","",COUNTIFS($R$6:$R$505,"Not Performing",$L$6:$L$505,"&lt;"&amp;$L178)+COUNTIFS($R$6:$R178,"Not Performing",$L$6:$L178,$L178))</f>
        <v/>
      </c>
    </row>
    <row r="179" customFormat="false" ht="15" hidden="false" customHeight="true" outlineLevel="0" collapsed="false">
      <c r="A179" s="26"/>
      <c r="B179" s="26"/>
      <c r="C179" s="26"/>
      <c r="D179" s="27" t="str">
        <f aca="false">IF($C179="","",IFERROR(TRIM(LEFT($C179,FIND("-",$C179)-1)),""))</f>
        <v/>
      </c>
      <c r="E179" s="26"/>
      <c r="F179" s="28"/>
      <c r="G179" s="29"/>
      <c r="H179" s="29"/>
      <c r="I179" s="30" t="str">
        <f aca="false">IF($B179="","",$H179-$G179)</f>
        <v/>
      </c>
      <c r="J179" s="31" t="str">
        <f aca="false">IF(OR($B179="",$G179=0,$G179=""),"",$I179/$G179)</f>
        <v/>
      </c>
      <c r="K179" s="32"/>
      <c r="L179" s="32"/>
      <c r="M179" s="32"/>
      <c r="N179" s="32"/>
      <c r="O179" s="32"/>
      <c r="P179" s="31" t="str">
        <f aca="false">IF(OR($L179="",$N179=""),"",$L179-$N179)</f>
        <v/>
      </c>
      <c r="Q179" s="27" t="str">
        <f aca="false">IF($B179="","",IF(N($H179)&gt;0,"Live","Exited"))</f>
        <v/>
      </c>
      <c r="R179" s="27" t="str">
        <f aca="false">IF($B179="","",IF($L179="","Data Pending",IF($L179&gt;=Instructions!$D$19,"Best Fund",IF($L179&gt;=Instructions!$D$20,"Need to Improve","Not Performing"))))</f>
        <v/>
      </c>
      <c r="S179" s="7" t="str">
        <f aca="false">IF($R179="","",IF($R179="Data Pending","Enter the 3Y return",IF($R179="Best Fund","Hold / consider top-up",IF($R179="Need to Improve","Watch 2 quarters, then decide","Review with client - switch or exit"))))</f>
        <v/>
      </c>
      <c r="T179" s="26"/>
      <c r="U179" s="7" t="str">
        <f aca="false">IF($R179&lt;&gt;"Best Fund","",COUNTIFS($R$6:$R$505,"Best Fund",$L$6:$L$505,"&gt;"&amp;$L179)+COUNTIFS($R$6:$R179,"Best Fund",$L$6:$L179,$L179))</f>
        <v/>
      </c>
      <c r="V179" s="7" t="str">
        <f aca="false">IF($R179&lt;&gt;"Need to Improve","",COUNTIFS($R$6:$R$505,"Need to Improve",$L$6:$L$505,"&lt;"&amp;$L179)+COUNTIFS($R$6:$R179,"Need to Improve",$L$6:$L179,$L179))</f>
        <v/>
      </c>
      <c r="W179" s="7" t="str">
        <f aca="false">IF($R179&lt;&gt;"Not Performing","",COUNTIFS($R$6:$R$505,"Not Performing",$L$6:$L$505,"&lt;"&amp;$L179)+COUNTIFS($R$6:$R179,"Not Performing",$L$6:$L179,$L179))</f>
        <v/>
      </c>
    </row>
    <row r="180" customFormat="false" ht="15" hidden="false" customHeight="true" outlineLevel="0" collapsed="false">
      <c r="A180" s="26"/>
      <c r="B180" s="26"/>
      <c r="C180" s="26"/>
      <c r="D180" s="27" t="str">
        <f aca="false">IF($C180="","",IFERROR(TRIM(LEFT($C180,FIND("-",$C180)-1)),""))</f>
        <v/>
      </c>
      <c r="E180" s="26"/>
      <c r="F180" s="28"/>
      <c r="G180" s="29"/>
      <c r="H180" s="29"/>
      <c r="I180" s="30" t="str">
        <f aca="false">IF($B180="","",$H180-$G180)</f>
        <v/>
      </c>
      <c r="J180" s="31" t="str">
        <f aca="false">IF(OR($B180="",$G180=0,$G180=""),"",$I180/$G180)</f>
        <v/>
      </c>
      <c r="K180" s="32"/>
      <c r="L180" s="32"/>
      <c r="M180" s="32"/>
      <c r="N180" s="32"/>
      <c r="O180" s="32"/>
      <c r="P180" s="31" t="str">
        <f aca="false">IF(OR($L180="",$N180=""),"",$L180-$N180)</f>
        <v/>
      </c>
      <c r="Q180" s="27" t="str">
        <f aca="false">IF($B180="","",IF(N($H180)&gt;0,"Live","Exited"))</f>
        <v/>
      </c>
      <c r="R180" s="27" t="str">
        <f aca="false">IF($B180="","",IF($L180="","Data Pending",IF($L180&gt;=Instructions!$D$19,"Best Fund",IF($L180&gt;=Instructions!$D$20,"Need to Improve","Not Performing"))))</f>
        <v/>
      </c>
      <c r="S180" s="7" t="str">
        <f aca="false">IF($R180="","",IF($R180="Data Pending","Enter the 3Y return",IF($R180="Best Fund","Hold / consider top-up",IF($R180="Need to Improve","Watch 2 quarters, then decide","Review with client - switch or exit"))))</f>
        <v/>
      </c>
      <c r="T180" s="26"/>
      <c r="U180" s="7" t="str">
        <f aca="false">IF($R180&lt;&gt;"Best Fund","",COUNTIFS($R$6:$R$505,"Best Fund",$L$6:$L$505,"&gt;"&amp;$L180)+COUNTIFS($R$6:$R180,"Best Fund",$L$6:$L180,$L180))</f>
        <v/>
      </c>
      <c r="V180" s="7" t="str">
        <f aca="false">IF($R180&lt;&gt;"Need to Improve","",COUNTIFS($R$6:$R$505,"Need to Improve",$L$6:$L$505,"&lt;"&amp;$L180)+COUNTIFS($R$6:$R180,"Need to Improve",$L$6:$L180,$L180))</f>
        <v/>
      </c>
      <c r="W180" s="7" t="str">
        <f aca="false">IF($R180&lt;&gt;"Not Performing","",COUNTIFS($R$6:$R$505,"Not Performing",$L$6:$L$505,"&lt;"&amp;$L180)+COUNTIFS($R$6:$R180,"Not Performing",$L$6:$L180,$L180))</f>
        <v/>
      </c>
    </row>
    <row r="181" customFormat="false" ht="15" hidden="false" customHeight="true" outlineLevel="0" collapsed="false">
      <c r="A181" s="26"/>
      <c r="B181" s="26"/>
      <c r="C181" s="26"/>
      <c r="D181" s="27" t="str">
        <f aca="false">IF($C181="","",IFERROR(TRIM(LEFT($C181,FIND("-",$C181)-1)),""))</f>
        <v/>
      </c>
      <c r="E181" s="26"/>
      <c r="F181" s="28"/>
      <c r="G181" s="29"/>
      <c r="H181" s="29"/>
      <c r="I181" s="30" t="str">
        <f aca="false">IF($B181="","",$H181-$G181)</f>
        <v/>
      </c>
      <c r="J181" s="31" t="str">
        <f aca="false">IF(OR($B181="",$G181=0,$G181=""),"",$I181/$G181)</f>
        <v/>
      </c>
      <c r="K181" s="32"/>
      <c r="L181" s="32"/>
      <c r="M181" s="32"/>
      <c r="N181" s="32"/>
      <c r="O181" s="32"/>
      <c r="P181" s="31" t="str">
        <f aca="false">IF(OR($L181="",$N181=""),"",$L181-$N181)</f>
        <v/>
      </c>
      <c r="Q181" s="27" t="str">
        <f aca="false">IF($B181="","",IF(N($H181)&gt;0,"Live","Exited"))</f>
        <v/>
      </c>
      <c r="R181" s="27" t="str">
        <f aca="false">IF($B181="","",IF($L181="","Data Pending",IF($L181&gt;=Instructions!$D$19,"Best Fund",IF($L181&gt;=Instructions!$D$20,"Need to Improve","Not Performing"))))</f>
        <v/>
      </c>
      <c r="S181" s="7" t="str">
        <f aca="false">IF($R181="","",IF($R181="Data Pending","Enter the 3Y return",IF($R181="Best Fund","Hold / consider top-up",IF($R181="Need to Improve","Watch 2 quarters, then decide","Review with client - switch or exit"))))</f>
        <v/>
      </c>
      <c r="T181" s="26"/>
      <c r="U181" s="7" t="str">
        <f aca="false">IF($R181&lt;&gt;"Best Fund","",COUNTIFS($R$6:$R$505,"Best Fund",$L$6:$L$505,"&gt;"&amp;$L181)+COUNTIFS($R$6:$R181,"Best Fund",$L$6:$L181,$L181))</f>
        <v/>
      </c>
      <c r="V181" s="7" t="str">
        <f aca="false">IF($R181&lt;&gt;"Need to Improve","",COUNTIFS($R$6:$R$505,"Need to Improve",$L$6:$L$505,"&lt;"&amp;$L181)+COUNTIFS($R$6:$R181,"Need to Improve",$L$6:$L181,$L181))</f>
        <v/>
      </c>
      <c r="W181" s="7" t="str">
        <f aca="false">IF($R181&lt;&gt;"Not Performing","",COUNTIFS($R$6:$R$505,"Not Performing",$L$6:$L$505,"&lt;"&amp;$L181)+COUNTIFS($R$6:$R181,"Not Performing",$L$6:$L181,$L181))</f>
        <v/>
      </c>
    </row>
    <row r="182" customFormat="false" ht="15" hidden="false" customHeight="true" outlineLevel="0" collapsed="false">
      <c r="A182" s="26"/>
      <c r="B182" s="26"/>
      <c r="C182" s="26"/>
      <c r="D182" s="27" t="str">
        <f aca="false">IF($C182="","",IFERROR(TRIM(LEFT($C182,FIND("-",$C182)-1)),""))</f>
        <v/>
      </c>
      <c r="E182" s="26"/>
      <c r="F182" s="28"/>
      <c r="G182" s="29"/>
      <c r="H182" s="29"/>
      <c r="I182" s="30" t="str">
        <f aca="false">IF($B182="","",$H182-$G182)</f>
        <v/>
      </c>
      <c r="J182" s="31" t="str">
        <f aca="false">IF(OR($B182="",$G182=0,$G182=""),"",$I182/$G182)</f>
        <v/>
      </c>
      <c r="K182" s="32"/>
      <c r="L182" s="32"/>
      <c r="M182" s="32"/>
      <c r="N182" s="32"/>
      <c r="O182" s="32"/>
      <c r="P182" s="31" t="str">
        <f aca="false">IF(OR($L182="",$N182=""),"",$L182-$N182)</f>
        <v/>
      </c>
      <c r="Q182" s="27" t="str">
        <f aca="false">IF($B182="","",IF(N($H182)&gt;0,"Live","Exited"))</f>
        <v/>
      </c>
      <c r="R182" s="27" t="str">
        <f aca="false">IF($B182="","",IF($L182="","Data Pending",IF($L182&gt;=Instructions!$D$19,"Best Fund",IF($L182&gt;=Instructions!$D$20,"Need to Improve","Not Performing"))))</f>
        <v/>
      </c>
      <c r="S182" s="7" t="str">
        <f aca="false">IF($R182="","",IF($R182="Data Pending","Enter the 3Y return",IF($R182="Best Fund","Hold / consider top-up",IF($R182="Need to Improve","Watch 2 quarters, then decide","Review with client - switch or exit"))))</f>
        <v/>
      </c>
      <c r="T182" s="26"/>
      <c r="U182" s="7" t="str">
        <f aca="false">IF($R182&lt;&gt;"Best Fund","",COUNTIFS($R$6:$R$505,"Best Fund",$L$6:$L$505,"&gt;"&amp;$L182)+COUNTIFS($R$6:$R182,"Best Fund",$L$6:$L182,$L182))</f>
        <v/>
      </c>
      <c r="V182" s="7" t="str">
        <f aca="false">IF($R182&lt;&gt;"Need to Improve","",COUNTIFS($R$6:$R$505,"Need to Improve",$L$6:$L$505,"&lt;"&amp;$L182)+COUNTIFS($R$6:$R182,"Need to Improve",$L$6:$L182,$L182))</f>
        <v/>
      </c>
      <c r="W182" s="7" t="str">
        <f aca="false">IF($R182&lt;&gt;"Not Performing","",COUNTIFS($R$6:$R$505,"Not Performing",$L$6:$L$505,"&lt;"&amp;$L182)+COUNTIFS($R$6:$R182,"Not Performing",$L$6:$L182,$L182))</f>
        <v/>
      </c>
    </row>
    <row r="183" customFormat="false" ht="15" hidden="false" customHeight="true" outlineLevel="0" collapsed="false">
      <c r="A183" s="26"/>
      <c r="B183" s="26"/>
      <c r="C183" s="26"/>
      <c r="D183" s="27" t="str">
        <f aca="false">IF($C183="","",IFERROR(TRIM(LEFT($C183,FIND("-",$C183)-1)),""))</f>
        <v/>
      </c>
      <c r="E183" s="26"/>
      <c r="F183" s="28"/>
      <c r="G183" s="29"/>
      <c r="H183" s="29"/>
      <c r="I183" s="30" t="str">
        <f aca="false">IF($B183="","",$H183-$G183)</f>
        <v/>
      </c>
      <c r="J183" s="31" t="str">
        <f aca="false">IF(OR($B183="",$G183=0,$G183=""),"",$I183/$G183)</f>
        <v/>
      </c>
      <c r="K183" s="32"/>
      <c r="L183" s="32"/>
      <c r="M183" s="32"/>
      <c r="N183" s="32"/>
      <c r="O183" s="32"/>
      <c r="P183" s="31" t="str">
        <f aca="false">IF(OR($L183="",$N183=""),"",$L183-$N183)</f>
        <v/>
      </c>
      <c r="Q183" s="27" t="str">
        <f aca="false">IF($B183="","",IF(N($H183)&gt;0,"Live","Exited"))</f>
        <v/>
      </c>
      <c r="R183" s="27" t="str">
        <f aca="false">IF($B183="","",IF($L183="","Data Pending",IF($L183&gt;=Instructions!$D$19,"Best Fund",IF($L183&gt;=Instructions!$D$20,"Need to Improve","Not Performing"))))</f>
        <v/>
      </c>
      <c r="S183" s="7" t="str">
        <f aca="false">IF($R183="","",IF($R183="Data Pending","Enter the 3Y return",IF($R183="Best Fund","Hold / consider top-up",IF($R183="Need to Improve","Watch 2 quarters, then decide","Review with client - switch or exit"))))</f>
        <v/>
      </c>
      <c r="T183" s="26"/>
      <c r="U183" s="7" t="str">
        <f aca="false">IF($R183&lt;&gt;"Best Fund","",COUNTIFS($R$6:$R$505,"Best Fund",$L$6:$L$505,"&gt;"&amp;$L183)+COUNTIFS($R$6:$R183,"Best Fund",$L$6:$L183,$L183))</f>
        <v/>
      </c>
      <c r="V183" s="7" t="str">
        <f aca="false">IF($R183&lt;&gt;"Need to Improve","",COUNTIFS($R$6:$R$505,"Need to Improve",$L$6:$L$505,"&lt;"&amp;$L183)+COUNTIFS($R$6:$R183,"Need to Improve",$L$6:$L183,$L183))</f>
        <v/>
      </c>
      <c r="W183" s="7" t="str">
        <f aca="false">IF($R183&lt;&gt;"Not Performing","",COUNTIFS($R$6:$R$505,"Not Performing",$L$6:$L$505,"&lt;"&amp;$L183)+COUNTIFS($R$6:$R183,"Not Performing",$L$6:$L183,$L183))</f>
        <v/>
      </c>
    </row>
    <row r="184" customFormat="false" ht="15" hidden="false" customHeight="true" outlineLevel="0" collapsed="false">
      <c r="A184" s="26"/>
      <c r="B184" s="26"/>
      <c r="C184" s="26"/>
      <c r="D184" s="27" t="str">
        <f aca="false">IF($C184="","",IFERROR(TRIM(LEFT($C184,FIND("-",$C184)-1)),""))</f>
        <v/>
      </c>
      <c r="E184" s="26"/>
      <c r="F184" s="28"/>
      <c r="G184" s="29"/>
      <c r="H184" s="29"/>
      <c r="I184" s="30" t="str">
        <f aca="false">IF($B184="","",$H184-$G184)</f>
        <v/>
      </c>
      <c r="J184" s="31" t="str">
        <f aca="false">IF(OR($B184="",$G184=0,$G184=""),"",$I184/$G184)</f>
        <v/>
      </c>
      <c r="K184" s="32"/>
      <c r="L184" s="32"/>
      <c r="M184" s="32"/>
      <c r="N184" s="32"/>
      <c r="O184" s="32"/>
      <c r="P184" s="31" t="str">
        <f aca="false">IF(OR($L184="",$N184=""),"",$L184-$N184)</f>
        <v/>
      </c>
      <c r="Q184" s="27" t="str">
        <f aca="false">IF($B184="","",IF(N($H184)&gt;0,"Live","Exited"))</f>
        <v/>
      </c>
      <c r="R184" s="27" t="str">
        <f aca="false">IF($B184="","",IF($L184="","Data Pending",IF($L184&gt;=Instructions!$D$19,"Best Fund",IF($L184&gt;=Instructions!$D$20,"Need to Improve","Not Performing"))))</f>
        <v/>
      </c>
      <c r="S184" s="7" t="str">
        <f aca="false">IF($R184="","",IF($R184="Data Pending","Enter the 3Y return",IF($R184="Best Fund","Hold / consider top-up",IF($R184="Need to Improve","Watch 2 quarters, then decide","Review with client - switch or exit"))))</f>
        <v/>
      </c>
      <c r="T184" s="26"/>
      <c r="U184" s="7" t="str">
        <f aca="false">IF($R184&lt;&gt;"Best Fund","",COUNTIFS($R$6:$R$505,"Best Fund",$L$6:$L$505,"&gt;"&amp;$L184)+COUNTIFS($R$6:$R184,"Best Fund",$L$6:$L184,$L184))</f>
        <v/>
      </c>
      <c r="V184" s="7" t="str">
        <f aca="false">IF($R184&lt;&gt;"Need to Improve","",COUNTIFS($R$6:$R$505,"Need to Improve",$L$6:$L$505,"&lt;"&amp;$L184)+COUNTIFS($R$6:$R184,"Need to Improve",$L$6:$L184,$L184))</f>
        <v/>
      </c>
      <c r="W184" s="7" t="str">
        <f aca="false">IF($R184&lt;&gt;"Not Performing","",COUNTIFS($R$6:$R$505,"Not Performing",$L$6:$L$505,"&lt;"&amp;$L184)+COUNTIFS($R$6:$R184,"Not Performing",$L$6:$L184,$L184))</f>
        <v/>
      </c>
    </row>
    <row r="185" customFormat="false" ht="15" hidden="false" customHeight="true" outlineLevel="0" collapsed="false">
      <c r="A185" s="26"/>
      <c r="B185" s="26"/>
      <c r="C185" s="26"/>
      <c r="D185" s="27" t="str">
        <f aca="false">IF($C185="","",IFERROR(TRIM(LEFT($C185,FIND("-",$C185)-1)),""))</f>
        <v/>
      </c>
      <c r="E185" s="26"/>
      <c r="F185" s="28"/>
      <c r="G185" s="29"/>
      <c r="H185" s="29"/>
      <c r="I185" s="30" t="str">
        <f aca="false">IF($B185="","",$H185-$G185)</f>
        <v/>
      </c>
      <c r="J185" s="31" t="str">
        <f aca="false">IF(OR($B185="",$G185=0,$G185=""),"",$I185/$G185)</f>
        <v/>
      </c>
      <c r="K185" s="32"/>
      <c r="L185" s="32"/>
      <c r="M185" s="32"/>
      <c r="N185" s="32"/>
      <c r="O185" s="32"/>
      <c r="P185" s="31" t="str">
        <f aca="false">IF(OR($L185="",$N185=""),"",$L185-$N185)</f>
        <v/>
      </c>
      <c r="Q185" s="27" t="str">
        <f aca="false">IF($B185="","",IF(N($H185)&gt;0,"Live","Exited"))</f>
        <v/>
      </c>
      <c r="R185" s="27" t="str">
        <f aca="false">IF($B185="","",IF($L185="","Data Pending",IF($L185&gt;=Instructions!$D$19,"Best Fund",IF($L185&gt;=Instructions!$D$20,"Need to Improve","Not Performing"))))</f>
        <v/>
      </c>
      <c r="S185" s="7" t="str">
        <f aca="false">IF($R185="","",IF($R185="Data Pending","Enter the 3Y return",IF($R185="Best Fund","Hold / consider top-up",IF($R185="Need to Improve","Watch 2 quarters, then decide","Review with client - switch or exit"))))</f>
        <v/>
      </c>
      <c r="T185" s="26"/>
      <c r="U185" s="7" t="str">
        <f aca="false">IF($R185&lt;&gt;"Best Fund","",COUNTIFS($R$6:$R$505,"Best Fund",$L$6:$L$505,"&gt;"&amp;$L185)+COUNTIFS($R$6:$R185,"Best Fund",$L$6:$L185,$L185))</f>
        <v/>
      </c>
      <c r="V185" s="7" t="str">
        <f aca="false">IF($R185&lt;&gt;"Need to Improve","",COUNTIFS($R$6:$R$505,"Need to Improve",$L$6:$L$505,"&lt;"&amp;$L185)+COUNTIFS($R$6:$R185,"Need to Improve",$L$6:$L185,$L185))</f>
        <v/>
      </c>
      <c r="W185" s="7" t="str">
        <f aca="false">IF($R185&lt;&gt;"Not Performing","",COUNTIFS($R$6:$R$505,"Not Performing",$L$6:$L$505,"&lt;"&amp;$L185)+COUNTIFS($R$6:$R185,"Not Performing",$L$6:$L185,$L185))</f>
        <v/>
      </c>
    </row>
    <row r="186" customFormat="false" ht="15" hidden="false" customHeight="true" outlineLevel="0" collapsed="false">
      <c r="A186" s="26"/>
      <c r="B186" s="26"/>
      <c r="C186" s="26"/>
      <c r="D186" s="27" t="str">
        <f aca="false">IF($C186="","",IFERROR(TRIM(LEFT($C186,FIND("-",$C186)-1)),""))</f>
        <v/>
      </c>
      <c r="E186" s="26"/>
      <c r="F186" s="28"/>
      <c r="G186" s="29"/>
      <c r="H186" s="29"/>
      <c r="I186" s="30" t="str">
        <f aca="false">IF($B186="","",$H186-$G186)</f>
        <v/>
      </c>
      <c r="J186" s="31" t="str">
        <f aca="false">IF(OR($B186="",$G186=0,$G186=""),"",$I186/$G186)</f>
        <v/>
      </c>
      <c r="K186" s="32"/>
      <c r="L186" s="32"/>
      <c r="M186" s="32"/>
      <c r="N186" s="32"/>
      <c r="O186" s="32"/>
      <c r="P186" s="31" t="str">
        <f aca="false">IF(OR($L186="",$N186=""),"",$L186-$N186)</f>
        <v/>
      </c>
      <c r="Q186" s="27" t="str">
        <f aca="false">IF($B186="","",IF(N($H186)&gt;0,"Live","Exited"))</f>
        <v/>
      </c>
      <c r="R186" s="27" t="str">
        <f aca="false">IF($B186="","",IF($L186="","Data Pending",IF($L186&gt;=Instructions!$D$19,"Best Fund",IF($L186&gt;=Instructions!$D$20,"Need to Improve","Not Performing"))))</f>
        <v/>
      </c>
      <c r="S186" s="7" t="str">
        <f aca="false">IF($R186="","",IF($R186="Data Pending","Enter the 3Y return",IF($R186="Best Fund","Hold / consider top-up",IF($R186="Need to Improve","Watch 2 quarters, then decide","Review with client - switch or exit"))))</f>
        <v/>
      </c>
      <c r="T186" s="26"/>
      <c r="U186" s="7" t="str">
        <f aca="false">IF($R186&lt;&gt;"Best Fund","",COUNTIFS($R$6:$R$505,"Best Fund",$L$6:$L$505,"&gt;"&amp;$L186)+COUNTIFS($R$6:$R186,"Best Fund",$L$6:$L186,$L186))</f>
        <v/>
      </c>
      <c r="V186" s="7" t="str">
        <f aca="false">IF($R186&lt;&gt;"Need to Improve","",COUNTIFS($R$6:$R$505,"Need to Improve",$L$6:$L$505,"&lt;"&amp;$L186)+COUNTIFS($R$6:$R186,"Need to Improve",$L$6:$L186,$L186))</f>
        <v/>
      </c>
      <c r="W186" s="7" t="str">
        <f aca="false">IF($R186&lt;&gt;"Not Performing","",COUNTIFS($R$6:$R$505,"Not Performing",$L$6:$L$505,"&lt;"&amp;$L186)+COUNTIFS($R$6:$R186,"Not Performing",$L$6:$L186,$L186))</f>
        <v/>
      </c>
    </row>
    <row r="187" customFormat="false" ht="15" hidden="false" customHeight="true" outlineLevel="0" collapsed="false">
      <c r="A187" s="26"/>
      <c r="B187" s="26"/>
      <c r="C187" s="26"/>
      <c r="D187" s="27" t="str">
        <f aca="false">IF($C187="","",IFERROR(TRIM(LEFT($C187,FIND("-",$C187)-1)),""))</f>
        <v/>
      </c>
      <c r="E187" s="26"/>
      <c r="F187" s="28"/>
      <c r="G187" s="29"/>
      <c r="H187" s="29"/>
      <c r="I187" s="30" t="str">
        <f aca="false">IF($B187="","",$H187-$G187)</f>
        <v/>
      </c>
      <c r="J187" s="31" t="str">
        <f aca="false">IF(OR($B187="",$G187=0,$G187=""),"",$I187/$G187)</f>
        <v/>
      </c>
      <c r="K187" s="32"/>
      <c r="L187" s="32"/>
      <c r="M187" s="32"/>
      <c r="N187" s="32"/>
      <c r="O187" s="32"/>
      <c r="P187" s="31" t="str">
        <f aca="false">IF(OR($L187="",$N187=""),"",$L187-$N187)</f>
        <v/>
      </c>
      <c r="Q187" s="27" t="str">
        <f aca="false">IF($B187="","",IF(N($H187)&gt;0,"Live","Exited"))</f>
        <v/>
      </c>
      <c r="R187" s="27" t="str">
        <f aca="false">IF($B187="","",IF($L187="","Data Pending",IF($L187&gt;=Instructions!$D$19,"Best Fund",IF($L187&gt;=Instructions!$D$20,"Need to Improve","Not Performing"))))</f>
        <v/>
      </c>
      <c r="S187" s="7" t="str">
        <f aca="false">IF($R187="","",IF($R187="Data Pending","Enter the 3Y return",IF($R187="Best Fund","Hold / consider top-up",IF($R187="Need to Improve","Watch 2 quarters, then decide","Review with client - switch or exit"))))</f>
        <v/>
      </c>
      <c r="T187" s="26"/>
      <c r="U187" s="7" t="str">
        <f aca="false">IF($R187&lt;&gt;"Best Fund","",COUNTIFS($R$6:$R$505,"Best Fund",$L$6:$L$505,"&gt;"&amp;$L187)+COUNTIFS($R$6:$R187,"Best Fund",$L$6:$L187,$L187))</f>
        <v/>
      </c>
      <c r="V187" s="7" t="str">
        <f aca="false">IF($R187&lt;&gt;"Need to Improve","",COUNTIFS($R$6:$R$505,"Need to Improve",$L$6:$L$505,"&lt;"&amp;$L187)+COUNTIFS($R$6:$R187,"Need to Improve",$L$6:$L187,$L187))</f>
        <v/>
      </c>
      <c r="W187" s="7" t="str">
        <f aca="false">IF($R187&lt;&gt;"Not Performing","",COUNTIFS($R$6:$R$505,"Not Performing",$L$6:$L$505,"&lt;"&amp;$L187)+COUNTIFS($R$6:$R187,"Not Performing",$L$6:$L187,$L187))</f>
        <v/>
      </c>
    </row>
    <row r="188" customFormat="false" ht="15" hidden="false" customHeight="true" outlineLevel="0" collapsed="false">
      <c r="A188" s="26"/>
      <c r="B188" s="26"/>
      <c r="C188" s="26"/>
      <c r="D188" s="27" t="str">
        <f aca="false">IF($C188="","",IFERROR(TRIM(LEFT($C188,FIND("-",$C188)-1)),""))</f>
        <v/>
      </c>
      <c r="E188" s="26"/>
      <c r="F188" s="28"/>
      <c r="G188" s="29"/>
      <c r="H188" s="29"/>
      <c r="I188" s="30" t="str">
        <f aca="false">IF($B188="","",$H188-$G188)</f>
        <v/>
      </c>
      <c r="J188" s="31" t="str">
        <f aca="false">IF(OR($B188="",$G188=0,$G188=""),"",$I188/$G188)</f>
        <v/>
      </c>
      <c r="K188" s="32"/>
      <c r="L188" s="32"/>
      <c r="M188" s="32"/>
      <c r="N188" s="32"/>
      <c r="O188" s="32"/>
      <c r="P188" s="31" t="str">
        <f aca="false">IF(OR($L188="",$N188=""),"",$L188-$N188)</f>
        <v/>
      </c>
      <c r="Q188" s="27" t="str">
        <f aca="false">IF($B188="","",IF(N($H188)&gt;0,"Live","Exited"))</f>
        <v/>
      </c>
      <c r="R188" s="27" t="str">
        <f aca="false">IF($B188="","",IF($L188="","Data Pending",IF($L188&gt;=Instructions!$D$19,"Best Fund",IF($L188&gt;=Instructions!$D$20,"Need to Improve","Not Performing"))))</f>
        <v/>
      </c>
      <c r="S188" s="7" t="str">
        <f aca="false">IF($R188="","",IF($R188="Data Pending","Enter the 3Y return",IF($R188="Best Fund","Hold / consider top-up",IF($R188="Need to Improve","Watch 2 quarters, then decide","Review with client - switch or exit"))))</f>
        <v/>
      </c>
      <c r="T188" s="26"/>
      <c r="U188" s="7" t="str">
        <f aca="false">IF($R188&lt;&gt;"Best Fund","",COUNTIFS($R$6:$R$505,"Best Fund",$L$6:$L$505,"&gt;"&amp;$L188)+COUNTIFS($R$6:$R188,"Best Fund",$L$6:$L188,$L188))</f>
        <v/>
      </c>
      <c r="V188" s="7" t="str">
        <f aca="false">IF($R188&lt;&gt;"Need to Improve","",COUNTIFS($R$6:$R$505,"Need to Improve",$L$6:$L$505,"&lt;"&amp;$L188)+COUNTIFS($R$6:$R188,"Need to Improve",$L$6:$L188,$L188))</f>
        <v/>
      </c>
      <c r="W188" s="7" t="str">
        <f aca="false">IF($R188&lt;&gt;"Not Performing","",COUNTIFS($R$6:$R$505,"Not Performing",$L$6:$L$505,"&lt;"&amp;$L188)+COUNTIFS($R$6:$R188,"Not Performing",$L$6:$L188,$L188))</f>
        <v/>
      </c>
    </row>
    <row r="189" customFormat="false" ht="15" hidden="false" customHeight="true" outlineLevel="0" collapsed="false">
      <c r="A189" s="26"/>
      <c r="B189" s="26"/>
      <c r="C189" s="26"/>
      <c r="D189" s="27" t="str">
        <f aca="false">IF($C189="","",IFERROR(TRIM(LEFT($C189,FIND("-",$C189)-1)),""))</f>
        <v/>
      </c>
      <c r="E189" s="26"/>
      <c r="F189" s="28"/>
      <c r="G189" s="29"/>
      <c r="H189" s="29"/>
      <c r="I189" s="30" t="str">
        <f aca="false">IF($B189="","",$H189-$G189)</f>
        <v/>
      </c>
      <c r="J189" s="31" t="str">
        <f aca="false">IF(OR($B189="",$G189=0,$G189=""),"",$I189/$G189)</f>
        <v/>
      </c>
      <c r="K189" s="32"/>
      <c r="L189" s="32"/>
      <c r="M189" s="32"/>
      <c r="N189" s="32"/>
      <c r="O189" s="32"/>
      <c r="P189" s="31" t="str">
        <f aca="false">IF(OR($L189="",$N189=""),"",$L189-$N189)</f>
        <v/>
      </c>
      <c r="Q189" s="27" t="str">
        <f aca="false">IF($B189="","",IF(N($H189)&gt;0,"Live","Exited"))</f>
        <v/>
      </c>
      <c r="R189" s="27" t="str">
        <f aca="false">IF($B189="","",IF($L189="","Data Pending",IF($L189&gt;=Instructions!$D$19,"Best Fund",IF($L189&gt;=Instructions!$D$20,"Need to Improve","Not Performing"))))</f>
        <v/>
      </c>
      <c r="S189" s="7" t="str">
        <f aca="false">IF($R189="","",IF($R189="Data Pending","Enter the 3Y return",IF($R189="Best Fund","Hold / consider top-up",IF($R189="Need to Improve","Watch 2 quarters, then decide","Review with client - switch or exit"))))</f>
        <v/>
      </c>
      <c r="T189" s="26"/>
      <c r="U189" s="7" t="str">
        <f aca="false">IF($R189&lt;&gt;"Best Fund","",COUNTIFS($R$6:$R$505,"Best Fund",$L$6:$L$505,"&gt;"&amp;$L189)+COUNTIFS($R$6:$R189,"Best Fund",$L$6:$L189,$L189))</f>
        <v/>
      </c>
      <c r="V189" s="7" t="str">
        <f aca="false">IF($R189&lt;&gt;"Need to Improve","",COUNTIFS($R$6:$R$505,"Need to Improve",$L$6:$L$505,"&lt;"&amp;$L189)+COUNTIFS($R$6:$R189,"Need to Improve",$L$6:$L189,$L189))</f>
        <v/>
      </c>
      <c r="W189" s="7" t="str">
        <f aca="false">IF($R189&lt;&gt;"Not Performing","",COUNTIFS($R$6:$R$505,"Not Performing",$L$6:$L$505,"&lt;"&amp;$L189)+COUNTIFS($R$6:$R189,"Not Performing",$L$6:$L189,$L189))</f>
        <v/>
      </c>
    </row>
    <row r="190" customFormat="false" ht="15" hidden="false" customHeight="true" outlineLevel="0" collapsed="false">
      <c r="A190" s="26"/>
      <c r="B190" s="26"/>
      <c r="C190" s="26"/>
      <c r="D190" s="27" t="str">
        <f aca="false">IF($C190="","",IFERROR(TRIM(LEFT($C190,FIND("-",$C190)-1)),""))</f>
        <v/>
      </c>
      <c r="E190" s="26"/>
      <c r="F190" s="28"/>
      <c r="G190" s="29"/>
      <c r="H190" s="29"/>
      <c r="I190" s="30" t="str">
        <f aca="false">IF($B190="","",$H190-$G190)</f>
        <v/>
      </c>
      <c r="J190" s="31" t="str">
        <f aca="false">IF(OR($B190="",$G190=0,$G190=""),"",$I190/$G190)</f>
        <v/>
      </c>
      <c r="K190" s="32"/>
      <c r="L190" s="32"/>
      <c r="M190" s="32"/>
      <c r="N190" s="32"/>
      <c r="O190" s="32"/>
      <c r="P190" s="31" t="str">
        <f aca="false">IF(OR($L190="",$N190=""),"",$L190-$N190)</f>
        <v/>
      </c>
      <c r="Q190" s="27" t="str">
        <f aca="false">IF($B190="","",IF(N($H190)&gt;0,"Live","Exited"))</f>
        <v/>
      </c>
      <c r="R190" s="27" t="str">
        <f aca="false">IF($B190="","",IF($L190="","Data Pending",IF($L190&gt;=Instructions!$D$19,"Best Fund",IF($L190&gt;=Instructions!$D$20,"Need to Improve","Not Performing"))))</f>
        <v/>
      </c>
      <c r="S190" s="7" t="str">
        <f aca="false">IF($R190="","",IF($R190="Data Pending","Enter the 3Y return",IF($R190="Best Fund","Hold / consider top-up",IF($R190="Need to Improve","Watch 2 quarters, then decide","Review with client - switch or exit"))))</f>
        <v/>
      </c>
      <c r="T190" s="26"/>
      <c r="U190" s="7" t="str">
        <f aca="false">IF($R190&lt;&gt;"Best Fund","",COUNTIFS($R$6:$R$505,"Best Fund",$L$6:$L$505,"&gt;"&amp;$L190)+COUNTIFS($R$6:$R190,"Best Fund",$L$6:$L190,$L190))</f>
        <v/>
      </c>
      <c r="V190" s="7" t="str">
        <f aca="false">IF($R190&lt;&gt;"Need to Improve","",COUNTIFS($R$6:$R$505,"Need to Improve",$L$6:$L$505,"&lt;"&amp;$L190)+COUNTIFS($R$6:$R190,"Need to Improve",$L$6:$L190,$L190))</f>
        <v/>
      </c>
      <c r="W190" s="7" t="str">
        <f aca="false">IF($R190&lt;&gt;"Not Performing","",COUNTIFS($R$6:$R$505,"Not Performing",$L$6:$L$505,"&lt;"&amp;$L190)+COUNTIFS($R$6:$R190,"Not Performing",$L$6:$L190,$L190))</f>
        <v/>
      </c>
    </row>
    <row r="191" customFormat="false" ht="15" hidden="false" customHeight="true" outlineLevel="0" collapsed="false">
      <c r="A191" s="26"/>
      <c r="B191" s="26"/>
      <c r="C191" s="26"/>
      <c r="D191" s="27" t="str">
        <f aca="false">IF($C191="","",IFERROR(TRIM(LEFT($C191,FIND("-",$C191)-1)),""))</f>
        <v/>
      </c>
      <c r="E191" s="26"/>
      <c r="F191" s="28"/>
      <c r="G191" s="29"/>
      <c r="H191" s="29"/>
      <c r="I191" s="30" t="str">
        <f aca="false">IF($B191="","",$H191-$G191)</f>
        <v/>
      </c>
      <c r="J191" s="31" t="str">
        <f aca="false">IF(OR($B191="",$G191=0,$G191=""),"",$I191/$G191)</f>
        <v/>
      </c>
      <c r="K191" s="32"/>
      <c r="L191" s="32"/>
      <c r="M191" s="32"/>
      <c r="N191" s="32"/>
      <c r="O191" s="32"/>
      <c r="P191" s="31" t="str">
        <f aca="false">IF(OR($L191="",$N191=""),"",$L191-$N191)</f>
        <v/>
      </c>
      <c r="Q191" s="27" t="str">
        <f aca="false">IF($B191="","",IF(N($H191)&gt;0,"Live","Exited"))</f>
        <v/>
      </c>
      <c r="R191" s="27" t="str">
        <f aca="false">IF($B191="","",IF($L191="","Data Pending",IF($L191&gt;=Instructions!$D$19,"Best Fund",IF($L191&gt;=Instructions!$D$20,"Need to Improve","Not Performing"))))</f>
        <v/>
      </c>
      <c r="S191" s="7" t="str">
        <f aca="false">IF($R191="","",IF($R191="Data Pending","Enter the 3Y return",IF($R191="Best Fund","Hold / consider top-up",IF($R191="Need to Improve","Watch 2 quarters, then decide","Review with client - switch or exit"))))</f>
        <v/>
      </c>
      <c r="T191" s="26"/>
      <c r="U191" s="7" t="str">
        <f aca="false">IF($R191&lt;&gt;"Best Fund","",COUNTIFS($R$6:$R$505,"Best Fund",$L$6:$L$505,"&gt;"&amp;$L191)+COUNTIFS($R$6:$R191,"Best Fund",$L$6:$L191,$L191))</f>
        <v/>
      </c>
      <c r="V191" s="7" t="str">
        <f aca="false">IF($R191&lt;&gt;"Need to Improve","",COUNTIFS($R$6:$R$505,"Need to Improve",$L$6:$L$505,"&lt;"&amp;$L191)+COUNTIFS($R$6:$R191,"Need to Improve",$L$6:$L191,$L191))</f>
        <v/>
      </c>
      <c r="W191" s="7" t="str">
        <f aca="false">IF($R191&lt;&gt;"Not Performing","",COUNTIFS($R$6:$R$505,"Not Performing",$L$6:$L$505,"&lt;"&amp;$L191)+COUNTIFS($R$6:$R191,"Not Performing",$L$6:$L191,$L191))</f>
        <v/>
      </c>
    </row>
    <row r="192" customFormat="false" ht="15" hidden="false" customHeight="true" outlineLevel="0" collapsed="false">
      <c r="A192" s="26"/>
      <c r="B192" s="26"/>
      <c r="C192" s="26"/>
      <c r="D192" s="27" t="str">
        <f aca="false">IF($C192="","",IFERROR(TRIM(LEFT($C192,FIND("-",$C192)-1)),""))</f>
        <v/>
      </c>
      <c r="E192" s="26"/>
      <c r="F192" s="28"/>
      <c r="G192" s="29"/>
      <c r="H192" s="29"/>
      <c r="I192" s="30" t="str">
        <f aca="false">IF($B192="","",$H192-$G192)</f>
        <v/>
      </c>
      <c r="J192" s="31" t="str">
        <f aca="false">IF(OR($B192="",$G192=0,$G192=""),"",$I192/$G192)</f>
        <v/>
      </c>
      <c r="K192" s="32"/>
      <c r="L192" s="32"/>
      <c r="M192" s="32"/>
      <c r="N192" s="32"/>
      <c r="O192" s="32"/>
      <c r="P192" s="31" t="str">
        <f aca="false">IF(OR($L192="",$N192=""),"",$L192-$N192)</f>
        <v/>
      </c>
      <c r="Q192" s="27" t="str">
        <f aca="false">IF($B192="","",IF(N($H192)&gt;0,"Live","Exited"))</f>
        <v/>
      </c>
      <c r="R192" s="27" t="str">
        <f aca="false">IF($B192="","",IF($L192="","Data Pending",IF($L192&gt;=Instructions!$D$19,"Best Fund",IF($L192&gt;=Instructions!$D$20,"Need to Improve","Not Performing"))))</f>
        <v/>
      </c>
      <c r="S192" s="7" t="str">
        <f aca="false">IF($R192="","",IF($R192="Data Pending","Enter the 3Y return",IF($R192="Best Fund","Hold / consider top-up",IF($R192="Need to Improve","Watch 2 quarters, then decide","Review with client - switch or exit"))))</f>
        <v/>
      </c>
      <c r="T192" s="26"/>
      <c r="U192" s="7" t="str">
        <f aca="false">IF($R192&lt;&gt;"Best Fund","",COUNTIFS($R$6:$R$505,"Best Fund",$L$6:$L$505,"&gt;"&amp;$L192)+COUNTIFS($R$6:$R192,"Best Fund",$L$6:$L192,$L192))</f>
        <v/>
      </c>
      <c r="V192" s="7" t="str">
        <f aca="false">IF($R192&lt;&gt;"Need to Improve","",COUNTIFS($R$6:$R$505,"Need to Improve",$L$6:$L$505,"&lt;"&amp;$L192)+COUNTIFS($R$6:$R192,"Need to Improve",$L$6:$L192,$L192))</f>
        <v/>
      </c>
      <c r="W192" s="7" t="str">
        <f aca="false">IF($R192&lt;&gt;"Not Performing","",COUNTIFS($R$6:$R$505,"Not Performing",$L$6:$L$505,"&lt;"&amp;$L192)+COUNTIFS($R$6:$R192,"Not Performing",$L$6:$L192,$L192))</f>
        <v/>
      </c>
    </row>
    <row r="193" customFormat="false" ht="15" hidden="false" customHeight="true" outlineLevel="0" collapsed="false">
      <c r="A193" s="26"/>
      <c r="B193" s="26"/>
      <c r="C193" s="26"/>
      <c r="D193" s="27" t="str">
        <f aca="false">IF($C193="","",IFERROR(TRIM(LEFT($C193,FIND("-",$C193)-1)),""))</f>
        <v/>
      </c>
      <c r="E193" s="26"/>
      <c r="F193" s="28"/>
      <c r="G193" s="29"/>
      <c r="H193" s="29"/>
      <c r="I193" s="30" t="str">
        <f aca="false">IF($B193="","",$H193-$G193)</f>
        <v/>
      </c>
      <c r="J193" s="31" t="str">
        <f aca="false">IF(OR($B193="",$G193=0,$G193=""),"",$I193/$G193)</f>
        <v/>
      </c>
      <c r="K193" s="32"/>
      <c r="L193" s="32"/>
      <c r="M193" s="32"/>
      <c r="N193" s="32"/>
      <c r="O193" s="32"/>
      <c r="P193" s="31" t="str">
        <f aca="false">IF(OR($L193="",$N193=""),"",$L193-$N193)</f>
        <v/>
      </c>
      <c r="Q193" s="27" t="str">
        <f aca="false">IF($B193="","",IF(N($H193)&gt;0,"Live","Exited"))</f>
        <v/>
      </c>
      <c r="R193" s="27" t="str">
        <f aca="false">IF($B193="","",IF($L193="","Data Pending",IF($L193&gt;=Instructions!$D$19,"Best Fund",IF($L193&gt;=Instructions!$D$20,"Need to Improve","Not Performing"))))</f>
        <v/>
      </c>
      <c r="S193" s="7" t="str">
        <f aca="false">IF($R193="","",IF($R193="Data Pending","Enter the 3Y return",IF($R193="Best Fund","Hold / consider top-up",IF($R193="Need to Improve","Watch 2 quarters, then decide","Review with client - switch or exit"))))</f>
        <v/>
      </c>
      <c r="T193" s="26"/>
      <c r="U193" s="7" t="str">
        <f aca="false">IF($R193&lt;&gt;"Best Fund","",COUNTIFS($R$6:$R$505,"Best Fund",$L$6:$L$505,"&gt;"&amp;$L193)+COUNTIFS($R$6:$R193,"Best Fund",$L$6:$L193,$L193))</f>
        <v/>
      </c>
      <c r="V193" s="7" t="str">
        <f aca="false">IF($R193&lt;&gt;"Need to Improve","",COUNTIFS($R$6:$R$505,"Need to Improve",$L$6:$L$505,"&lt;"&amp;$L193)+COUNTIFS($R$6:$R193,"Need to Improve",$L$6:$L193,$L193))</f>
        <v/>
      </c>
      <c r="W193" s="7" t="str">
        <f aca="false">IF($R193&lt;&gt;"Not Performing","",COUNTIFS($R$6:$R$505,"Not Performing",$L$6:$L$505,"&lt;"&amp;$L193)+COUNTIFS($R$6:$R193,"Not Performing",$L$6:$L193,$L193))</f>
        <v/>
      </c>
    </row>
    <row r="194" customFormat="false" ht="15" hidden="false" customHeight="true" outlineLevel="0" collapsed="false">
      <c r="A194" s="26"/>
      <c r="B194" s="26"/>
      <c r="C194" s="26"/>
      <c r="D194" s="27" t="str">
        <f aca="false">IF($C194="","",IFERROR(TRIM(LEFT($C194,FIND("-",$C194)-1)),""))</f>
        <v/>
      </c>
      <c r="E194" s="26"/>
      <c r="F194" s="28"/>
      <c r="G194" s="29"/>
      <c r="H194" s="29"/>
      <c r="I194" s="30" t="str">
        <f aca="false">IF($B194="","",$H194-$G194)</f>
        <v/>
      </c>
      <c r="J194" s="31" t="str">
        <f aca="false">IF(OR($B194="",$G194=0,$G194=""),"",$I194/$G194)</f>
        <v/>
      </c>
      <c r="K194" s="32"/>
      <c r="L194" s="32"/>
      <c r="M194" s="32"/>
      <c r="N194" s="32"/>
      <c r="O194" s="32"/>
      <c r="P194" s="31" t="str">
        <f aca="false">IF(OR($L194="",$N194=""),"",$L194-$N194)</f>
        <v/>
      </c>
      <c r="Q194" s="27" t="str">
        <f aca="false">IF($B194="","",IF(N($H194)&gt;0,"Live","Exited"))</f>
        <v/>
      </c>
      <c r="R194" s="27" t="str">
        <f aca="false">IF($B194="","",IF($L194="","Data Pending",IF($L194&gt;=Instructions!$D$19,"Best Fund",IF($L194&gt;=Instructions!$D$20,"Need to Improve","Not Performing"))))</f>
        <v/>
      </c>
      <c r="S194" s="7" t="str">
        <f aca="false">IF($R194="","",IF($R194="Data Pending","Enter the 3Y return",IF($R194="Best Fund","Hold / consider top-up",IF($R194="Need to Improve","Watch 2 quarters, then decide","Review with client - switch or exit"))))</f>
        <v/>
      </c>
      <c r="T194" s="26"/>
      <c r="U194" s="7" t="str">
        <f aca="false">IF($R194&lt;&gt;"Best Fund","",COUNTIFS($R$6:$R$505,"Best Fund",$L$6:$L$505,"&gt;"&amp;$L194)+COUNTIFS($R$6:$R194,"Best Fund",$L$6:$L194,$L194))</f>
        <v/>
      </c>
      <c r="V194" s="7" t="str">
        <f aca="false">IF($R194&lt;&gt;"Need to Improve","",COUNTIFS($R$6:$R$505,"Need to Improve",$L$6:$L$505,"&lt;"&amp;$L194)+COUNTIFS($R$6:$R194,"Need to Improve",$L$6:$L194,$L194))</f>
        <v/>
      </c>
      <c r="W194" s="7" t="str">
        <f aca="false">IF($R194&lt;&gt;"Not Performing","",COUNTIFS($R$6:$R$505,"Not Performing",$L$6:$L$505,"&lt;"&amp;$L194)+COUNTIFS($R$6:$R194,"Not Performing",$L$6:$L194,$L194))</f>
        <v/>
      </c>
    </row>
    <row r="195" customFormat="false" ht="15" hidden="false" customHeight="true" outlineLevel="0" collapsed="false">
      <c r="A195" s="26"/>
      <c r="B195" s="26"/>
      <c r="C195" s="26"/>
      <c r="D195" s="27" t="str">
        <f aca="false">IF($C195="","",IFERROR(TRIM(LEFT($C195,FIND("-",$C195)-1)),""))</f>
        <v/>
      </c>
      <c r="E195" s="26"/>
      <c r="F195" s="28"/>
      <c r="G195" s="29"/>
      <c r="H195" s="29"/>
      <c r="I195" s="30" t="str">
        <f aca="false">IF($B195="","",$H195-$G195)</f>
        <v/>
      </c>
      <c r="J195" s="31" t="str">
        <f aca="false">IF(OR($B195="",$G195=0,$G195=""),"",$I195/$G195)</f>
        <v/>
      </c>
      <c r="K195" s="32"/>
      <c r="L195" s="32"/>
      <c r="M195" s="32"/>
      <c r="N195" s="32"/>
      <c r="O195" s="32"/>
      <c r="P195" s="31" t="str">
        <f aca="false">IF(OR($L195="",$N195=""),"",$L195-$N195)</f>
        <v/>
      </c>
      <c r="Q195" s="27" t="str">
        <f aca="false">IF($B195="","",IF(N($H195)&gt;0,"Live","Exited"))</f>
        <v/>
      </c>
      <c r="R195" s="27" t="str">
        <f aca="false">IF($B195="","",IF($L195="","Data Pending",IF($L195&gt;=Instructions!$D$19,"Best Fund",IF($L195&gt;=Instructions!$D$20,"Need to Improve","Not Performing"))))</f>
        <v/>
      </c>
      <c r="S195" s="7" t="str">
        <f aca="false">IF($R195="","",IF($R195="Data Pending","Enter the 3Y return",IF($R195="Best Fund","Hold / consider top-up",IF($R195="Need to Improve","Watch 2 quarters, then decide","Review with client - switch or exit"))))</f>
        <v/>
      </c>
      <c r="T195" s="26"/>
      <c r="U195" s="7" t="str">
        <f aca="false">IF($R195&lt;&gt;"Best Fund","",COUNTIFS($R$6:$R$505,"Best Fund",$L$6:$L$505,"&gt;"&amp;$L195)+COUNTIFS($R$6:$R195,"Best Fund",$L$6:$L195,$L195))</f>
        <v/>
      </c>
      <c r="V195" s="7" t="str">
        <f aca="false">IF($R195&lt;&gt;"Need to Improve","",COUNTIFS($R$6:$R$505,"Need to Improve",$L$6:$L$505,"&lt;"&amp;$L195)+COUNTIFS($R$6:$R195,"Need to Improve",$L$6:$L195,$L195))</f>
        <v/>
      </c>
      <c r="W195" s="7" t="str">
        <f aca="false">IF($R195&lt;&gt;"Not Performing","",COUNTIFS($R$6:$R$505,"Not Performing",$L$6:$L$505,"&lt;"&amp;$L195)+COUNTIFS($R$6:$R195,"Not Performing",$L$6:$L195,$L195))</f>
        <v/>
      </c>
    </row>
    <row r="196" customFormat="false" ht="15" hidden="false" customHeight="true" outlineLevel="0" collapsed="false">
      <c r="A196" s="26"/>
      <c r="B196" s="26"/>
      <c r="C196" s="26"/>
      <c r="D196" s="27" t="str">
        <f aca="false">IF($C196="","",IFERROR(TRIM(LEFT($C196,FIND("-",$C196)-1)),""))</f>
        <v/>
      </c>
      <c r="E196" s="26"/>
      <c r="F196" s="28"/>
      <c r="G196" s="29"/>
      <c r="H196" s="29"/>
      <c r="I196" s="30" t="str">
        <f aca="false">IF($B196="","",$H196-$G196)</f>
        <v/>
      </c>
      <c r="J196" s="31" t="str">
        <f aca="false">IF(OR($B196="",$G196=0,$G196=""),"",$I196/$G196)</f>
        <v/>
      </c>
      <c r="K196" s="32"/>
      <c r="L196" s="32"/>
      <c r="M196" s="32"/>
      <c r="N196" s="32"/>
      <c r="O196" s="32"/>
      <c r="P196" s="31" t="str">
        <f aca="false">IF(OR($L196="",$N196=""),"",$L196-$N196)</f>
        <v/>
      </c>
      <c r="Q196" s="27" t="str">
        <f aca="false">IF($B196="","",IF(N($H196)&gt;0,"Live","Exited"))</f>
        <v/>
      </c>
      <c r="R196" s="27" t="str">
        <f aca="false">IF($B196="","",IF($L196="","Data Pending",IF($L196&gt;=Instructions!$D$19,"Best Fund",IF($L196&gt;=Instructions!$D$20,"Need to Improve","Not Performing"))))</f>
        <v/>
      </c>
      <c r="S196" s="7" t="str">
        <f aca="false">IF($R196="","",IF($R196="Data Pending","Enter the 3Y return",IF($R196="Best Fund","Hold / consider top-up",IF($R196="Need to Improve","Watch 2 quarters, then decide","Review with client - switch or exit"))))</f>
        <v/>
      </c>
      <c r="T196" s="26"/>
      <c r="U196" s="7" t="str">
        <f aca="false">IF($R196&lt;&gt;"Best Fund","",COUNTIFS($R$6:$R$505,"Best Fund",$L$6:$L$505,"&gt;"&amp;$L196)+COUNTIFS($R$6:$R196,"Best Fund",$L$6:$L196,$L196))</f>
        <v/>
      </c>
      <c r="V196" s="7" t="str">
        <f aca="false">IF($R196&lt;&gt;"Need to Improve","",COUNTIFS($R$6:$R$505,"Need to Improve",$L$6:$L$505,"&lt;"&amp;$L196)+COUNTIFS($R$6:$R196,"Need to Improve",$L$6:$L196,$L196))</f>
        <v/>
      </c>
      <c r="W196" s="7" t="str">
        <f aca="false">IF($R196&lt;&gt;"Not Performing","",COUNTIFS($R$6:$R$505,"Not Performing",$L$6:$L$505,"&lt;"&amp;$L196)+COUNTIFS($R$6:$R196,"Not Performing",$L$6:$L196,$L196))</f>
        <v/>
      </c>
    </row>
    <row r="197" customFormat="false" ht="15" hidden="false" customHeight="true" outlineLevel="0" collapsed="false">
      <c r="A197" s="26"/>
      <c r="B197" s="26"/>
      <c r="C197" s="26"/>
      <c r="D197" s="27" t="str">
        <f aca="false">IF($C197="","",IFERROR(TRIM(LEFT($C197,FIND("-",$C197)-1)),""))</f>
        <v/>
      </c>
      <c r="E197" s="26"/>
      <c r="F197" s="28"/>
      <c r="G197" s="29"/>
      <c r="H197" s="29"/>
      <c r="I197" s="30" t="str">
        <f aca="false">IF($B197="","",$H197-$G197)</f>
        <v/>
      </c>
      <c r="J197" s="31" t="str">
        <f aca="false">IF(OR($B197="",$G197=0,$G197=""),"",$I197/$G197)</f>
        <v/>
      </c>
      <c r="K197" s="32"/>
      <c r="L197" s="32"/>
      <c r="M197" s="32"/>
      <c r="N197" s="32"/>
      <c r="O197" s="32"/>
      <c r="P197" s="31" t="str">
        <f aca="false">IF(OR($L197="",$N197=""),"",$L197-$N197)</f>
        <v/>
      </c>
      <c r="Q197" s="27" t="str">
        <f aca="false">IF($B197="","",IF(N($H197)&gt;0,"Live","Exited"))</f>
        <v/>
      </c>
      <c r="R197" s="27" t="str">
        <f aca="false">IF($B197="","",IF($L197="","Data Pending",IF($L197&gt;=Instructions!$D$19,"Best Fund",IF($L197&gt;=Instructions!$D$20,"Need to Improve","Not Performing"))))</f>
        <v/>
      </c>
      <c r="S197" s="7" t="str">
        <f aca="false">IF($R197="","",IF($R197="Data Pending","Enter the 3Y return",IF($R197="Best Fund","Hold / consider top-up",IF($R197="Need to Improve","Watch 2 quarters, then decide","Review with client - switch or exit"))))</f>
        <v/>
      </c>
      <c r="T197" s="26"/>
      <c r="U197" s="7" t="str">
        <f aca="false">IF($R197&lt;&gt;"Best Fund","",COUNTIFS($R$6:$R$505,"Best Fund",$L$6:$L$505,"&gt;"&amp;$L197)+COUNTIFS($R$6:$R197,"Best Fund",$L$6:$L197,$L197))</f>
        <v/>
      </c>
      <c r="V197" s="7" t="str">
        <f aca="false">IF($R197&lt;&gt;"Need to Improve","",COUNTIFS($R$6:$R$505,"Need to Improve",$L$6:$L$505,"&lt;"&amp;$L197)+COUNTIFS($R$6:$R197,"Need to Improve",$L$6:$L197,$L197))</f>
        <v/>
      </c>
      <c r="W197" s="7" t="str">
        <f aca="false">IF($R197&lt;&gt;"Not Performing","",COUNTIFS($R$6:$R$505,"Not Performing",$L$6:$L$505,"&lt;"&amp;$L197)+COUNTIFS($R$6:$R197,"Not Performing",$L$6:$L197,$L197))</f>
        <v/>
      </c>
    </row>
    <row r="198" customFormat="false" ht="15" hidden="false" customHeight="true" outlineLevel="0" collapsed="false">
      <c r="A198" s="26"/>
      <c r="B198" s="26"/>
      <c r="C198" s="26"/>
      <c r="D198" s="27" t="str">
        <f aca="false">IF($C198="","",IFERROR(TRIM(LEFT($C198,FIND("-",$C198)-1)),""))</f>
        <v/>
      </c>
      <c r="E198" s="26"/>
      <c r="F198" s="28"/>
      <c r="G198" s="29"/>
      <c r="H198" s="29"/>
      <c r="I198" s="30" t="str">
        <f aca="false">IF($B198="","",$H198-$G198)</f>
        <v/>
      </c>
      <c r="J198" s="31" t="str">
        <f aca="false">IF(OR($B198="",$G198=0,$G198=""),"",$I198/$G198)</f>
        <v/>
      </c>
      <c r="K198" s="32"/>
      <c r="L198" s="32"/>
      <c r="M198" s="32"/>
      <c r="N198" s="32"/>
      <c r="O198" s="32"/>
      <c r="P198" s="31" t="str">
        <f aca="false">IF(OR($L198="",$N198=""),"",$L198-$N198)</f>
        <v/>
      </c>
      <c r="Q198" s="27" t="str">
        <f aca="false">IF($B198="","",IF(N($H198)&gt;0,"Live","Exited"))</f>
        <v/>
      </c>
      <c r="R198" s="27" t="str">
        <f aca="false">IF($B198="","",IF($L198="","Data Pending",IF($L198&gt;=Instructions!$D$19,"Best Fund",IF($L198&gt;=Instructions!$D$20,"Need to Improve","Not Performing"))))</f>
        <v/>
      </c>
      <c r="S198" s="7" t="str">
        <f aca="false">IF($R198="","",IF($R198="Data Pending","Enter the 3Y return",IF($R198="Best Fund","Hold / consider top-up",IF($R198="Need to Improve","Watch 2 quarters, then decide","Review with client - switch or exit"))))</f>
        <v/>
      </c>
      <c r="T198" s="26"/>
      <c r="U198" s="7" t="str">
        <f aca="false">IF($R198&lt;&gt;"Best Fund","",COUNTIFS($R$6:$R$505,"Best Fund",$L$6:$L$505,"&gt;"&amp;$L198)+COUNTIFS($R$6:$R198,"Best Fund",$L$6:$L198,$L198))</f>
        <v/>
      </c>
      <c r="V198" s="7" t="str">
        <f aca="false">IF($R198&lt;&gt;"Need to Improve","",COUNTIFS($R$6:$R$505,"Need to Improve",$L$6:$L$505,"&lt;"&amp;$L198)+COUNTIFS($R$6:$R198,"Need to Improve",$L$6:$L198,$L198))</f>
        <v/>
      </c>
      <c r="W198" s="7" t="str">
        <f aca="false">IF($R198&lt;&gt;"Not Performing","",COUNTIFS($R$6:$R$505,"Not Performing",$L$6:$L$505,"&lt;"&amp;$L198)+COUNTIFS($R$6:$R198,"Not Performing",$L$6:$L198,$L198))</f>
        <v/>
      </c>
    </row>
    <row r="199" customFormat="false" ht="15" hidden="false" customHeight="true" outlineLevel="0" collapsed="false">
      <c r="A199" s="26"/>
      <c r="B199" s="26"/>
      <c r="C199" s="26"/>
      <c r="D199" s="27" t="str">
        <f aca="false">IF($C199="","",IFERROR(TRIM(LEFT($C199,FIND("-",$C199)-1)),""))</f>
        <v/>
      </c>
      <c r="E199" s="26"/>
      <c r="F199" s="28"/>
      <c r="G199" s="29"/>
      <c r="H199" s="29"/>
      <c r="I199" s="30" t="str">
        <f aca="false">IF($B199="","",$H199-$G199)</f>
        <v/>
      </c>
      <c r="J199" s="31" t="str">
        <f aca="false">IF(OR($B199="",$G199=0,$G199=""),"",$I199/$G199)</f>
        <v/>
      </c>
      <c r="K199" s="32"/>
      <c r="L199" s="32"/>
      <c r="M199" s="32"/>
      <c r="N199" s="32"/>
      <c r="O199" s="32"/>
      <c r="P199" s="31" t="str">
        <f aca="false">IF(OR($L199="",$N199=""),"",$L199-$N199)</f>
        <v/>
      </c>
      <c r="Q199" s="27" t="str">
        <f aca="false">IF($B199="","",IF(N($H199)&gt;0,"Live","Exited"))</f>
        <v/>
      </c>
      <c r="R199" s="27" t="str">
        <f aca="false">IF($B199="","",IF($L199="","Data Pending",IF($L199&gt;=Instructions!$D$19,"Best Fund",IF($L199&gt;=Instructions!$D$20,"Need to Improve","Not Performing"))))</f>
        <v/>
      </c>
      <c r="S199" s="7" t="str">
        <f aca="false">IF($R199="","",IF($R199="Data Pending","Enter the 3Y return",IF($R199="Best Fund","Hold / consider top-up",IF($R199="Need to Improve","Watch 2 quarters, then decide","Review with client - switch or exit"))))</f>
        <v/>
      </c>
      <c r="T199" s="26"/>
      <c r="U199" s="7" t="str">
        <f aca="false">IF($R199&lt;&gt;"Best Fund","",COUNTIFS($R$6:$R$505,"Best Fund",$L$6:$L$505,"&gt;"&amp;$L199)+COUNTIFS($R$6:$R199,"Best Fund",$L$6:$L199,$L199))</f>
        <v/>
      </c>
      <c r="V199" s="7" t="str">
        <f aca="false">IF($R199&lt;&gt;"Need to Improve","",COUNTIFS($R$6:$R$505,"Need to Improve",$L$6:$L$505,"&lt;"&amp;$L199)+COUNTIFS($R$6:$R199,"Need to Improve",$L$6:$L199,$L199))</f>
        <v/>
      </c>
      <c r="W199" s="7" t="str">
        <f aca="false">IF($R199&lt;&gt;"Not Performing","",COUNTIFS($R$6:$R$505,"Not Performing",$L$6:$L$505,"&lt;"&amp;$L199)+COUNTIFS($R$6:$R199,"Not Performing",$L$6:$L199,$L199))</f>
        <v/>
      </c>
    </row>
    <row r="200" customFormat="false" ht="15" hidden="false" customHeight="true" outlineLevel="0" collapsed="false">
      <c r="A200" s="26"/>
      <c r="B200" s="26"/>
      <c r="C200" s="26"/>
      <c r="D200" s="27" t="str">
        <f aca="false">IF($C200="","",IFERROR(TRIM(LEFT($C200,FIND("-",$C200)-1)),""))</f>
        <v/>
      </c>
      <c r="E200" s="26"/>
      <c r="F200" s="28"/>
      <c r="G200" s="29"/>
      <c r="H200" s="29"/>
      <c r="I200" s="30" t="str">
        <f aca="false">IF($B200="","",$H200-$G200)</f>
        <v/>
      </c>
      <c r="J200" s="31" t="str">
        <f aca="false">IF(OR($B200="",$G200=0,$G200=""),"",$I200/$G200)</f>
        <v/>
      </c>
      <c r="K200" s="32"/>
      <c r="L200" s="32"/>
      <c r="M200" s="32"/>
      <c r="N200" s="32"/>
      <c r="O200" s="32"/>
      <c r="P200" s="31" t="str">
        <f aca="false">IF(OR($L200="",$N200=""),"",$L200-$N200)</f>
        <v/>
      </c>
      <c r="Q200" s="27" t="str">
        <f aca="false">IF($B200="","",IF(N($H200)&gt;0,"Live","Exited"))</f>
        <v/>
      </c>
      <c r="R200" s="27" t="str">
        <f aca="false">IF($B200="","",IF($L200="","Data Pending",IF($L200&gt;=Instructions!$D$19,"Best Fund",IF($L200&gt;=Instructions!$D$20,"Need to Improve","Not Performing"))))</f>
        <v/>
      </c>
      <c r="S200" s="7" t="str">
        <f aca="false">IF($R200="","",IF($R200="Data Pending","Enter the 3Y return",IF($R200="Best Fund","Hold / consider top-up",IF($R200="Need to Improve","Watch 2 quarters, then decide","Review with client - switch or exit"))))</f>
        <v/>
      </c>
      <c r="T200" s="26"/>
      <c r="U200" s="7" t="str">
        <f aca="false">IF($R200&lt;&gt;"Best Fund","",COUNTIFS($R$6:$R$505,"Best Fund",$L$6:$L$505,"&gt;"&amp;$L200)+COUNTIFS($R$6:$R200,"Best Fund",$L$6:$L200,$L200))</f>
        <v/>
      </c>
      <c r="V200" s="7" t="str">
        <f aca="false">IF($R200&lt;&gt;"Need to Improve","",COUNTIFS($R$6:$R$505,"Need to Improve",$L$6:$L$505,"&lt;"&amp;$L200)+COUNTIFS($R$6:$R200,"Need to Improve",$L$6:$L200,$L200))</f>
        <v/>
      </c>
      <c r="W200" s="7" t="str">
        <f aca="false">IF($R200&lt;&gt;"Not Performing","",COUNTIFS($R$6:$R$505,"Not Performing",$L$6:$L$505,"&lt;"&amp;$L200)+COUNTIFS($R$6:$R200,"Not Performing",$L$6:$L200,$L200))</f>
        <v/>
      </c>
    </row>
    <row r="201" customFormat="false" ht="15" hidden="false" customHeight="true" outlineLevel="0" collapsed="false">
      <c r="A201" s="26"/>
      <c r="B201" s="26"/>
      <c r="C201" s="26"/>
      <c r="D201" s="27" t="str">
        <f aca="false">IF($C201="","",IFERROR(TRIM(LEFT($C201,FIND("-",$C201)-1)),""))</f>
        <v/>
      </c>
      <c r="E201" s="26"/>
      <c r="F201" s="28"/>
      <c r="G201" s="29"/>
      <c r="H201" s="29"/>
      <c r="I201" s="30" t="str">
        <f aca="false">IF($B201="","",$H201-$G201)</f>
        <v/>
      </c>
      <c r="J201" s="31" t="str">
        <f aca="false">IF(OR($B201="",$G201=0,$G201=""),"",$I201/$G201)</f>
        <v/>
      </c>
      <c r="K201" s="32"/>
      <c r="L201" s="32"/>
      <c r="M201" s="32"/>
      <c r="N201" s="32"/>
      <c r="O201" s="32"/>
      <c r="P201" s="31" t="str">
        <f aca="false">IF(OR($L201="",$N201=""),"",$L201-$N201)</f>
        <v/>
      </c>
      <c r="Q201" s="27" t="str">
        <f aca="false">IF($B201="","",IF(N($H201)&gt;0,"Live","Exited"))</f>
        <v/>
      </c>
      <c r="R201" s="27" t="str">
        <f aca="false">IF($B201="","",IF($L201="","Data Pending",IF($L201&gt;=Instructions!$D$19,"Best Fund",IF($L201&gt;=Instructions!$D$20,"Need to Improve","Not Performing"))))</f>
        <v/>
      </c>
      <c r="S201" s="7" t="str">
        <f aca="false">IF($R201="","",IF($R201="Data Pending","Enter the 3Y return",IF($R201="Best Fund","Hold / consider top-up",IF($R201="Need to Improve","Watch 2 quarters, then decide","Review with client - switch or exit"))))</f>
        <v/>
      </c>
      <c r="T201" s="26"/>
      <c r="U201" s="7" t="str">
        <f aca="false">IF($R201&lt;&gt;"Best Fund","",COUNTIFS($R$6:$R$505,"Best Fund",$L$6:$L$505,"&gt;"&amp;$L201)+COUNTIFS($R$6:$R201,"Best Fund",$L$6:$L201,$L201))</f>
        <v/>
      </c>
      <c r="V201" s="7" t="str">
        <f aca="false">IF($R201&lt;&gt;"Need to Improve","",COUNTIFS($R$6:$R$505,"Need to Improve",$L$6:$L$505,"&lt;"&amp;$L201)+COUNTIFS($R$6:$R201,"Need to Improve",$L$6:$L201,$L201))</f>
        <v/>
      </c>
      <c r="W201" s="7" t="str">
        <f aca="false">IF($R201&lt;&gt;"Not Performing","",COUNTIFS($R$6:$R$505,"Not Performing",$L$6:$L$505,"&lt;"&amp;$L201)+COUNTIFS($R$6:$R201,"Not Performing",$L$6:$L201,$L201))</f>
        <v/>
      </c>
    </row>
    <row r="202" customFormat="false" ht="15" hidden="false" customHeight="true" outlineLevel="0" collapsed="false">
      <c r="A202" s="26"/>
      <c r="B202" s="26"/>
      <c r="C202" s="26"/>
      <c r="D202" s="27" t="str">
        <f aca="false">IF($C202="","",IFERROR(TRIM(LEFT($C202,FIND("-",$C202)-1)),""))</f>
        <v/>
      </c>
      <c r="E202" s="26"/>
      <c r="F202" s="28"/>
      <c r="G202" s="29"/>
      <c r="H202" s="29"/>
      <c r="I202" s="30" t="str">
        <f aca="false">IF($B202="","",$H202-$G202)</f>
        <v/>
      </c>
      <c r="J202" s="31" t="str">
        <f aca="false">IF(OR($B202="",$G202=0,$G202=""),"",$I202/$G202)</f>
        <v/>
      </c>
      <c r="K202" s="32"/>
      <c r="L202" s="32"/>
      <c r="M202" s="32"/>
      <c r="N202" s="32"/>
      <c r="O202" s="32"/>
      <c r="P202" s="31" t="str">
        <f aca="false">IF(OR($L202="",$N202=""),"",$L202-$N202)</f>
        <v/>
      </c>
      <c r="Q202" s="27" t="str">
        <f aca="false">IF($B202="","",IF(N($H202)&gt;0,"Live","Exited"))</f>
        <v/>
      </c>
      <c r="R202" s="27" t="str">
        <f aca="false">IF($B202="","",IF($L202="","Data Pending",IF($L202&gt;=Instructions!$D$19,"Best Fund",IF($L202&gt;=Instructions!$D$20,"Need to Improve","Not Performing"))))</f>
        <v/>
      </c>
      <c r="S202" s="7" t="str">
        <f aca="false">IF($R202="","",IF($R202="Data Pending","Enter the 3Y return",IF($R202="Best Fund","Hold / consider top-up",IF($R202="Need to Improve","Watch 2 quarters, then decide","Review with client - switch or exit"))))</f>
        <v/>
      </c>
      <c r="T202" s="26"/>
      <c r="U202" s="7" t="str">
        <f aca="false">IF($R202&lt;&gt;"Best Fund","",COUNTIFS($R$6:$R$505,"Best Fund",$L$6:$L$505,"&gt;"&amp;$L202)+COUNTIFS($R$6:$R202,"Best Fund",$L$6:$L202,$L202))</f>
        <v/>
      </c>
      <c r="V202" s="7" t="str">
        <f aca="false">IF($R202&lt;&gt;"Need to Improve","",COUNTIFS($R$6:$R$505,"Need to Improve",$L$6:$L$505,"&lt;"&amp;$L202)+COUNTIFS($R$6:$R202,"Need to Improve",$L$6:$L202,$L202))</f>
        <v/>
      </c>
      <c r="W202" s="7" t="str">
        <f aca="false">IF($R202&lt;&gt;"Not Performing","",COUNTIFS($R$6:$R$505,"Not Performing",$L$6:$L$505,"&lt;"&amp;$L202)+COUNTIFS($R$6:$R202,"Not Performing",$L$6:$L202,$L202))</f>
        <v/>
      </c>
    </row>
    <row r="203" customFormat="false" ht="15" hidden="false" customHeight="true" outlineLevel="0" collapsed="false">
      <c r="A203" s="26"/>
      <c r="B203" s="26"/>
      <c r="C203" s="26"/>
      <c r="D203" s="27" t="str">
        <f aca="false">IF($C203="","",IFERROR(TRIM(LEFT($C203,FIND("-",$C203)-1)),""))</f>
        <v/>
      </c>
      <c r="E203" s="26"/>
      <c r="F203" s="28"/>
      <c r="G203" s="29"/>
      <c r="H203" s="29"/>
      <c r="I203" s="30" t="str">
        <f aca="false">IF($B203="","",$H203-$G203)</f>
        <v/>
      </c>
      <c r="J203" s="31" t="str">
        <f aca="false">IF(OR($B203="",$G203=0,$G203=""),"",$I203/$G203)</f>
        <v/>
      </c>
      <c r="K203" s="32"/>
      <c r="L203" s="32"/>
      <c r="M203" s="32"/>
      <c r="N203" s="32"/>
      <c r="O203" s="32"/>
      <c r="P203" s="31" t="str">
        <f aca="false">IF(OR($L203="",$N203=""),"",$L203-$N203)</f>
        <v/>
      </c>
      <c r="Q203" s="27" t="str">
        <f aca="false">IF($B203="","",IF(N($H203)&gt;0,"Live","Exited"))</f>
        <v/>
      </c>
      <c r="R203" s="27" t="str">
        <f aca="false">IF($B203="","",IF($L203="","Data Pending",IF($L203&gt;=Instructions!$D$19,"Best Fund",IF($L203&gt;=Instructions!$D$20,"Need to Improve","Not Performing"))))</f>
        <v/>
      </c>
      <c r="S203" s="7" t="str">
        <f aca="false">IF($R203="","",IF($R203="Data Pending","Enter the 3Y return",IF($R203="Best Fund","Hold / consider top-up",IF($R203="Need to Improve","Watch 2 quarters, then decide","Review with client - switch or exit"))))</f>
        <v/>
      </c>
      <c r="T203" s="26"/>
      <c r="U203" s="7" t="str">
        <f aca="false">IF($R203&lt;&gt;"Best Fund","",COUNTIFS($R$6:$R$505,"Best Fund",$L$6:$L$505,"&gt;"&amp;$L203)+COUNTIFS($R$6:$R203,"Best Fund",$L$6:$L203,$L203))</f>
        <v/>
      </c>
      <c r="V203" s="7" t="str">
        <f aca="false">IF($R203&lt;&gt;"Need to Improve","",COUNTIFS($R$6:$R$505,"Need to Improve",$L$6:$L$505,"&lt;"&amp;$L203)+COUNTIFS($R$6:$R203,"Need to Improve",$L$6:$L203,$L203))</f>
        <v/>
      </c>
      <c r="W203" s="7" t="str">
        <f aca="false">IF($R203&lt;&gt;"Not Performing","",COUNTIFS($R$6:$R$505,"Not Performing",$L$6:$L$505,"&lt;"&amp;$L203)+COUNTIFS($R$6:$R203,"Not Performing",$L$6:$L203,$L203))</f>
        <v/>
      </c>
    </row>
    <row r="204" customFormat="false" ht="15" hidden="false" customHeight="true" outlineLevel="0" collapsed="false">
      <c r="A204" s="26"/>
      <c r="B204" s="26"/>
      <c r="C204" s="26"/>
      <c r="D204" s="27" t="str">
        <f aca="false">IF($C204="","",IFERROR(TRIM(LEFT($C204,FIND("-",$C204)-1)),""))</f>
        <v/>
      </c>
      <c r="E204" s="26"/>
      <c r="F204" s="28"/>
      <c r="G204" s="29"/>
      <c r="H204" s="29"/>
      <c r="I204" s="30" t="str">
        <f aca="false">IF($B204="","",$H204-$G204)</f>
        <v/>
      </c>
      <c r="J204" s="31" t="str">
        <f aca="false">IF(OR($B204="",$G204=0,$G204=""),"",$I204/$G204)</f>
        <v/>
      </c>
      <c r="K204" s="32"/>
      <c r="L204" s="32"/>
      <c r="M204" s="32"/>
      <c r="N204" s="32"/>
      <c r="O204" s="32"/>
      <c r="P204" s="31" t="str">
        <f aca="false">IF(OR($L204="",$N204=""),"",$L204-$N204)</f>
        <v/>
      </c>
      <c r="Q204" s="27" t="str">
        <f aca="false">IF($B204="","",IF(N($H204)&gt;0,"Live","Exited"))</f>
        <v/>
      </c>
      <c r="R204" s="27" t="str">
        <f aca="false">IF($B204="","",IF($L204="","Data Pending",IF($L204&gt;=Instructions!$D$19,"Best Fund",IF($L204&gt;=Instructions!$D$20,"Need to Improve","Not Performing"))))</f>
        <v/>
      </c>
      <c r="S204" s="7" t="str">
        <f aca="false">IF($R204="","",IF($R204="Data Pending","Enter the 3Y return",IF($R204="Best Fund","Hold / consider top-up",IF($R204="Need to Improve","Watch 2 quarters, then decide","Review with client - switch or exit"))))</f>
        <v/>
      </c>
      <c r="T204" s="26"/>
      <c r="U204" s="7" t="str">
        <f aca="false">IF($R204&lt;&gt;"Best Fund","",COUNTIFS($R$6:$R$505,"Best Fund",$L$6:$L$505,"&gt;"&amp;$L204)+COUNTIFS($R$6:$R204,"Best Fund",$L$6:$L204,$L204))</f>
        <v/>
      </c>
      <c r="V204" s="7" t="str">
        <f aca="false">IF($R204&lt;&gt;"Need to Improve","",COUNTIFS($R$6:$R$505,"Need to Improve",$L$6:$L$505,"&lt;"&amp;$L204)+COUNTIFS($R$6:$R204,"Need to Improve",$L$6:$L204,$L204))</f>
        <v/>
      </c>
      <c r="W204" s="7" t="str">
        <f aca="false">IF($R204&lt;&gt;"Not Performing","",COUNTIFS($R$6:$R$505,"Not Performing",$L$6:$L$505,"&lt;"&amp;$L204)+COUNTIFS($R$6:$R204,"Not Performing",$L$6:$L204,$L204))</f>
        <v/>
      </c>
    </row>
    <row r="205" customFormat="false" ht="15" hidden="false" customHeight="true" outlineLevel="0" collapsed="false">
      <c r="A205" s="26"/>
      <c r="B205" s="26"/>
      <c r="C205" s="26"/>
      <c r="D205" s="27" t="str">
        <f aca="false">IF($C205="","",IFERROR(TRIM(LEFT($C205,FIND("-",$C205)-1)),""))</f>
        <v/>
      </c>
      <c r="E205" s="26"/>
      <c r="F205" s="28"/>
      <c r="G205" s="29"/>
      <c r="H205" s="29"/>
      <c r="I205" s="30" t="str">
        <f aca="false">IF($B205="","",$H205-$G205)</f>
        <v/>
      </c>
      <c r="J205" s="31" t="str">
        <f aca="false">IF(OR($B205="",$G205=0,$G205=""),"",$I205/$G205)</f>
        <v/>
      </c>
      <c r="K205" s="32"/>
      <c r="L205" s="32"/>
      <c r="M205" s="32"/>
      <c r="N205" s="32"/>
      <c r="O205" s="32"/>
      <c r="P205" s="31" t="str">
        <f aca="false">IF(OR($L205="",$N205=""),"",$L205-$N205)</f>
        <v/>
      </c>
      <c r="Q205" s="27" t="str">
        <f aca="false">IF($B205="","",IF(N($H205)&gt;0,"Live","Exited"))</f>
        <v/>
      </c>
      <c r="R205" s="27" t="str">
        <f aca="false">IF($B205="","",IF($L205="","Data Pending",IF($L205&gt;=Instructions!$D$19,"Best Fund",IF($L205&gt;=Instructions!$D$20,"Need to Improve","Not Performing"))))</f>
        <v/>
      </c>
      <c r="S205" s="7" t="str">
        <f aca="false">IF($R205="","",IF($R205="Data Pending","Enter the 3Y return",IF($R205="Best Fund","Hold / consider top-up",IF($R205="Need to Improve","Watch 2 quarters, then decide","Review with client - switch or exit"))))</f>
        <v/>
      </c>
      <c r="T205" s="26"/>
      <c r="U205" s="7" t="str">
        <f aca="false">IF($R205&lt;&gt;"Best Fund","",COUNTIFS($R$6:$R$505,"Best Fund",$L$6:$L$505,"&gt;"&amp;$L205)+COUNTIFS($R$6:$R205,"Best Fund",$L$6:$L205,$L205))</f>
        <v/>
      </c>
      <c r="V205" s="7" t="str">
        <f aca="false">IF($R205&lt;&gt;"Need to Improve","",COUNTIFS($R$6:$R$505,"Need to Improve",$L$6:$L$505,"&lt;"&amp;$L205)+COUNTIFS($R$6:$R205,"Need to Improve",$L$6:$L205,$L205))</f>
        <v/>
      </c>
      <c r="W205" s="7" t="str">
        <f aca="false">IF($R205&lt;&gt;"Not Performing","",COUNTIFS($R$6:$R$505,"Not Performing",$L$6:$L$505,"&lt;"&amp;$L205)+COUNTIFS($R$6:$R205,"Not Performing",$L$6:$L205,$L205))</f>
        <v/>
      </c>
    </row>
    <row r="206" customFormat="false" ht="15" hidden="false" customHeight="true" outlineLevel="0" collapsed="false">
      <c r="A206" s="26"/>
      <c r="B206" s="26"/>
      <c r="C206" s="26"/>
      <c r="D206" s="27" t="str">
        <f aca="false">IF($C206="","",IFERROR(TRIM(LEFT($C206,FIND("-",$C206)-1)),""))</f>
        <v/>
      </c>
      <c r="E206" s="26"/>
      <c r="F206" s="28"/>
      <c r="G206" s="29"/>
      <c r="H206" s="29"/>
      <c r="I206" s="30" t="str">
        <f aca="false">IF($B206="","",$H206-$G206)</f>
        <v/>
      </c>
      <c r="J206" s="31" t="str">
        <f aca="false">IF(OR($B206="",$G206=0,$G206=""),"",$I206/$G206)</f>
        <v/>
      </c>
      <c r="K206" s="32"/>
      <c r="L206" s="32"/>
      <c r="M206" s="32"/>
      <c r="N206" s="32"/>
      <c r="O206" s="32"/>
      <c r="P206" s="31" t="str">
        <f aca="false">IF(OR($L206="",$N206=""),"",$L206-$N206)</f>
        <v/>
      </c>
      <c r="Q206" s="27" t="str">
        <f aca="false">IF($B206="","",IF(N($H206)&gt;0,"Live","Exited"))</f>
        <v/>
      </c>
      <c r="R206" s="27" t="str">
        <f aca="false">IF($B206="","",IF($L206="","Data Pending",IF($L206&gt;=Instructions!$D$19,"Best Fund",IF($L206&gt;=Instructions!$D$20,"Need to Improve","Not Performing"))))</f>
        <v/>
      </c>
      <c r="S206" s="7" t="str">
        <f aca="false">IF($R206="","",IF($R206="Data Pending","Enter the 3Y return",IF($R206="Best Fund","Hold / consider top-up",IF($R206="Need to Improve","Watch 2 quarters, then decide","Review with client - switch or exit"))))</f>
        <v/>
      </c>
      <c r="T206" s="26"/>
      <c r="U206" s="7" t="str">
        <f aca="false">IF($R206&lt;&gt;"Best Fund","",COUNTIFS($R$6:$R$505,"Best Fund",$L$6:$L$505,"&gt;"&amp;$L206)+COUNTIFS($R$6:$R206,"Best Fund",$L$6:$L206,$L206))</f>
        <v/>
      </c>
      <c r="V206" s="7" t="str">
        <f aca="false">IF($R206&lt;&gt;"Need to Improve","",COUNTIFS($R$6:$R$505,"Need to Improve",$L$6:$L$505,"&lt;"&amp;$L206)+COUNTIFS($R$6:$R206,"Need to Improve",$L$6:$L206,$L206))</f>
        <v/>
      </c>
      <c r="W206" s="7" t="str">
        <f aca="false">IF($R206&lt;&gt;"Not Performing","",COUNTIFS($R$6:$R$505,"Not Performing",$L$6:$L$505,"&lt;"&amp;$L206)+COUNTIFS($R$6:$R206,"Not Performing",$L$6:$L206,$L206))</f>
        <v/>
      </c>
    </row>
    <row r="207" customFormat="false" ht="15" hidden="false" customHeight="true" outlineLevel="0" collapsed="false">
      <c r="A207" s="26"/>
      <c r="B207" s="26"/>
      <c r="C207" s="26"/>
      <c r="D207" s="27" t="str">
        <f aca="false">IF($C207="","",IFERROR(TRIM(LEFT($C207,FIND("-",$C207)-1)),""))</f>
        <v/>
      </c>
      <c r="E207" s="26"/>
      <c r="F207" s="28"/>
      <c r="G207" s="29"/>
      <c r="H207" s="29"/>
      <c r="I207" s="30" t="str">
        <f aca="false">IF($B207="","",$H207-$G207)</f>
        <v/>
      </c>
      <c r="J207" s="31" t="str">
        <f aca="false">IF(OR($B207="",$G207=0,$G207=""),"",$I207/$G207)</f>
        <v/>
      </c>
      <c r="K207" s="32"/>
      <c r="L207" s="32"/>
      <c r="M207" s="32"/>
      <c r="N207" s="32"/>
      <c r="O207" s="32"/>
      <c r="P207" s="31" t="str">
        <f aca="false">IF(OR($L207="",$N207=""),"",$L207-$N207)</f>
        <v/>
      </c>
      <c r="Q207" s="27" t="str">
        <f aca="false">IF($B207="","",IF(N($H207)&gt;0,"Live","Exited"))</f>
        <v/>
      </c>
      <c r="R207" s="27" t="str">
        <f aca="false">IF($B207="","",IF($L207="","Data Pending",IF($L207&gt;=Instructions!$D$19,"Best Fund",IF($L207&gt;=Instructions!$D$20,"Need to Improve","Not Performing"))))</f>
        <v/>
      </c>
      <c r="S207" s="7" t="str">
        <f aca="false">IF($R207="","",IF($R207="Data Pending","Enter the 3Y return",IF($R207="Best Fund","Hold / consider top-up",IF($R207="Need to Improve","Watch 2 quarters, then decide","Review with client - switch or exit"))))</f>
        <v/>
      </c>
      <c r="T207" s="26"/>
      <c r="U207" s="7" t="str">
        <f aca="false">IF($R207&lt;&gt;"Best Fund","",COUNTIFS($R$6:$R$505,"Best Fund",$L$6:$L$505,"&gt;"&amp;$L207)+COUNTIFS($R$6:$R207,"Best Fund",$L$6:$L207,$L207))</f>
        <v/>
      </c>
      <c r="V207" s="7" t="str">
        <f aca="false">IF($R207&lt;&gt;"Need to Improve","",COUNTIFS($R$6:$R$505,"Need to Improve",$L$6:$L$505,"&lt;"&amp;$L207)+COUNTIFS($R$6:$R207,"Need to Improve",$L$6:$L207,$L207))</f>
        <v/>
      </c>
      <c r="W207" s="7" t="str">
        <f aca="false">IF($R207&lt;&gt;"Not Performing","",COUNTIFS($R$6:$R$505,"Not Performing",$L$6:$L$505,"&lt;"&amp;$L207)+COUNTIFS($R$6:$R207,"Not Performing",$L$6:$L207,$L207))</f>
        <v/>
      </c>
    </row>
    <row r="208" customFormat="false" ht="15" hidden="false" customHeight="true" outlineLevel="0" collapsed="false">
      <c r="A208" s="26"/>
      <c r="B208" s="26"/>
      <c r="C208" s="26"/>
      <c r="D208" s="27" t="str">
        <f aca="false">IF($C208="","",IFERROR(TRIM(LEFT($C208,FIND("-",$C208)-1)),""))</f>
        <v/>
      </c>
      <c r="E208" s="26"/>
      <c r="F208" s="28"/>
      <c r="G208" s="29"/>
      <c r="H208" s="29"/>
      <c r="I208" s="30" t="str">
        <f aca="false">IF($B208="","",$H208-$G208)</f>
        <v/>
      </c>
      <c r="J208" s="31" t="str">
        <f aca="false">IF(OR($B208="",$G208=0,$G208=""),"",$I208/$G208)</f>
        <v/>
      </c>
      <c r="K208" s="32"/>
      <c r="L208" s="32"/>
      <c r="M208" s="32"/>
      <c r="N208" s="32"/>
      <c r="O208" s="32"/>
      <c r="P208" s="31" t="str">
        <f aca="false">IF(OR($L208="",$N208=""),"",$L208-$N208)</f>
        <v/>
      </c>
      <c r="Q208" s="27" t="str">
        <f aca="false">IF($B208="","",IF(N($H208)&gt;0,"Live","Exited"))</f>
        <v/>
      </c>
      <c r="R208" s="27" t="str">
        <f aca="false">IF($B208="","",IF($L208="","Data Pending",IF($L208&gt;=Instructions!$D$19,"Best Fund",IF($L208&gt;=Instructions!$D$20,"Need to Improve","Not Performing"))))</f>
        <v/>
      </c>
      <c r="S208" s="7" t="str">
        <f aca="false">IF($R208="","",IF($R208="Data Pending","Enter the 3Y return",IF($R208="Best Fund","Hold / consider top-up",IF($R208="Need to Improve","Watch 2 quarters, then decide","Review with client - switch or exit"))))</f>
        <v/>
      </c>
      <c r="T208" s="26"/>
      <c r="U208" s="7" t="str">
        <f aca="false">IF($R208&lt;&gt;"Best Fund","",COUNTIFS($R$6:$R$505,"Best Fund",$L$6:$L$505,"&gt;"&amp;$L208)+COUNTIFS($R$6:$R208,"Best Fund",$L$6:$L208,$L208))</f>
        <v/>
      </c>
      <c r="V208" s="7" t="str">
        <f aca="false">IF($R208&lt;&gt;"Need to Improve","",COUNTIFS($R$6:$R$505,"Need to Improve",$L$6:$L$505,"&lt;"&amp;$L208)+COUNTIFS($R$6:$R208,"Need to Improve",$L$6:$L208,$L208))</f>
        <v/>
      </c>
      <c r="W208" s="7" t="str">
        <f aca="false">IF($R208&lt;&gt;"Not Performing","",COUNTIFS($R$6:$R$505,"Not Performing",$L$6:$L$505,"&lt;"&amp;$L208)+COUNTIFS($R$6:$R208,"Not Performing",$L$6:$L208,$L208))</f>
        <v/>
      </c>
    </row>
    <row r="209" customFormat="false" ht="15" hidden="false" customHeight="true" outlineLevel="0" collapsed="false">
      <c r="A209" s="26"/>
      <c r="B209" s="26"/>
      <c r="C209" s="26"/>
      <c r="D209" s="27" t="str">
        <f aca="false">IF($C209="","",IFERROR(TRIM(LEFT($C209,FIND("-",$C209)-1)),""))</f>
        <v/>
      </c>
      <c r="E209" s="26"/>
      <c r="F209" s="28"/>
      <c r="G209" s="29"/>
      <c r="H209" s="29"/>
      <c r="I209" s="30" t="str">
        <f aca="false">IF($B209="","",$H209-$G209)</f>
        <v/>
      </c>
      <c r="J209" s="31" t="str">
        <f aca="false">IF(OR($B209="",$G209=0,$G209=""),"",$I209/$G209)</f>
        <v/>
      </c>
      <c r="K209" s="32"/>
      <c r="L209" s="32"/>
      <c r="M209" s="32"/>
      <c r="N209" s="32"/>
      <c r="O209" s="32"/>
      <c r="P209" s="31" t="str">
        <f aca="false">IF(OR($L209="",$N209=""),"",$L209-$N209)</f>
        <v/>
      </c>
      <c r="Q209" s="27" t="str">
        <f aca="false">IF($B209="","",IF(N($H209)&gt;0,"Live","Exited"))</f>
        <v/>
      </c>
      <c r="R209" s="27" t="str">
        <f aca="false">IF($B209="","",IF($L209="","Data Pending",IF($L209&gt;=Instructions!$D$19,"Best Fund",IF($L209&gt;=Instructions!$D$20,"Need to Improve","Not Performing"))))</f>
        <v/>
      </c>
      <c r="S209" s="7" t="str">
        <f aca="false">IF($R209="","",IF($R209="Data Pending","Enter the 3Y return",IF($R209="Best Fund","Hold / consider top-up",IF($R209="Need to Improve","Watch 2 quarters, then decide","Review with client - switch or exit"))))</f>
        <v/>
      </c>
      <c r="T209" s="26"/>
      <c r="U209" s="7" t="str">
        <f aca="false">IF($R209&lt;&gt;"Best Fund","",COUNTIFS($R$6:$R$505,"Best Fund",$L$6:$L$505,"&gt;"&amp;$L209)+COUNTIFS($R$6:$R209,"Best Fund",$L$6:$L209,$L209))</f>
        <v/>
      </c>
      <c r="V209" s="7" t="str">
        <f aca="false">IF($R209&lt;&gt;"Need to Improve","",COUNTIFS($R$6:$R$505,"Need to Improve",$L$6:$L$505,"&lt;"&amp;$L209)+COUNTIFS($R$6:$R209,"Need to Improve",$L$6:$L209,$L209))</f>
        <v/>
      </c>
      <c r="W209" s="7" t="str">
        <f aca="false">IF($R209&lt;&gt;"Not Performing","",COUNTIFS($R$6:$R$505,"Not Performing",$L$6:$L$505,"&lt;"&amp;$L209)+COUNTIFS($R$6:$R209,"Not Performing",$L$6:$L209,$L209))</f>
        <v/>
      </c>
    </row>
    <row r="210" customFormat="false" ht="15" hidden="false" customHeight="true" outlineLevel="0" collapsed="false">
      <c r="A210" s="26"/>
      <c r="B210" s="26"/>
      <c r="C210" s="26"/>
      <c r="D210" s="27" t="str">
        <f aca="false">IF($C210="","",IFERROR(TRIM(LEFT($C210,FIND("-",$C210)-1)),""))</f>
        <v/>
      </c>
      <c r="E210" s="26"/>
      <c r="F210" s="28"/>
      <c r="G210" s="29"/>
      <c r="H210" s="29"/>
      <c r="I210" s="30" t="str">
        <f aca="false">IF($B210="","",$H210-$G210)</f>
        <v/>
      </c>
      <c r="J210" s="31" t="str">
        <f aca="false">IF(OR($B210="",$G210=0,$G210=""),"",$I210/$G210)</f>
        <v/>
      </c>
      <c r="K210" s="32"/>
      <c r="L210" s="32"/>
      <c r="M210" s="32"/>
      <c r="N210" s="32"/>
      <c r="O210" s="32"/>
      <c r="P210" s="31" t="str">
        <f aca="false">IF(OR($L210="",$N210=""),"",$L210-$N210)</f>
        <v/>
      </c>
      <c r="Q210" s="27" t="str">
        <f aca="false">IF($B210="","",IF(N($H210)&gt;0,"Live","Exited"))</f>
        <v/>
      </c>
      <c r="R210" s="27" t="str">
        <f aca="false">IF($B210="","",IF($L210="","Data Pending",IF($L210&gt;=Instructions!$D$19,"Best Fund",IF($L210&gt;=Instructions!$D$20,"Need to Improve","Not Performing"))))</f>
        <v/>
      </c>
      <c r="S210" s="7" t="str">
        <f aca="false">IF($R210="","",IF($R210="Data Pending","Enter the 3Y return",IF($R210="Best Fund","Hold / consider top-up",IF($R210="Need to Improve","Watch 2 quarters, then decide","Review with client - switch or exit"))))</f>
        <v/>
      </c>
      <c r="T210" s="26"/>
      <c r="U210" s="7" t="str">
        <f aca="false">IF($R210&lt;&gt;"Best Fund","",COUNTIFS($R$6:$R$505,"Best Fund",$L$6:$L$505,"&gt;"&amp;$L210)+COUNTIFS($R$6:$R210,"Best Fund",$L$6:$L210,$L210))</f>
        <v/>
      </c>
      <c r="V210" s="7" t="str">
        <f aca="false">IF($R210&lt;&gt;"Need to Improve","",COUNTIFS($R$6:$R$505,"Need to Improve",$L$6:$L$505,"&lt;"&amp;$L210)+COUNTIFS($R$6:$R210,"Need to Improve",$L$6:$L210,$L210))</f>
        <v/>
      </c>
      <c r="W210" s="7" t="str">
        <f aca="false">IF($R210&lt;&gt;"Not Performing","",COUNTIFS($R$6:$R$505,"Not Performing",$L$6:$L$505,"&lt;"&amp;$L210)+COUNTIFS($R$6:$R210,"Not Performing",$L$6:$L210,$L210))</f>
        <v/>
      </c>
    </row>
    <row r="211" customFormat="false" ht="15" hidden="false" customHeight="true" outlineLevel="0" collapsed="false">
      <c r="A211" s="26"/>
      <c r="B211" s="26"/>
      <c r="C211" s="26"/>
      <c r="D211" s="27" t="str">
        <f aca="false">IF($C211="","",IFERROR(TRIM(LEFT($C211,FIND("-",$C211)-1)),""))</f>
        <v/>
      </c>
      <c r="E211" s="26"/>
      <c r="F211" s="28"/>
      <c r="G211" s="29"/>
      <c r="H211" s="29"/>
      <c r="I211" s="30" t="str">
        <f aca="false">IF($B211="","",$H211-$G211)</f>
        <v/>
      </c>
      <c r="J211" s="31" t="str">
        <f aca="false">IF(OR($B211="",$G211=0,$G211=""),"",$I211/$G211)</f>
        <v/>
      </c>
      <c r="K211" s="32"/>
      <c r="L211" s="32"/>
      <c r="M211" s="32"/>
      <c r="N211" s="32"/>
      <c r="O211" s="32"/>
      <c r="P211" s="31" t="str">
        <f aca="false">IF(OR($L211="",$N211=""),"",$L211-$N211)</f>
        <v/>
      </c>
      <c r="Q211" s="27" t="str">
        <f aca="false">IF($B211="","",IF(N($H211)&gt;0,"Live","Exited"))</f>
        <v/>
      </c>
      <c r="R211" s="27" t="str">
        <f aca="false">IF($B211="","",IF($L211="","Data Pending",IF($L211&gt;=Instructions!$D$19,"Best Fund",IF($L211&gt;=Instructions!$D$20,"Need to Improve","Not Performing"))))</f>
        <v/>
      </c>
      <c r="S211" s="7" t="str">
        <f aca="false">IF($R211="","",IF($R211="Data Pending","Enter the 3Y return",IF($R211="Best Fund","Hold / consider top-up",IF($R211="Need to Improve","Watch 2 quarters, then decide","Review with client - switch or exit"))))</f>
        <v/>
      </c>
      <c r="T211" s="26"/>
      <c r="U211" s="7" t="str">
        <f aca="false">IF($R211&lt;&gt;"Best Fund","",COUNTIFS($R$6:$R$505,"Best Fund",$L$6:$L$505,"&gt;"&amp;$L211)+COUNTIFS($R$6:$R211,"Best Fund",$L$6:$L211,$L211))</f>
        <v/>
      </c>
      <c r="V211" s="7" t="str">
        <f aca="false">IF($R211&lt;&gt;"Need to Improve","",COUNTIFS($R$6:$R$505,"Need to Improve",$L$6:$L$505,"&lt;"&amp;$L211)+COUNTIFS($R$6:$R211,"Need to Improve",$L$6:$L211,$L211))</f>
        <v/>
      </c>
      <c r="W211" s="7" t="str">
        <f aca="false">IF($R211&lt;&gt;"Not Performing","",COUNTIFS($R$6:$R$505,"Not Performing",$L$6:$L$505,"&lt;"&amp;$L211)+COUNTIFS($R$6:$R211,"Not Performing",$L$6:$L211,$L211))</f>
        <v/>
      </c>
    </row>
    <row r="212" customFormat="false" ht="15" hidden="false" customHeight="true" outlineLevel="0" collapsed="false">
      <c r="A212" s="26"/>
      <c r="B212" s="26"/>
      <c r="C212" s="26"/>
      <c r="D212" s="27" t="str">
        <f aca="false">IF($C212="","",IFERROR(TRIM(LEFT($C212,FIND("-",$C212)-1)),""))</f>
        <v/>
      </c>
      <c r="E212" s="26"/>
      <c r="F212" s="28"/>
      <c r="G212" s="29"/>
      <c r="H212" s="29"/>
      <c r="I212" s="30" t="str">
        <f aca="false">IF($B212="","",$H212-$G212)</f>
        <v/>
      </c>
      <c r="J212" s="31" t="str">
        <f aca="false">IF(OR($B212="",$G212=0,$G212=""),"",$I212/$G212)</f>
        <v/>
      </c>
      <c r="K212" s="32"/>
      <c r="L212" s="32"/>
      <c r="M212" s="32"/>
      <c r="N212" s="32"/>
      <c r="O212" s="32"/>
      <c r="P212" s="31" t="str">
        <f aca="false">IF(OR($L212="",$N212=""),"",$L212-$N212)</f>
        <v/>
      </c>
      <c r="Q212" s="27" t="str">
        <f aca="false">IF($B212="","",IF(N($H212)&gt;0,"Live","Exited"))</f>
        <v/>
      </c>
      <c r="R212" s="27" t="str">
        <f aca="false">IF($B212="","",IF($L212="","Data Pending",IF($L212&gt;=Instructions!$D$19,"Best Fund",IF($L212&gt;=Instructions!$D$20,"Need to Improve","Not Performing"))))</f>
        <v/>
      </c>
      <c r="S212" s="7" t="str">
        <f aca="false">IF($R212="","",IF($R212="Data Pending","Enter the 3Y return",IF($R212="Best Fund","Hold / consider top-up",IF($R212="Need to Improve","Watch 2 quarters, then decide","Review with client - switch or exit"))))</f>
        <v/>
      </c>
      <c r="T212" s="26"/>
      <c r="U212" s="7" t="str">
        <f aca="false">IF($R212&lt;&gt;"Best Fund","",COUNTIFS($R$6:$R$505,"Best Fund",$L$6:$L$505,"&gt;"&amp;$L212)+COUNTIFS($R$6:$R212,"Best Fund",$L$6:$L212,$L212))</f>
        <v/>
      </c>
      <c r="V212" s="7" t="str">
        <f aca="false">IF($R212&lt;&gt;"Need to Improve","",COUNTIFS($R$6:$R$505,"Need to Improve",$L$6:$L$505,"&lt;"&amp;$L212)+COUNTIFS($R$6:$R212,"Need to Improve",$L$6:$L212,$L212))</f>
        <v/>
      </c>
      <c r="W212" s="7" t="str">
        <f aca="false">IF($R212&lt;&gt;"Not Performing","",COUNTIFS($R$6:$R$505,"Not Performing",$L$6:$L$505,"&lt;"&amp;$L212)+COUNTIFS($R$6:$R212,"Not Performing",$L$6:$L212,$L212))</f>
        <v/>
      </c>
    </row>
    <row r="213" customFormat="false" ht="15" hidden="false" customHeight="true" outlineLevel="0" collapsed="false">
      <c r="A213" s="26"/>
      <c r="B213" s="26"/>
      <c r="C213" s="26"/>
      <c r="D213" s="27" t="str">
        <f aca="false">IF($C213="","",IFERROR(TRIM(LEFT($C213,FIND("-",$C213)-1)),""))</f>
        <v/>
      </c>
      <c r="E213" s="26"/>
      <c r="F213" s="28"/>
      <c r="G213" s="29"/>
      <c r="H213" s="29"/>
      <c r="I213" s="30" t="str">
        <f aca="false">IF($B213="","",$H213-$G213)</f>
        <v/>
      </c>
      <c r="J213" s="31" t="str">
        <f aca="false">IF(OR($B213="",$G213=0,$G213=""),"",$I213/$G213)</f>
        <v/>
      </c>
      <c r="K213" s="32"/>
      <c r="L213" s="32"/>
      <c r="M213" s="32"/>
      <c r="N213" s="32"/>
      <c r="O213" s="32"/>
      <c r="P213" s="31" t="str">
        <f aca="false">IF(OR($L213="",$N213=""),"",$L213-$N213)</f>
        <v/>
      </c>
      <c r="Q213" s="27" t="str">
        <f aca="false">IF($B213="","",IF(N($H213)&gt;0,"Live","Exited"))</f>
        <v/>
      </c>
      <c r="R213" s="27" t="str">
        <f aca="false">IF($B213="","",IF($L213="","Data Pending",IF($L213&gt;=Instructions!$D$19,"Best Fund",IF($L213&gt;=Instructions!$D$20,"Need to Improve","Not Performing"))))</f>
        <v/>
      </c>
      <c r="S213" s="7" t="str">
        <f aca="false">IF($R213="","",IF($R213="Data Pending","Enter the 3Y return",IF($R213="Best Fund","Hold / consider top-up",IF($R213="Need to Improve","Watch 2 quarters, then decide","Review with client - switch or exit"))))</f>
        <v/>
      </c>
      <c r="T213" s="26"/>
      <c r="U213" s="7" t="str">
        <f aca="false">IF($R213&lt;&gt;"Best Fund","",COUNTIFS($R$6:$R$505,"Best Fund",$L$6:$L$505,"&gt;"&amp;$L213)+COUNTIFS($R$6:$R213,"Best Fund",$L$6:$L213,$L213))</f>
        <v/>
      </c>
      <c r="V213" s="7" t="str">
        <f aca="false">IF($R213&lt;&gt;"Need to Improve","",COUNTIFS($R$6:$R$505,"Need to Improve",$L$6:$L$505,"&lt;"&amp;$L213)+COUNTIFS($R$6:$R213,"Need to Improve",$L$6:$L213,$L213))</f>
        <v/>
      </c>
      <c r="W213" s="7" t="str">
        <f aca="false">IF($R213&lt;&gt;"Not Performing","",COUNTIFS($R$6:$R$505,"Not Performing",$L$6:$L$505,"&lt;"&amp;$L213)+COUNTIFS($R$6:$R213,"Not Performing",$L$6:$L213,$L213))</f>
        <v/>
      </c>
    </row>
    <row r="214" customFormat="false" ht="15" hidden="false" customHeight="true" outlineLevel="0" collapsed="false">
      <c r="A214" s="26"/>
      <c r="B214" s="26"/>
      <c r="C214" s="26"/>
      <c r="D214" s="27" t="str">
        <f aca="false">IF($C214="","",IFERROR(TRIM(LEFT($C214,FIND("-",$C214)-1)),""))</f>
        <v/>
      </c>
      <c r="E214" s="26"/>
      <c r="F214" s="28"/>
      <c r="G214" s="29"/>
      <c r="H214" s="29"/>
      <c r="I214" s="30" t="str">
        <f aca="false">IF($B214="","",$H214-$G214)</f>
        <v/>
      </c>
      <c r="J214" s="31" t="str">
        <f aca="false">IF(OR($B214="",$G214=0,$G214=""),"",$I214/$G214)</f>
        <v/>
      </c>
      <c r="K214" s="32"/>
      <c r="L214" s="32"/>
      <c r="M214" s="32"/>
      <c r="N214" s="32"/>
      <c r="O214" s="32"/>
      <c r="P214" s="31" t="str">
        <f aca="false">IF(OR($L214="",$N214=""),"",$L214-$N214)</f>
        <v/>
      </c>
      <c r="Q214" s="27" t="str">
        <f aca="false">IF($B214="","",IF(N($H214)&gt;0,"Live","Exited"))</f>
        <v/>
      </c>
      <c r="R214" s="27" t="str">
        <f aca="false">IF($B214="","",IF($L214="","Data Pending",IF($L214&gt;=Instructions!$D$19,"Best Fund",IF($L214&gt;=Instructions!$D$20,"Need to Improve","Not Performing"))))</f>
        <v/>
      </c>
      <c r="S214" s="7" t="str">
        <f aca="false">IF($R214="","",IF($R214="Data Pending","Enter the 3Y return",IF($R214="Best Fund","Hold / consider top-up",IF($R214="Need to Improve","Watch 2 quarters, then decide","Review with client - switch or exit"))))</f>
        <v/>
      </c>
      <c r="T214" s="26"/>
      <c r="U214" s="7" t="str">
        <f aca="false">IF($R214&lt;&gt;"Best Fund","",COUNTIFS($R$6:$R$505,"Best Fund",$L$6:$L$505,"&gt;"&amp;$L214)+COUNTIFS($R$6:$R214,"Best Fund",$L$6:$L214,$L214))</f>
        <v/>
      </c>
      <c r="V214" s="7" t="str">
        <f aca="false">IF($R214&lt;&gt;"Need to Improve","",COUNTIFS($R$6:$R$505,"Need to Improve",$L$6:$L$505,"&lt;"&amp;$L214)+COUNTIFS($R$6:$R214,"Need to Improve",$L$6:$L214,$L214))</f>
        <v/>
      </c>
      <c r="W214" s="7" t="str">
        <f aca="false">IF($R214&lt;&gt;"Not Performing","",COUNTIFS($R$6:$R$505,"Not Performing",$L$6:$L$505,"&lt;"&amp;$L214)+COUNTIFS($R$6:$R214,"Not Performing",$L$6:$L214,$L214))</f>
        <v/>
      </c>
    </row>
    <row r="215" customFormat="false" ht="15" hidden="false" customHeight="true" outlineLevel="0" collapsed="false">
      <c r="A215" s="26"/>
      <c r="B215" s="26"/>
      <c r="C215" s="26"/>
      <c r="D215" s="27" t="str">
        <f aca="false">IF($C215="","",IFERROR(TRIM(LEFT($C215,FIND("-",$C215)-1)),""))</f>
        <v/>
      </c>
      <c r="E215" s="26"/>
      <c r="F215" s="28"/>
      <c r="G215" s="29"/>
      <c r="H215" s="29"/>
      <c r="I215" s="30" t="str">
        <f aca="false">IF($B215="","",$H215-$G215)</f>
        <v/>
      </c>
      <c r="J215" s="31" t="str">
        <f aca="false">IF(OR($B215="",$G215=0,$G215=""),"",$I215/$G215)</f>
        <v/>
      </c>
      <c r="K215" s="32"/>
      <c r="L215" s="32"/>
      <c r="M215" s="32"/>
      <c r="N215" s="32"/>
      <c r="O215" s="32"/>
      <c r="P215" s="31" t="str">
        <f aca="false">IF(OR($L215="",$N215=""),"",$L215-$N215)</f>
        <v/>
      </c>
      <c r="Q215" s="27" t="str">
        <f aca="false">IF($B215="","",IF(N($H215)&gt;0,"Live","Exited"))</f>
        <v/>
      </c>
      <c r="R215" s="27" t="str">
        <f aca="false">IF($B215="","",IF($L215="","Data Pending",IF($L215&gt;=Instructions!$D$19,"Best Fund",IF($L215&gt;=Instructions!$D$20,"Need to Improve","Not Performing"))))</f>
        <v/>
      </c>
      <c r="S215" s="7" t="str">
        <f aca="false">IF($R215="","",IF($R215="Data Pending","Enter the 3Y return",IF($R215="Best Fund","Hold / consider top-up",IF($R215="Need to Improve","Watch 2 quarters, then decide","Review with client - switch or exit"))))</f>
        <v/>
      </c>
      <c r="T215" s="26"/>
      <c r="U215" s="7" t="str">
        <f aca="false">IF($R215&lt;&gt;"Best Fund","",COUNTIFS($R$6:$R$505,"Best Fund",$L$6:$L$505,"&gt;"&amp;$L215)+COUNTIFS($R$6:$R215,"Best Fund",$L$6:$L215,$L215))</f>
        <v/>
      </c>
      <c r="V215" s="7" t="str">
        <f aca="false">IF($R215&lt;&gt;"Need to Improve","",COUNTIFS($R$6:$R$505,"Need to Improve",$L$6:$L$505,"&lt;"&amp;$L215)+COUNTIFS($R$6:$R215,"Need to Improve",$L$6:$L215,$L215))</f>
        <v/>
      </c>
      <c r="W215" s="7" t="str">
        <f aca="false">IF($R215&lt;&gt;"Not Performing","",COUNTIFS($R$6:$R$505,"Not Performing",$L$6:$L$505,"&lt;"&amp;$L215)+COUNTIFS($R$6:$R215,"Not Performing",$L$6:$L215,$L215))</f>
        <v/>
      </c>
    </row>
    <row r="216" customFormat="false" ht="15" hidden="false" customHeight="true" outlineLevel="0" collapsed="false">
      <c r="A216" s="26"/>
      <c r="B216" s="26"/>
      <c r="C216" s="26"/>
      <c r="D216" s="27" t="str">
        <f aca="false">IF($C216="","",IFERROR(TRIM(LEFT($C216,FIND("-",$C216)-1)),""))</f>
        <v/>
      </c>
      <c r="E216" s="26"/>
      <c r="F216" s="28"/>
      <c r="G216" s="29"/>
      <c r="H216" s="29"/>
      <c r="I216" s="30" t="str">
        <f aca="false">IF($B216="","",$H216-$G216)</f>
        <v/>
      </c>
      <c r="J216" s="31" t="str">
        <f aca="false">IF(OR($B216="",$G216=0,$G216=""),"",$I216/$G216)</f>
        <v/>
      </c>
      <c r="K216" s="32"/>
      <c r="L216" s="32"/>
      <c r="M216" s="32"/>
      <c r="N216" s="32"/>
      <c r="O216" s="32"/>
      <c r="P216" s="31" t="str">
        <f aca="false">IF(OR($L216="",$N216=""),"",$L216-$N216)</f>
        <v/>
      </c>
      <c r="Q216" s="27" t="str">
        <f aca="false">IF($B216="","",IF(N($H216)&gt;0,"Live","Exited"))</f>
        <v/>
      </c>
      <c r="R216" s="27" t="str">
        <f aca="false">IF($B216="","",IF($L216="","Data Pending",IF($L216&gt;=Instructions!$D$19,"Best Fund",IF($L216&gt;=Instructions!$D$20,"Need to Improve","Not Performing"))))</f>
        <v/>
      </c>
      <c r="S216" s="7" t="str">
        <f aca="false">IF($R216="","",IF($R216="Data Pending","Enter the 3Y return",IF($R216="Best Fund","Hold / consider top-up",IF($R216="Need to Improve","Watch 2 quarters, then decide","Review with client - switch or exit"))))</f>
        <v/>
      </c>
      <c r="T216" s="26"/>
      <c r="U216" s="7" t="str">
        <f aca="false">IF($R216&lt;&gt;"Best Fund","",COUNTIFS($R$6:$R$505,"Best Fund",$L$6:$L$505,"&gt;"&amp;$L216)+COUNTIFS($R$6:$R216,"Best Fund",$L$6:$L216,$L216))</f>
        <v/>
      </c>
      <c r="V216" s="7" t="str">
        <f aca="false">IF($R216&lt;&gt;"Need to Improve","",COUNTIFS($R$6:$R$505,"Need to Improve",$L$6:$L$505,"&lt;"&amp;$L216)+COUNTIFS($R$6:$R216,"Need to Improve",$L$6:$L216,$L216))</f>
        <v/>
      </c>
      <c r="W216" s="7" t="str">
        <f aca="false">IF($R216&lt;&gt;"Not Performing","",COUNTIFS($R$6:$R$505,"Not Performing",$L$6:$L$505,"&lt;"&amp;$L216)+COUNTIFS($R$6:$R216,"Not Performing",$L$6:$L216,$L216))</f>
        <v/>
      </c>
    </row>
    <row r="217" customFormat="false" ht="15" hidden="false" customHeight="true" outlineLevel="0" collapsed="false">
      <c r="A217" s="26"/>
      <c r="B217" s="26"/>
      <c r="C217" s="26"/>
      <c r="D217" s="27" t="str">
        <f aca="false">IF($C217="","",IFERROR(TRIM(LEFT($C217,FIND("-",$C217)-1)),""))</f>
        <v/>
      </c>
      <c r="E217" s="26"/>
      <c r="F217" s="28"/>
      <c r="G217" s="29"/>
      <c r="H217" s="29"/>
      <c r="I217" s="30" t="str">
        <f aca="false">IF($B217="","",$H217-$G217)</f>
        <v/>
      </c>
      <c r="J217" s="31" t="str">
        <f aca="false">IF(OR($B217="",$G217=0,$G217=""),"",$I217/$G217)</f>
        <v/>
      </c>
      <c r="K217" s="32"/>
      <c r="L217" s="32"/>
      <c r="M217" s="32"/>
      <c r="N217" s="32"/>
      <c r="O217" s="32"/>
      <c r="P217" s="31" t="str">
        <f aca="false">IF(OR($L217="",$N217=""),"",$L217-$N217)</f>
        <v/>
      </c>
      <c r="Q217" s="27" t="str">
        <f aca="false">IF($B217="","",IF(N($H217)&gt;0,"Live","Exited"))</f>
        <v/>
      </c>
      <c r="R217" s="27" t="str">
        <f aca="false">IF($B217="","",IF($L217="","Data Pending",IF($L217&gt;=Instructions!$D$19,"Best Fund",IF($L217&gt;=Instructions!$D$20,"Need to Improve","Not Performing"))))</f>
        <v/>
      </c>
      <c r="S217" s="7" t="str">
        <f aca="false">IF($R217="","",IF($R217="Data Pending","Enter the 3Y return",IF($R217="Best Fund","Hold / consider top-up",IF($R217="Need to Improve","Watch 2 quarters, then decide","Review with client - switch or exit"))))</f>
        <v/>
      </c>
      <c r="T217" s="26"/>
      <c r="U217" s="7" t="str">
        <f aca="false">IF($R217&lt;&gt;"Best Fund","",COUNTIFS($R$6:$R$505,"Best Fund",$L$6:$L$505,"&gt;"&amp;$L217)+COUNTIFS($R$6:$R217,"Best Fund",$L$6:$L217,$L217))</f>
        <v/>
      </c>
      <c r="V217" s="7" t="str">
        <f aca="false">IF($R217&lt;&gt;"Need to Improve","",COUNTIFS($R$6:$R$505,"Need to Improve",$L$6:$L$505,"&lt;"&amp;$L217)+COUNTIFS($R$6:$R217,"Need to Improve",$L$6:$L217,$L217))</f>
        <v/>
      </c>
      <c r="W217" s="7" t="str">
        <f aca="false">IF($R217&lt;&gt;"Not Performing","",COUNTIFS($R$6:$R$505,"Not Performing",$L$6:$L$505,"&lt;"&amp;$L217)+COUNTIFS($R$6:$R217,"Not Performing",$L$6:$L217,$L217))</f>
        <v/>
      </c>
    </row>
    <row r="218" customFormat="false" ht="15" hidden="false" customHeight="true" outlineLevel="0" collapsed="false">
      <c r="A218" s="26"/>
      <c r="B218" s="26"/>
      <c r="C218" s="26"/>
      <c r="D218" s="27" t="str">
        <f aca="false">IF($C218="","",IFERROR(TRIM(LEFT($C218,FIND("-",$C218)-1)),""))</f>
        <v/>
      </c>
      <c r="E218" s="26"/>
      <c r="F218" s="28"/>
      <c r="G218" s="29"/>
      <c r="H218" s="29"/>
      <c r="I218" s="30" t="str">
        <f aca="false">IF($B218="","",$H218-$G218)</f>
        <v/>
      </c>
      <c r="J218" s="31" t="str">
        <f aca="false">IF(OR($B218="",$G218=0,$G218=""),"",$I218/$G218)</f>
        <v/>
      </c>
      <c r="K218" s="32"/>
      <c r="L218" s="32"/>
      <c r="M218" s="32"/>
      <c r="N218" s="32"/>
      <c r="O218" s="32"/>
      <c r="P218" s="31" t="str">
        <f aca="false">IF(OR($L218="",$N218=""),"",$L218-$N218)</f>
        <v/>
      </c>
      <c r="Q218" s="27" t="str">
        <f aca="false">IF($B218="","",IF(N($H218)&gt;0,"Live","Exited"))</f>
        <v/>
      </c>
      <c r="R218" s="27" t="str">
        <f aca="false">IF($B218="","",IF($L218="","Data Pending",IF($L218&gt;=Instructions!$D$19,"Best Fund",IF($L218&gt;=Instructions!$D$20,"Need to Improve","Not Performing"))))</f>
        <v/>
      </c>
      <c r="S218" s="7" t="str">
        <f aca="false">IF($R218="","",IF($R218="Data Pending","Enter the 3Y return",IF($R218="Best Fund","Hold / consider top-up",IF($R218="Need to Improve","Watch 2 quarters, then decide","Review with client - switch or exit"))))</f>
        <v/>
      </c>
      <c r="T218" s="26"/>
      <c r="U218" s="7" t="str">
        <f aca="false">IF($R218&lt;&gt;"Best Fund","",COUNTIFS($R$6:$R$505,"Best Fund",$L$6:$L$505,"&gt;"&amp;$L218)+COUNTIFS($R$6:$R218,"Best Fund",$L$6:$L218,$L218))</f>
        <v/>
      </c>
      <c r="V218" s="7" t="str">
        <f aca="false">IF($R218&lt;&gt;"Need to Improve","",COUNTIFS($R$6:$R$505,"Need to Improve",$L$6:$L$505,"&lt;"&amp;$L218)+COUNTIFS($R$6:$R218,"Need to Improve",$L$6:$L218,$L218))</f>
        <v/>
      </c>
      <c r="W218" s="7" t="str">
        <f aca="false">IF($R218&lt;&gt;"Not Performing","",COUNTIFS($R$6:$R$505,"Not Performing",$L$6:$L$505,"&lt;"&amp;$L218)+COUNTIFS($R$6:$R218,"Not Performing",$L$6:$L218,$L218))</f>
        <v/>
      </c>
    </row>
    <row r="219" customFormat="false" ht="15" hidden="false" customHeight="true" outlineLevel="0" collapsed="false">
      <c r="A219" s="26"/>
      <c r="B219" s="26"/>
      <c r="C219" s="26"/>
      <c r="D219" s="27" t="str">
        <f aca="false">IF($C219="","",IFERROR(TRIM(LEFT($C219,FIND("-",$C219)-1)),""))</f>
        <v/>
      </c>
      <c r="E219" s="26"/>
      <c r="F219" s="28"/>
      <c r="G219" s="29"/>
      <c r="H219" s="29"/>
      <c r="I219" s="30" t="str">
        <f aca="false">IF($B219="","",$H219-$G219)</f>
        <v/>
      </c>
      <c r="J219" s="31" t="str">
        <f aca="false">IF(OR($B219="",$G219=0,$G219=""),"",$I219/$G219)</f>
        <v/>
      </c>
      <c r="K219" s="32"/>
      <c r="L219" s="32"/>
      <c r="M219" s="32"/>
      <c r="N219" s="32"/>
      <c r="O219" s="32"/>
      <c r="P219" s="31" t="str">
        <f aca="false">IF(OR($L219="",$N219=""),"",$L219-$N219)</f>
        <v/>
      </c>
      <c r="Q219" s="27" t="str">
        <f aca="false">IF($B219="","",IF(N($H219)&gt;0,"Live","Exited"))</f>
        <v/>
      </c>
      <c r="R219" s="27" t="str">
        <f aca="false">IF($B219="","",IF($L219="","Data Pending",IF($L219&gt;=Instructions!$D$19,"Best Fund",IF($L219&gt;=Instructions!$D$20,"Need to Improve","Not Performing"))))</f>
        <v/>
      </c>
      <c r="S219" s="7" t="str">
        <f aca="false">IF($R219="","",IF($R219="Data Pending","Enter the 3Y return",IF($R219="Best Fund","Hold / consider top-up",IF($R219="Need to Improve","Watch 2 quarters, then decide","Review with client - switch or exit"))))</f>
        <v/>
      </c>
      <c r="T219" s="26"/>
      <c r="U219" s="7" t="str">
        <f aca="false">IF($R219&lt;&gt;"Best Fund","",COUNTIFS($R$6:$R$505,"Best Fund",$L$6:$L$505,"&gt;"&amp;$L219)+COUNTIFS($R$6:$R219,"Best Fund",$L$6:$L219,$L219))</f>
        <v/>
      </c>
      <c r="V219" s="7" t="str">
        <f aca="false">IF($R219&lt;&gt;"Need to Improve","",COUNTIFS($R$6:$R$505,"Need to Improve",$L$6:$L$505,"&lt;"&amp;$L219)+COUNTIFS($R$6:$R219,"Need to Improve",$L$6:$L219,$L219))</f>
        <v/>
      </c>
      <c r="W219" s="7" t="str">
        <f aca="false">IF($R219&lt;&gt;"Not Performing","",COUNTIFS($R$6:$R$505,"Not Performing",$L$6:$L$505,"&lt;"&amp;$L219)+COUNTIFS($R$6:$R219,"Not Performing",$L$6:$L219,$L219))</f>
        <v/>
      </c>
    </row>
    <row r="220" customFormat="false" ht="15" hidden="false" customHeight="true" outlineLevel="0" collapsed="false">
      <c r="A220" s="26"/>
      <c r="B220" s="26"/>
      <c r="C220" s="26"/>
      <c r="D220" s="27" t="str">
        <f aca="false">IF($C220="","",IFERROR(TRIM(LEFT($C220,FIND("-",$C220)-1)),""))</f>
        <v/>
      </c>
      <c r="E220" s="26"/>
      <c r="F220" s="28"/>
      <c r="G220" s="29"/>
      <c r="H220" s="29"/>
      <c r="I220" s="30" t="str">
        <f aca="false">IF($B220="","",$H220-$G220)</f>
        <v/>
      </c>
      <c r="J220" s="31" t="str">
        <f aca="false">IF(OR($B220="",$G220=0,$G220=""),"",$I220/$G220)</f>
        <v/>
      </c>
      <c r="K220" s="32"/>
      <c r="L220" s="32"/>
      <c r="M220" s="32"/>
      <c r="N220" s="32"/>
      <c r="O220" s="32"/>
      <c r="P220" s="31" t="str">
        <f aca="false">IF(OR($L220="",$N220=""),"",$L220-$N220)</f>
        <v/>
      </c>
      <c r="Q220" s="27" t="str">
        <f aca="false">IF($B220="","",IF(N($H220)&gt;0,"Live","Exited"))</f>
        <v/>
      </c>
      <c r="R220" s="27" t="str">
        <f aca="false">IF($B220="","",IF($L220="","Data Pending",IF($L220&gt;=Instructions!$D$19,"Best Fund",IF($L220&gt;=Instructions!$D$20,"Need to Improve","Not Performing"))))</f>
        <v/>
      </c>
      <c r="S220" s="7" t="str">
        <f aca="false">IF($R220="","",IF($R220="Data Pending","Enter the 3Y return",IF($R220="Best Fund","Hold / consider top-up",IF($R220="Need to Improve","Watch 2 quarters, then decide","Review with client - switch or exit"))))</f>
        <v/>
      </c>
      <c r="T220" s="26"/>
      <c r="U220" s="7" t="str">
        <f aca="false">IF($R220&lt;&gt;"Best Fund","",COUNTIFS($R$6:$R$505,"Best Fund",$L$6:$L$505,"&gt;"&amp;$L220)+COUNTIFS($R$6:$R220,"Best Fund",$L$6:$L220,$L220))</f>
        <v/>
      </c>
      <c r="V220" s="7" t="str">
        <f aca="false">IF($R220&lt;&gt;"Need to Improve","",COUNTIFS($R$6:$R$505,"Need to Improve",$L$6:$L$505,"&lt;"&amp;$L220)+COUNTIFS($R$6:$R220,"Need to Improve",$L$6:$L220,$L220))</f>
        <v/>
      </c>
      <c r="W220" s="7" t="str">
        <f aca="false">IF($R220&lt;&gt;"Not Performing","",COUNTIFS($R$6:$R$505,"Not Performing",$L$6:$L$505,"&lt;"&amp;$L220)+COUNTIFS($R$6:$R220,"Not Performing",$L$6:$L220,$L220))</f>
        <v/>
      </c>
    </row>
    <row r="221" customFormat="false" ht="15" hidden="false" customHeight="true" outlineLevel="0" collapsed="false">
      <c r="A221" s="26"/>
      <c r="B221" s="26"/>
      <c r="C221" s="26"/>
      <c r="D221" s="27" t="str">
        <f aca="false">IF($C221="","",IFERROR(TRIM(LEFT($C221,FIND("-",$C221)-1)),""))</f>
        <v/>
      </c>
      <c r="E221" s="26"/>
      <c r="F221" s="28"/>
      <c r="G221" s="29"/>
      <c r="H221" s="29"/>
      <c r="I221" s="30" t="str">
        <f aca="false">IF($B221="","",$H221-$G221)</f>
        <v/>
      </c>
      <c r="J221" s="31" t="str">
        <f aca="false">IF(OR($B221="",$G221=0,$G221=""),"",$I221/$G221)</f>
        <v/>
      </c>
      <c r="K221" s="32"/>
      <c r="L221" s="32"/>
      <c r="M221" s="32"/>
      <c r="N221" s="32"/>
      <c r="O221" s="32"/>
      <c r="P221" s="31" t="str">
        <f aca="false">IF(OR($L221="",$N221=""),"",$L221-$N221)</f>
        <v/>
      </c>
      <c r="Q221" s="27" t="str">
        <f aca="false">IF($B221="","",IF(N($H221)&gt;0,"Live","Exited"))</f>
        <v/>
      </c>
      <c r="R221" s="27" t="str">
        <f aca="false">IF($B221="","",IF($L221="","Data Pending",IF($L221&gt;=Instructions!$D$19,"Best Fund",IF($L221&gt;=Instructions!$D$20,"Need to Improve","Not Performing"))))</f>
        <v/>
      </c>
      <c r="S221" s="7" t="str">
        <f aca="false">IF($R221="","",IF($R221="Data Pending","Enter the 3Y return",IF($R221="Best Fund","Hold / consider top-up",IF($R221="Need to Improve","Watch 2 quarters, then decide","Review with client - switch or exit"))))</f>
        <v/>
      </c>
      <c r="T221" s="26"/>
      <c r="U221" s="7" t="str">
        <f aca="false">IF($R221&lt;&gt;"Best Fund","",COUNTIFS($R$6:$R$505,"Best Fund",$L$6:$L$505,"&gt;"&amp;$L221)+COUNTIFS($R$6:$R221,"Best Fund",$L$6:$L221,$L221))</f>
        <v/>
      </c>
      <c r="V221" s="7" t="str">
        <f aca="false">IF($R221&lt;&gt;"Need to Improve","",COUNTIFS($R$6:$R$505,"Need to Improve",$L$6:$L$505,"&lt;"&amp;$L221)+COUNTIFS($R$6:$R221,"Need to Improve",$L$6:$L221,$L221))</f>
        <v/>
      </c>
      <c r="W221" s="7" t="str">
        <f aca="false">IF($R221&lt;&gt;"Not Performing","",COUNTIFS($R$6:$R$505,"Not Performing",$L$6:$L$505,"&lt;"&amp;$L221)+COUNTIFS($R$6:$R221,"Not Performing",$L$6:$L221,$L221))</f>
        <v/>
      </c>
    </row>
    <row r="222" customFormat="false" ht="15" hidden="false" customHeight="true" outlineLevel="0" collapsed="false">
      <c r="A222" s="26"/>
      <c r="B222" s="26"/>
      <c r="C222" s="26"/>
      <c r="D222" s="27" t="str">
        <f aca="false">IF($C222="","",IFERROR(TRIM(LEFT($C222,FIND("-",$C222)-1)),""))</f>
        <v/>
      </c>
      <c r="E222" s="26"/>
      <c r="F222" s="28"/>
      <c r="G222" s="29"/>
      <c r="H222" s="29"/>
      <c r="I222" s="30" t="str">
        <f aca="false">IF($B222="","",$H222-$G222)</f>
        <v/>
      </c>
      <c r="J222" s="31" t="str">
        <f aca="false">IF(OR($B222="",$G222=0,$G222=""),"",$I222/$G222)</f>
        <v/>
      </c>
      <c r="K222" s="32"/>
      <c r="L222" s="32"/>
      <c r="M222" s="32"/>
      <c r="N222" s="32"/>
      <c r="O222" s="32"/>
      <c r="P222" s="31" t="str">
        <f aca="false">IF(OR($L222="",$N222=""),"",$L222-$N222)</f>
        <v/>
      </c>
      <c r="Q222" s="27" t="str">
        <f aca="false">IF($B222="","",IF(N($H222)&gt;0,"Live","Exited"))</f>
        <v/>
      </c>
      <c r="R222" s="27" t="str">
        <f aca="false">IF($B222="","",IF($L222="","Data Pending",IF($L222&gt;=Instructions!$D$19,"Best Fund",IF($L222&gt;=Instructions!$D$20,"Need to Improve","Not Performing"))))</f>
        <v/>
      </c>
      <c r="S222" s="7" t="str">
        <f aca="false">IF($R222="","",IF($R222="Data Pending","Enter the 3Y return",IF($R222="Best Fund","Hold / consider top-up",IF($R222="Need to Improve","Watch 2 quarters, then decide","Review with client - switch or exit"))))</f>
        <v/>
      </c>
      <c r="T222" s="26"/>
      <c r="U222" s="7" t="str">
        <f aca="false">IF($R222&lt;&gt;"Best Fund","",COUNTIFS($R$6:$R$505,"Best Fund",$L$6:$L$505,"&gt;"&amp;$L222)+COUNTIFS($R$6:$R222,"Best Fund",$L$6:$L222,$L222))</f>
        <v/>
      </c>
      <c r="V222" s="7" t="str">
        <f aca="false">IF($R222&lt;&gt;"Need to Improve","",COUNTIFS($R$6:$R$505,"Need to Improve",$L$6:$L$505,"&lt;"&amp;$L222)+COUNTIFS($R$6:$R222,"Need to Improve",$L$6:$L222,$L222))</f>
        <v/>
      </c>
      <c r="W222" s="7" t="str">
        <f aca="false">IF($R222&lt;&gt;"Not Performing","",COUNTIFS($R$6:$R$505,"Not Performing",$L$6:$L$505,"&lt;"&amp;$L222)+COUNTIFS($R$6:$R222,"Not Performing",$L$6:$L222,$L222))</f>
        <v/>
      </c>
    </row>
    <row r="223" customFormat="false" ht="15" hidden="false" customHeight="true" outlineLevel="0" collapsed="false">
      <c r="A223" s="26"/>
      <c r="B223" s="26"/>
      <c r="C223" s="26"/>
      <c r="D223" s="27" t="str">
        <f aca="false">IF($C223="","",IFERROR(TRIM(LEFT($C223,FIND("-",$C223)-1)),""))</f>
        <v/>
      </c>
      <c r="E223" s="26"/>
      <c r="F223" s="28"/>
      <c r="G223" s="29"/>
      <c r="H223" s="29"/>
      <c r="I223" s="30" t="str">
        <f aca="false">IF($B223="","",$H223-$G223)</f>
        <v/>
      </c>
      <c r="J223" s="31" t="str">
        <f aca="false">IF(OR($B223="",$G223=0,$G223=""),"",$I223/$G223)</f>
        <v/>
      </c>
      <c r="K223" s="32"/>
      <c r="L223" s="32"/>
      <c r="M223" s="32"/>
      <c r="N223" s="32"/>
      <c r="O223" s="32"/>
      <c r="P223" s="31" t="str">
        <f aca="false">IF(OR($L223="",$N223=""),"",$L223-$N223)</f>
        <v/>
      </c>
      <c r="Q223" s="27" t="str">
        <f aca="false">IF($B223="","",IF(N($H223)&gt;0,"Live","Exited"))</f>
        <v/>
      </c>
      <c r="R223" s="27" t="str">
        <f aca="false">IF($B223="","",IF($L223="","Data Pending",IF($L223&gt;=Instructions!$D$19,"Best Fund",IF($L223&gt;=Instructions!$D$20,"Need to Improve","Not Performing"))))</f>
        <v/>
      </c>
      <c r="S223" s="7" t="str">
        <f aca="false">IF($R223="","",IF($R223="Data Pending","Enter the 3Y return",IF($R223="Best Fund","Hold / consider top-up",IF($R223="Need to Improve","Watch 2 quarters, then decide","Review with client - switch or exit"))))</f>
        <v/>
      </c>
      <c r="T223" s="26"/>
      <c r="U223" s="7" t="str">
        <f aca="false">IF($R223&lt;&gt;"Best Fund","",COUNTIFS($R$6:$R$505,"Best Fund",$L$6:$L$505,"&gt;"&amp;$L223)+COUNTIFS($R$6:$R223,"Best Fund",$L$6:$L223,$L223))</f>
        <v/>
      </c>
      <c r="V223" s="7" t="str">
        <f aca="false">IF($R223&lt;&gt;"Need to Improve","",COUNTIFS($R$6:$R$505,"Need to Improve",$L$6:$L$505,"&lt;"&amp;$L223)+COUNTIFS($R$6:$R223,"Need to Improve",$L$6:$L223,$L223))</f>
        <v/>
      </c>
      <c r="W223" s="7" t="str">
        <f aca="false">IF($R223&lt;&gt;"Not Performing","",COUNTIFS($R$6:$R$505,"Not Performing",$L$6:$L$505,"&lt;"&amp;$L223)+COUNTIFS($R$6:$R223,"Not Performing",$L$6:$L223,$L223))</f>
        <v/>
      </c>
    </row>
    <row r="224" customFormat="false" ht="15" hidden="false" customHeight="true" outlineLevel="0" collapsed="false">
      <c r="A224" s="26"/>
      <c r="B224" s="26"/>
      <c r="C224" s="26"/>
      <c r="D224" s="27" t="str">
        <f aca="false">IF($C224="","",IFERROR(TRIM(LEFT($C224,FIND("-",$C224)-1)),""))</f>
        <v/>
      </c>
      <c r="E224" s="26"/>
      <c r="F224" s="28"/>
      <c r="G224" s="29"/>
      <c r="H224" s="29"/>
      <c r="I224" s="30" t="str">
        <f aca="false">IF($B224="","",$H224-$G224)</f>
        <v/>
      </c>
      <c r="J224" s="31" t="str">
        <f aca="false">IF(OR($B224="",$G224=0,$G224=""),"",$I224/$G224)</f>
        <v/>
      </c>
      <c r="K224" s="32"/>
      <c r="L224" s="32"/>
      <c r="M224" s="32"/>
      <c r="N224" s="32"/>
      <c r="O224" s="32"/>
      <c r="P224" s="31" t="str">
        <f aca="false">IF(OR($L224="",$N224=""),"",$L224-$N224)</f>
        <v/>
      </c>
      <c r="Q224" s="27" t="str">
        <f aca="false">IF($B224="","",IF(N($H224)&gt;0,"Live","Exited"))</f>
        <v/>
      </c>
      <c r="R224" s="27" t="str">
        <f aca="false">IF($B224="","",IF($L224="","Data Pending",IF($L224&gt;=Instructions!$D$19,"Best Fund",IF($L224&gt;=Instructions!$D$20,"Need to Improve","Not Performing"))))</f>
        <v/>
      </c>
      <c r="S224" s="7" t="str">
        <f aca="false">IF($R224="","",IF($R224="Data Pending","Enter the 3Y return",IF($R224="Best Fund","Hold / consider top-up",IF($R224="Need to Improve","Watch 2 quarters, then decide","Review with client - switch or exit"))))</f>
        <v/>
      </c>
      <c r="T224" s="26"/>
      <c r="U224" s="7" t="str">
        <f aca="false">IF($R224&lt;&gt;"Best Fund","",COUNTIFS($R$6:$R$505,"Best Fund",$L$6:$L$505,"&gt;"&amp;$L224)+COUNTIFS($R$6:$R224,"Best Fund",$L$6:$L224,$L224))</f>
        <v/>
      </c>
      <c r="V224" s="7" t="str">
        <f aca="false">IF($R224&lt;&gt;"Need to Improve","",COUNTIFS($R$6:$R$505,"Need to Improve",$L$6:$L$505,"&lt;"&amp;$L224)+COUNTIFS($R$6:$R224,"Need to Improve",$L$6:$L224,$L224))</f>
        <v/>
      </c>
      <c r="W224" s="7" t="str">
        <f aca="false">IF($R224&lt;&gt;"Not Performing","",COUNTIFS($R$6:$R$505,"Not Performing",$L$6:$L$505,"&lt;"&amp;$L224)+COUNTIFS($R$6:$R224,"Not Performing",$L$6:$L224,$L224))</f>
        <v/>
      </c>
    </row>
    <row r="225" customFormat="false" ht="15" hidden="false" customHeight="true" outlineLevel="0" collapsed="false">
      <c r="A225" s="26"/>
      <c r="B225" s="26"/>
      <c r="C225" s="26"/>
      <c r="D225" s="27" t="str">
        <f aca="false">IF($C225="","",IFERROR(TRIM(LEFT($C225,FIND("-",$C225)-1)),""))</f>
        <v/>
      </c>
      <c r="E225" s="26"/>
      <c r="F225" s="28"/>
      <c r="G225" s="29"/>
      <c r="H225" s="29"/>
      <c r="I225" s="30" t="str">
        <f aca="false">IF($B225="","",$H225-$G225)</f>
        <v/>
      </c>
      <c r="J225" s="31" t="str">
        <f aca="false">IF(OR($B225="",$G225=0,$G225=""),"",$I225/$G225)</f>
        <v/>
      </c>
      <c r="K225" s="32"/>
      <c r="L225" s="32"/>
      <c r="M225" s="32"/>
      <c r="N225" s="32"/>
      <c r="O225" s="32"/>
      <c r="P225" s="31" t="str">
        <f aca="false">IF(OR($L225="",$N225=""),"",$L225-$N225)</f>
        <v/>
      </c>
      <c r="Q225" s="27" t="str">
        <f aca="false">IF($B225="","",IF(N($H225)&gt;0,"Live","Exited"))</f>
        <v/>
      </c>
      <c r="R225" s="27" t="str">
        <f aca="false">IF($B225="","",IF($L225="","Data Pending",IF($L225&gt;=Instructions!$D$19,"Best Fund",IF($L225&gt;=Instructions!$D$20,"Need to Improve","Not Performing"))))</f>
        <v/>
      </c>
      <c r="S225" s="7" t="str">
        <f aca="false">IF($R225="","",IF($R225="Data Pending","Enter the 3Y return",IF($R225="Best Fund","Hold / consider top-up",IF($R225="Need to Improve","Watch 2 quarters, then decide","Review with client - switch or exit"))))</f>
        <v/>
      </c>
      <c r="T225" s="26"/>
      <c r="U225" s="7" t="str">
        <f aca="false">IF($R225&lt;&gt;"Best Fund","",COUNTIFS($R$6:$R$505,"Best Fund",$L$6:$L$505,"&gt;"&amp;$L225)+COUNTIFS($R$6:$R225,"Best Fund",$L$6:$L225,$L225))</f>
        <v/>
      </c>
      <c r="V225" s="7" t="str">
        <f aca="false">IF($R225&lt;&gt;"Need to Improve","",COUNTIFS($R$6:$R$505,"Need to Improve",$L$6:$L$505,"&lt;"&amp;$L225)+COUNTIFS($R$6:$R225,"Need to Improve",$L$6:$L225,$L225))</f>
        <v/>
      </c>
      <c r="W225" s="7" t="str">
        <f aca="false">IF($R225&lt;&gt;"Not Performing","",COUNTIFS($R$6:$R$505,"Not Performing",$L$6:$L$505,"&lt;"&amp;$L225)+COUNTIFS($R$6:$R225,"Not Performing",$L$6:$L225,$L225))</f>
        <v/>
      </c>
    </row>
    <row r="226" customFormat="false" ht="15" hidden="false" customHeight="true" outlineLevel="0" collapsed="false">
      <c r="A226" s="26"/>
      <c r="B226" s="26"/>
      <c r="C226" s="26"/>
      <c r="D226" s="27" t="str">
        <f aca="false">IF($C226="","",IFERROR(TRIM(LEFT($C226,FIND("-",$C226)-1)),""))</f>
        <v/>
      </c>
      <c r="E226" s="26"/>
      <c r="F226" s="28"/>
      <c r="G226" s="29"/>
      <c r="H226" s="29"/>
      <c r="I226" s="30" t="str">
        <f aca="false">IF($B226="","",$H226-$G226)</f>
        <v/>
      </c>
      <c r="J226" s="31" t="str">
        <f aca="false">IF(OR($B226="",$G226=0,$G226=""),"",$I226/$G226)</f>
        <v/>
      </c>
      <c r="K226" s="32"/>
      <c r="L226" s="32"/>
      <c r="M226" s="32"/>
      <c r="N226" s="32"/>
      <c r="O226" s="32"/>
      <c r="P226" s="31" t="str">
        <f aca="false">IF(OR($L226="",$N226=""),"",$L226-$N226)</f>
        <v/>
      </c>
      <c r="Q226" s="27" t="str">
        <f aca="false">IF($B226="","",IF(N($H226)&gt;0,"Live","Exited"))</f>
        <v/>
      </c>
      <c r="R226" s="27" t="str">
        <f aca="false">IF($B226="","",IF($L226="","Data Pending",IF($L226&gt;=Instructions!$D$19,"Best Fund",IF($L226&gt;=Instructions!$D$20,"Need to Improve","Not Performing"))))</f>
        <v/>
      </c>
      <c r="S226" s="7" t="str">
        <f aca="false">IF($R226="","",IF($R226="Data Pending","Enter the 3Y return",IF($R226="Best Fund","Hold / consider top-up",IF($R226="Need to Improve","Watch 2 quarters, then decide","Review with client - switch or exit"))))</f>
        <v/>
      </c>
      <c r="T226" s="26"/>
      <c r="U226" s="7" t="str">
        <f aca="false">IF($R226&lt;&gt;"Best Fund","",COUNTIFS($R$6:$R$505,"Best Fund",$L$6:$L$505,"&gt;"&amp;$L226)+COUNTIFS($R$6:$R226,"Best Fund",$L$6:$L226,$L226))</f>
        <v/>
      </c>
      <c r="V226" s="7" t="str">
        <f aca="false">IF($R226&lt;&gt;"Need to Improve","",COUNTIFS($R$6:$R$505,"Need to Improve",$L$6:$L$505,"&lt;"&amp;$L226)+COUNTIFS($R$6:$R226,"Need to Improve",$L$6:$L226,$L226))</f>
        <v/>
      </c>
      <c r="W226" s="7" t="str">
        <f aca="false">IF($R226&lt;&gt;"Not Performing","",COUNTIFS($R$6:$R$505,"Not Performing",$L$6:$L$505,"&lt;"&amp;$L226)+COUNTIFS($R$6:$R226,"Not Performing",$L$6:$L226,$L226))</f>
        <v/>
      </c>
    </row>
    <row r="227" customFormat="false" ht="15" hidden="false" customHeight="true" outlineLevel="0" collapsed="false">
      <c r="A227" s="26"/>
      <c r="B227" s="26"/>
      <c r="C227" s="26"/>
      <c r="D227" s="27" t="str">
        <f aca="false">IF($C227="","",IFERROR(TRIM(LEFT($C227,FIND("-",$C227)-1)),""))</f>
        <v/>
      </c>
      <c r="E227" s="26"/>
      <c r="F227" s="28"/>
      <c r="G227" s="29"/>
      <c r="H227" s="29"/>
      <c r="I227" s="30" t="str">
        <f aca="false">IF($B227="","",$H227-$G227)</f>
        <v/>
      </c>
      <c r="J227" s="31" t="str">
        <f aca="false">IF(OR($B227="",$G227=0,$G227=""),"",$I227/$G227)</f>
        <v/>
      </c>
      <c r="K227" s="32"/>
      <c r="L227" s="32"/>
      <c r="M227" s="32"/>
      <c r="N227" s="32"/>
      <c r="O227" s="32"/>
      <c r="P227" s="31" t="str">
        <f aca="false">IF(OR($L227="",$N227=""),"",$L227-$N227)</f>
        <v/>
      </c>
      <c r="Q227" s="27" t="str">
        <f aca="false">IF($B227="","",IF(N($H227)&gt;0,"Live","Exited"))</f>
        <v/>
      </c>
      <c r="R227" s="27" t="str">
        <f aca="false">IF($B227="","",IF($L227="","Data Pending",IF($L227&gt;=Instructions!$D$19,"Best Fund",IF($L227&gt;=Instructions!$D$20,"Need to Improve","Not Performing"))))</f>
        <v/>
      </c>
      <c r="S227" s="7" t="str">
        <f aca="false">IF($R227="","",IF($R227="Data Pending","Enter the 3Y return",IF($R227="Best Fund","Hold / consider top-up",IF($R227="Need to Improve","Watch 2 quarters, then decide","Review with client - switch or exit"))))</f>
        <v/>
      </c>
      <c r="T227" s="26"/>
      <c r="U227" s="7" t="str">
        <f aca="false">IF($R227&lt;&gt;"Best Fund","",COUNTIFS($R$6:$R$505,"Best Fund",$L$6:$L$505,"&gt;"&amp;$L227)+COUNTIFS($R$6:$R227,"Best Fund",$L$6:$L227,$L227))</f>
        <v/>
      </c>
      <c r="V227" s="7" t="str">
        <f aca="false">IF($R227&lt;&gt;"Need to Improve","",COUNTIFS($R$6:$R$505,"Need to Improve",$L$6:$L$505,"&lt;"&amp;$L227)+COUNTIFS($R$6:$R227,"Need to Improve",$L$6:$L227,$L227))</f>
        <v/>
      </c>
      <c r="W227" s="7" t="str">
        <f aca="false">IF($R227&lt;&gt;"Not Performing","",COUNTIFS($R$6:$R$505,"Not Performing",$L$6:$L$505,"&lt;"&amp;$L227)+COUNTIFS($R$6:$R227,"Not Performing",$L$6:$L227,$L227))</f>
        <v/>
      </c>
    </row>
    <row r="228" customFormat="false" ht="15" hidden="false" customHeight="true" outlineLevel="0" collapsed="false">
      <c r="A228" s="26"/>
      <c r="B228" s="26"/>
      <c r="C228" s="26"/>
      <c r="D228" s="27" t="str">
        <f aca="false">IF($C228="","",IFERROR(TRIM(LEFT($C228,FIND("-",$C228)-1)),""))</f>
        <v/>
      </c>
      <c r="E228" s="26"/>
      <c r="F228" s="28"/>
      <c r="G228" s="29"/>
      <c r="H228" s="29"/>
      <c r="I228" s="30" t="str">
        <f aca="false">IF($B228="","",$H228-$G228)</f>
        <v/>
      </c>
      <c r="J228" s="31" t="str">
        <f aca="false">IF(OR($B228="",$G228=0,$G228=""),"",$I228/$G228)</f>
        <v/>
      </c>
      <c r="K228" s="32"/>
      <c r="L228" s="32"/>
      <c r="M228" s="32"/>
      <c r="N228" s="32"/>
      <c r="O228" s="32"/>
      <c r="P228" s="31" t="str">
        <f aca="false">IF(OR($L228="",$N228=""),"",$L228-$N228)</f>
        <v/>
      </c>
      <c r="Q228" s="27" t="str">
        <f aca="false">IF($B228="","",IF(N($H228)&gt;0,"Live","Exited"))</f>
        <v/>
      </c>
      <c r="R228" s="27" t="str">
        <f aca="false">IF($B228="","",IF($L228="","Data Pending",IF($L228&gt;=Instructions!$D$19,"Best Fund",IF($L228&gt;=Instructions!$D$20,"Need to Improve","Not Performing"))))</f>
        <v/>
      </c>
      <c r="S228" s="7" t="str">
        <f aca="false">IF($R228="","",IF($R228="Data Pending","Enter the 3Y return",IF($R228="Best Fund","Hold / consider top-up",IF($R228="Need to Improve","Watch 2 quarters, then decide","Review with client - switch or exit"))))</f>
        <v/>
      </c>
      <c r="T228" s="26"/>
      <c r="U228" s="7" t="str">
        <f aca="false">IF($R228&lt;&gt;"Best Fund","",COUNTIFS($R$6:$R$505,"Best Fund",$L$6:$L$505,"&gt;"&amp;$L228)+COUNTIFS($R$6:$R228,"Best Fund",$L$6:$L228,$L228))</f>
        <v/>
      </c>
      <c r="V228" s="7" t="str">
        <f aca="false">IF($R228&lt;&gt;"Need to Improve","",COUNTIFS($R$6:$R$505,"Need to Improve",$L$6:$L$505,"&lt;"&amp;$L228)+COUNTIFS($R$6:$R228,"Need to Improve",$L$6:$L228,$L228))</f>
        <v/>
      </c>
      <c r="W228" s="7" t="str">
        <f aca="false">IF($R228&lt;&gt;"Not Performing","",COUNTIFS($R$6:$R$505,"Not Performing",$L$6:$L$505,"&lt;"&amp;$L228)+COUNTIFS($R$6:$R228,"Not Performing",$L$6:$L228,$L228))</f>
        <v/>
      </c>
    </row>
    <row r="229" customFormat="false" ht="15" hidden="false" customHeight="true" outlineLevel="0" collapsed="false">
      <c r="A229" s="26"/>
      <c r="B229" s="26"/>
      <c r="C229" s="26"/>
      <c r="D229" s="27" t="str">
        <f aca="false">IF($C229="","",IFERROR(TRIM(LEFT($C229,FIND("-",$C229)-1)),""))</f>
        <v/>
      </c>
      <c r="E229" s="26"/>
      <c r="F229" s="28"/>
      <c r="G229" s="29"/>
      <c r="H229" s="29"/>
      <c r="I229" s="30" t="str">
        <f aca="false">IF($B229="","",$H229-$G229)</f>
        <v/>
      </c>
      <c r="J229" s="31" t="str">
        <f aca="false">IF(OR($B229="",$G229=0,$G229=""),"",$I229/$G229)</f>
        <v/>
      </c>
      <c r="K229" s="32"/>
      <c r="L229" s="32"/>
      <c r="M229" s="32"/>
      <c r="N229" s="32"/>
      <c r="O229" s="32"/>
      <c r="P229" s="31" t="str">
        <f aca="false">IF(OR($L229="",$N229=""),"",$L229-$N229)</f>
        <v/>
      </c>
      <c r="Q229" s="27" t="str">
        <f aca="false">IF($B229="","",IF(N($H229)&gt;0,"Live","Exited"))</f>
        <v/>
      </c>
      <c r="R229" s="27" t="str">
        <f aca="false">IF($B229="","",IF($L229="","Data Pending",IF($L229&gt;=Instructions!$D$19,"Best Fund",IF($L229&gt;=Instructions!$D$20,"Need to Improve","Not Performing"))))</f>
        <v/>
      </c>
      <c r="S229" s="7" t="str">
        <f aca="false">IF($R229="","",IF($R229="Data Pending","Enter the 3Y return",IF($R229="Best Fund","Hold / consider top-up",IF($R229="Need to Improve","Watch 2 quarters, then decide","Review with client - switch or exit"))))</f>
        <v/>
      </c>
      <c r="T229" s="26"/>
      <c r="U229" s="7" t="str">
        <f aca="false">IF($R229&lt;&gt;"Best Fund","",COUNTIFS($R$6:$R$505,"Best Fund",$L$6:$L$505,"&gt;"&amp;$L229)+COUNTIFS($R$6:$R229,"Best Fund",$L$6:$L229,$L229))</f>
        <v/>
      </c>
      <c r="V229" s="7" t="str">
        <f aca="false">IF($R229&lt;&gt;"Need to Improve","",COUNTIFS($R$6:$R$505,"Need to Improve",$L$6:$L$505,"&lt;"&amp;$L229)+COUNTIFS($R$6:$R229,"Need to Improve",$L$6:$L229,$L229))</f>
        <v/>
      </c>
      <c r="W229" s="7" t="str">
        <f aca="false">IF($R229&lt;&gt;"Not Performing","",COUNTIFS($R$6:$R$505,"Not Performing",$L$6:$L$505,"&lt;"&amp;$L229)+COUNTIFS($R$6:$R229,"Not Performing",$L$6:$L229,$L229))</f>
        <v/>
      </c>
    </row>
    <row r="230" customFormat="false" ht="15" hidden="false" customHeight="true" outlineLevel="0" collapsed="false">
      <c r="A230" s="26"/>
      <c r="B230" s="26"/>
      <c r="C230" s="26"/>
      <c r="D230" s="27" t="str">
        <f aca="false">IF($C230="","",IFERROR(TRIM(LEFT($C230,FIND("-",$C230)-1)),""))</f>
        <v/>
      </c>
      <c r="E230" s="26"/>
      <c r="F230" s="28"/>
      <c r="G230" s="29"/>
      <c r="H230" s="29"/>
      <c r="I230" s="30" t="str">
        <f aca="false">IF($B230="","",$H230-$G230)</f>
        <v/>
      </c>
      <c r="J230" s="31" t="str">
        <f aca="false">IF(OR($B230="",$G230=0,$G230=""),"",$I230/$G230)</f>
        <v/>
      </c>
      <c r="K230" s="32"/>
      <c r="L230" s="32"/>
      <c r="M230" s="32"/>
      <c r="N230" s="32"/>
      <c r="O230" s="32"/>
      <c r="P230" s="31" t="str">
        <f aca="false">IF(OR($L230="",$N230=""),"",$L230-$N230)</f>
        <v/>
      </c>
      <c r="Q230" s="27" t="str">
        <f aca="false">IF($B230="","",IF(N($H230)&gt;0,"Live","Exited"))</f>
        <v/>
      </c>
      <c r="R230" s="27" t="str">
        <f aca="false">IF($B230="","",IF($L230="","Data Pending",IF($L230&gt;=Instructions!$D$19,"Best Fund",IF($L230&gt;=Instructions!$D$20,"Need to Improve","Not Performing"))))</f>
        <v/>
      </c>
      <c r="S230" s="7" t="str">
        <f aca="false">IF($R230="","",IF($R230="Data Pending","Enter the 3Y return",IF($R230="Best Fund","Hold / consider top-up",IF($R230="Need to Improve","Watch 2 quarters, then decide","Review with client - switch or exit"))))</f>
        <v/>
      </c>
      <c r="T230" s="26"/>
      <c r="U230" s="7" t="str">
        <f aca="false">IF($R230&lt;&gt;"Best Fund","",COUNTIFS($R$6:$R$505,"Best Fund",$L$6:$L$505,"&gt;"&amp;$L230)+COUNTIFS($R$6:$R230,"Best Fund",$L$6:$L230,$L230))</f>
        <v/>
      </c>
      <c r="V230" s="7" t="str">
        <f aca="false">IF($R230&lt;&gt;"Need to Improve","",COUNTIFS($R$6:$R$505,"Need to Improve",$L$6:$L$505,"&lt;"&amp;$L230)+COUNTIFS($R$6:$R230,"Need to Improve",$L$6:$L230,$L230))</f>
        <v/>
      </c>
      <c r="W230" s="7" t="str">
        <f aca="false">IF($R230&lt;&gt;"Not Performing","",COUNTIFS($R$6:$R$505,"Not Performing",$L$6:$L$505,"&lt;"&amp;$L230)+COUNTIFS($R$6:$R230,"Not Performing",$L$6:$L230,$L230))</f>
        <v/>
      </c>
    </row>
    <row r="231" customFormat="false" ht="15" hidden="false" customHeight="true" outlineLevel="0" collapsed="false">
      <c r="A231" s="26"/>
      <c r="B231" s="26"/>
      <c r="C231" s="26"/>
      <c r="D231" s="27" t="str">
        <f aca="false">IF($C231="","",IFERROR(TRIM(LEFT($C231,FIND("-",$C231)-1)),""))</f>
        <v/>
      </c>
      <c r="E231" s="26"/>
      <c r="F231" s="28"/>
      <c r="G231" s="29"/>
      <c r="H231" s="29"/>
      <c r="I231" s="30" t="str">
        <f aca="false">IF($B231="","",$H231-$G231)</f>
        <v/>
      </c>
      <c r="J231" s="31" t="str">
        <f aca="false">IF(OR($B231="",$G231=0,$G231=""),"",$I231/$G231)</f>
        <v/>
      </c>
      <c r="K231" s="32"/>
      <c r="L231" s="32"/>
      <c r="M231" s="32"/>
      <c r="N231" s="32"/>
      <c r="O231" s="32"/>
      <c r="P231" s="31" t="str">
        <f aca="false">IF(OR($L231="",$N231=""),"",$L231-$N231)</f>
        <v/>
      </c>
      <c r="Q231" s="27" t="str">
        <f aca="false">IF($B231="","",IF(N($H231)&gt;0,"Live","Exited"))</f>
        <v/>
      </c>
      <c r="R231" s="27" t="str">
        <f aca="false">IF($B231="","",IF($L231="","Data Pending",IF($L231&gt;=Instructions!$D$19,"Best Fund",IF($L231&gt;=Instructions!$D$20,"Need to Improve","Not Performing"))))</f>
        <v/>
      </c>
      <c r="S231" s="7" t="str">
        <f aca="false">IF($R231="","",IF($R231="Data Pending","Enter the 3Y return",IF($R231="Best Fund","Hold / consider top-up",IF($R231="Need to Improve","Watch 2 quarters, then decide","Review with client - switch or exit"))))</f>
        <v/>
      </c>
      <c r="T231" s="26"/>
      <c r="U231" s="7" t="str">
        <f aca="false">IF($R231&lt;&gt;"Best Fund","",COUNTIFS($R$6:$R$505,"Best Fund",$L$6:$L$505,"&gt;"&amp;$L231)+COUNTIFS($R$6:$R231,"Best Fund",$L$6:$L231,$L231))</f>
        <v/>
      </c>
      <c r="V231" s="7" t="str">
        <f aca="false">IF($R231&lt;&gt;"Need to Improve","",COUNTIFS($R$6:$R$505,"Need to Improve",$L$6:$L$505,"&lt;"&amp;$L231)+COUNTIFS($R$6:$R231,"Need to Improve",$L$6:$L231,$L231))</f>
        <v/>
      </c>
      <c r="W231" s="7" t="str">
        <f aca="false">IF($R231&lt;&gt;"Not Performing","",COUNTIFS($R$6:$R$505,"Not Performing",$L$6:$L$505,"&lt;"&amp;$L231)+COUNTIFS($R$6:$R231,"Not Performing",$L$6:$L231,$L231))</f>
        <v/>
      </c>
    </row>
    <row r="232" customFormat="false" ht="15" hidden="false" customHeight="true" outlineLevel="0" collapsed="false">
      <c r="A232" s="26"/>
      <c r="B232" s="26"/>
      <c r="C232" s="26"/>
      <c r="D232" s="27" t="str">
        <f aca="false">IF($C232="","",IFERROR(TRIM(LEFT($C232,FIND("-",$C232)-1)),""))</f>
        <v/>
      </c>
      <c r="E232" s="26"/>
      <c r="F232" s="28"/>
      <c r="G232" s="29"/>
      <c r="H232" s="29"/>
      <c r="I232" s="30" t="str">
        <f aca="false">IF($B232="","",$H232-$G232)</f>
        <v/>
      </c>
      <c r="J232" s="31" t="str">
        <f aca="false">IF(OR($B232="",$G232=0,$G232=""),"",$I232/$G232)</f>
        <v/>
      </c>
      <c r="K232" s="32"/>
      <c r="L232" s="32"/>
      <c r="M232" s="32"/>
      <c r="N232" s="32"/>
      <c r="O232" s="32"/>
      <c r="P232" s="31" t="str">
        <f aca="false">IF(OR($L232="",$N232=""),"",$L232-$N232)</f>
        <v/>
      </c>
      <c r="Q232" s="27" t="str">
        <f aca="false">IF($B232="","",IF(N($H232)&gt;0,"Live","Exited"))</f>
        <v/>
      </c>
      <c r="R232" s="27" t="str">
        <f aca="false">IF($B232="","",IF($L232="","Data Pending",IF($L232&gt;=Instructions!$D$19,"Best Fund",IF($L232&gt;=Instructions!$D$20,"Need to Improve","Not Performing"))))</f>
        <v/>
      </c>
      <c r="S232" s="7" t="str">
        <f aca="false">IF($R232="","",IF($R232="Data Pending","Enter the 3Y return",IF($R232="Best Fund","Hold / consider top-up",IF($R232="Need to Improve","Watch 2 quarters, then decide","Review with client - switch or exit"))))</f>
        <v/>
      </c>
      <c r="T232" s="26"/>
      <c r="U232" s="7" t="str">
        <f aca="false">IF($R232&lt;&gt;"Best Fund","",COUNTIFS($R$6:$R$505,"Best Fund",$L$6:$L$505,"&gt;"&amp;$L232)+COUNTIFS($R$6:$R232,"Best Fund",$L$6:$L232,$L232))</f>
        <v/>
      </c>
      <c r="V232" s="7" t="str">
        <f aca="false">IF($R232&lt;&gt;"Need to Improve","",COUNTIFS($R$6:$R$505,"Need to Improve",$L$6:$L$505,"&lt;"&amp;$L232)+COUNTIFS($R$6:$R232,"Need to Improve",$L$6:$L232,$L232))</f>
        <v/>
      </c>
      <c r="W232" s="7" t="str">
        <f aca="false">IF($R232&lt;&gt;"Not Performing","",COUNTIFS($R$6:$R$505,"Not Performing",$L$6:$L$505,"&lt;"&amp;$L232)+COUNTIFS($R$6:$R232,"Not Performing",$L$6:$L232,$L232))</f>
        <v/>
      </c>
    </row>
    <row r="233" customFormat="false" ht="15" hidden="false" customHeight="true" outlineLevel="0" collapsed="false">
      <c r="A233" s="26"/>
      <c r="B233" s="26"/>
      <c r="C233" s="26"/>
      <c r="D233" s="27" t="str">
        <f aca="false">IF($C233="","",IFERROR(TRIM(LEFT($C233,FIND("-",$C233)-1)),""))</f>
        <v/>
      </c>
      <c r="E233" s="26"/>
      <c r="F233" s="28"/>
      <c r="G233" s="29"/>
      <c r="H233" s="29"/>
      <c r="I233" s="30" t="str">
        <f aca="false">IF($B233="","",$H233-$G233)</f>
        <v/>
      </c>
      <c r="J233" s="31" t="str">
        <f aca="false">IF(OR($B233="",$G233=0,$G233=""),"",$I233/$G233)</f>
        <v/>
      </c>
      <c r="K233" s="32"/>
      <c r="L233" s="32"/>
      <c r="M233" s="32"/>
      <c r="N233" s="32"/>
      <c r="O233" s="32"/>
      <c r="P233" s="31" t="str">
        <f aca="false">IF(OR($L233="",$N233=""),"",$L233-$N233)</f>
        <v/>
      </c>
      <c r="Q233" s="27" t="str">
        <f aca="false">IF($B233="","",IF(N($H233)&gt;0,"Live","Exited"))</f>
        <v/>
      </c>
      <c r="R233" s="27" t="str">
        <f aca="false">IF($B233="","",IF($L233="","Data Pending",IF($L233&gt;=Instructions!$D$19,"Best Fund",IF($L233&gt;=Instructions!$D$20,"Need to Improve","Not Performing"))))</f>
        <v/>
      </c>
      <c r="S233" s="7" t="str">
        <f aca="false">IF($R233="","",IF($R233="Data Pending","Enter the 3Y return",IF($R233="Best Fund","Hold / consider top-up",IF($R233="Need to Improve","Watch 2 quarters, then decide","Review with client - switch or exit"))))</f>
        <v/>
      </c>
      <c r="T233" s="26"/>
      <c r="U233" s="7" t="str">
        <f aca="false">IF($R233&lt;&gt;"Best Fund","",COUNTIFS($R$6:$R$505,"Best Fund",$L$6:$L$505,"&gt;"&amp;$L233)+COUNTIFS($R$6:$R233,"Best Fund",$L$6:$L233,$L233))</f>
        <v/>
      </c>
      <c r="V233" s="7" t="str">
        <f aca="false">IF($R233&lt;&gt;"Need to Improve","",COUNTIFS($R$6:$R$505,"Need to Improve",$L$6:$L$505,"&lt;"&amp;$L233)+COUNTIFS($R$6:$R233,"Need to Improve",$L$6:$L233,$L233))</f>
        <v/>
      </c>
      <c r="W233" s="7" t="str">
        <f aca="false">IF($R233&lt;&gt;"Not Performing","",COUNTIFS($R$6:$R$505,"Not Performing",$L$6:$L$505,"&lt;"&amp;$L233)+COUNTIFS($R$6:$R233,"Not Performing",$L$6:$L233,$L233))</f>
        <v/>
      </c>
    </row>
    <row r="234" customFormat="false" ht="15" hidden="false" customHeight="true" outlineLevel="0" collapsed="false">
      <c r="A234" s="26"/>
      <c r="B234" s="26"/>
      <c r="C234" s="26"/>
      <c r="D234" s="27" t="str">
        <f aca="false">IF($C234="","",IFERROR(TRIM(LEFT($C234,FIND("-",$C234)-1)),""))</f>
        <v/>
      </c>
      <c r="E234" s="26"/>
      <c r="F234" s="28"/>
      <c r="G234" s="29"/>
      <c r="H234" s="29"/>
      <c r="I234" s="30" t="str">
        <f aca="false">IF($B234="","",$H234-$G234)</f>
        <v/>
      </c>
      <c r="J234" s="31" t="str">
        <f aca="false">IF(OR($B234="",$G234=0,$G234=""),"",$I234/$G234)</f>
        <v/>
      </c>
      <c r="K234" s="32"/>
      <c r="L234" s="32"/>
      <c r="M234" s="32"/>
      <c r="N234" s="32"/>
      <c r="O234" s="32"/>
      <c r="P234" s="31" t="str">
        <f aca="false">IF(OR($L234="",$N234=""),"",$L234-$N234)</f>
        <v/>
      </c>
      <c r="Q234" s="27" t="str">
        <f aca="false">IF($B234="","",IF(N($H234)&gt;0,"Live","Exited"))</f>
        <v/>
      </c>
      <c r="R234" s="27" t="str">
        <f aca="false">IF($B234="","",IF($L234="","Data Pending",IF($L234&gt;=Instructions!$D$19,"Best Fund",IF($L234&gt;=Instructions!$D$20,"Need to Improve","Not Performing"))))</f>
        <v/>
      </c>
      <c r="S234" s="7" t="str">
        <f aca="false">IF($R234="","",IF($R234="Data Pending","Enter the 3Y return",IF($R234="Best Fund","Hold / consider top-up",IF($R234="Need to Improve","Watch 2 quarters, then decide","Review with client - switch or exit"))))</f>
        <v/>
      </c>
      <c r="T234" s="26"/>
      <c r="U234" s="7" t="str">
        <f aca="false">IF($R234&lt;&gt;"Best Fund","",COUNTIFS($R$6:$R$505,"Best Fund",$L$6:$L$505,"&gt;"&amp;$L234)+COUNTIFS($R$6:$R234,"Best Fund",$L$6:$L234,$L234))</f>
        <v/>
      </c>
      <c r="V234" s="7" t="str">
        <f aca="false">IF($R234&lt;&gt;"Need to Improve","",COUNTIFS($R$6:$R$505,"Need to Improve",$L$6:$L$505,"&lt;"&amp;$L234)+COUNTIFS($R$6:$R234,"Need to Improve",$L$6:$L234,$L234))</f>
        <v/>
      </c>
      <c r="W234" s="7" t="str">
        <f aca="false">IF($R234&lt;&gt;"Not Performing","",COUNTIFS($R$6:$R$505,"Not Performing",$L$6:$L$505,"&lt;"&amp;$L234)+COUNTIFS($R$6:$R234,"Not Performing",$L$6:$L234,$L234))</f>
        <v/>
      </c>
    </row>
    <row r="235" customFormat="false" ht="15" hidden="false" customHeight="true" outlineLevel="0" collapsed="false">
      <c r="A235" s="26"/>
      <c r="B235" s="26"/>
      <c r="C235" s="26"/>
      <c r="D235" s="27" t="str">
        <f aca="false">IF($C235="","",IFERROR(TRIM(LEFT($C235,FIND("-",$C235)-1)),""))</f>
        <v/>
      </c>
      <c r="E235" s="26"/>
      <c r="F235" s="28"/>
      <c r="G235" s="29"/>
      <c r="H235" s="29"/>
      <c r="I235" s="30" t="str">
        <f aca="false">IF($B235="","",$H235-$G235)</f>
        <v/>
      </c>
      <c r="J235" s="31" t="str">
        <f aca="false">IF(OR($B235="",$G235=0,$G235=""),"",$I235/$G235)</f>
        <v/>
      </c>
      <c r="K235" s="32"/>
      <c r="L235" s="32"/>
      <c r="M235" s="32"/>
      <c r="N235" s="32"/>
      <c r="O235" s="32"/>
      <c r="P235" s="31" t="str">
        <f aca="false">IF(OR($L235="",$N235=""),"",$L235-$N235)</f>
        <v/>
      </c>
      <c r="Q235" s="27" t="str">
        <f aca="false">IF($B235="","",IF(N($H235)&gt;0,"Live","Exited"))</f>
        <v/>
      </c>
      <c r="R235" s="27" t="str">
        <f aca="false">IF($B235="","",IF($L235="","Data Pending",IF($L235&gt;=Instructions!$D$19,"Best Fund",IF($L235&gt;=Instructions!$D$20,"Need to Improve","Not Performing"))))</f>
        <v/>
      </c>
      <c r="S235" s="7" t="str">
        <f aca="false">IF($R235="","",IF($R235="Data Pending","Enter the 3Y return",IF($R235="Best Fund","Hold / consider top-up",IF($R235="Need to Improve","Watch 2 quarters, then decide","Review with client - switch or exit"))))</f>
        <v/>
      </c>
      <c r="T235" s="26"/>
      <c r="U235" s="7" t="str">
        <f aca="false">IF($R235&lt;&gt;"Best Fund","",COUNTIFS($R$6:$R$505,"Best Fund",$L$6:$L$505,"&gt;"&amp;$L235)+COUNTIFS($R$6:$R235,"Best Fund",$L$6:$L235,$L235))</f>
        <v/>
      </c>
      <c r="V235" s="7" t="str">
        <f aca="false">IF($R235&lt;&gt;"Need to Improve","",COUNTIFS($R$6:$R$505,"Need to Improve",$L$6:$L$505,"&lt;"&amp;$L235)+COUNTIFS($R$6:$R235,"Need to Improve",$L$6:$L235,$L235))</f>
        <v/>
      </c>
      <c r="W235" s="7" t="str">
        <f aca="false">IF($R235&lt;&gt;"Not Performing","",COUNTIFS($R$6:$R$505,"Not Performing",$L$6:$L$505,"&lt;"&amp;$L235)+COUNTIFS($R$6:$R235,"Not Performing",$L$6:$L235,$L235))</f>
        <v/>
      </c>
    </row>
    <row r="236" customFormat="false" ht="15" hidden="false" customHeight="true" outlineLevel="0" collapsed="false">
      <c r="A236" s="26"/>
      <c r="B236" s="26"/>
      <c r="C236" s="26"/>
      <c r="D236" s="27" t="str">
        <f aca="false">IF($C236="","",IFERROR(TRIM(LEFT($C236,FIND("-",$C236)-1)),""))</f>
        <v/>
      </c>
      <c r="E236" s="26"/>
      <c r="F236" s="28"/>
      <c r="G236" s="29"/>
      <c r="H236" s="29"/>
      <c r="I236" s="30" t="str">
        <f aca="false">IF($B236="","",$H236-$G236)</f>
        <v/>
      </c>
      <c r="J236" s="31" t="str">
        <f aca="false">IF(OR($B236="",$G236=0,$G236=""),"",$I236/$G236)</f>
        <v/>
      </c>
      <c r="K236" s="32"/>
      <c r="L236" s="32"/>
      <c r="M236" s="32"/>
      <c r="N236" s="32"/>
      <c r="O236" s="32"/>
      <c r="P236" s="31" t="str">
        <f aca="false">IF(OR($L236="",$N236=""),"",$L236-$N236)</f>
        <v/>
      </c>
      <c r="Q236" s="27" t="str">
        <f aca="false">IF($B236="","",IF(N($H236)&gt;0,"Live","Exited"))</f>
        <v/>
      </c>
      <c r="R236" s="27" t="str">
        <f aca="false">IF($B236="","",IF($L236="","Data Pending",IF($L236&gt;=Instructions!$D$19,"Best Fund",IF($L236&gt;=Instructions!$D$20,"Need to Improve","Not Performing"))))</f>
        <v/>
      </c>
      <c r="S236" s="7" t="str">
        <f aca="false">IF($R236="","",IF($R236="Data Pending","Enter the 3Y return",IF($R236="Best Fund","Hold / consider top-up",IF($R236="Need to Improve","Watch 2 quarters, then decide","Review with client - switch or exit"))))</f>
        <v/>
      </c>
      <c r="T236" s="26"/>
      <c r="U236" s="7" t="str">
        <f aca="false">IF($R236&lt;&gt;"Best Fund","",COUNTIFS($R$6:$R$505,"Best Fund",$L$6:$L$505,"&gt;"&amp;$L236)+COUNTIFS($R$6:$R236,"Best Fund",$L$6:$L236,$L236))</f>
        <v/>
      </c>
      <c r="V236" s="7" t="str">
        <f aca="false">IF($R236&lt;&gt;"Need to Improve","",COUNTIFS($R$6:$R$505,"Need to Improve",$L$6:$L$505,"&lt;"&amp;$L236)+COUNTIFS($R$6:$R236,"Need to Improve",$L$6:$L236,$L236))</f>
        <v/>
      </c>
      <c r="W236" s="7" t="str">
        <f aca="false">IF($R236&lt;&gt;"Not Performing","",COUNTIFS($R$6:$R$505,"Not Performing",$L$6:$L$505,"&lt;"&amp;$L236)+COUNTIFS($R$6:$R236,"Not Performing",$L$6:$L236,$L236))</f>
        <v/>
      </c>
    </row>
    <row r="237" customFormat="false" ht="15" hidden="false" customHeight="true" outlineLevel="0" collapsed="false">
      <c r="A237" s="26"/>
      <c r="B237" s="26"/>
      <c r="C237" s="26"/>
      <c r="D237" s="27" t="str">
        <f aca="false">IF($C237="","",IFERROR(TRIM(LEFT($C237,FIND("-",$C237)-1)),""))</f>
        <v/>
      </c>
      <c r="E237" s="26"/>
      <c r="F237" s="28"/>
      <c r="G237" s="29"/>
      <c r="H237" s="29"/>
      <c r="I237" s="30" t="str">
        <f aca="false">IF($B237="","",$H237-$G237)</f>
        <v/>
      </c>
      <c r="J237" s="31" t="str">
        <f aca="false">IF(OR($B237="",$G237=0,$G237=""),"",$I237/$G237)</f>
        <v/>
      </c>
      <c r="K237" s="32"/>
      <c r="L237" s="32"/>
      <c r="M237" s="32"/>
      <c r="N237" s="32"/>
      <c r="O237" s="32"/>
      <c r="P237" s="31" t="str">
        <f aca="false">IF(OR($L237="",$N237=""),"",$L237-$N237)</f>
        <v/>
      </c>
      <c r="Q237" s="27" t="str">
        <f aca="false">IF($B237="","",IF(N($H237)&gt;0,"Live","Exited"))</f>
        <v/>
      </c>
      <c r="R237" s="27" t="str">
        <f aca="false">IF($B237="","",IF($L237="","Data Pending",IF($L237&gt;=Instructions!$D$19,"Best Fund",IF($L237&gt;=Instructions!$D$20,"Need to Improve","Not Performing"))))</f>
        <v/>
      </c>
      <c r="S237" s="7" t="str">
        <f aca="false">IF($R237="","",IF($R237="Data Pending","Enter the 3Y return",IF($R237="Best Fund","Hold / consider top-up",IF($R237="Need to Improve","Watch 2 quarters, then decide","Review with client - switch or exit"))))</f>
        <v/>
      </c>
      <c r="T237" s="26"/>
      <c r="U237" s="7" t="str">
        <f aca="false">IF($R237&lt;&gt;"Best Fund","",COUNTIFS($R$6:$R$505,"Best Fund",$L$6:$L$505,"&gt;"&amp;$L237)+COUNTIFS($R$6:$R237,"Best Fund",$L$6:$L237,$L237))</f>
        <v/>
      </c>
      <c r="V237" s="7" t="str">
        <f aca="false">IF($R237&lt;&gt;"Need to Improve","",COUNTIFS($R$6:$R$505,"Need to Improve",$L$6:$L$505,"&lt;"&amp;$L237)+COUNTIFS($R$6:$R237,"Need to Improve",$L$6:$L237,$L237))</f>
        <v/>
      </c>
      <c r="W237" s="7" t="str">
        <f aca="false">IF($R237&lt;&gt;"Not Performing","",COUNTIFS($R$6:$R$505,"Not Performing",$L$6:$L$505,"&lt;"&amp;$L237)+COUNTIFS($R$6:$R237,"Not Performing",$L$6:$L237,$L237))</f>
        <v/>
      </c>
    </row>
    <row r="238" customFormat="false" ht="15" hidden="false" customHeight="true" outlineLevel="0" collapsed="false">
      <c r="A238" s="26"/>
      <c r="B238" s="26"/>
      <c r="C238" s="26"/>
      <c r="D238" s="27" t="str">
        <f aca="false">IF($C238="","",IFERROR(TRIM(LEFT($C238,FIND("-",$C238)-1)),""))</f>
        <v/>
      </c>
      <c r="E238" s="26"/>
      <c r="F238" s="28"/>
      <c r="G238" s="29"/>
      <c r="H238" s="29"/>
      <c r="I238" s="30" t="str">
        <f aca="false">IF($B238="","",$H238-$G238)</f>
        <v/>
      </c>
      <c r="J238" s="31" t="str">
        <f aca="false">IF(OR($B238="",$G238=0,$G238=""),"",$I238/$G238)</f>
        <v/>
      </c>
      <c r="K238" s="32"/>
      <c r="L238" s="32"/>
      <c r="M238" s="32"/>
      <c r="N238" s="32"/>
      <c r="O238" s="32"/>
      <c r="P238" s="31" t="str">
        <f aca="false">IF(OR($L238="",$N238=""),"",$L238-$N238)</f>
        <v/>
      </c>
      <c r="Q238" s="27" t="str">
        <f aca="false">IF($B238="","",IF(N($H238)&gt;0,"Live","Exited"))</f>
        <v/>
      </c>
      <c r="R238" s="27" t="str">
        <f aca="false">IF($B238="","",IF($L238="","Data Pending",IF($L238&gt;=Instructions!$D$19,"Best Fund",IF($L238&gt;=Instructions!$D$20,"Need to Improve","Not Performing"))))</f>
        <v/>
      </c>
      <c r="S238" s="7" t="str">
        <f aca="false">IF($R238="","",IF($R238="Data Pending","Enter the 3Y return",IF($R238="Best Fund","Hold / consider top-up",IF($R238="Need to Improve","Watch 2 quarters, then decide","Review with client - switch or exit"))))</f>
        <v/>
      </c>
      <c r="T238" s="26"/>
      <c r="U238" s="7" t="str">
        <f aca="false">IF($R238&lt;&gt;"Best Fund","",COUNTIFS($R$6:$R$505,"Best Fund",$L$6:$L$505,"&gt;"&amp;$L238)+COUNTIFS($R$6:$R238,"Best Fund",$L$6:$L238,$L238))</f>
        <v/>
      </c>
      <c r="V238" s="7" t="str">
        <f aca="false">IF($R238&lt;&gt;"Need to Improve","",COUNTIFS($R$6:$R$505,"Need to Improve",$L$6:$L$505,"&lt;"&amp;$L238)+COUNTIFS($R$6:$R238,"Need to Improve",$L$6:$L238,$L238))</f>
        <v/>
      </c>
      <c r="W238" s="7" t="str">
        <f aca="false">IF($R238&lt;&gt;"Not Performing","",COUNTIFS($R$6:$R$505,"Not Performing",$L$6:$L$505,"&lt;"&amp;$L238)+COUNTIFS($R$6:$R238,"Not Performing",$L$6:$L238,$L238))</f>
        <v/>
      </c>
    </row>
    <row r="239" customFormat="false" ht="15" hidden="false" customHeight="true" outlineLevel="0" collapsed="false">
      <c r="A239" s="26"/>
      <c r="B239" s="26"/>
      <c r="C239" s="26"/>
      <c r="D239" s="27" t="str">
        <f aca="false">IF($C239="","",IFERROR(TRIM(LEFT($C239,FIND("-",$C239)-1)),""))</f>
        <v/>
      </c>
      <c r="E239" s="26"/>
      <c r="F239" s="28"/>
      <c r="G239" s="29"/>
      <c r="H239" s="29"/>
      <c r="I239" s="30" t="str">
        <f aca="false">IF($B239="","",$H239-$G239)</f>
        <v/>
      </c>
      <c r="J239" s="31" t="str">
        <f aca="false">IF(OR($B239="",$G239=0,$G239=""),"",$I239/$G239)</f>
        <v/>
      </c>
      <c r="K239" s="32"/>
      <c r="L239" s="32"/>
      <c r="M239" s="32"/>
      <c r="N239" s="32"/>
      <c r="O239" s="32"/>
      <c r="P239" s="31" t="str">
        <f aca="false">IF(OR($L239="",$N239=""),"",$L239-$N239)</f>
        <v/>
      </c>
      <c r="Q239" s="27" t="str">
        <f aca="false">IF($B239="","",IF(N($H239)&gt;0,"Live","Exited"))</f>
        <v/>
      </c>
      <c r="R239" s="27" t="str">
        <f aca="false">IF($B239="","",IF($L239="","Data Pending",IF($L239&gt;=Instructions!$D$19,"Best Fund",IF($L239&gt;=Instructions!$D$20,"Need to Improve","Not Performing"))))</f>
        <v/>
      </c>
      <c r="S239" s="7" t="str">
        <f aca="false">IF($R239="","",IF($R239="Data Pending","Enter the 3Y return",IF($R239="Best Fund","Hold / consider top-up",IF($R239="Need to Improve","Watch 2 quarters, then decide","Review with client - switch or exit"))))</f>
        <v/>
      </c>
      <c r="T239" s="26"/>
      <c r="U239" s="7" t="str">
        <f aca="false">IF($R239&lt;&gt;"Best Fund","",COUNTIFS($R$6:$R$505,"Best Fund",$L$6:$L$505,"&gt;"&amp;$L239)+COUNTIFS($R$6:$R239,"Best Fund",$L$6:$L239,$L239))</f>
        <v/>
      </c>
      <c r="V239" s="7" t="str">
        <f aca="false">IF($R239&lt;&gt;"Need to Improve","",COUNTIFS($R$6:$R$505,"Need to Improve",$L$6:$L$505,"&lt;"&amp;$L239)+COUNTIFS($R$6:$R239,"Need to Improve",$L$6:$L239,$L239))</f>
        <v/>
      </c>
      <c r="W239" s="7" t="str">
        <f aca="false">IF($R239&lt;&gt;"Not Performing","",COUNTIFS($R$6:$R$505,"Not Performing",$L$6:$L$505,"&lt;"&amp;$L239)+COUNTIFS($R$6:$R239,"Not Performing",$L$6:$L239,$L239))</f>
        <v/>
      </c>
    </row>
    <row r="240" customFormat="false" ht="15" hidden="false" customHeight="true" outlineLevel="0" collapsed="false">
      <c r="A240" s="26"/>
      <c r="B240" s="26"/>
      <c r="C240" s="26"/>
      <c r="D240" s="27" t="str">
        <f aca="false">IF($C240="","",IFERROR(TRIM(LEFT($C240,FIND("-",$C240)-1)),""))</f>
        <v/>
      </c>
      <c r="E240" s="26"/>
      <c r="F240" s="28"/>
      <c r="G240" s="29"/>
      <c r="H240" s="29"/>
      <c r="I240" s="30" t="str">
        <f aca="false">IF($B240="","",$H240-$G240)</f>
        <v/>
      </c>
      <c r="J240" s="31" t="str">
        <f aca="false">IF(OR($B240="",$G240=0,$G240=""),"",$I240/$G240)</f>
        <v/>
      </c>
      <c r="K240" s="32"/>
      <c r="L240" s="32"/>
      <c r="M240" s="32"/>
      <c r="N240" s="32"/>
      <c r="O240" s="32"/>
      <c r="P240" s="31" t="str">
        <f aca="false">IF(OR($L240="",$N240=""),"",$L240-$N240)</f>
        <v/>
      </c>
      <c r="Q240" s="27" t="str">
        <f aca="false">IF($B240="","",IF(N($H240)&gt;0,"Live","Exited"))</f>
        <v/>
      </c>
      <c r="R240" s="27" t="str">
        <f aca="false">IF($B240="","",IF($L240="","Data Pending",IF($L240&gt;=Instructions!$D$19,"Best Fund",IF($L240&gt;=Instructions!$D$20,"Need to Improve","Not Performing"))))</f>
        <v/>
      </c>
      <c r="S240" s="7" t="str">
        <f aca="false">IF($R240="","",IF($R240="Data Pending","Enter the 3Y return",IF($R240="Best Fund","Hold / consider top-up",IF($R240="Need to Improve","Watch 2 quarters, then decide","Review with client - switch or exit"))))</f>
        <v/>
      </c>
      <c r="T240" s="26"/>
      <c r="U240" s="7" t="str">
        <f aca="false">IF($R240&lt;&gt;"Best Fund","",COUNTIFS($R$6:$R$505,"Best Fund",$L$6:$L$505,"&gt;"&amp;$L240)+COUNTIFS($R$6:$R240,"Best Fund",$L$6:$L240,$L240))</f>
        <v/>
      </c>
      <c r="V240" s="7" t="str">
        <f aca="false">IF($R240&lt;&gt;"Need to Improve","",COUNTIFS($R$6:$R$505,"Need to Improve",$L$6:$L$505,"&lt;"&amp;$L240)+COUNTIFS($R$6:$R240,"Need to Improve",$L$6:$L240,$L240))</f>
        <v/>
      </c>
      <c r="W240" s="7" t="str">
        <f aca="false">IF($R240&lt;&gt;"Not Performing","",COUNTIFS($R$6:$R$505,"Not Performing",$L$6:$L$505,"&lt;"&amp;$L240)+COUNTIFS($R$6:$R240,"Not Performing",$L$6:$L240,$L240))</f>
        <v/>
      </c>
    </row>
    <row r="241" customFormat="false" ht="15" hidden="false" customHeight="true" outlineLevel="0" collapsed="false">
      <c r="A241" s="26"/>
      <c r="B241" s="26"/>
      <c r="C241" s="26"/>
      <c r="D241" s="27" t="str">
        <f aca="false">IF($C241="","",IFERROR(TRIM(LEFT($C241,FIND("-",$C241)-1)),""))</f>
        <v/>
      </c>
      <c r="E241" s="26"/>
      <c r="F241" s="28"/>
      <c r="G241" s="29"/>
      <c r="H241" s="29"/>
      <c r="I241" s="30" t="str">
        <f aca="false">IF($B241="","",$H241-$G241)</f>
        <v/>
      </c>
      <c r="J241" s="31" t="str">
        <f aca="false">IF(OR($B241="",$G241=0,$G241=""),"",$I241/$G241)</f>
        <v/>
      </c>
      <c r="K241" s="32"/>
      <c r="L241" s="32"/>
      <c r="M241" s="32"/>
      <c r="N241" s="32"/>
      <c r="O241" s="32"/>
      <c r="P241" s="31" t="str">
        <f aca="false">IF(OR($L241="",$N241=""),"",$L241-$N241)</f>
        <v/>
      </c>
      <c r="Q241" s="27" t="str">
        <f aca="false">IF($B241="","",IF(N($H241)&gt;0,"Live","Exited"))</f>
        <v/>
      </c>
      <c r="R241" s="27" t="str">
        <f aca="false">IF($B241="","",IF($L241="","Data Pending",IF($L241&gt;=Instructions!$D$19,"Best Fund",IF($L241&gt;=Instructions!$D$20,"Need to Improve","Not Performing"))))</f>
        <v/>
      </c>
      <c r="S241" s="7" t="str">
        <f aca="false">IF($R241="","",IF($R241="Data Pending","Enter the 3Y return",IF($R241="Best Fund","Hold / consider top-up",IF($R241="Need to Improve","Watch 2 quarters, then decide","Review with client - switch or exit"))))</f>
        <v/>
      </c>
      <c r="T241" s="26"/>
      <c r="U241" s="7" t="str">
        <f aca="false">IF($R241&lt;&gt;"Best Fund","",COUNTIFS($R$6:$R$505,"Best Fund",$L$6:$L$505,"&gt;"&amp;$L241)+COUNTIFS($R$6:$R241,"Best Fund",$L$6:$L241,$L241))</f>
        <v/>
      </c>
      <c r="V241" s="7" t="str">
        <f aca="false">IF($R241&lt;&gt;"Need to Improve","",COUNTIFS($R$6:$R$505,"Need to Improve",$L$6:$L$505,"&lt;"&amp;$L241)+COUNTIFS($R$6:$R241,"Need to Improve",$L$6:$L241,$L241))</f>
        <v/>
      </c>
      <c r="W241" s="7" t="str">
        <f aca="false">IF($R241&lt;&gt;"Not Performing","",COUNTIFS($R$6:$R$505,"Not Performing",$L$6:$L$505,"&lt;"&amp;$L241)+COUNTIFS($R$6:$R241,"Not Performing",$L$6:$L241,$L241))</f>
        <v/>
      </c>
    </row>
    <row r="242" customFormat="false" ht="15" hidden="false" customHeight="true" outlineLevel="0" collapsed="false">
      <c r="A242" s="26"/>
      <c r="B242" s="26"/>
      <c r="C242" s="26"/>
      <c r="D242" s="27" t="str">
        <f aca="false">IF($C242="","",IFERROR(TRIM(LEFT($C242,FIND("-",$C242)-1)),""))</f>
        <v/>
      </c>
      <c r="E242" s="26"/>
      <c r="F242" s="28"/>
      <c r="G242" s="29"/>
      <c r="H242" s="29"/>
      <c r="I242" s="30" t="str">
        <f aca="false">IF($B242="","",$H242-$G242)</f>
        <v/>
      </c>
      <c r="J242" s="31" t="str">
        <f aca="false">IF(OR($B242="",$G242=0,$G242=""),"",$I242/$G242)</f>
        <v/>
      </c>
      <c r="K242" s="32"/>
      <c r="L242" s="32"/>
      <c r="M242" s="32"/>
      <c r="N242" s="32"/>
      <c r="O242" s="32"/>
      <c r="P242" s="31" t="str">
        <f aca="false">IF(OR($L242="",$N242=""),"",$L242-$N242)</f>
        <v/>
      </c>
      <c r="Q242" s="27" t="str">
        <f aca="false">IF($B242="","",IF(N($H242)&gt;0,"Live","Exited"))</f>
        <v/>
      </c>
      <c r="R242" s="27" t="str">
        <f aca="false">IF($B242="","",IF($L242="","Data Pending",IF($L242&gt;=Instructions!$D$19,"Best Fund",IF($L242&gt;=Instructions!$D$20,"Need to Improve","Not Performing"))))</f>
        <v/>
      </c>
      <c r="S242" s="7" t="str">
        <f aca="false">IF($R242="","",IF($R242="Data Pending","Enter the 3Y return",IF($R242="Best Fund","Hold / consider top-up",IF($R242="Need to Improve","Watch 2 quarters, then decide","Review with client - switch or exit"))))</f>
        <v/>
      </c>
      <c r="T242" s="26"/>
      <c r="U242" s="7" t="str">
        <f aca="false">IF($R242&lt;&gt;"Best Fund","",COUNTIFS($R$6:$R$505,"Best Fund",$L$6:$L$505,"&gt;"&amp;$L242)+COUNTIFS($R$6:$R242,"Best Fund",$L$6:$L242,$L242))</f>
        <v/>
      </c>
      <c r="V242" s="7" t="str">
        <f aca="false">IF($R242&lt;&gt;"Need to Improve","",COUNTIFS($R$6:$R$505,"Need to Improve",$L$6:$L$505,"&lt;"&amp;$L242)+COUNTIFS($R$6:$R242,"Need to Improve",$L$6:$L242,$L242))</f>
        <v/>
      </c>
      <c r="W242" s="7" t="str">
        <f aca="false">IF($R242&lt;&gt;"Not Performing","",COUNTIFS($R$6:$R$505,"Not Performing",$L$6:$L$505,"&lt;"&amp;$L242)+COUNTIFS($R$6:$R242,"Not Performing",$L$6:$L242,$L242))</f>
        <v/>
      </c>
    </row>
    <row r="243" customFormat="false" ht="15" hidden="false" customHeight="true" outlineLevel="0" collapsed="false">
      <c r="A243" s="26"/>
      <c r="B243" s="26"/>
      <c r="C243" s="26"/>
      <c r="D243" s="27" t="str">
        <f aca="false">IF($C243="","",IFERROR(TRIM(LEFT($C243,FIND("-",$C243)-1)),""))</f>
        <v/>
      </c>
      <c r="E243" s="26"/>
      <c r="F243" s="28"/>
      <c r="G243" s="29"/>
      <c r="H243" s="29"/>
      <c r="I243" s="30" t="str">
        <f aca="false">IF($B243="","",$H243-$G243)</f>
        <v/>
      </c>
      <c r="J243" s="31" t="str">
        <f aca="false">IF(OR($B243="",$G243=0,$G243=""),"",$I243/$G243)</f>
        <v/>
      </c>
      <c r="K243" s="32"/>
      <c r="L243" s="32"/>
      <c r="M243" s="32"/>
      <c r="N243" s="32"/>
      <c r="O243" s="32"/>
      <c r="P243" s="31" t="str">
        <f aca="false">IF(OR($L243="",$N243=""),"",$L243-$N243)</f>
        <v/>
      </c>
      <c r="Q243" s="27" t="str">
        <f aca="false">IF($B243="","",IF(N($H243)&gt;0,"Live","Exited"))</f>
        <v/>
      </c>
      <c r="R243" s="27" t="str">
        <f aca="false">IF($B243="","",IF($L243="","Data Pending",IF($L243&gt;=Instructions!$D$19,"Best Fund",IF($L243&gt;=Instructions!$D$20,"Need to Improve","Not Performing"))))</f>
        <v/>
      </c>
      <c r="S243" s="7" t="str">
        <f aca="false">IF($R243="","",IF($R243="Data Pending","Enter the 3Y return",IF($R243="Best Fund","Hold / consider top-up",IF($R243="Need to Improve","Watch 2 quarters, then decide","Review with client - switch or exit"))))</f>
        <v/>
      </c>
      <c r="T243" s="26"/>
      <c r="U243" s="7" t="str">
        <f aca="false">IF($R243&lt;&gt;"Best Fund","",COUNTIFS($R$6:$R$505,"Best Fund",$L$6:$L$505,"&gt;"&amp;$L243)+COUNTIFS($R$6:$R243,"Best Fund",$L$6:$L243,$L243))</f>
        <v/>
      </c>
      <c r="V243" s="7" t="str">
        <f aca="false">IF($R243&lt;&gt;"Need to Improve","",COUNTIFS($R$6:$R$505,"Need to Improve",$L$6:$L$505,"&lt;"&amp;$L243)+COUNTIFS($R$6:$R243,"Need to Improve",$L$6:$L243,$L243))</f>
        <v/>
      </c>
      <c r="W243" s="7" t="str">
        <f aca="false">IF($R243&lt;&gt;"Not Performing","",COUNTIFS($R$6:$R$505,"Not Performing",$L$6:$L$505,"&lt;"&amp;$L243)+COUNTIFS($R$6:$R243,"Not Performing",$L$6:$L243,$L243))</f>
        <v/>
      </c>
    </row>
    <row r="244" customFormat="false" ht="15" hidden="false" customHeight="true" outlineLevel="0" collapsed="false">
      <c r="A244" s="26"/>
      <c r="B244" s="26"/>
      <c r="C244" s="26"/>
      <c r="D244" s="27" t="str">
        <f aca="false">IF($C244="","",IFERROR(TRIM(LEFT($C244,FIND("-",$C244)-1)),""))</f>
        <v/>
      </c>
      <c r="E244" s="26"/>
      <c r="F244" s="28"/>
      <c r="G244" s="29"/>
      <c r="H244" s="29"/>
      <c r="I244" s="30" t="str">
        <f aca="false">IF($B244="","",$H244-$G244)</f>
        <v/>
      </c>
      <c r="J244" s="31" t="str">
        <f aca="false">IF(OR($B244="",$G244=0,$G244=""),"",$I244/$G244)</f>
        <v/>
      </c>
      <c r="K244" s="32"/>
      <c r="L244" s="32"/>
      <c r="M244" s="32"/>
      <c r="N244" s="32"/>
      <c r="O244" s="32"/>
      <c r="P244" s="31" t="str">
        <f aca="false">IF(OR($L244="",$N244=""),"",$L244-$N244)</f>
        <v/>
      </c>
      <c r="Q244" s="27" t="str">
        <f aca="false">IF($B244="","",IF(N($H244)&gt;0,"Live","Exited"))</f>
        <v/>
      </c>
      <c r="R244" s="27" t="str">
        <f aca="false">IF($B244="","",IF($L244="","Data Pending",IF($L244&gt;=Instructions!$D$19,"Best Fund",IF($L244&gt;=Instructions!$D$20,"Need to Improve","Not Performing"))))</f>
        <v/>
      </c>
      <c r="S244" s="7" t="str">
        <f aca="false">IF($R244="","",IF($R244="Data Pending","Enter the 3Y return",IF($R244="Best Fund","Hold / consider top-up",IF($R244="Need to Improve","Watch 2 quarters, then decide","Review with client - switch or exit"))))</f>
        <v/>
      </c>
      <c r="T244" s="26"/>
      <c r="U244" s="7" t="str">
        <f aca="false">IF($R244&lt;&gt;"Best Fund","",COUNTIFS($R$6:$R$505,"Best Fund",$L$6:$L$505,"&gt;"&amp;$L244)+COUNTIFS($R$6:$R244,"Best Fund",$L$6:$L244,$L244))</f>
        <v/>
      </c>
      <c r="V244" s="7" t="str">
        <f aca="false">IF($R244&lt;&gt;"Need to Improve","",COUNTIFS($R$6:$R$505,"Need to Improve",$L$6:$L$505,"&lt;"&amp;$L244)+COUNTIFS($R$6:$R244,"Need to Improve",$L$6:$L244,$L244))</f>
        <v/>
      </c>
      <c r="W244" s="7" t="str">
        <f aca="false">IF($R244&lt;&gt;"Not Performing","",COUNTIFS($R$6:$R$505,"Not Performing",$L$6:$L$505,"&lt;"&amp;$L244)+COUNTIFS($R$6:$R244,"Not Performing",$L$6:$L244,$L244))</f>
        <v/>
      </c>
    </row>
    <row r="245" customFormat="false" ht="15" hidden="false" customHeight="true" outlineLevel="0" collapsed="false">
      <c r="A245" s="26"/>
      <c r="B245" s="26"/>
      <c r="C245" s="26"/>
      <c r="D245" s="27" t="str">
        <f aca="false">IF($C245="","",IFERROR(TRIM(LEFT($C245,FIND("-",$C245)-1)),""))</f>
        <v/>
      </c>
      <c r="E245" s="26"/>
      <c r="F245" s="28"/>
      <c r="G245" s="29"/>
      <c r="H245" s="29"/>
      <c r="I245" s="30" t="str">
        <f aca="false">IF($B245="","",$H245-$G245)</f>
        <v/>
      </c>
      <c r="J245" s="31" t="str">
        <f aca="false">IF(OR($B245="",$G245=0,$G245=""),"",$I245/$G245)</f>
        <v/>
      </c>
      <c r="K245" s="32"/>
      <c r="L245" s="32"/>
      <c r="M245" s="32"/>
      <c r="N245" s="32"/>
      <c r="O245" s="32"/>
      <c r="P245" s="31" t="str">
        <f aca="false">IF(OR($L245="",$N245=""),"",$L245-$N245)</f>
        <v/>
      </c>
      <c r="Q245" s="27" t="str">
        <f aca="false">IF($B245="","",IF(N($H245)&gt;0,"Live","Exited"))</f>
        <v/>
      </c>
      <c r="R245" s="27" t="str">
        <f aca="false">IF($B245="","",IF($L245="","Data Pending",IF($L245&gt;=Instructions!$D$19,"Best Fund",IF($L245&gt;=Instructions!$D$20,"Need to Improve","Not Performing"))))</f>
        <v/>
      </c>
      <c r="S245" s="7" t="str">
        <f aca="false">IF($R245="","",IF($R245="Data Pending","Enter the 3Y return",IF($R245="Best Fund","Hold / consider top-up",IF($R245="Need to Improve","Watch 2 quarters, then decide","Review with client - switch or exit"))))</f>
        <v/>
      </c>
      <c r="T245" s="26"/>
      <c r="U245" s="7" t="str">
        <f aca="false">IF($R245&lt;&gt;"Best Fund","",COUNTIFS($R$6:$R$505,"Best Fund",$L$6:$L$505,"&gt;"&amp;$L245)+COUNTIFS($R$6:$R245,"Best Fund",$L$6:$L245,$L245))</f>
        <v/>
      </c>
      <c r="V245" s="7" t="str">
        <f aca="false">IF($R245&lt;&gt;"Need to Improve","",COUNTIFS($R$6:$R$505,"Need to Improve",$L$6:$L$505,"&lt;"&amp;$L245)+COUNTIFS($R$6:$R245,"Need to Improve",$L$6:$L245,$L245))</f>
        <v/>
      </c>
      <c r="W245" s="7" t="str">
        <f aca="false">IF($R245&lt;&gt;"Not Performing","",COUNTIFS($R$6:$R$505,"Not Performing",$L$6:$L$505,"&lt;"&amp;$L245)+COUNTIFS($R$6:$R245,"Not Performing",$L$6:$L245,$L245))</f>
        <v/>
      </c>
    </row>
    <row r="246" customFormat="false" ht="15" hidden="false" customHeight="true" outlineLevel="0" collapsed="false">
      <c r="A246" s="26"/>
      <c r="B246" s="26"/>
      <c r="C246" s="26"/>
      <c r="D246" s="27" t="str">
        <f aca="false">IF($C246="","",IFERROR(TRIM(LEFT($C246,FIND("-",$C246)-1)),""))</f>
        <v/>
      </c>
      <c r="E246" s="26"/>
      <c r="F246" s="28"/>
      <c r="G246" s="29"/>
      <c r="H246" s="29"/>
      <c r="I246" s="30" t="str">
        <f aca="false">IF($B246="","",$H246-$G246)</f>
        <v/>
      </c>
      <c r="J246" s="31" t="str">
        <f aca="false">IF(OR($B246="",$G246=0,$G246=""),"",$I246/$G246)</f>
        <v/>
      </c>
      <c r="K246" s="32"/>
      <c r="L246" s="32"/>
      <c r="M246" s="32"/>
      <c r="N246" s="32"/>
      <c r="O246" s="32"/>
      <c r="P246" s="31" t="str">
        <f aca="false">IF(OR($L246="",$N246=""),"",$L246-$N246)</f>
        <v/>
      </c>
      <c r="Q246" s="27" t="str">
        <f aca="false">IF($B246="","",IF(N($H246)&gt;0,"Live","Exited"))</f>
        <v/>
      </c>
      <c r="R246" s="27" t="str">
        <f aca="false">IF($B246="","",IF($L246="","Data Pending",IF($L246&gt;=Instructions!$D$19,"Best Fund",IF($L246&gt;=Instructions!$D$20,"Need to Improve","Not Performing"))))</f>
        <v/>
      </c>
      <c r="S246" s="7" t="str">
        <f aca="false">IF($R246="","",IF($R246="Data Pending","Enter the 3Y return",IF($R246="Best Fund","Hold / consider top-up",IF($R246="Need to Improve","Watch 2 quarters, then decide","Review with client - switch or exit"))))</f>
        <v/>
      </c>
      <c r="T246" s="26"/>
      <c r="U246" s="7" t="str">
        <f aca="false">IF($R246&lt;&gt;"Best Fund","",COUNTIFS($R$6:$R$505,"Best Fund",$L$6:$L$505,"&gt;"&amp;$L246)+COUNTIFS($R$6:$R246,"Best Fund",$L$6:$L246,$L246))</f>
        <v/>
      </c>
      <c r="V246" s="7" t="str">
        <f aca="false">IF($R246&lt;&gt;"Need to Improve","",COUNTIFS($R$6:$R$505,"Need to Improve",$L$6:$L$505,"&lt;"&amp;$L246)+COUNTIFS($R$6:$R246,"Need to Improve",$L$6:$L246,$L246))</f>
        <v/>
      </c>
      <c r="W246" s="7" t="str">
        <f aca="false">IF($R246&lt;&gt;"Not Performing","",COUNTIFS($R$6:$R$505,"Not Performing",$L$6:$L$505,"&lt;"&amp;$L246)+COUNTIFS($R$6:$R246,"Not Performing",$L$6:$L246,$L246))</f>
        <v/>
      </c>
    </row>
    <row r="247" customFormat="false" ht="15" hidden="false" customHeight="true" outlineLevel="0" collapsed="false">
      <c r="A247" s="26"/>
      <c r="B247" s="26"/>
      <c r="C247" s="26"/>
      <c r="D247" s="27" t="str">
        <f aca="false">IF($C247="","",IFERROR(TRIM(LEFT($C247,FIND("-",$C247)-1)),""))</f>
        <v/>
      </c>
      <c r="E247" s="26"/>
      <c r="F247" s="28"/>
      <c r="G247" s="29"/>
      <c r="H247" s="29"/>
      <c r="I247" s="30" t="str">
        <f aca="false">IF($B247="","",$H247-$G247)</f>
        <v/>
      </c>
      <c r="J247" s="31" t="str">
        <f aca="false">IF(OR($B247="",$G247=0,$G247=""),"",$I247/$G247)</f>
        <v/>
      </c>
      <c r="K247" s="32"/>
      <c r="L247" s="32"/>
      <c r="M247" s="32"/>
      <c r="N247" s="32"/>
      <c r="O247" s="32"/>
      <c r="P247" s="31" t="str">
        <f aca="false">IF(OR($L247="",$N247=""),"",$L247-$N247)</f>
        <v/>
      </c>
      <c r="Q247" s="27" t="str">
        <f aca="false">IF($B247="","",IF(N($H247)&gt;0,"Live","Exited"))</f>
        <v/>
      </c>
      <c r="R247" s="27" t="str">
        <f aca="false">IF($B247="","",IF($L247="","Data Pending",IF($L247&gt;=Instructions!$D$19,"Best Fund",IF($L247&gt;=Instructions!$D$20,"Need to Improve","Not Performing"))))</f>
        <v/>
      </c>
      <c r="S247" s="7" t="str">
        <f aca="false">IF($R247="","",IF($R247="Data Pending","Enter the 3Y return",IF($R247="Best Fund","Hold / consider top-up",IF($R247="Need to Improve","Watch 2 quarters, then decide","Review with client - switch or exit"))))</f>
        <v/>
      </c>
      <c r="T247" s="26"/>
      <c r="U247" s="7" t="str">
        <f aca="false">IF($R247&lt;&gt;"Best Fund","",COUNTIFS($R$6:$R$505,"Best Fund",$L$6:$L$505,"&gt;"&amp;$L247)+COUNTIFS($R$6:$R247,"Best Fund",$L$6:$L247,$L247))</f>
        <v/>
      </c>
      <c r="V247" s="7" t="str">
        <f aca="false">IF($R247&lt;&gt;"Need to Improve","",COUNTIFS($R$6:$R$505,"Need to Improve",$L$6:$L$505,"&lt;"&amp;$L247)+COUNTIFS($R$6:$R247,"Need to Improve",$L$6:$L247,$L247))</f>
        <v/>
      </c>
      <c r="W247" s="7" t="str">
        <f aca="false">IF($R247&lt;&gt;"Not Performing","",COUNTIFS($R$6:$R$505,"Not Performing",$L$6:$L$505,"&lt;"&amp;$L247)+COUNTIFS($R$6:$R247,"Not Performing",$L$6:$L247,$L247))</f>
        <v/>
      </c>
    </row>
    <row r="248" customFormat="false" ht="15" hidden="false" customHeight="true" outlineLevel="0" collapsed="false">
      <c r="A248" s="26"/>
      <c r="B248" s="26"/>
      <c r="C248" s="26"/>
      <c r="D248" s="27" t="str">
        <f aca="false">IF($C248="","",IFERROR(TRIM(LEFT($C248,FIND("-",$C248)-1)),""))</f>
        <v/>
      </c>
      <c r="E248" s="26"/>
      <c r="F248" s="28"/>
      <c r="G248" s="29"/>
      <c r="H248" s="29"/>
      <c r="I248" s="30" t="str">
        <f aca="false">IF($B248="","",$H248-$G248)</f>
        <v/>
      </c>
      <c r="J248" s="31" t="str">
        <f aca="false">IF(OR($B248="",$G248=0,$G248=""),"",$I248/$G248)</f>
        <v/>
      </c>
      <c r="K248" s="32"/>
      <c r="L248" s="32"/>
      <c r="M248" s="32"/>
      <c r="N248" s="32"/>
      <c r="O248" s="32"/>
      <c r="P248" s="31" t="str">
        <f aca="false">IF(OR($L248="",$N248=""),"",$L248-$N248)</f>
        <v/>
      </c>
      <c r="Q248" s="27" t="str">
        <f aca="false">IF($B248="","",IF(N($H248)&gt;0,"Live","Exited"))</f>
        <v/>
      </c>
      <c r="R248" s="27" t="str">
        <f aca="false">IF($B248="","",IF($L248="","Data Pending",IF($L248&gt;=Instructions!$D$19,"Best Fund",IF($L248&gt;=Instructions!$D$20,"Need to Improve","Not Performing"))))</f>
        <v/>
      </c>
      <c r="S248" s="7" t="str">
        <f aca="false">IF($R248="","",IF($R248="Data Pending","Enter the 3Y return",IF($R248="Best Fund","Hold / consider top-up",IF($R248="Need to Improve","Watch 2 quarters, then decide","Review with client - switch or exit"))))</f>
        <v/>
      </c>
      <c r="T248" s="26"/>
      <c r="U248" s="7" t="str">
        <f aca="false">IF($R248&lt;&gt;"Best Fund","",COUNTIFS($R$6:$R$505,"Best Fund",$L$6:$L$505,"&gt;"&amp;$L248)+COUNTIFS($R$6:$R248,"Best Fund",$L$6:$L248,$L248))</f>
        <v/>
      </c>
      <c r="V248" s="7" t="str">
        <f aca="false">IF($R248&lt;&gt;"Need to Improve","",COUNTIFS($R$6:$R$505,"Need to Improve",$L$6:$L$505,"&lt;"&amp;$L248)+COUNTIFS($R$6:$R248,"Need to Improve",$L$6:$L248,$L248))</f>
        <v/>
      </c>
      <c r="W248" s="7" t="str">
        <f aca="false">IF($R248&lt;&gt;"Not Performing","",COUNTIFS($R$6:$R$505,"Not Performing",$L$6:$L$505,"&lt;"&amp;$L248)+COUNTIFS($R$6:$R248,"Not Performing",$L$6:$L248,$L248))</f>
        <v/>
      </c>
    </row>
    <row r="249" customFormat="false" ht="15" hidden="false" customHeight="true" outlineLevel="0" collapsed="false">
      <c r="A249" s="26"/>
      <c r="B249" s="26"/>
      <c r="C249" s="26"/>
      <c r="D249" s="27" t="str">
        <f aca="false">IF($C249="","",IFERROR(TRIM(LEFT($C249,FIND("-",$C249)-1)),""))</f>
        <v/>
      </c>
      <c r="E249" s="26"/>
      <c r="F249" s="28"/>
      <c r="G249" s="29"/>
      <c r="H249" s="29"/>
      <c r="I249" s="30" t="str">
        <f aca="false">IF($B249="","",$H249-$G249)</f>
        <v/>
      </c>
      <c r="J249" s="31" t="str">
        <f aca="false">IF(OR($B249="",$G249=0,$G249=""),"",$I249/$G249)</f>
        <v/>
      </c>
      <c r="K249" s="32"/>
      <c r="L249" s="32"/>
      <c r="M249" s="32"/>
      <c r="N249" s="32"/>
      <c r="O249" s="32"/>
      <c r="P249" s="31" t="str">
        <f aca="false">IF(OR($L249="",$N249=""),"",$L249-$N249)</f>
        <v/>
      </c>
      <c r="Q249" s="27" t="str">
        <f aca="false">IF($B249="","",IF(N($H249)&gt;0,"Live","Exited"))</f>
        <v/>
      </c>
      <c r="R249" s="27" t="str">
        <f aca="false">IF($B249="","",IF($L249="","Data Pending",IF($L249&gt;=Instructions!$D$19,"Best Fund",IF($L249&gt;=Instructions!$D$20,"Need to Improve","Not Performing"))))</f>
        <v/>
      </c>
      <c r="S249" s="7" t="str">
        <f aca="false">IF($R249="","",IF($R249="Data Pending","Enter the 3Y return",IF($R249="Best Fund","Hold / consider top-up",IF($R249="Need to Improve","Watch 2 quarters, then decide","Review with client - switch or exit"))))</f>
        <v/>
      </c>
      <c r="T249" s="26"/>
      <c r="U249" s="7" t="str">
        <f aca="false">IF($R249&lt;&gt;"Best Fund","",COUNTIFS($R$6:$R$505,"Best Fund",$L$6:$L$505,"&gt;"&amp;$L249)+COUNTIFS($R$6:$R249,"Best Fund",$L$6:$L249,$L249))</f>
        <v/>
      </c>
      <c r="V249" s="7" t="str">
        <f aca="false">IF($R249&lt;&gt;"Need to Improve","",COUNTIFS($R$6:$R$505,"Need to Improve",$L$6:$L$505,"&lt;"&amp;$L249)+COUNTIFS($R$6:$R249,"Need to Improve",$L$6:$L249,$L249))</f>
        <v/>
      </c>
      <c r="W249" s="7" t="str">
        <f aca="false">IF($R249&lt;&gt;"Not Performing","",COUNTIFS($R$6:$R$505,"Not Performing",$L$6:$L$505,"&lt;"&amp;$L249)+COUNTIFS($R$6:$R249,"Not Performing",$L$6:$L249,$L249))</f>
        <v/>
      </c>
    </row>
    <row r="250" customFormat="false" ht="15" hidden="false" customHeight="true" outlineLevel="0" collapsed="false">
      <c r="A250" s="26"/>
      <c r="B250" s="26"/>
      <c r="C250" s="26"/>
      <c r="D250" s="27" t="str">
        <f aca="false">IF($C250="","",IFERROR(TRIM(LEFT($C250,FIND("-",$C250)-1)),""))</f>
        <v/>
      </c>
      <c r="E250" s="26"/>
      <c r="F250" s="28"/>
      <c r="G250" s="29"/>
      <c r="H250" s="29"/>
      <c r="I250" s="30" t="str">
        <f aca="false">IF($B250="","",$H250-$G250)</f>
        <v/>
      </c>
      <c r="J250" s="31" t="str">
        <f aca="false">IF(OR($B250="",$G250=0,$G250=""),"",$I250/$G250)</f>
        <v/>
      </c>
      <c r="K250" s="32"/>
      <c r="L250" s="32"/>
      <c r="M250" s="32"/>
      <c r="N250" s="32"/>
      <c r="O250" s="32"/>
      <c r="P250" s="31" t="str">
        <f aca="false">IF(OR($L250="",$N250=""),"",$L250-$N250)</f>
        <v/>
      </c>
      <c r="Q250" s="27" t="str">
        <f aca="false">IF($B250="","",IF(N($H250)&gt;0,"Live","Exited"))</f>
        <v/>
      </c>
      <c r="R250" s="27" t="str">
        <f aca="false">IF($B250="","",IF($L250="","Data Pending",IF($L250&gt;=Instructions!$D$19,"Best Fund",IF($L250&gt;=Instructions!$D$20,"Need to Improve","Not Performing"))))</f>
        <v/>
      </c>
      <c r="S250" s="7" t="str">
        <f aca="false">IF($R250="","",IF($R250="Data Pending","Enter the 3Y return",IF($R250="Best Fund","Hold / consider top-up",IF($R250="Need to Improve","Watch 2 quarters, then decide","Review with client - switch or exit"))))</f>
        <v/>
      </c>
      <c r="T250" s="26"/>
      <c r="U250" s="7" t="str">
        <f aca="false">IF($R250&lt;&gt;"Best Fund","",COUNTIFS($R$6:$R$505,"Best Fund",$L$6:$L$505,"&gt;"&amp;$L250)+COUNTIFS($R$6:$R250,"Best Fund",$L$6:$L250,$L250))</f>
        <v/>
      </c>
      <c r="V250" s="7" t="str">
        <f aca="false">IF($R250&lt;&gt;"Need to Improve","",COUNTIFS($R$6:$R$505,"Need to Improve",$L$6:$L$505,"&lt;"&amp;$L250)+COUNTIFS($R$6:$R250,"Need to Improve",$L$6:$L250,$L250))</f>
        <v/>
      </c>
      <c r="W250" s="7" t="str">
        <f aca="false">IF($R250&lt;&gt;"Not Performing","",COUNTIFS($R$6:$R$505,"Not Performing",$L$6:$L$505,"&lt;"&amp;$L250)+COUNTIFS($R$6:$R250,"Not Performing",$L$6:$L250,$L250))</f>
        <v/>
      </c>
    </row>
    <row r="251" customFormat="false" ht="15" hidden="false" customHeight="true" outlineLevel="0" collapsed="false">
      <c r="A251" s="26"/>
      <c r="B251" s="26"/>
      <c r="C251" s="26"/>
      <c r="D251" s="27" t="str">
        <f aca="false">IF($C251="","",IFERROR(TRIM(LEFT($C251,FIND("-",$C251)-1)),""))</f>
        <v/>
      </c>
      <c r="E251" s="26"/>
      <c r="F251" s="28"/>
      <c r="G251" s="29"/>
      <c r="H251" s="29"/>
      <c r="I251" s="30" t="str">
        <f aca="false">IF($B251="","",$H251-$G251)</f>
        <v/>
      </c>
      <c r="J251" s="31" t="str">
        <f aca="false">IF(OR($B251="",$G251=0,$G251=""),"",$I251/$G251)</f>
        <v/>
      </c>
      <c r="K251" s="32"/>
      <c r="L251" s="32"/>
      <c r="M251" s="32"/>
      <c r="N251" s="32"/>
      <c r="O251" s="32"/>
      <c r="P251" s="31" t="str">
        <f aca="false">IF(OR($L251="",$N251=""),"",$L251-$N251)</f>
        <v/>
      </c>
      <c r="Q251" s="27" t="str">
        <f aca="false">IF($B251="","",IF(N($H251)&gt;0,"Live","Exited"))</f>
        <v/>
      </c>
      <c r="R251" s="27" t="str">
        <f aca="false">IF($B251="","",IF($L251="","Data Pending",IF($L251&gt;=Instructions!$D$19,"Best Fund",IF($L251&gt;=Instructions!$D$20,"Need to Improve","Not Performing"))))</f>
        <v/>
      </c>
      <c r="S251" s="7" t="str">
        <f aca="false">IF($R251="","",IF($R251="Data Pending","Enter the 3Y return",IF($R251="Best Fund","Hold / consider top-up",IF($R251="Need to Improve","Watch 2 quarters, then decide","Review with client - switch or exit"))))</f>
        <v/>
      </c>
      <c r="T251" s="26"/>
      <c r="U251" s="7" t="str">
        <f aca="false">IF($R251&lt;&gt;"Best Fund","",COUNTIFS($R$6:$R$505,"Best Fund",$L$6:$L$505,"&gt;"&amp;$L251)+COUNTIFS($R$6:$R251,"Best Fund",$L$6:$L251,$L251))</f>
        <v/>
      </c>
      <c r="V251" s="7" t="str">
        <f aca="false">IF($R251&lt;&gt;"Need to Improve","",COUNTIFS($R$6:$R$505,"Need to Improve",$L$6:$L$505,"&lt;"&amp;$L251)+COUNTIFS($R$6:$R251,"Need to Improve",$L$6:$L251,$L251))</f>
        <v/>
      </c>
      <c r="W251" s="7" t="str">
        <f aca="false">IF($R251&lt;&gt;"Not Performing","",COUNTIFS($R$6:$R$505,"Not Performing",$L$6:$L$505,"&lt;"&amp;$L251)+COUNTIFS($R$6:$R251,"Not Performing",$L$6:$L251,$L251))</f>
        <v/>
      </c>
    </row>
    <row r="252" customFormat="false" ht="15" hidden="false" customHeight="true" outlineLevel="0" collapsed="false">
      <c r="A252" s="26"/>
      <c r="B252" s="26"/>
      <c r="C252" s="26"/>
      <c r="D252" s="27" t="str">
        <f aca="false">IF($C252="","",IFERROR(TRIM(LEFT($C252,FIND("-",$C252)-1)),""))</f>
        <v/>
      </c>
      <c r="E252" s="26"/>
      <c r="F252" s="28"/>
      <c r="G252" s="29"/>
      <c r="H252" s="29"/>
      <c r="I252" s="30" t="str">
        <f aca="false">IF($B252="","",$H252-$G252)</f>
        <v/>
      </c>
      <c r="J252" s="31" t="str">
        <f aca="false">IF(OR($B252="",$G252=0,$G252=""),"",$I252/$G252)</f>
        <v/>
      </c>
      <c r="K252" s="32"/>
      <c r="L252" s="32"/>
      <c r="M252" s="32"/>
      <c r="N252" s="32"/>
      <c r="O252" s="32"/>
      <c r="P252" s="31" t="str">
        <f aca="false">IF(OR($L252="",$N252=""),"",$L252-$N252)</f>
        <v/>
      </c>
      <c r="Q252" s="27" t="str">
        <f aca="false">IF($B252="","",IF(N($H252)&gt;0,"Live","Exited"))</f>
        <v/>
      </c>
      <c r="R252" s="27" t="str">
        <f aca="false">IF($B252="","",IF($L252="","Data Pending",IF($L252&gt;=Instructions!$D$19,"Best Fund",IF($L252&gt;=Instructions!$D$20,"Need to Improve","Not Performing"))))</f>
        <v/>
      </c>
      <c r="S252" s="7" t="str">
        <f aca="false">IF($R252="","",IF($R252="Data Pending","Enter the 3Y return",IF($R252="Best Fund","Hold / consider top-up",IF($R252="Need to Improve","Watch 2 quarters, then decide","Review with client - switch or exit"))))</f>
        <v/>
      </c>
      <c r="T252" s="26"/>
      <c r="U252" s="7" t="str">
        <f aca="false">IF($R252&lt;&gt;"Best Fund","",COUNTIFS($R$6:$R$505,"Best Fund",$L$6:$L$505,"&gt;"&amp;$L252)+COUNTIFS($R$6:$R252,"Best Fund",$L$6:$L252,$L252))</f>
        <v/>
      </c>
      <c r="V252" s="7" t="str">
        <f aca="false">IF($R252&lt;&gt;"Need to Improve","",COUNTIFS($R$6:$R$505,"Need to Improve",$L$6:$L$505,"&lt;"&amp;$L252)+COUNTIFS($R$6:$R252,"Need to Improve",$L$6:$L252,$L252))</f>
        <v/>
      </c>
      <c r="W252" s="7" t="str">
        <f aca="false">IF($R252&lt;&gt;"Not Performing","",COUNTIFS($R$6:$R$505,"Not Performing",$L$6:$L$505,"&lt;"&amp;$L252)+COUNTIFS($R$6:$R252,"Not Performing",$L$6:$L252,$L252))</f>
        <v/>
      </c>
    </row>
    <row r="253" customFormat="false" ht="15" hidden="false" customHeight="true" outlineLevel="0" collapsed="false">
      <c r="A253" s="26"/>
      <c r="B253" s="26"/>
      <c r="C253" s="26"/>
      <c r="D253" s="27" t="str">
        <f aca="false">IF($C253="","",IFERROR(TRIM(LEFT($C253,FIND("-",$C253)-1)),""))</f>
        <v/>
      </c>
      <c r="E253" s="26"/>
      <c r="F253" s="28"/>
      <c r="G253" s="29"/>
      <c r="H253" s="29"/>
      <c r="I253" s="30" t="str">
        <f aca="false">IF($B253="","",$H253-$G253)</f>
        <v/>
      </c>
      <c r="J253" s="31" t="str">
        <f aca="false">IF(OR($B253="",$G253=0,$G253=""),"",$I253/$G253)</f>
        <v/>
      </c>
      <c r="K253" s="32"/>
      <c r="L253" s="32"/>
      <c r="M253" s="32"/>
      <c r="N253" s="32"/>
      <c r="O253" s="32"/>
      <c r="P253" s="31" t="str">
        <f aca="false">IF(OR($L253="",$N253=""),"",$L253-$N253)</f>
        <v/>
      </c>
      <c r="Q253" s="27" t="str">
        <f aca="false">IF($B253="","",IF(N($H253)&gt;0,"Live","Exited"))</f>
        <v/>
      </c>
      <c r="R253" s="27" t="str">
        <f aca="false">IF($B253="","",IF($L253="","Data Pending",IF($L253&gt;=Instructions!$D$19,"Best Fund",IF($L253&gt;=Instructions!$D$20,"Need to Improve","Not Performing"))))</f>
        <v/>
      </c>
      <c r="S253" s="7" t="str">
        <f aca="false">IF($R253="","",IF($R253="Data Pending","Enter the 3Y return",IF($R253="Best Fund","Hold / consider top-up",IF($R253="Need to Improve","Watch 2 quarters, then decide","Review with client - switch or exit"))))</f>
        <v/>
      </c>
      <c r="T253" s="26"/>
      <c r="U253" s="7" t="str">
        <f aca="false">IF($R253&lt;&gt;"Best Fund","",COUNTIFS($R$6:$R$505,"Best Fund",$L$6:$L$505,"&gt;"&amp;$L253)+COUNTIFS($R$6:$R253,"Best Fund",$L$6:$L253,$L253))</f>
        <v/>
      </c>
      <c r="V253" s="7" t="str">
        <f aca="false">IF($R253&lt;&gt;"Need to Improve","",COUNTIFS($R$6:$R$505,"Need to Improve",$L$6:$L$505,"&lt;"&amp;$L253)+COUNTIFS($R$6:$R253,"Need to Improve",$L$6:$L253,$L253))</f>
        <v/>
      </c>
      <c r="W253" s="7" t="str">
        <f aca="false">IF($R253&lt;&gt;"Not Performing","",COUNTIFS($R$6:$R$505,"Not Performing",$L$6:$L$505,"&lt;"&amp;$L253)+COUNTIFS($R$6:$R253,"Not Performing",$L$6:$L253,$L253))</f>
        <v/>
      </c>
    </row>
    <row r="254" customFormat="false" ht="15" hidden="false" customHeight="true" outlineLevel="0" collapsed="false">
      <c r="A254" s="26"/>
      <c r="B254" s="26"/>
      <c r="C254" s="26"/>
      <c r="D254" s="27" t="str">
        <f aca="false">IF($C254="","",IFERROR(TRIM(LEFT($C254,FIND("-",$C254)-1)),""))</f>
        <v/>
      </c>
      <c r="E254" s="26"/>
      <c r="F254" s="28"/>
      <c r="G254" s="29"/>
      <c r="H254" s="29"/>
      <c r="I254" s="30" t="str">
        <f aca="false">IF($B254="","",$H254-$G254)</f>
        <v/>
      </c>
      <c r="J254" s="31" t="str">
        <f aca="false">IF(OR($B254="",$G254=0,$G254=""),"",$I254/$G254)</f>
        <v/>
      </c>
      <c r="K254" s="32"/>
      <c r="L254" s="32"/>
      <c r="M254" s="32"/>
      <c r="N254" s="32"/>
      <c r="O254" s="32"/>
      <c r="P254" s="31" t="str">
        <f aca="false">IF(OR($L254="",$N254=""),"",$L254-$N254)</f>
        <v/>
      </c>
      <c r="Q254" s="27" t="str">
        <f aca="false">IF($B254="","",IF(N($H254)&gt;0,"Live","Exited"))</f>
        <v/>
      </c>
      <c r="R254" s="27" t="str">
        <f aca="false">IF($B254="","",IF($L254="","Data Pending",IF($L254&gt;=Instructions!$D$19,"Best Fund",IF($L254&gt;=Instructions!$D$20,"Need to Improve","Not Performing"))))</f>
        <v/>
      </c>
      <c r="S254" s="7" t="str">
        <f aca="false">IF($R254="","",IF($R254="Data Pending","Enter the 3Y return",IF($R254="Best Fund","Hold / consider top-up",IF($R254="Need to Improve","Watch 2 quarters, then decide","Review with client - switch or exit"))))</f>
        <v/>
      </c>
      <c r="T254" s="26"/>
      <c r="U254" s="7" t="str">
        <f aca="false">IF($R254&lt;&gt;"Best Fund","",COUNTIFS($R$6:$R$505,"Best Fund",$L$6:$L$505,"&gt;"&amp;$L254)+COUNTIFS($R$6:$R254,"Best Fund",$L$6:$L254,$L254))</f>
        <v/>
      </c>
      <c r="V254" s="7" t="str">
        <f aca="false">IF($R254&lt;&gt;"Need to Improve","",COUNTIFS($R$6:$R$505,"Need to Improve",$L$6:$L$505,"&lt;"&amp;$L254)+COUNTIFS($R$6:$R254,"Need to Improve",$L$6:$L254,$L254))</f>
        <v/>
      </c>
      <c r="W254" s="7" t="str">
        <f aca="false">IF($R254&lt;&gt;"Not Performing","",COUNTIFS($R$6:$R$505,"Not Performing",$L$6:$L$505,"&lt;"&amp;$L254)+COUNTIFS($R$6:$R254,"Not Performing",$L$6:$L254,$L254))</f>
        <v/>
      </c>
    </row>
    <row r="255" customFormat="false" ht="15" hidden="false" customHeight="true" outlineLevel="0" collapsed="false">
      <c r="A255" s="26"/>
      <c r="B255" s="26"/>
      <c r="C255" s="26"/>
      <c r="D255" s="27" t="str">
        <f aca="false">IF($C255="","",IFERROR(TRIM(LEFT($C255,FIND("-",$C255)-1)),""))</f>
        <v/>
      </c>
      <c r="E255" s="26"/>
      <c r="F255" s="28"/>
      <c r="G255" s="29"/>
      <c r="H255" s="29"/>
      <c r="I255" s="30" t="str">
        <f aca="false">IF($B255="","",$H255-$G255)</f>
        <v/>
      </c>
      <c r="J255" s="31" t="str">
        <f aca="false">IF(OR($B255="",$G255=0,$G255=""),"",$I255/$G255)</f>
        <v/>
      </c>
      <c r="K255" s="32"/>
      <c r="L255" s="32"/>
      <c r="M255" s="32"/>
      <c r="N255" s="32"/>
      <c r="O255" s="32"/>
      <c r="P255" s="31" t="str">
        <f aca="false">IF(OR($L255="",$N255=""),"",$L255-$N255)</f>
        <v/>
      </c>
      <c r="Q255" s="27" t="str">
        <f aca="false">IF($B255="","",IF(N($H255)&gt;0,"Live","Exited"))</f>
        <v/>
      </c>
      <c r="R255" s="27" t="str">
        <f aca="false">IF($B255="","",IF($L255="","Data Pending",IF($L255&gt;=Instructions!$D$19,"Best Fund",IF($L255&gt;=Instructions!$D$20,"Need to Improve","Not Performing"))))</f>
        <v/>
      </c>
      <c r="S255" s="7" t="str">
        <f aca="false">IF($R255="","",IF($R255="Data Pending","Enter the 3Y return",IF($R255="Best Fund","Hold / consider top-up",IF($R255="Need to Improve","Watch 2 quarters, then decide","Review with client - switch or exit"))))</f>
        <v/>
      </c>
      <c r="T255" s="26"/>
      <c r="U255" s="7" t="str">
        <f aca="false">IF($R255&lt;&gt;"Best Fund","",COUNTIFS($R$6:$R$505,"Best Fund",$L$6:$L$505,"&gt;"&amp;$L255)+COUNTIFS($R$6:$R255,"Best Fund",$L$6:$L255,$L255))</f>
        <v/>
      </c>
      <c r="V255" s="7" t="str">
        <f aca="false">IF($R255&lt;&gt;"Need to Improve","",COUNTIFS($R$6:$R$505,"Need to Improve",$L$6:$L$505,"&lt;"&amp;$L255)+COUNTIFS($R$6:$R255,"Need to Improve",$L$6:$L255,$L255))</f>
        <v/>
      </c>
      <c r="W255" s="7" t="str">
        <f aca="false">IF($R255&lt;&gt;"Not Performing","",COUNTIFS($R$6:$R$505,"Not Performing",$L$6:$L$505,"&lt;"&amp;$L255)+COUNTIFS($R$6:$R255,"Not Performing",$L$6:$L255,$L255))</f>
        <v/>
      </c>
    </row>
    <row r="256" customFormat="false" ht="15" hidden="false" customHeight="true" outlineLevel="0" collapsed="false">
      <c r="A256" s="26"/>
      <c r="B256" s="26"/>
      <c r="C256" s="26"/>
      <c r="D256" s="27" t="str">
        <f aca="false">IF($C256="","",IFERROR(TRIM(LEFT($C256,FIND("-",$C256)-1)),""))</f>
        <v/>
      </c>
      <c r="E256" s="26"/>
      <c r="F256" s="28"/>
      <c r="G256" s="29"/>
      <c r="H256" s="29"/>
      <c r="I256" s="30" t="str">
        <f aca="false">IF($B256="","",$H256-$G256)</f>
        <v/>
      </c>
      <c r="J256" s="31" t="str">
        <f aca="false">IF(OR($B256="",$G256=0,$G256=""),"",$I256/$G256)</f>
        <v/>
      </c>
      <c r="K256" s="32"/>
      <c r="L256" s="32"/>
      <c r="M256" s="32"/>
      <c r="N256" s="32"/>
      <c r="O256" s="32"/>
      <c r="P256" s="31" t="str">
        <f aca="false">IF(OR($L256="",$N256=""),"",$L256-$N256)</f>
        <v/>
      </c>
      <c r="Q256" s="27" t="str">
        <f aca="false">IF($B256="","",IF(N($H256)&gt;0,"Live","Exited"))</f>
        <v/>
      </c>
      <c r="R256" s="27" t="str">
        <f aca="false">IF($B256="","",IF($L256="","Data Pending",IF($L256&gt;=Instructions!$D$19,"Best Fund",IF($L256&gt;=Instructions!$D$20,"Need to Improve","Not Performing"))))</f>
        <v/>
      </c>
      <c r="S256" s="7" t="str">
        <f aca="false">IF($R256="","",IF($R256="Data Pending","Enter the 3Y return",IF($R256="Best Fund","Hold / consider top-up",IF($R256="Need to Improve","Watch 2 quarters, then decide","Review with client - switch or exit"))))</f>
        <v/>
      </c>
      <c r="T256" s="26"/>
      <c r="U256" s="7" t="str">
        <f aca="false">IF($R256&lt;&gt;"Best Fund","",COUNTIFS($R$6:$R$505,"Best Fund",$L$6:$L$505,"&gt;"&amp;$L256)+COUNTIFS($R$6:$R256,"Best Fund",$L$6:$L256,$L256))</f>
        <v/>
      </c>
      <c r="V256" s="7" t="str">
        <f aca="false">IF($R256&lt;&gt;"Need to Improve","",COUNTIFS($R$6:$R$505,"Need to Improve",$L$6:$L$505,"&lt;"&amp;$L256)+COUNTIFS($R$6:$R256,"Need to Improve",$L$6:$L256,$L256))</f>
        <v/>
      </c>
      <c r="W256" s="7" t="str">
        <f aca="false">IF($R256&lt;&gt;"Not Performing","",COUNTIFS($R$6:$R$505,"Not Performing",$L$6:$L$505,"&lt;"&amp;$L256)+COUNTIFS($R$6:$R256,"Not Performing",$L$6:$L256,$L256))</f>
        <v/>
      </c>
    </row>
    <row r="257" customFormat="false" ht="15" hidden="false" customHeight="true" outlineLevel="0" collapsed="false">
      <c r="A257" s="26"/>
      <c r="B257" s="26"/>
      <c r="C257" s="26"/>
      <c r="D257" s="27" t="str">
        <f aca="false">IF($C257="","",IFERROR(TRIM(LEFT($C257,FIND("-",$C257)-1)),""))</f>
        <v/>
      </c>
      <c r="E257" s="26"/>
      <c r="F257" s="28"/>
      <c r="G257" s="29"/>
      <c r="H257" s="29"/>
      <c r="I257" s="30" t="str">
        <f aca="false">IF($B257="","",$H257-$G257)</f>
        <v/>
      </c>
      <c r="J257" s="31" t="str">
        <f aca="false">IF(OR($B257="",$G257=0,$G257=""),"",$I257/$G257)</f>
        <v/>
      </c>
      <c r="K257" s="32"/>
      <c r="L257" s="32"/>
      <c r="M257" s="32"/>
      <c r="N257" s="32"/>
      <c r="O257" s="32"/>
      <c r="P257" s="31" t="str">
        <f aca="false">IF(OR($L257="",$N257=""),"",$L257-$N257)</f>
        <v/>
      </c>
      <c r="Q257" s="27" t="str">
        <f aca="false">IF($B257="","",IF(N($H257)&gt;0,"Live","Exited"))</f>
        <v/>
      </c>
      <c r="R257" s="27" t="str">
        <f aca="false">IF($B257="","",IF($L257="","Data Pending",IF($L257&gt;=Instructions!$D$19,"Best Fund",IF($L257&gt;=Instructions!$D$20,"Need to Improve","Not Performing"))))</f>
        <v/>
      </c>
      <c r="S257" s="7" t="str">
        <f aca="false">IF($R257="","",IF($R257="Data Pending","Enter the 3Y return",IF($R257="Best Fund","Hold / consider top-up",IF($R257="Need to Improve","Watch 2 quarters, then decide","Review with client - switch or exit"))))</f>
        <v/>
      </c>
      <c r="T257" s="26"/>
      <c r="U257" s="7" t="str">
        <f aca="false">IF($R257&lt;&gt;"Best Fund","",COUNTIFS($R$6:$R$505,"Best Fund",$L$6:$L$505,"&gt;"&amp;$L257)+COUNTIFS($R$6:$R257,"Best Fund",$L$6:$L257,$L257))</f>
        <v/>
      </c>
      <c r="V257" s="7" t="str">
        <f aca="false">IF($R257&lt;&gt;"Need to Improve","",COUNTIFS($R$6:$R$505,"Need to Improve",$L$6:$L$505,"&lt;"&amp;$L257)+COUNTIFS($R$6:$R257,"Need to Improve",$L$6:$L257,$L257))</f>
        <v/>
      </c>
      <c r="W257" s="7" t="str">
        <f aca="false">IF($R257&lt;&gt;"Not Performing","",COUNTIFS($R$6:$R$505,"Not Performing",$L$6:$L$505,"&lt;"&amp;$L257)+COUNTIFS($R$6:$R257,"Not Performing",$L$6:$L257,$L257))</f>
        <v/>
      </c>
    </row>
    <row r="258" customFormat="false" ht="15" hidden="false" customHeight="true" outlineLevel="0" collapsed="false">
      <c r="A258" s="26"/>
      <c r="B258" s="26"/>
      <c r="C258" s="26"/>
      <c r="D258" s="27" t="str">
        <f aca="false">IF($C258="","",IFERROR(TRIM(LEFT($C258,FIND("-",$C258)-1)),""))</f>
        <v/>
      </c>
      <c r="E258" s="26"/>
      <c r="F258" s="28"/>
      <c r="G258" s="29"/>
      <c r="H258" s="29"/>
      <c r="I258" s="30" t="str">
        <f aca="false">IF($B258="","",$H258-$G258)</f>
        <v/>
      </c>
      <c r="J258" s="31" t="str">
        <f aca="false">IF(OR($B258="",$G258=0,$G258=""),"",$I258/$G258)</f>
        <v/>
      </c>
      <c r="K258" s="32"/>
      <c r="L258" s="32"/>
      <c r="M258" s="32"/>
      <c r="N258" s="32"/>
      <c r="O258" s="32"/>
      <c r="P258" s="31" t="str">
        <f aca="false">IF(OR($L258="",$N258=""),"",$L258-$N258)</f>
        <v/>
      </c>
      <c r="Q258" s="27" t="str">
        <f aca="false">IF($B258="","",IF(N($H258)&gt;0,"Live","Exited"))</f>
        <v/>
      </c>
      <c r="R258" s="27" t="str">
        <f aca="false">IF($B258="","",IF($L258="","Data Pending",IF($L258&gt;=Instructions!$D$19,"Best Fund",IF($L258&gt;=Instructions!$D$20,"Need to Improve","Not Performing"))))</f>
        <v/>
      </c>
      <c r="S258" s="7" t="str">
        <f aca="false">IF($R258="","",IF($R258="Data Pending","Enter the 3Y return",IF($R258="Best Fund","Hold / consider top-up",IF($R258="Need to Improve","Watch 2 quarters, then decide","Review with client - switch or exit"))))</f>
        <v/>
      </c>
      <c r="T258" s="26"/>
      <c r="U258" s="7" t="str">
        <f aca="false">IF($R258&lt;&gt;"Best Fund","",COUNTIFS($R$6:$R$505,"Best Fund",$L$6:$L$505,"&gt;"&amp;$L258)+COUNTIFS($R$6:$R258,"Best Fund",$L$6:$L258,$L258))</f>
        <v/>
      </c>
      <c r="V258" s="7" t="str">
        <f aca="false">IF($R258&lt;&gt;"Need to Improve","",COUNTIFS($R$6:$R$505,"Need to Improve",$L$6:$L$505,"&lt;"&amp;$L258)+COUNTIFS($R$6:$R258,"Need to Improve",$L$6:$L258,$L258))</f>
        <v/>
      </c>
      <c r="W258" s="7" t="str">
        <f aca="false">IF($R258&lt;&gt;"Not Performing","",COUNTIFS($R$6:$R$505,"Not Performing",$L$6:$L$505,"&lt;"&amp;$L258)+COUNTIFS($R$6:$R258,"Not Performing",$L$6:$L258,$L258))</f>
        <v/>
      </c>
    </row>
    <row r="259" customFormat="false" ht="15" hidden="false" customHeight="true" outlineLevel="0" collapsed="false">
      <c r="A259" s="26"/>
      <c r="B259" s="26"/>
      <c r="C259" s="26"/>
      <c r="D259" s="27" t="str">
        <f aca="false">IF($C259="","",IFERROR(TRIM(LEFT($C259,FIND("-",$C259)-1)),""))</f>
        <v/>
      </c>
      <c r="E259" s="26"/>
      <c r="F259" s="28"/>
      <c r="G259" s="29"/>
      <c r="H259" s="29"/>
      <c r="I259" s="30" t="str">
        <f aca="false">IF($B259="","",$H259-$G259)</f>
        <v/>
      </c>
      <c r="J259" s="31" t="str">
        <f aca="false">IF(OR($B259="",$G259=0,$G259=""),"",$I259/$G259)</f>
        <v/>
      </c>
      <c r="K259" s="32"/>
      <c r="L259" s="32"/>
      <c r="M259" s="32"/>
      <c r="N259" s="32"/>
      <c r="O259" s="32"/>
      <c r="P259" s="31" t="str">
        <f aca="false">IF(OR($L259="",$N259=""),"",$L259-$N259)</f>
        <v/>
      </c>
      <c r="Q259" s="27" t="str">
        <f aca="false">IF($B259="","",IF(N($H259)&gt;0,"Live","Exited"))</f>
        <v/>
      </c>
      <c r="R259" s="27" t="str">
        <f aca="false">IF($B259="","",IF($L259="","Data Pending",IF($L259&gt;=Instructions!$D$19,"Best Fund",IF($L259&gt;=Instructions!$D$20,"Need to Improve","Not Performing"))))</f>
        <v/>
      </c>
      <c r="S259" s="7" t="str">
        <f aca="false">IF($R259="","",IF($R259="Data Pending","Enter the 3Y return",IF($R259="Best Fund","Hold / consider top-up",IF($R259="Need to Improve","Watch 2 quarters, then decide","Review with client - switch or exit"))))</f>
        <v/>
      </c>
      <c r="T259" s="26"/>
      <c r="U259" s="7" t="str">
        <f aca="false">IF($R259&lt;&gt;"Best Fund","",COUNTIFS($R$6:$R$505,"Best Fund",$L$6:$L$505,"&gt;"&amp;$L259)+COUNTIFS($R$6:$R259,"Best Fund",$L$6:$L259,$L259))</f>
        <v/>
      </c>
      <c r="V259" s="7" t="str">
        <f aca="false">IF($R259&lt;&gt;"Need to Improve","",COUNTIFS($R$6:$R$505,"Need to Improve",$L$6:$L$505,"&lt;"&amp;$L259)+COUNTIFS($R$6:$R259,"Need to Improve",$L$6:$L259,$L259))</f>
        <v/>
      </c>
      <c r="W259" s="7" t="str">
        <f aca="false">IF($R259&lt;&gt;"Not Performing","",COUNTIFS($R$6:$R$505,"Not Performing",$L$6:$L$505,"&lt;"&amp;$L259)+COUNTIFS($R$6:$R259,"Not Performing",$L$6:$L259,$L259))</f>
        <v/>
      </c>
    </row>
    <row r="260" customFormat="false" ht="15" hidden="false" customHeight="true" outlineLevel="0" collapsed="false">
      <c r="A260" s="26"/>
      <c r="B260" s="26"/>
      <c r="C260" s="26"/>
      <c r="D260" s="27" t="str">
        <f aca="false">IF($C260="","",IFERROR(TRIM(LEFT($C260,FIND("-",$C260)-1)),""))</f>
        <v/>
      </c>
      <c r="E260" s="26"/>
      <c r="F260" s="28"/>
      <c r="G260" s="29"/>
      <c r="H260" s="29"/>
      <c r="I260" s="30" t="str">
        <f aca="false">IF($B260="","",$H260-$G260)</f>
        <v/>
      </c>
      <c r="J260" s="31" t="str">
        <f aca="false">IF(OR($B260="",$G260=0,$G260=""),"",$I260/$G260)</f>
        <v/>
      </c>
      <c r="K260" s="32"/>
      <c r="L260" s="32"/>
      <c r="M260" s="32"/>
      <c r="N260" s="32"/>
      <c r="O260" s="32"/>
      <c r="P260" s="31" t="str">
        <f aca="false">IF(OR($L260="",$N260=""),"",$L260-$N260)</f>
        <v/>
      </c>
      <c r="Q260" s="27" t="str">
        <f aca="false">IF($B260="","",IF(N($H260)&gt;0,"Live","Exited"))</f>
        <v/>
      </c>
      <c r="R260" s="27" t="str">
        <f aca="false">IF($B260="","",IF($L260="","Data Pending",IF($L260&gt;=Instructions!$D$19,"Best Fund",IF($L260&gt;=Instructions!$D$20,"Need to Improve","Not Performing"))))</f>
        <v/>
      </c>
      <c r="S260" s="7" t="str">
        <f aca="false">IF($R260="","",IF($R260="Data Pending","Enter the 3Y return",IF($R260="Best Fund","Hold / consider top-up",IF($R260="Need to Improve","Watch 2 quarters, then decide","Review with client - switch or exit"))))</f>
        <v/>
      </c>
      <c r="T260" s="26"/>
      <c r="U260" s="7" t="str">
        <f aca="false">IF($R260&lt;&gt;"Best Fund","",COUNTIFS($R$6:$R$505,"Best Fund",$L$6:$L$505,"&gt;"&amp;$L260)+COUNTIFS($R$6:$R260,"Best Fund",$L$6:$L260,$L260))</f>
        <v/>
      </c>
      <c r="V260" s="7" t="str">
        <f aca="false">IF($R260&lt;&gt;"Need to Improve","",COUNTIFS($R$6:$R$505,"Need to Improve",$L$6:$L$505,"&lt;"&amp;$L260)+COUNTIFS($R$6:$R260,"Need to Improve",$L$6:$L260,$L260))</f>
        <v/>
      </c>
      <c r="W260" s="7" t="str">
        <f aca="false">IF($R260&lt;&gt;"Not Performing","",COUNTIFS($R$6:$R$505,"Not Performing",$L$6:$L$505,"&lt;"&amp;$L260)+COUNTIFS($R$6:$R260,"Not Performing",$L$6:$L260,$L260))</f>
        <v/>
      </c>
    </row>
    <row r="261" customFormat="false" ht="15" hidden="false" customHeight="true" outlineLevel="0" collapsed="false">
      <c r="A261" s="26"/>
      <c r="B261" s="26"/>
      <c r="C261" s="26"/>
      <c r="D261" s="27" t="str">
        <f aca="false">IF($C261="","",IFERROR(TRIM(LEFT($C261,FIND("-",$C261)-1)),""))</f>
        <v/>
      </c>
      <c r="E261" s="26"/>
      <c r="F261" s="28"/>
      <c r="G261" s="29"/>
      <c r="H261" s="29"/>
      <c r="I261" s="30" t="str">
        <f aca="false">IF($B261="","",$H261-$G261)</f>
        <v/>
      </c>
      <c r="J261" s="31" t="str">
        <f aca="false">IF(OR($B261="",$G261=0,$G261=""),"",$I261/$G261)</f>
        <v/>
      </c>
      <c r="K261" s="32"/>
      <c r="L261" s="32"/>
      <c r="M261" s="32"/>
      <c r="N261" s="32"/>
      <c r="O261" s="32"/>
      <c r="P261" s="31" t="str">
        <f aca="false">IF(OR($L261="",$N261=""),"",$L261-$N261)</f>
        <v/>
      </c>
      <c r="Q261" s="27" t="str">
        <f aca="false">IF($B261="","",IF(N($H261)&gt;0,"Live","Exited"))</f>
        <v/>
      </c>
      <c r="R261" s="27" t="str">
        <f aca="false">IF($B261="","",IF($L261="","Data Pending",IF($L261&gt;=Instructions!$D$19,"Best Fund",IF($L261&gt;=Instructions!$D$20,"Need to Improve","Not Performing"))))</f>
        <v/>
      </c>
      <c r="S261" s="7" t="str">
        <f aca="false">IF($R261="","",IF($R261="Data Pending","Enter the 3Y return",IF($R261="Best Fund","Hold / consider top-up",IF($R261="Need to Improve","Watch 2 quarters, then decide","Review with client - switch or exit"))))</f>
        <v/>
      </c>
      <c r="T261" s="26"/>
      <c r="U261" s="7" t="str">
        <f aca="false">IF($R261&lt;&gt;"Best Fund","",COUNTIFS($R$6:$R$505,"Best Fund",$L$6:$L$505,"&gt;"&amp;$L261)+COUNTIFS($R$6:$R261,"Best Fund",$L$6:$L261,$L261))</f>
        <v/>
      </c>
      <c r="V261" s="7" t="str">
        <f aca="false">IF($R261&lt;&gt;"Need to Improve","",COUNTIFS($R$6:$R$505,"Need to Improve",$L$6:$L$505,"&lt;"&amp;$L261)+COUNTIFS($R$6:$R261,"Need to Improve",$L$6:$L261,$L261))</f>
        <v/>
      </c>
      <c r="W261" s="7" t="str">
        <f aca="false">IF($R261&lt;&gt;"Not Performing","",COUNTIFS($R$6:$R$505,"Not Performing",$L$6:$L$505,"&lt;"&amp;$L261)+COUNTIFS($R$6:$R261,"Not Performing",$L$6:$L261,$L261))</f>
        <v/>
      </c>
    </row>
    <row r="262" customFormat="false" ht="15" hidden="false" customHeight="true" outlineLevel="0" collapsed="false">
      <c r="A262" s="26"/>
      <c r="B262" s="26"/>
      <c r="C262" s="26"/>
      <c r="D262" s="27" t="str">
        <f aca="false">IF($C262="","",IFERROR(TRIM(LEFT($C262,FIND("-",$C262)-1)),""))</f>
        <v/>
      </c>
      <c r="E262" s="26"/>
      <c r="F262" s="28"/>
      <c r="G262" s="29"/>
      <c r="H262" s="29"/>
      <c r="I262" s="30" t="str">
        <f aca="false">IF($B262="","",$H262-$G262)</f>
        <v/>
      </c>
      <c r="J262" s="31" t="str">
        <f aca="false">IF(OR($B262="",$G262=0,$G262=""),"",$I262/$G262)</f>
        <v/>
      </c>
      <c r="K262" s="32"/>
      <c r="L262" s="32"/>
      <c r="M262" s="32"/>
      <c r="N262" s="32"/>
      <c r="O262" s="32"/>
      <c r="P262" s="31" t="str">
        <f aca="false">IF(OR($L262="",$N262=""),"",$L262-$N262)</f>
        <v/>
      </c>
      <c r="Q262" s="27" t="str">
        <f aca="false">IF($B262="","",IF(N($H262)&gt;0,"Live","Exited"))</f>
        <v/>
      </c>
      <c r="R262" s="27" t="str">
        <f aca="false">IF($B262="","",IF($L262="","Data Pending",IF($L262&gt;=Instructions!$D$19,"Best Fund",IF($L262&gt;=Instructions!$D$20,"Need to Improve","Not Performing"))))</f>
        <v/>
      </c>
      <c r="S262" s="7" t="str">
        <f aca="false">IF($R262="","",IF($R262="Data Pending","Enter the 3Y return",IF($R262="Best Fund","Hold / consider top-up",IF($R262="Need to Improve","Watch 2 quarters, then decide","Review with client - switch or exit"))))</f>
        <v/>
      </c>
      <c r="T262" s="26"/>
      <c r="U262" s="7" t="str">
        <f aca="false">IF($R262&lt;&gt;"Best Fund","",COUNTIFS($R$6:$R$505,"Best Fund",$L$6:$L$505,"&gt;"&amp;$L262)+COUNTIFS($R$6:$R262,"Best Fund",$L$6:$L262,$L262))</f>
        <v/>
      </c>
      <c r="V262" s="7" t="str">
        <f aca="false">IF($R262&lt;&gt;"Need to Improve","",COUNTIFS($R$6:$R$505,"Need to Improve",$L$6:$L$505,"&lt;"&amp;$L262)+COUNTIFS($R$6:$R262,"Need to Improve",$L$6:$L262,$L262))</f>
        <v/>
      </c>
      <c r="W262" s="7" t="str">
        <f aca="false">IF($R262&lt;&gt;"Not Performing","",COUNTIFS($R$6:$R$505,"Not Performing",$L$6:$L$505,"&lt;"&amp;$L262)+COUNTIFS($R$6:$R262,"Not Performing",$L$6:$L262,$L262))</f>
        <v/>
      </c>
    </row>
    <row r="263" customFormat="false" ht="15" hidden="false" customHeight="true" outlineLevel="0" collapsed="false">
      <c r="A263" s="26"/>
      <c r="B263" s="26"/>
      <c r="C263" s="26"/>
      <c r="D263" s="27" t="str">
        <f aca="false">IF($C263="","",IFERROR(TRIM(LEFT($C263,FIND("-",$C263)-1)),""))</f>
        <v/>
      </c>
      <c r="E263" s="26"/>
      <c r="F263" s="28"/>
      <c r="G263" s="29"/>
      <c r="H263" s="29"/>
      <c r="I263" s="30" t="str">
        <f aca="false">IF($B263="","",$H263-$G263)</f>
        <v/>
      </c>
      <c r="J263" s="31" t="str">
        <f aca="false">IF(OR($B263="",$G263=0,$G263=""),"",$I263/$G263)</f>
        <v/>
      </c>
      <c r="K263" s="32"/>
      <c r="L263" s="32"/>
      <c r="M263" s="32"/>
      <c r="N263" s="32"/>
      <c r="O263" s="32"/>
      <c r="P263" s="31" t="str">
        <f aca="false">IF(OR($L263="",$N263=""),"",$L263-$N263)</f>
        <v/>
      </c>
      <c r="Q263" s="27" t="str">
        <f aca="false">IF($B263="","",IF(N($H263)&gt;0,"Live","Exited"))</f>
        <v/>
      </c>
      <c r="R263" s="27" t="str">
        <f aca="false">IF($B263="","",IF($L263="","Data Pending",IF($L263&gt;=Instructions!$D$19,"Best Fund",IF($L263&gt;=Instructions!$D$20,"Need to Improve","Not Performing"))))</f>
        <v/>
      </c>
      <c r="S263" s="7" t="str">
        <f aca="false">IF($R263="","",IF($R263="Data Pending","Enter the 3Y return",IF($R263="Best Fund","Hold / consider top-up",IF($R263="Need to Improve","Watch 2 quarters, then decide","Review with client - switch or exit"))))</f>
        <v/>
      </c>
      <c r="T263" s="26"/>
      <c r="U263" s="7" t="str">
        <f aca="false">IF($R263&lt;&gt;"Best Fund","",COUNTIFS($R$6:$R$505,"Best Fund",$L$6:$L$505,"&gt;"&amp;$L263)+COUNTIFS($R$6:$R263,"Best Fund",$L$6:$L263,$L263))</f>
        <v/>
      </c>
      <c r="V263" s="7" t="str">
        <f aca="false">IF($R263&lt;&gt;"Need to Improve","",COUNTIFS($R$6:$R$505,"Need to Improve",$L$6:$L$505,"&lt;"&amp;$L263)+COUNTIFS($R$6:$R263,"Need to Improve",$L$6:$L263,$L263))</f>
        <v/>
      </c>
      <c r="W263" s="7" t="str">
        <f aca="false">IF($R263&lt;&gt;"Not Performing","",COUNTIFS($R$6:$R$505,"Not Performing",$L$6:$L$505,"&lt;"&amp;$L263)+COUNTIFS($R$6:$R263,"Not Performing",$L$6:$L263,$L263))</f>
        <v/>
      </c>
    </row>
    <row r="264" customFormat="false" ht="15" hidden="false" customHeight="true" outlineLevel="0" collapsed="false">
      <c r="A264" s="26"/>
      <c r="B264" s="26"/>
      <c r="C264" s="26"/>
      <c r="D264" s="27" t="str">
        <f aca="false">IF($C264="","",IFERROR(TRIM(LEFT($C264,FIND("-",$C264)-1)),""))</f>
        <v/>
      </c>
      <c r="E264" s="26"/>
      <c r="F264" s="28"/>
      <c r="G264" s="29"/>
      <c r="H264" s="29"/>
      <c r="I264" s="30" t="str">
        <f aca="false">IF($B264="","",$H264-$G264)</f>
        <v/>
      </c>
      <c r="J264" s="31" t="str">
        <f aca="false">IF(OR($B264="",$G264=0,$G264=""),"",$I264/$G264)</f>
        <v/>
      </c>
      <c r="K264" s="32"/>
      <c r="L264" s="32"/>
      <c r="M264" s="32"/>
      <c r="N264" s="32"/>
      <c r="O264" s="32"/>
      <c r="P264" s="31" t="str">
        <f aca="false">IF(OR($L264="",$N264=""),"",$L264-$N264)</f>
        <v/>
      </c>
      <c r="Q264" s="27" t="str">
        <f aca="false">IF($B264="","",IF(N($H264)&gt;0,"Live","Exited"))</f>
        <v/>
      </c>
      <c r="R264" s="27" t="str">
        <f aca="false">IF($B264="","",IF($L264="","Data Pending",IF($L264&gt;=Instructions!$D$19,"Best Fund",IF($L264&gt;=Instructions!$D$20,"Need to Improve","Not Performing"))))</f>
        <v/>
      </c>
      <c r="S264" s="7" t="str">
        <f aca="false">IF($R264="","",IF($R264="Data Pending","Enter the 3Y return",IF($R264="Best Fund","Hold / consider top-up",IF($R264="Need to Improve","Watch 2 quarters, then decide","Review with client - switch or exit"))))</f>
        <v/>
      </c>
      <c r="T264" s="26"/>
      <c r="U264" s="7" t="str">
        <f aca="false">IF($R264&lt;&gt;"Best Fund","",COUNTIFS($R$6:$R$505,"Best Fund",$L$6:$L$505,"&gt;"&amp;$L264)+COUNTIFS($R$6:$R264,"Best Fund",$L$6:$L264,$L264))</f>
        <v/>
      </c>
      <c r="V264" s="7" t="str">
        <f aca="false">IF($R264&lt;&gt;"Need to Improve","",COUNTIFS($R$6:$R$505,"Need to Improve",$L$6:$L$505,"&lt;"&amp;$L264)+COUNTIFS($R$6:$R264,"Need to Improve",$L$6:$L264,$L264))</f>
        <v/>
      </c>
      <c r="W264" s="7" t="str">
        <f aca="false">IF($R264&lt;&gt;"Not Performing","",COUNTIFS($R$6:$R$505,"Not Performing",$L$6:$L$505,"&lt;"&amp;$L264)+COUNTIFS($R$6:$R264,"Not Performing",$L$6:$L264,$L264))</f>
        <v/>
      </c>
    </row>
    <row r="265" customFormat="false" ht="15" hidden="false" customHeight="true" outlineLevel="0" collapsed="false">
      <c r="A265" s="26"/>
      <c r="B265" s="26"/>
      <c r="C265" s="26"/>
      <c r="D265" s="27" t="str">
        <f aca="false">IF($C265="","",IFERROR(TRIM(LEFT($C265,FIND("-",$C265)-1)),""))</f>
        <v/>
      </c>
      <c r="E265" s="26"/>
      <c r="F265" s="28"/>
      <c r="G265" s="29"/>
      <c r="H265" s="29"/>
      <c r="I265" s="30" t="str">
        <f aca="false">IF($B265="","",$H265-$G265)</f>
        <v/>
      </c>
      <c r="J265" s="31" t="str">
        <f aca="false">IF(OR($B265="",$G265=0,$G265=""),"",$I265/$G265)</f>
        <v/>
      </c>
      <c r="K265" s="32"/>
      <c r="L265" s="32"/>
      <c r="M265" s="32"/>
      <c r="N265" s="32"/>
      <c r="O265" s="32"/>
      <c r="P265" s="31" t="str">
        <f aca="false">IF(OR($L265="",$N265=""),"",$L265-$N265)</f>
        <v/>
      </c>
      <c r="Q265" s="27" t="str">
        <f aca="false">IF($B265="","",IF(N($H265)&gt;0,"Live","Exited"))</f>
        <v/>
      </c>
      <c r="R265" s="27" t="str">
        <f aca="false">IF($B265="","",IF($L265="","Data Pending",IF($L265&gt;=Instructions!$D$19,"Best Fund",IF($L265&gt;=Instructions!$D$20,"Need to Improve","Not Performing"))))</f>
        <v/>
      </c>
      <c r="S265" s="7" t="str">
        <f aca="false">IF($R265="","",IF($R265="Data Pending","Enter the 3Y return",IF($R265="Best Fund","Hold / consider top-up",IF($R265="Need to Improve","Watch 2 quarters, then decide","Review with client - switch or exit"))))</f>
        <v/>
      </c>
      <c r="T265" s="26"/>
      <c r="U265" s="7" t="str">
        <f aca="false">IF($R265&lt;&gt;"Best Fund","",COUNTIFS($R$6:$R$505,"Best Fund",$L$6:$L$505,"&gt;"&amp;$L265)+COUNTIFS($R$6:$R265,"Best Fund",$L$6:$L265,$L265))</f>
        <v/>
      </c>
      <c r="V265" s="7" t="str">
        <f aca="false">IF($R265&lt;&gt;"Need to Improve","",COUNTIFS($R$6:$R$505,"Need to Improve",$L$6:$L$505,"&lt;"&amp;$L265)+COUNTIFS($R$6:$R265,"Need to Improve",$L$6:$L265,$L265))</f>
        <v/>
      </c>
      <c r="W265" s="7" t="str">
        <f aca="false">IF($R265&lt;&gt;"Not Performing","",COUNTIFS($R$6:$R$505,"Not Performing",$L$6:$L$505,"&lt;"&amp;$L265)+COUNTIFS($R$6:$R265,"Not Performing",$L$6:$L265,$L265))</f>
        <v/>
      </c>
    </row>
    <row r="266" customFormat="false" ht="15" hidden="false" customHeight="true" outlineLevel="0" collapsed="false">
      <c r="A266" s="26"/>
      <c r="B266" s="26"/>
      <c r="C266" s="26"/>
      <c r="D266" s="27" t="str">
        <f aca="false">IF($C266="","",IFERROR(TRIM(LEFT($C266,FIND("-",$C266)-1)),""))</f>
        <v/>
      </c>
      <c r="E266" s="26"/>
      <c r="F266" s="28"/>
      <c r="G266" s="29"/>
      <c r="H266" s="29"/>
      <c r="I266" s="30" t="str">
        <f aca="false">IF($B266="","",$H266-$G266)</f>
        <v/>
      </c>
      <c r="J266" s="31" t="str">
        <f aca="false">IF(OR($B266="",$G266=0,$G266=""),"",$I266/$G266)</f>
        <v/>
      </c>
      <c r="K266" s="32"/>
      <c r="L266" s="32"/>
      <c r="M266" s="32"/>
      <c r="N266" s="32"/>
      <c r="O266" s="32"/>
      <c r="P266" s="31" t="str">
        <f aca="false">IF(OR($L266="",$N266=""),"",$L266-$N266)</f>
        <v/>
      </c>
      <c r="Q266" s="27" t="str">
        <f aca="false">IF($B266="","",IF(N($H266)&gt;0,"Live","Exited"))</f>
        <v/>
      </c>
      <c r="R266" s="27" t="str">
        <f aca="false">IF($B266="","",IF($L266="","Data Pending",IF($L266&gt;=Instructions!$D$19,"Best Fund",IF($L266&gt;=Instructions!$D$20,"Need to Improve","Not Performing"))))</f>
        <v/>
      </c>
      <c r="S266" s="7" t="str">
        <f aca="false">IF($R266="","",IF($R266="Data Pending","Enter the 3Y return",IF($R266="Best Fund","Hold / consider top-up",IF($R266="Need to Improve","Watch 2 quarters, then decide","Review with client - switch or exit"))))</f>
        <v/>
      </c>
      <c r="T266" s="26"/>
      <c r="U266" s="7" t="str">
        <f aca="false">IF($R266&lt;&gt;"Best Fund","",COUNTIFS($R$6:$R$505,"Best Fund",$L$6:$L$505,"&gt;"&amp;$L266)+COUNTIFS($R$6:$R266,"Best Fund",$L$6:$L266,$L266))</f>
        <v/>
      </c>
      <c r="V266" s="7" t="str">
        <f aca="false">IF($R266&lt;&gt;"Need to Improve","",COUNTIFS($R$6:$R$505,"Need to Improve",$L$6:$L$505,"&lt;"&amp;$L266)+COUNTIFS($R$6:$R266,"Need to Improve",$L$6:$L266,$L266))</f>
        <v/>
      </c>
      <c r="W266" s="7" t="str">
        <f aca="false">IF($R266&lt;&gt;"Not Performing","",COUNTIFS($R$6:$R$505,"Not Performing",$L$6:$L$505,"&lt;"&amp;$L266)+COUNTIFS($R$6:$R266,"Not Performing",$L$6:$L266,$L266))</f>
        <v/>
      </c>
    </row>
    <row r="267" customFormat="false" ht="15" hidden="false" customHeight="true" outlineLevel="0" collapsed="false">
      <c r="A267" s="26"/>
      <c r="B267" s="26"/>
      <c r="C267" s="26"/>
      <c r="D267" s="27" t="str">
        <f aca="false">IF($C267="","",IFERROR(TRIM(LEFT($C267,FIND("-",$C267)-1)),""))</f>
        <v/>
      </c>
      <c r="E267" s="26"/>
      <c r="F267" s="28"/>
      <c r="G267" s="29"/>
      <c r="H267" s="29"/>
      <c r="I267" s="30" t="str">
        <f aca="false">IF($B267="","",$H267-$G267)</f>
        <v/>
      </c>
      <c r="J267" s="31" t="str">
        <f aca="false">IF(OR($B267="",$G267=0,$G267=""),"",$I267/$G267)</f>
        <v/>
      </c>
      <c r="K267" s="32"/>
      <c r="L267" s="32"/>
      <c r="M267" s="32"/>
      <c r="N267" s="32"/>
      <c r="O267" s="32"/>
      <c r="P267" s="31" t="str">
        <f aca="false">IF(OR($L267="",$N267=""),"",$L267-$N267)</f>
        <v/>
      </c>
      <c r="Q267" s="27" t="str">
        <f aca="false">IF($B267="","",IF(N($H267)&gt;0,"Live","Exited"))</f>
        <v/>
      </c>
      <c r="R267" s="27" t="str">
        <f aca="false">IF($B267="","",IF($L267="","Data Pending",IF($L267&gt;=Instructions!$D$19,"Best Fund",IF($L267&gt;=Instructions!$D$20,"Need to Improve","Not Performing"))))</f>
        <v/>
      </c>
      <c r="S267" s="7" t="str">
        <f aca="false">IF($R267="","",IF($R267="Data Pending","Enter the 3Y return",IF($R267="Best Fund","Hold / consider top-up",IF($R267="Need to Improve","Watch 2 quarters, then decide","Review with client - switch or exit"))))</f>
        <v/>
      </c>
      <c r="T267" s="26"/>
      <c r="U267" s="7" t="str">
        <f aca="false">IF($R267&lt;&gt;"Best Fund","",COUNTIFS($R$6:$R$505,"Best Fund",$L$6:$L$505,"&gt;"&amp;$L267)+COUNTIFS($R$6:$R267,"Best Fund",$L$6:$L267,$L267))</f>
        <v/>
      </c>
      <c r="V267" s="7" t="str">
        <f aca="false">IF($R267&lt;&gt;"Need to Improve","",COUNTIFS($R$6:$R$505,"Need to Improve",$L$6:$L$505,"&lt;"&amp;$L267)+COUNTIFS($R$6:$R267,"Need to Improve",$L$6:$L267,$L267))</f>
        <v/>
      </c>
      <c r="W267" s="7" t="str">
        <f aca="false">IF($R267&lt;&gt;"Not Performing","",COUNTIFS($R$6:$R$505,"Not Performing",$L$6:$L$505,"&lt;"&amp;$L267)+COUNTIFS($R$6:$R267,"Not Performing",$L$6:$L267,$L267))</f>
        <v/>
      </c>
    </row>
    <row r="268" customFormat="false" ht="15" hidden="false" customHeight="true" outlineLevel="0" collapsed="false">
      <c r="A268" s="26"/>
      <c r="B268" s="26"/>
      <c r="C268" s="26"/>
      <c r="D268" s="27" t="str">
        <f aca="false">IF($C268="","",IFERROR(TRIM(LEFT($C268,FIND("-",$C268)-1)),""))</f>
        <v/>
      </c>
      <c r="E268" s="26"/>
      <c r="F268" s="28"/>
      <c r="G268" s="29"/>
      <c r="H268" s="29"/>
      <c r="I268" s="30" t="str">
        <f aca="false">IF($B268="","",$H268-$G268)</f>
        <v/>
      </c>
      <c r="J268" s="31" t="str">
        <f aca="false">IF(OR($B268="",$G268=0,$G268=""),"",$I268/$G268)</f>
        <v/>
      </c>
      <c r="K268" s="32"/>
      <c r="L268" s="32"/>
      <c r="M268" s="32"/>
      <c r="N268" s="32"/>
      <c r="O268" s="32"/>
      <c r="P268" s="31" t="str">
        <f aca="false">IF(OR($L268="",$N268=""),"",$L268-$N268)</f>
        <v/>
      </c>
      <c r="Q268" s="27" t="str">
        <f aca="false">IF($B268="","",IF(N($H268)&gt;0,"Live","Exited"))</f>
        <v/>
      </c>
      <c r="R268" s="27" t="str">
        <f aca="false">IF($B268="","",IF($L268="","Data Pending",IF($L268&gt;=Instructions!$D$19,"Best Fund",IF($L268&gt;=Instructions!$D$20,"Need to Improve","Not Performing"))))</f>
        <v/>
      </c>
      <c r="S268" s="7" t="str">
        <f aca="false">IF($R268="","",IF($R268="Data Pending","Enter the 3Y return",IF($R268="Best Fund","Hold / consider top-up",IF($R268="Need to Improve","Watch 2 quarters, then decide","Review with client - switch or exit"))))</f>
        <v/>
      </c>
      <c r="T268" s="26"/>
      <c r="U268" s="7" t="str">
        <f aca="false">IF($R268&lt;&gt;"Best Fund","",COUNTIFS($R$6:$R$505,"Best Fund",$L$6:$L$505,"&gt;"&amp;$L268)+COUNTIFS($R$6:$R268,"Best Fund",$L$6:$L268,$L268))</f>
        <v/>
      </c>
      <c r="V268" s="7" t="str">
        <f aca="false">IF($R268&lt;&gt;"Need to Improve","",COUNTIFS($R$6:$R$505,"Need to Improve",$L$6:$L$505,"&lt;"&amp;$L268)+COUNTIFS($R$6:$R268,"Need to Improve",$L$6:$L268,$L268))</f>
        <v/>
      </c>
      <c r="W268" s="7" t="str">
        <f aca="false">IF($R268&lt;&gt;"Not Performing","",COUNTIFS($R$6:$R$505,"Not Performing",$L$6:$L$505,"&lt;"&amp;$L268)+COUNTIFS($R$6:$R268,"Not Performing",$L$6:$L268,$L268))</f>
        <v/>
      </c>
    </row>
    <row r="269" customFormat="false" ht="15" hidden="false" customHeight="true" outlineLevel="0" collapsed="false">
      <c r="A269" s="26"/>
      <c r="B269" s="26"/>
      <c r="C269" s="26"/>
      <c r="D269" s="27" t="str">
        <f aca="false">IF($C269="","",IFERROR(TRIM(LEFT($C269,FIND("-",$C269)-1)),""))</f>
        <v/>
      </c>
      <c r="E269" s="26"/>
      <c r="F269" s="28"/>
      <c r="G269" s="29"/>
      <c r="H269" s="29"/>
      <c r="I269" s="30" t="str">
        <f aca="false">IF($B269="","",$H269-$G269)</f>
        <v/>
      </c>
      <c r="J269" s="31" t="str">
        <f aca="false">IF(OR($B269="",$G269=0,$G269=""),"",$I269/$G269)</f>
        <v/>
      </c>
      <c r="K269" s="32"/>
      <c r="L269" s="32"/>
      <c r="M269" s="32"/>
      <c r="N269" s="32"/>
      <c r="O269" s="32"/>
      <c r="P269" s="31" t="str">
        <f aca="false">IF(OR($L269="",$N269=""),"",$L269-$N269)</f>
        <v/>
      </c>
      <c r="Q269" s="27" t="str">
        <f aca="false">IF($B269="","",IF(N($H269)&gt;0,"Live","Exited"))</f>
        <v/>
      </c>
      <c r="R269" s="27" t="str">
        <f aca="false">IF($B269="","",IF($L269="","Data Pending",IF($L269&gt;=Instructions!$D$19,"Best Fund",IF($L269&gt;=Instructions!$D$20,"Need to Improve","Not Performing"))))</f>
        <v/>
      </c>
      <c r="S269" s="7" t="str">
        <f aca="false">IF($R269="","",IF($R269="Data Pending","Enter the 3Y return",IF($R269="Best Fund","Hold / consider top-up",IF($R269="Need to Improve","Watch 2 quarters, then decide","Review with client - switch or exit"))))</f>
        <v/>
      </c>
      <c r="T269" s="26"/>
      <c r="U269" s="7" t="str">
        <f aca="false">IF($R269&lt;&gt;"Best Fund","",COUNTIFS($R$6:$R$505,"Best Fund",$L$6:$L$505,"&gt;"&amp;$L269)+COUNTIFS($R$6:$R269,"Best Fund",$L$6:$L269,$L269))</f>
        <v/>
      </c>
      <c r="V269" s="7" t="str">
        <f aca="false">IF($R269&lt;&gt;"Need to Improve","",COUNTIFS($R$6:$R$505,"Need to Improve",$L$6:$L$505,"&lt;"&amp;$L269)+COUNTIFS($R$6:$R269,"Need to Improve",$L$6:$L269,$L269))</f>
        <v/>
      </c>
      <c r="W269" s="7" t="str">
        <f aca="false">IF($R269&lt;&gt;"Not Performing","",COUNTIFS($R$6:$R$505,"Not Performing",$L$6:$L$505,"&lt;"&amp;$L269)+COUNTIFS($R$6:$R269,"Not Performing",$L$6:$L269,$L269))</f>
        <v/>
      </c>
    </row>
    <row r="270" customFormat="false" ht="15" hidden="false" customHeight="true" outlineLevel="0" collapsed="false">
      <c r="A270" s="26"/>
      <c r="B270" s="26"/>
      <c r="C270" s="26"/>
      <c r="D270" s="27" t="str">
        <f aca="false">IF($C270="","",IFERROR(TRIM(LEFT($C270,FIND("-",$C270)-1)),""))</f>
        <v/>
      </c>
      <c r="E270" s="26"/>
      <c r="F270" s="28"/>
      <c r="G270" s="29"/>
      <c r="H270" s="29"/>
      <c r="I270" s="30" t="str">
        <f aca="false">IF($B270="","",$H270-$G270)</f>
        <v/>
      </c>
      <c r="J270" s="31" t="str">
        <f aca="false">IF(OR($B270="",$G270=0,$G270=""),"",$I270/$G270)</f>
        <v/>
      </c>
      <c r="K270" s="32"/>
      <c r="L270" s="32"/>
      <c r="M270" s="32"/>
      <c r="N270" s="32"/>
      <c r="O270" s="32"/>
      <c r="P270" s="31" t="str">
        <f aca="false">IF(OR($L270="",$N270=""),"",$L270-$N270)</f>
        <v/>
      </c>
      <c r="Q270" s="27" t="str">
        <f aca="false">IF($B270="","",IF(N($H270)&gt;0,"Live","Exited"))</f>
        <v/>
      </c>
      <c r="R270" s="27" t="str">
        <f aca="false">IF($B270="","",IF($L270="","Data Pending",IF($L270&gt;=Instructions!$D$19,"Best Fund",IF($L270&gt;=Instructions!$D$20,"Need to Improve","Not Performing"))))</f>
        <v/>
      </c>
      <c r="S270" s="7" t="str">
        <f aca="false">IF($R270="","",IF($R270="Data Pending","Enter the 3Y return",IF($R270="Best Fund","Hold / consider top-up",IF($R270="Need to Improve","Watch 2 quarters, then decide","Review with client - switch or exit"))))</f>
        <v/>
      </c>
      <c r="T270" s="26"/>
      <c r="U270" s="7" t="str">
        <f aca="false">IF($R270&lt;&gt;"Best Fund","",COUNTIFS($R$6:$R$505,"Best Fund",$L$6:$L$505,"&gt;"&amp;$L270)+COUNTIFS($R$6:$R270,"Best Fund",$L$6:$L270,$L270))</f>
        <v/>
      </c>
      <c r="V270" s="7" t="str">
        <f aca="false">IF($R270&lt;&gt;"Need to Improve","",COUNTIFS($R$6:$R$505,"Need to Improve",$L$6:$L$505,"&lt;"&amp;$L270)+COUNTIFS($R$6:$R270,"Need to Improve",$L$6:$L270,$L270))</f>
        <v/>
      </c>
      <c r="W270" s="7" t="str">
        <f aca="false">IF($R270&lt;&gt;"Not Performing","",COUNTIFS($R$6:$R$505,"Not Performing",$L$6:$L$505,"&lt;"&amp;$L270)+COUNTIFS($R$6:$R270,"Not Performing",$L$6:$L270,$L270))</f>
        <v/>
      </c>
    </row>
    <row r="271" customFormat="false" ht="15" hidden="false" customHeight="true" outlineLevel="0" collapsed="false">
      <c r="A271" s="26"/>
      <c r="B271" s="26"/>
      <c r="C271" s="26"/>
      <c r="D271" s="27" t="str">
        <f aca="false">IF($C271="","",IFERROR(TRIM(LEFT($C271,FIND("-",$C271)-1)),""))</f>
        <v/>
      </c>
      <c r="E271" s="26"/>
      <c r="F271" s="28"/>
      <c r="G271" s="29"/>
      <c r="H271" s="29"/>
      <c r="I271" s="30" t="str">
        <f aca="false">IF($B271="","",$H271-$G271)</f>
        <v/>
      </c>
      <c r="J271" s="31" t="str">
        <f aca="false">IF(OR($B271="",$G271=0,$G271=""),"",$I271/$G271)</f>
        <v/>
      </c>
      <c r="K271" s="32"/>
      <c r="L271" s="32"/>
      <c r="M271" s="32"/>
      <c r="N271" s="32"/>
      <c r="O271" s="32"/>
      <c r="P271" s="31" t="str">
        <f aca="false">IF(OR($L271="",$N271=""),"",$L271-$N271)</f>
        <v/>
      </c>
      <c r="Q271" s="27" t="str">
        <f aca="false">IF($B271="","",IF(N($H271)&gt;0,"Live","Exited"))</f>
        <v/>
      </c>
      <c r="R271" s="27" t="str">
        <f aca="false">IF($B271="","",IF($L271="","Data Pending",IF($L271&gt;=Instructions!$D$19,"Best Fund",IF($L271&gt;=Instructions!$D$20,"Need to Improve","Not Performing"))))</f>
        <v/>
      </c>
      <c r="S271" s="7" t="str">
        <f aca="false">IF($R271="","",IF($R271="Data Pending","Enter the 3Y return",IF($R271="Best Fund","Hold / consider top-up",IF($R271="Need to Improve","Watch 2 quarters, then decide","Review with client - switch or exit"))))</f>
        <v/>
      </c>
      <c r="T271" s="26"/>
      <c r="U271" s="7" t="str">
        <f aca="false">IF($R271&lt;&gt;"Best Fund","",COUNTIFS($R$6:$R$505,"Best Fund",$L$6:$L$505,"&gt;"&amp;$L271)+COUNTIFS($R$6:$R271,"Best Fund",$L$6:$L271,$L271))</f>
        <v/>
      </c>
      <c r="V271" s="7" t="str">
        <f aca="false">IF($R271&lt;&gt;"Need to Improve","",COUNTIFS($R$6:$R$505,"Need to Improve",$L$6:$L$505,"&lt;"&amp;$L271)+COUNTIFS($R$6:$R271,"Need to Improve",$L$6:$L271,$L271))</f>
        <v/>
      </c>
      <c r="W271" s="7" t="str">
        <f aca="false">IF($R271&lt;&gt;"Not Performing","",COUNTIFS($R$6:$R$505,"Not Performing",$L$6:$L$505,"&lt;"&amp;$L271)+COUNTIFS($R$6:$R271,"Not Performing",$L$6:$L271,$L271))</f>
        <v/>
      </c>
    </row>
    <row r="272" customFormat="false" ht="15" hidden="false" customHeight="true" outlineLevel="0" collapsed="false">
      <c r="A272" s="26"/>
      <c r="B272" s="26"/>
      <c r="C272" s="26"/>
      <c r="D272" s="27" t="str">
        <f aca="false">IF($C272="","",IFERROR(TRIM(LEFT($C272,FIND("-",$C272)-1)),""))</f>
        <v/>
      </c>
      <c r="E272" s="26"/>
      <c r="F272" s="28"/>
      <c r="G272" s="29"/>
      <c r="H272" s="29"/>
      <c r="I272" s="30" t="str">
        <f aca="false">IF($B272="","",$H272-$G272)</f>
        <v/>
      </c>
      <c r="J272" s="31" t="str">
        <f aca="false">IF(OR($B272="",$G272=0,$G272=""),"",$I272/$G272)</f>
        <v/>
      </c>
      <c r="K272" s="32"/>
      <c r="L272" s="32"/>
      <c r="M272" s="32"/>
      <c r="N272" s="32"/>
      <c r="O272" s="32"/>
      <c r="P272" s="31" t="str">
        <f aca="false">IF(OR($L272="",$N272=""),"",$L272-$N272)</f>
        <v/>
      </c>
      <c r="Q272" s="27" t="str">
        <f aca="false">IF($B272="","",IF(N($H272)&gt;0,"Live","Exited"))</f>
        <v/>
      </c>
      <c r="R272" s="27" t="str">
        <f aca="false">IF($B272="","",IF($L272="","Data Pending",IF($L272&gt;=Instructions!$D$19,"Best Fund",IF($L272&gt;=Instructions!$D$20,"Need to Improve","Not Performing"))))</f>
        <v/>
      </c>
      <c r="S272" s="7" t="str">
        <f aca="false">IF($R272="","",IF($R272="Data Pending","Enter the 3Y return",IF($R272="Best Fund","Hold / consider top-up",IF($R272="Need to Improve","Watch 2 quarters, then decide","Review with client - switch or exit"))))</f>
        <v/>
      </c>
      <c r="T272" s="26"/>
      <c r="U272" s="7" t="str">
        <f aca="false">IF($R272&lt;&gt;"Best Fund","",COUNTIFS($R$6:$R$505,"Best Fund",$L$6:$L$505,"&gt;"&amp;$L272)+COUNTIFS($R$6:$R272,"Best Fund",$L$6:$L272,$L272))</f>
        <v/>
      </c>
      <c r="V272" s="7" t="str">
        <f aca="false">IF($R272&lt;&gt;"Need to Improve","",COUNTIFS($R$6:$R$505,"Need to Improve",$L$6:$L$505,"&lt;"&amp;$L272)+COUNTIFS($R$6:$R272,"Need to Improve",$L$6:$L272,$L272))</f>
        <v/>
      </c>
      <c r="W272" s="7" t="str">
        <f aca="false">IF($R272&lt;&gt;"Not Performing","",COUNTIFS($R$6:$R$505,"Not Performing",$L$6:$L$505,"&lt;"&amp;$L272)+COUNTIFS($R$6:$R272,"Not Performing",$L$6:$L272,$L272))</f>
        <v/>
      </c>
    </row>
    <row r="273" customFormat="false" ht="15" hidden="false" customHeight="true" outlineLevel="0" collapsed="false">
      <c r="A273" s="26"/>
      <c r="B273" s="26"/>
      <c r="C273" s="26"/>
      <c r="D273" s="27" t="str">
        <f aca="false">IF($C273="","",IFERROR(TRIM(LEFT($C273,FIND("-",$C273)-1)),""))</f>
        <v/>
      </c>
      <c r="E273" s="26"/>
      <c r="F273" s="28"/>
      <c r="G273" s="29"/>
      <c r="H273" s="29"/>
      <c r="I273" s="30" t="str">
        <f aca="false">IF($B273="","",$H273-$G273)</f>
        <v/>
      </c>
      <c r="J273" s="31" t="str">
        <f aca="false">IF(OR($B273="",$G273=0,$G273=""),"",$I273/$G273)</f>
        <v/>
      </c>
      <c r="K273" s="32"/>
      <c r="L273" s="32"/>
      <c r="M273" s="32"/>
      <c r="N273" s="32"/>
      <c r="O273" s="32"/>
      <c r="P273" s="31" t="str">
        <f aca="false">IF(OR($L273="",$N273=""),"",$L273-$N273)</f>
        <v/>
      </c>
      <c r="Q273" s="27" t="str">
        <f aca="false">IF($B273="","",IF(N($H273)&gt;0,"Live","Exited"))</f>
        <v/>
      </c>
      <c r="R273" s="27" t="str">
        <f aca="false">IF($B273="","",IF($L273="","Data Pending",IF($L273&gt;=Instructions!$D$19,"Best Fund",IF($L273&gt;=Instructions!$D$20,"Need to Improve","Not Performing"))))</f>
        <v/>
      </c>
      <c r="S273" s="7" t="str">
        <f aca="false">IF($R273="","",IF($R273="Data Pending","Enter the 3Y return",IF($R273="Best Fund","Hold / consider top-up",IF($R273="Need to Improve","Watch 2 quarters, then decide","Review with client - switch or exit"))))</f>
        <v/>
      </c>
      <c r="T273" s="26"/>
      <c r="U273" s="7" t="str">
        <f aca="false">IF($R273&lt;&gt;"Best Fund","",COUNTIFS($R$6:$R$505,"Best Fund",$L$6:$L$505,"&gt;"&amp;$L273)+COUNTIFS($R$6:$R273,"Best Fund",$L$6:$L273,$L273))</f>
        <v/>
      </c>
      <c r="V273" s="7" t="str">
        <f aca="false">IF($R273&lt;&gt;"Need to Improve","",COUNTIFS($R$6:$R$505,"Need to Improve",$L$6:$L$505,"&lt;"&amp;$L273)+COUNTIFS($R$6:$R273,"Need to Improve",$L$6:$L273,$L273))</f>
        <v/>
      </c>
      <c r="W273" s="7" t="str">
        <f aca="false">IF($R273&lt;&gt;"Not Performing","",COUNTIFS($R$6:$R$505,"Not Performing",$L$6:$L$505,"&lt;"&amp;$L273)+COUNTIFS($R$6:$R273,"Not Performing",$L$6:$L273,$L273))</f>
        <v/>
      </c>
    </row>
    <row r="274" customFormat="false" ht="15" hidden="false" customHeight="true" outlineLevel="0" collapsed="false">
      <c r="A274" s="26"/>
      <c r="B274" s="26"/>
      <c r="C274" s="26"/>
      <c r="D274" s="27" t="str">
        <f aca="false">IF($C274="","",IFERROR(TRIM(LEFT($C274,FIND("-",$C274)-1)),""))</f>
        <v/>
      </c>
      <c r="E274" s="26"/>
      <c r="F274" s="28"/>
      <c r="G274" s="29"/>
      <c r="H274" s="29"/>
      <c r="I274" s="30" t="str">
        <f aca="false">IF($B274="","",$H274-$G274)</f>
        <v/>
      </c>
      <c r="J274" s="31" t="str">
        <f aca="false">IF(OR($B274="",$G274=0,$G274=""),"",$I274/$G274)</f>
        <v/>
      </c>
      <c r="K274" s="32"/>
      <c r="L274" s="32"/>
      <c r="M274" s="32"/>
      <c r="N274" s="32"/>
      <c r="O274" s="32"/>
      <c r="P274" s="31" t="str">
        <f aca="false">IF(OR($L274="",$N274=""),"",$L274-$N274)</f>
        <v/>
      </c>
      <c r="Q274" s="27" t="str">
        <f aca="false">IF($B274="","",IF(N($H274)&gt;0,"Live","Exited"))</f>
        <v/>
      </c>
      <c r="R274" s="27" t="str">
        <f aca="false">IF($B274="","",IF($L274="","Data Pending",IF($L274&gt;=Instructions!$D$19,"Best Fund",IF($L274&gt;=Instructions!$D$20,"Need to Improve","Not Performing"))))</f>
        <v/>
      </c>
      <c r="S274" s="7" t="str">
        <f aca="false">IF($R274="","",IF($R274="Data Pending","Enter the 3Y return",IF($R274="Best Fund","Hold / consider top-up",IF($R274="Need to Improve","Watch 2 quarters, then decide","Review with client - switch or exit"))))</f>
        <v/>
      </c>
      <c r="T274" s="26"/>
      <c r="U274" s="7" t="str">
        <f aca="false">IF($R274&lt;&gt;"Best Fund","",COUNTIFS($R$6:$R$505,"Best Fund",$L$6:$L$505,"&gt;"&amp;$L274)+COUNTIFS($R$6:$R274,"Best Fund",$L$6:$L274,$L274))</f>
        <v/>
      </c>
      <c r="V274" s="7" t="str">
        <f aca="false">IF($R274&lt;&gt;"Need to Improve","",COUNTIFS($R$6:$R$505,"Need to Improve",$L$6:$L$505,"&lt;"&amp;$L274)+COUNTIFS($R$6:$R274,"Need to Improve",$L$6:$L274,$L274))</f>
        <v/>
      </c>
      <c r="W274" s="7" t="str">
        <f aca="false">IF($R274&lt;&gt;"Not Performing","",COUNTIFS($R$6:$R$505,"Not Performing",$L$6:$L$505,"&lt;"&amp;$L274)+COUNTIFS($R$6:$R274,"Not Performing",$L$6:$L274,$L274))</f>
        <v/>
      </c>
    </row>
    <row r="275" customFormat="false" ht="15" hidden="false" customHeight="true" outlineLevel="0" collapsed="false">
      <c r="A275" s="26"/>
      <c r="B275" s="26"/>
      <c r="C275" s="26"/>
      <c r="D275" s="27" t="str">
        <f aca="false">IF($C275="","",IFERROR(TRIM(LEFT($C275,FIND("-",$C275)-1)),""))</f>
        <v/>
      </c>
      <c r="E275" s="26"/>
      <c r="F275" s="28"/>
      <c r="G275" s="29"/>
      <c r="H275" s="29"/>
      <c r="I275" s="30" t="str">
        <f aca="false">IF($B275="","",$H275-$G275)</f>
        <v/>
      </c>
      <c r="J275" s="31" t="str">
        <f aca="false">IF(OR($B275="",$G275=0,$G275=""),"",$I275/$G275)</f>
        <v/>
      </c>
      <c r="K275" s="32"/>
      <c r="L275" s="32"/>
      <c r="M275" s="32"/>
      <c r="N275" s="32"/>
      <c r="O275" s="32"/>
      <c r="P275" s="31" t="str">
        <f aca="false">IF(OR($L275="",$N275=""),"",$L275-$N275)</f>
        <v/>
      </c>
      <c r="Q275" s="27" t="str">
        <f aca="false">IF($B275="","",IF(N($H275)&gt;0,"Live","Exited"))</f>
        <v/>
      </c>
      <c r="R275" s="27" t="str">
        <f aca="false">IF($B275="","",IF($L275="","Data Pending",IF($L275&gt;=Instructions!$D$19,"Best Fund",IF($L275&gt;=Instructions!$D$20,"Need to Improve","Not Performing"))))</f>
        <v/>
      </c>
      <c r="S275" s="7" t="str">
        <f aca="false">IF($R275="","",IF($R275="Data Pending","Enter the 3Y return",IF($R275="Best Fund","Hold / consider top-up",IF($R275="Need to Improve","Watch 2 quarters, then decide","Review with client - switch or exit"))))</f>
        <v/>
      </c>
      <c r="T275" s="26"/>
      <c r="U275" s="7" t="str">
        <f aca="false">IF($R275&lt;&gt;"Best Fund","",COUNTIFS($R$6:$R$505,"Best Fund",$L$6:$L$505,"&gt;"&amp;$L275)+COUNTIFS($R$6:$R275,"Best Fund",$L$6:$L275,$L275))</f>
        <v/>
      </c>
      <c r="V275" s="7" t="str">
        <f aca="false">IF($R275&lt;&gt;"Need to Improve","",COUNTIFS($R$6:$R$505,"Need to Improve",$L$6:$L$505,"&lt;"&amp;$L275)+COUNTIFS($R$6:$R275,"Need to Improve",$L$6:$L275,$L275))</f>
        <v/>
      </c>
      <c r="W275" s="7" t="str">
        <f aca="false">IF($R275&lt;&gt;"Not Performing","",COUNTIFS($R$6:$R$505,"Not Performing",$L$6:$L$505,"&lt;"&amp;$L275)+COUNTIFS($R$6:$R275,"Not Performing",$L$6:$L275,$L275))</f>
        <v/>
      </c>
    </row>
    <row r="276" customFormat="false" ht="15" hidden="false" customHeight="true" outlineLevel="0" collapsed="false">
      <c r="A276" s="26"/>
      <c r="B276" s="26"/>
      <c r="C276" s="26"/>
      <c r="D276" s="27" t="str">
        <f aca="false">IF($C276="","",IFERROR(TRIM(LEFT($C276,FIND("-",$C276)-1)),""))</f>
        <v/>
      </c>
      <c r="E276" s="26"/>
      <c r="F276" s="28"/>
      <c r="G276" s="29"/>
      <c r="H276" s="29"/>
      <c r="I276" s="30" t="str">
        <f aca="false">IF($B276="","",$H276-$G276)</f>
        <v/>
      </c>
      <c r="J276" s="31" t="str">
        <f aca="false">IF(OR($B276="",$G276=0,$G276=""),"",$I276/$G276)</f>
        <v/>
      </c>
      <c r="K276" s="32"/>
      <c r="L276" s="32"/>
      <c r="M276" s="32"/>
      <c r="N276" s="32"/>
      <c r="O276" s="32"/>
      <c r="P276" s="31" t="str">
        <f aca="false">IF(OR($L276="",$N276=""),"",$L276-$N276)</f>
        <v/>
      </c>
      <c r="Q276" s="27" t="str">
        <f aca="false">IF($B276="","",IF(N($H276)&gt;0,"Live","Exited"))</f>
        <v/>
      </c>
      <c r="R276" s="27" t="str">
        <f aca="false">IF($B276="","",IF($L276="","Data Pending",IF($L276&gt;=Instructions!$D$19,"Best Fund",IF($L276&gt;=Instructions!$D$20,"Need to Improve","Not Performing"))))</f>
        <v/>
      </c>
      <c r="S276" s="7" t="str">
        <f aca="false">IF($R276="","",IF($R276="Data Pending","Enter the 3Y return",IF($R276="Best Fund","Hold / consider top-up",IF($R276="Need to Improve","Watch 2 quarters, then decide","Review with client - switch or exit"))))</f>
        <v/>
      </c>
      <c r="T276" s="26"/>
      <c r="U276" s="7" t="str">
        <f aca="false">IF($R276&lt;&gt;"Best Fund","",COUNTIFS($R$6:$R$505,"Best Fund",$L$6:$L$505,"&gt;"&amp;$L276)+COUNTIFS($R$6:$R276,"Best Fund",$L$6:$L276,$L276))</f>
        <v/>
      </c>
      <c r="V276" s="7" t="str">
        <f aca="false">IF($R276&lt;&gt;"Need to Improve","",COUNTIFS($R$6:$R$505,"Need to Improve",$L$6:$L$505,"&lt;"&amp;$L276)+COUNTIFS($R$6:$R276,"Need to Improve",$L$6:$L276,$L276))</f>
        <v/>
      </c>
      <c r="W276" s="7" t="str">
        <f aca="false">IF($R276&lt;&gt;"Not Performing","",COUNTIFS($R$6:$R$505,"Not Performing",$L$6:$L$505,"&lt;"&amp;$L276)+COUNTIFS($R$6:$R276,"Not Performing",$L$6:$L276,$L276))</f>
        <v/>
      </c>
    </row>
    <row r="277" customFormat="false" ht="15" hidden="false" customHeight="true" outlineLevel="0" collapsed="false">
      <c r="A277" s="26"/>
      <c r="B277" s="26"/>
      <c r="C277" s="26"/>
      <c r="D277" s="27" t="str">
        <f aca="false">IF($C277="","",IFERROR(TRIM(LEFT($C277,FIND("-",$C277)-1)),""))</f>
        <v/>
      </c>
      <c r="E277" s="26"/>
      <c r="F277" s="28"/>
      <c r="G277" s="29"/>
      <c r="H277" s="29"/>
      <c r="I277" s="30" t="str">
        <f aca="false">IF($B277="","",$H277-$G277)</f>
        <v/>
      </c>
      <c r="J277" s="31" t="str">
        <f aca="false">IF(OR($B277="",$G277=0,$G277=""),"",$I277/$G277)</f>
        <v/>
      </c>
      <c r="K277" s="32"/>
      <c r="L277" s="32"/>
      <c r="M277" s="32"/>
      <c r="N277" s="32"/>
      <c r="O277" s="32"/>
      <c r="P277" s="31" t="str">
        <f aca="false">IF(OR($L277="",$N277=""),"",$L277-$N277)</f>
        <v/>
      </c>
      <c r="Q277" s="27" t="str">
        <f aca="false">IF($B277="","",IF(N($H277)&gt;0,"Live","Exited"))</f>
        <v/>
      </c>
      <c r="R277" s="27" t="str">
        <f aca="false">IF($B277="","",IF($L277="","Data Pending",IF($L277&gt;=Instructions!$D$19,"Best Fund",IF($L277&gt;=Instructions!$D$20,"Need to Improve","Not Performing"))))</f>
        <v/>
      </c>
      <c r="S277" s="7" t="str">
        <f aca="false">IF($R277="","",IF($R277="Data Pending","Enter the 3Y return",IF($R277="Best Fund","Hold / consider top-up",IF($R277="Need to Improve","Watch 2 quarters, then decide","Review with client - switch or exit"))))</f>
        <v/>
      </c>
      <c r="T277" s="26"/>
      <c r="U277" s="7" t="str">
        <f aca="false">IF($R277&lt;&gt;"Best Fund","",COUNTIFS($R$6:$R$505,"Best Fund",$L$6:$L$505,"&gt;"&amp;$L277)+COUNTIFS($R$6:$R277,"Best Fund",$L$6:$L277,$L277))</f>
        <v/>
      </c>
      <c r="V277" s="7" t="str">
        <f aca="false">IF($R277&lt;&gt;"Need to Improve","",COUNTIFS($R$6:$R$505,"Need to Improve",$L$6:$L$505,"&lt;"&amp;$L277)+COUNTIFS($R$6:$R277,"Need to Improve",$L$6:$L277,$L277))</f>
        <v/>
      </c>
      <c r="W277" s="7" t="str">
        <f aca="false">IF($R277&lt;&gt;"Not Performing","",COUNTIFS($R$6:$R$505,"Not Performing",$L$6:$L$505,"&lt;"&amp;$L277)+COUNTIFS($R$6:$R277,"Not Performing",$L$6:$L277,$L277))</f>
        <v/>
      </c>
    </row>
    <row r="278" customFormat="false" ht="15" hidden="false" customHeight="true" outlineLevel="0" collapsed="false">
      <c r="A278" s="26"/>
      <c r="B278" s="26"/>
      <c r="C278" s="26"/>
      <c r="D278" s="27" t="str">
        <f aca="false">IF($C278="","",IFERROR(TRIM(LEFT($C278,FIND("-",$C278)-1)),""))</f>
        <v/>
      </c>
      <c r="E278" s="26"/>
      <c r="F278" s="28"/>
      <c r="G278" s="29"/>
      <c r="H278" s="29"/>
      <c r="I278" s="30" t="str">
        <f aca="false">IF($B278="","",$H278-$G278)</f>
        <v/>
      </c>
      <c r="J278" s="31" t="str">
        <f aca="false">IF(OR($B278="",$G278=0,$G278=""),"",$I278/$G278)</f>
        <v/>
      </c>
      <c r="K278" s="32"/>
      <c r="L278" s="32"/>
      <c r="M278" s="32"/>
      <c r="N278" s="32"/>
      <c r="O278" s="32"/>
      <c r="P278" s="31" t="str">
        <f aca="false">IF(OR($L278="",$N278=""),"",$L278-$N278)</f>
        <v/>
      </c>
      <c r="Q278" s="27" t="str">
        <f aca="false">IF($B278="","",IF(N($H278)&gt;0,"Live","Exited"))</f>
        <v/>
      </c>
      <c r="R278" s="27" t="str">
        <f aca="false">IF($B278="","",IF($L278="","Data Pending",IF($L278&gt;=Instructions!$D$19,"Best Fund",IF($L278&gt;=Instructions!$D$20,"Need to Improve","Not Performing"))))</f>
        <v/>
      </c>
      <c r="S278" s="7" t="str">
        <f aca="false">IF($R278="","",IF($R278="Data Pending","Enter the 3Y return",IF($R278="Best Fund","Hold / consider top-up",IF($R278="Need to Improve","Watch 2 quarters, then decide","Review with client - switch or exit"))))</f>
        <v/>
      </c>
      <c r="T278" s="26"/>
      <c r="U278" s="7" t="str">
        <f aca="false">IF($R278&lt;&gt;"Best Fund","",COUNTIFS($R$6:$R$505,"Best Fund",$L$6:$L$505,"&gt;"&amp;$L278)+COUNTIFS($R$6:$R278,"Best Fund",$L$6:$L278,$L278))</f>
        <v/>
      </c>
      <c r="V278" s="7" t="str">
        <f aca="false">IF($R278&lt;&gt;"Need to Improve","",COUNTIFS($R$6:$R$505,"Need to Improve",$L$6:$L$505,"&lt;"&amp;$L278)+COUNTIFS($R$6:$R278,"Need to Improve",$L$6:$L278,$L278))</f>
        <v/>
      </c>
      <c r="W278" s="7" t="str">
        <f aca="false">IF($R278&lt;&gt;"Not Performing","",COUNTIFS($R$6:$R$505,"Not Performing",$L$6:$L$505,"&lt;"&amp;$L278)+COUNTIFS($R$6:$R278,"Not Performing",$L$6:$L278,$L278))</f>
        <v/>
      </c>
    </row>
    <row r="279" customFormat="false" ht="15" hidden="false" customHeight="true" outlineLevel="0" collapsed="false">
      <c r="A279" s="26"/>
      <c r="B279" s="26"/>
      <c r="C279" s="26"/>
      <c r="D279" s="27" t="str">
        <f aca="false">IF($C279="","",IFERROR(TRIM(LEFT($C279,FIND("-",$C279)-1)),""))</f>
        <v/>
      </c>
      <c r="E279" s="26"/>
      <c r="F279" s="28"/>
      <c r="G279" s="29"/>
      <c r="H279" s="29"/>
      <c r="I279" s="30" t="str">
        <f aca="false">IF($B279="","",$H279-$G279)</f>
        <v/>
      </c>
      <c r="J279" s="31" t="str">
        <f aca="false">IF(OR($B279="",$G279=0,$G279=""),"",$I279/$G279)</f>
        <v/>
      </c>
      <c r="K279" s="32"/>
      <c r="L279" s="32"/>
      <c r="M279" s="32"/>
      <c r="N279" s="32"/>
      <c r="O279" s="32"/>
      <c r="P279" s="31" t="str">
        <f aca="false">IF(OR($L279="",$N279=""),"",$L279-$N279)</f>
        <v/>
      </c>
      <c r="Q279" s="27" t="str">
        <f aca="false">IF($B279="","",IF(N($H279)&gt;0,"Live","Exited"))</f>
        <v/>
      </c>
      <c r="R279" s="27" t="str">
        <f aca="false">IF($B279="","",IF($L279="","Data Pending",IF($L279&gt;=Instructions!$D$19,"Best Fund",IF($L279&gt;=Instructions!$D$20,"Need to Improve","Not Performing"))))</f>
        <v/>
      </c>
      <c r="S279" s="7" t="str">
        <f aca="false">IF($R279="","",IF($R279="Data Pending","Enter the 3Y return",IF($R279="Best Fund","Hold / consider top-up",IF($R279="Need to Improve","Watch 2 quarters, then decide","Review with client - switch or exit"))))</f>
        <v/>
      </c>
      <c r="T279" s="26"/>
      <c r="U279" s="7" t="str">
        <f aca="false">IF($R279&lt;&gt;"Best Fund","",COUNTIFS($R$6:$R$505,"Best Fund",$L$6:$L$505,"&gt;"&amp;$L279)+COUNTIFS($R$6:$R279,"Best Fund",$L$6:$L279,$L279))</f>
        <v/>
      </c>
      <c r="V279" s="7" t="str">
        <f aca="false">IF($R279&lt;&gt;"Need to Improve","",COUNTIFS($R$6:$R$505,"Need to Improve",$L$6:$L$505,"&lt;"&amp;$L279)+COUNTIFS($R$6:$R279,"Need to Improve",$L$6:$L279,$L279))</f>
        <v/>
      </c>
      <c r="W279" s="7" t="str">
        <f aca="false">IF($R279&lt;&gt;"Not Performing","",COUNTIFS($R$6:$R$505,"Not Performing",$L$6:$L$505,"&lt;"&amp;$L279)+COUNTIFS($R$6:$R279,"Not Performing",$L$6:$L279,$L279))</f>
        <v/>
      </c>
    </row>
    <row r="280" customFormat="false" ht="15" hidden="false" customHeight="true" outlineLevel="0" collapsed="false">
      <c r="A280" s="26"/>
      <c r="B280" s="26"/>
      <c r="C280" s="26"/>
      <c r="D280" s="27" t="str">
        <f aca="false">IF($C280="","",IFERROR(TRIM(LEFT($C280,FIND("-",$C280)-1)),""))</f>
        <v/>
      </c>
      <c r="E280" s="26"/>
      <c r="F280" s="28"/>
      <c r="G280" s="29"/>
      <c r="H280" s="29"/>
      <c r="I280" s="30" t="str">
        <f aca="false">IF($B280="","",$H280-$G280)</f>
        <v/>
      </c>
      <c r="J280" s="31" t="str">
        <f aca="false">IF(OR($B280="",$G280=0,$G280=""),"",$I280/$G280)</f>
        <v/>
      </c>
      <c r="K280" s="32"/>
      <c r="L280" s="32"/>
      <c r="M280" s="32"/>
      <c r="N280" s="32"/>
      <c r="O280" s="32"/>
      <c r="P280" s="31" t="str">
        <f aca="false">IF(OR($L280="",$N280=""),"",$L280-$N280)</f>
        <v/>
      </c>
      <c r="Q280" s="27" t="str">
        <f aca="false">IF($B280="","",IF(N($H280)&gt;0,"Live","Exited"))</f>
        <v/>
      </c>
      <c r="R280" s="27" t="str">
        <f aca="false">IF($B280="","",IF($L280="","Data Pending",IF($L280&gt;=Instructions!$D$19,"Best Fund",IF($L280&gt;=Instructions!$D$20,"Need to Improve","Not Performing"))))</f>
        <v/>
      </c>
      <c r="S280" s="7" t="str">
        <f aca="false">IF($R280="","",IF($R280="Data Pending","Enter the 3Y return",IF($R280="Best Fund","Hold / consider top-up",IF($R280="Need to Improve","Watch 2 quarters, then decide","Review with client - switch or exit"))))</f>
        <v/>
      </c>
      <c r="T280" s="26"/>
      <c r="U280" s="7" t="str">
        <f aca="false">IF($R280&lt;&gt;"Best Fund","",COUNTIFS($R$6:$R$505,"Best Fund",$L$6:$L$505,"&gt;"&amp;$L280)+COUNTIFS($R$6:$R280,"Best Fund",$L$6:$L280,$L280))</f>
        <v/>
      </c>
      <c r="V280" s="7" t="str">
        <f aca="false">IF($R280&lt;&gt;"Need to Improve","",COUNTIFS($R$6:$R$505,"Need to Improve",$L$6:$L$505,"&lt;"&amp;$L280)+COUNTIFS($R$6:$R280,"Need to Improve",$L$6:$L280,$L280))</f>
        <v/>
      </c>
      <c r="W280" s="7" t="str">
        <f aca="false">IF($R280&lt;&gt;"Not Performing","",COUNTIFS($R$6:$R$505,"Not Performing",$L$6:$L$505,"&lt;"&amp;$L280)+COUNTIFS($R$6:$R280,"Not Performing",$L$6:$L280,$L280))</f>
        <v/>
      </c>
    </row>
    <row r="281" customFormat="false" ht="15" hidden="false" customHeight="true" outlineLevel="0" collapsed="false">
      <c r="A281" s="26"/>
      <c r="B281" s="26"/>
      <c r="C281" s="26"/>
      <c r="D281" s="27" t="str">
        <f aca="false">IF($C281="","",IFERROR(TRIM(LEFT($C281,FIND("-",$C281)-1)),""))</f>
        <v/>
      </c>
      <c r="E281" s="26"/>
      <c r="F281" s="28"/>
      <c r="G281" s="29"/>
      <c r="H281" s="29"/>
      <c r="I281" s="30" t="str">
        <f aca="false">IF($B281="","",$H281-$G281)</f>
        <v/>
      </c>
      <c r="J281" s="31" t="str">
        <f aca="false">IF(OR($B281="",$G281=0,$G281=""),"",$I281/$G281)</f>
        <v/>
      </c>
      <c r="K281" s="32"/>
      <c r="L281" s="32"/>
      <c r="M281" s="32"/>
      <c r="N281" s="32"/>
      <c r="O281" s="32"/>
      <c r="P281" s="31" t="str">
        <f aca="false">IF(OR($L281="",$N281=""),"",$L281-$N281)</f>
        <v/>
      </c>
      <c r="Q281" s="27" t="str">
        <f aca="false">IF($B281="","",IF(N($H281)&gt;0,"Live","Exited"))</f>
        <v/>
      </c>
      <c r="R281" s="27" t="str">
        <f aca="false">IF($B281="","",IF($L281="","Data Pending",IF($L281&gt;=Instructions!$D$19,"Best Fund",IF($L281&gt;=Instructions!$D$20,"Need to Improve","Not Performing"))))</f>
        <v/>
      </c>
      <c r="S281" s="7" t="str">
        <f aca="false">IF($R281="","",IF($R281="Data Pending","Enter the 3Y return",IF($R281="Best Fund","Hold / consider top-up",IF($R281="Need to Improve","Watch 2 quarters, then decide","Review with client - switch or exit"))))</f>
        <v/>
      </c>
      <c r="T281" s="26"/>
      <c r="U281" s="7" t="str">
        <f aca="false">IF($R281&lt;&gt;"Best Fund","",COUNTIFS($R$6:$R$505,"Best Fund",$L$6:$L$505,"&gt;"&amp;$L281)+COUNTIFS($R$6:$R281,"Best Fund",$L$6:$L281,$L281))</f>
        <v/>
      </c>
      <c r="V281" s="7" t="str">
        <f aca="false">IF($R281&lt;&gt;"Need to Improve","",COUNTIFS($R$6:$R$505,"Need to Improve",$L$6:$L$505,"&lt;"&amp;$L281)+COUNTIFS($R$6:$R281,"Need to Improve",$L$6:$L281,$L281))</f>
        <v/>
      </c>
      <c r="W281" s="7" t="str">
        <f aca="false">IF($R281&lt;&gt;"Not Performing","",COUNTIFS($R$6:$R$505,"Not Performing",$L$6:$L$505,"&lt;"&amp;$L281)+COUNTIFS($R$6:$R281,"Not Performing",$L$6:$L281,$L281))</f>
        <v/>
      </c>
    </row>
    <row r="282" customFormat="false" ht="15" hidden="false" customHeight="true" outlineLevel="0" collapsed="false">
      <c r="A282" s="26"/>
      <c r="B282" s="26"/>
      <c r="C282" s="26"/>
      <c r="D282" s="27" t="str">
        <f aca="false">IF($C282="","",IFERROR(TRIM(LEFT($C282,FIND("-",$C282)-1)),""))</f>
        <v/>
      </c>
      <c r="E282" s="26"/>
      <c r="F282" s="28"/>
      <c r="G282" s="29"/>
      <c r="H282" s="29"/>
      <c r="I282" s="30" t="str">
        <f aca="false">IF($B282="","",$H282-$G282)</f>
        <v/>
      </c>
      <c r="J282" s="31" t="str">
        <f aca="false">IF(OR($B282="",$G282=0,$G282=""),"",$I282/$G282)</f>
        <v/>
      </c>
      <c r="K282" s="32"/>
      <c r="L282" s="32"/>
      <c r="M282" s="32"/>
      <c r="N282" s="32"/>
      <c r="O282" s="32"/>
      <c r="P282" s="31" t="str">
        <f aca="false">IF(OR($L282="",$N282=""),"",$L282-$N282)</f>
        <v/>
      </c>
      <c r="Q282" s="27" t="str">
        <f aca="false">IF($B282="","",IF(N($H282)&gt;0,"Live","Exited"))</f>
        <v/>
      </c>
      <c r="R282" s="27" t="str">
        <f aca="false">IF($B282="","",IF($L282="","Data Pending",IF($L282&gt;=Instructions!$D$19,"Best Fund",IF($L282&gt;=Instructions!$D$20,"Need to Improve","Not Performing"))))</f>
        <v/>
      </c>
      <c r="S282" s="7" t="str">
        <f aca="false">IF($R282="","",IF($R282="Data Pending","Enter the 3Y return",IF($R282="Best Fund","Hold / consider top-up",IF($R282="Need to Improve","Watch 2 quarters, then decide","Review with client - switch or exit"))))</f>
        <v/>
      </c>
      <c r="T282" s="26"/>
      <c r="U282" s="7" t="str">
        <f aca="false">IF($R282&lt;&gt;"Best Fund","",COUNTIFS($R$6:$R$505,"Best Fund",$L$6:$L$505,"&gt;"&amp;$L282)+COUNTIFS($R$6:$R282,"Best Fund",$L$6:$L282,$L282))</f>
        <v/>
      </c>
      <c r="V282" s="7" t="str">
        <f aca="false">IF($R282&lt;&gt;"Need to Improve","",COUNTIFS($R$6:$R$505,"Need to Improve",$L$6:$L$505,"&lt;"&amp;$L282)+COUNTIFS($R$6:$R282,"Need to Improve",$L$6:$L282,$L282))</f>
        <v/>
      </c>
      <c r="W282" s="7" t="str">
        <f aca="false">IF($R282&lt;&gt;"Not Performing","",COUNTIFS($R$6:$R$505,"Not Performing",$L$6:$L$505,"&lt;"&amp;$L282)+COUNTIFS($R$6:$R282,"Not Performing",$L$6:$L282,$L282))</f>
        <v/>
      </c>
    </row>
    <row r="283" customFormat="false" ht="15" hidden="false" customHeight="true" outlineLevel="0" collapsed="false">
      <c r="A283" s="26"/>
      <c r="B283" s="26"/>
      <c r="C283" s="26"/>
      <c r="D283" s="27" t="str">
        <f aca="false">IF($C283="","",IFERROR(TRIM(LEFT($C283,FIND("-",$C283)-1)),""))</f>
        <v/>
      </c>
      <c r="E283" s="26"/>
      <c r="F283" s="28"/>
      <c r="G283" s="29"/>
      <c r="H283" s="29"/>
      <c r="I283" s="30" t="str">
        <f aca="false">IF($B283="","",$H283-$G283)</f>
        <v/>
      </c>
      <c r="J283" s="31" t="str">
        <f aca="false">IF(OR($B283="",$G283=0,$G283=""),"",$I283/$G283)</f>
        <v/>
      </c>
      <c r="K283" s="32"/>
      <c r="L283" s="32"/>
      <c r="M283" s="32"/>
      <c r="N283" s="32"/>
      <c r="O283" s="32"/>
      <c r="P283" s="31" t="str">
        <f aca="false">IF(OR($L283="",$N283=""),"",$L283-$N283)</f>
        <v/>
      </c>
      <c r="Q283" s="27" t="str">
        <f aca="false">IF($B283="","",IF(N($H283)&gt;0,"Live","Exited"))</f>
        <v/>
      </c>
      <c r="R283" s="27" t="str">
        <f aca="false">IF($B283="","",IF($L283="","Data Pending",IF($L283&gt;=Instructions!$D$19,"Best Fund",IF($L283&gt;=Instructions!$D$20,"Need to Improve","Not Performing"))))</f>
        <v/>
      </c>
      <c r="S283" s="7" t="str">
        <f aca="false">IF($R283="","",IF($R283="Data Pending","Enter the 3Y return",IF($R283="Best Fund","Hold / consider top-up",IF($R283="Need to Improve","Watch 2 quarters, then decide","Review with client - switch or exit"))))</f>
        <v/>
      </c>
      <c r="T283" s="26"/>
      <c r="U283" s="7" t="str">
        <f aca="false">IF($R283&lt;&gt;"Best Fund","",COUNTIFS($R$6:$R$505,"Best Fund",$L$6:$L$505,"&gt;"&amp;$L283)+COUNTIFS($R$6:$R283,"Best Fund",$L$6:$L283,$L283))</f>
        <v/>
      </c>
      <c r="V283" s="7" t="str">
        <f aca="false">IF($R283&lt;&gt;"Need to Improve","",COUNTIFS($R$6:$R$505,"Need to Improve",$L$6:$L$505,"&lt;"&amp;$L283)+COUNTIFS($R$6:$R283,"Need to Improve",$L$6:$L283,$L283))</f>
        <v/>
      </c>
      <c r="W283" s="7" t="str">
        <f aca="false">IF($R283&lt;&gt;"Not Performing","",COUNTIFS($R$6:$R$505,"Not Performing",$L$6:$L$505,"&lt;"&amp;$L283)+COUNTIFS($R$6:$R283,"Not Performing",$L$6:$L283,$L283))</f>
        <v/>
      </c>
    </row>
    <row r="284" customFormat="false" ht="15" hidden="false" customHeight="true" outlineLevel="0" collapsed="false">
      <c r="A284" s="26"/>
      <c r="B284" s="26"/>
      <c r="C284" s="26"/>
      <c r="D284" s="27" t="str">
        <f aca="false">IF($C284="","",IFERROR(TRIM(LEFT($C284,FIND("-",$C284)-1)),""))</f>
        <v/>
      </c>
      <c r="E284" s="26"/>
      <c r="F284" s="28"/>
      <c r="G284" s="29"/>
      <c r="H284" s="29"/>
      <c r="I284" s="30" t="str">
        <f aca="false">IF($B284="","",$H284-$G284)</f>
        <v/>
      </c>
      <c r="J284" s="31" t="str">
        <f aca="false">IF(OR($B284="",$G284=0,$G284=""),"",$I284/$G284)</f>
        <v/>
      </c>
      <c r="K284" s="32"/>
      <c r="L284" s="32"/>
      <c r="M284" s="32"/>
      <c r="N284" s="32"/>
      <c r="O284" s="32"/>
      <c r="P284" s="31" t="str">
        <f aca="false">IF(OR($L284="",$N284=""),"",$L284-$N284)</f>
        <v/>
      </c>
      <c r="Q284" s="27" t="str">
        <f aca="false">IF($B284="","",IF(N($H284)&gt;0,"Live","Exited"))</f>
        <v/>
      </c>
      <c r="R284" s="27" t="str">
        <f aca="false">IF($B284="","",IF($L284="","Data Pending",IF($L284&gt;=Instructions!$D$19,"Best Fund",IF($L284&gt;=Instructions!$D$20,"Need to Improve","Not Performing"))))</f>
        <v/>
      </c>
      <c r="S284" s="7" t="str">
        <f aca="false">IF($R284="","",IF($R284="Data Pending","Enter the 3Y return",IF($R284="Best Fund","Hold / consider top-up",IF($R284="Need to Improve","Watch 2 quarters, then decide","Review with client - switch or exit"))))</f>
        <v/>
      </c>
      <c r="T284" s="26"/>
      <c r="U284" s="7" t="str">
        <f aca="false">IF($R284&lt;&gt;"Best Fund","",COUNTIFS($R$6:$R$505,"Best Fund",$L$6:$L$505,"&gt;"&amp;$L284)+COUNTIFS($R$6:$R284,"Best Fund",$L$6:$L284,$L284))</f>
        <v/>
      </c>
      <c r="V284" s="7" t="str">
        <f aca="false">IF($R284&lt;&gt;"Need to Improve","",COUNTIFS($R$6:$R$505,"Need to Improve",$L$6:$L$505,"&lt;"&amp;$L284)+COUNTIFS($R$6:$R284,"Need to Improve",$L$6:$L284,$L284))</f>
        <v/>
      </c>
      <c r="W284" s="7" t="str">
        <f aca="false">IF($R284&lt;&gt;"Not Performing","",COUNTIFS($R$6:$R$505,"Not Performing",$L$6:$L$505,"&lt;"&amp;$L284)+COUNTIFS($R$6:$R284,"Not Performing",$L$6:$L284,$L284))</f>
        <v/>
      </c>
    </row>
    <row r="285" customFormat="false" ht="15" hidden="false" customHeight="true" outlineLevel="0" collapsed="false">
      <c r="A285" s="26"/>
      <c r="B285" s="26"/>
      <c r="C285" s="26"/>
      <c r="D285" s="27" t="str">
        <f aca="false">IF($C285="","",IFERROR(TRIM(LEFT($C285,FIND("-",$C285)-1)),""))</f>
        <v/>
      </c>
      <c r="E285" s="26"/>
      <c r="F285" s="28"/>
      <c r="G285" s="29"/>
      <c r="H285" s="29"/>
      <c r="I285" s="30" t="str">
        <f aca="false">IF($B285="","",$H285-$G285)</f>
        <v/>
      </c>
      <c r="J285" s="31" t="str">
        <f aca="false">IF(OR($B285="",$G285=0,$G285=""),"",$I285/$G285)</f>
        <v/>
      </c>
      <c r="K285" s="32"/>
      <c r="L285" s="32"/>
      <c r="M285" s="32"/>
      <c r="N285" s="32"/>
      <c r="O285" s="32"/>
      <c r="P285" s="31" t="str">
        <f aca="false">IF(OR($L285="",$N285=""),"",$L285-$N285)</f>
        <v/>
      </c>
      <c r="Q285" s="27" t="str">
        <f aca="false">IF($B285="","",IF(N($H285)&gt;0,"Live","Exited"))</f>
        <v/>
      </c>
      <c r="R285" s="27" t="str">
        <f aca="false">IF($B285="","",IF($L285="","Data Pending",IF($L285&gt;=Instructions!$D$19,"Best Fund",IF($L285&gt;=Instructions!$D$20,"Need to Improve","Not Performing"))))</f>
        <v/>
      </c>
      <c r="S285" s="7" t="str">
        <f aca="false">IF($R285="","",IF($R285="Data Pending","Enter the 3Y return",IF($R285="Best Fund","Hold / consider top-up",IF($R285="Need to Improve","Watch 2 quarters, then decide","Review with client - switch or exit"))))</f>
        <v/>
      </c>
      <c r="T285" s="26"/>
      <c r="U285" s="7" t="str">
        <f aca="false">IF($R285&lt;&gt;"Best Fund","",COUNTIFS($R$6:$R$505,"Best Fund",$L$6:$L$505,"&gt;"&amp;$L285)+COUNTIFS($R$6:$R285,"Best Fund",$L$6:$L285,$L285))</f>
        <v/>
      </c>
      <c r="V285" s="7" t="str">
        <f aca="false">IF($R285&lt;&gt;"Need to Improve","",COUNTIFS($R$6:$R$505,"Need to Improve",$L$6:$L$505,"&lt;"&amp;$L285)+COUNTIFS($R$6:$R285,"Need to Improve",$L$6:$L285,$L285))</f>
        <v/>
      </c>
      <c r="W285" s="7" t="str">
        <f aca="false">IF($R285&lt;&gt;"Not Performing","",COUNTIFS($R$6:$R$505,"Not Performing",$L$6:$L$505,"&lt;"&amp;$L285)+COUNTIFS($R$6:$R285,"Not Performing",$L$6:$L285,$L285))</f>
        <v/>
      </c>
    </row>
    <row r="286" customFormat="false" ht="15" hidden="false" customHeight="true" outlineLevel="0" collapsed="false">
      <c r="A286" s="26"/>
      <c r="B286" s="26"/>
      <c r="C286" s="26"/>
      <c r="D286" s="27" t="str">
        <f aca="false">IF($C286="","",IFERROR(TRIM(LEFT($C286,FIND("-",$C286)-1)),""))</f>
        <v/>
      </c>
      <c r="E286" s="26"/>
      <c r="F286" s="28"/>
      <c r="G286" s="29"/>
      <c r="H286" s="29"/>
      <c r="I286" s="30" t="str">
        <f aca="false">IF($B286="","",$H286-$G286)</f>
        <v/>
      </c>
      <c r="J286" s="31" t="str">
        <f aca="false">IF(OR($B286="",$G286=0,$G286=""),"",$I286/$G286)</f>
        <v/>
      </c>
      <c r="K286" s="32"/>
      <c r="L286" s="32"/>
      <c r="M286" s="32"/>
      <c r="N286" s="32"/>
      <c r="O286" s="32"/>
      <c r="P286" s="31" t="str">
        <f aca="false">IF(OR($L286="",$N286=""),"",$L286-$N286)</f>
        <v/>
      </c>
      <c r="Q286" s="27" t="str">
        <f aca="false">IF($B286="","",IF(N($H286)&gt;0,"Live","Exited"))</f>
        <v/>
      </c>
      <c r="R286" s="27" t="str">
        <f aca="false">IF($B286="","",IF($L286="","Data Pending",IF($L286&gt;=Instructions!$D$19,"Best Fund",IF($L286&gt;=Instructions!$D$20,"Need to Improve","Not Performing"))))</f>
        <v/>
      </c>
      <c r="S286" s="7" t="str">
        <f aca="false">IF($R286="","",IF($R286="Data Pending","Enter the 3Y return",IF($R286="Best Fund","Hold / consider top-up",IF($R286="Need to Improve","Watch 2 quarters, then decide","Review with client - switch or exit"))))</f>
        <v/>
      </c>
      <c r="T286" s="26"/>
      <c r="U286" s="7" t="str">
        <f aca="false">IF($R286&lt;&gt;"Best Fund","",COUNTIFS($R$6:$R$505,"Best Fund",$L$6:$L$505,"&gt;"&amp;$L286)+COUNTIFS($R$6:$R286,"Best Fund",$L$6:$L286,$L286))</f>
        <v/>
      </c>
      <c r="V286" s="7" t="str">
        <f aca="false">IF($R286&lt;&gt;"Need to Improve","",COUNTIFS($R$6:$R$505,"Need to Improve",$L$6:$L$505,"&lt;"&amp;$L286)+COUNTIFS($R$6:$R286,"Need to Improve",$L$6:$L286,$L286))</f>
        <v/>
      </c>
      <c r="W286" s="7" t="str">
        <f aca="false">IF($R286&lt;&gt;"Not Performing","",COUNTIFS($R$6:$R$505,"Not Performing",$L$6:$L$505,"&lt;"&amp;$L286)+COUNTIFS($R$6:$R286,"Not Performing",$L$6:$L286,$L286))</f>
        <v/>
      </c>
    </row>
    <row r="287" customFormat="false" ht="15" hidden="false" customHeight="true" outlineLevel="0" collapsed="false">
      <c r="A287" s="26"/>
      <c r="B287" s="26"/>
      <c r="C287" s="26"/>
      <c r="D287" s="27" t="str">
        <f aca="false">IF($C287="","",IFERROR(TRIM(LEFT($C287,FIND("-",$C287)-1)),""))</f>
        <v/>
      </c>
      <c r="E287" s="26"/>
      <c r="F287" s="28"/>
      <c r="G287" s="29"/>
      <c r="H287" s="29"/>
      <c r="I287" s="30" t="str">
        <f aca="false">IF($B287="","",$H287-$G287)</f>
        <v/>
      </c>
      <c r="J287" s="31" t="str">
        <f aca="false">IF(OR($B287="",$G287=0,$G287=""),"",$I287/$G287)</f>
        <v/>
      </c>
      <c r="K287" s="32"/>
      <c r="L287" s="32"/>
      <c r="M287" s="32"/>
      <c r="N287" s="32"/>
      <c r="O287" s="32"/>
      <c r="P287" s="31" t="str">
        <f aca="false">IF(OR($L287="",$N287=""),"",$L287-$N287)</f>
        <v/>
      </c>
      <c r="Q287" s="27" t="str">
        <f aca="false">IF($B287="","",IF(N($H287)&gt;0,"Live","Exited"))</f>
        <v/>
      </c>
      <c r="R287" s="27" t="str">
        <f aca="false">IF($B287="","",IF($L287="","Data Pending",IF($L287&gt;=Instructions!$D$19,"Best Fund",IF($L287&gt;=Instructions!$D$20,"Need to Improve","Not Performing"))))</f>
        <v/>
      </c>
      <c r="S287" s="7" t="str">
        <f aca="false">IF($R287="","",IF($R287="Data Pending","Enter the 3Y return",IF($R287="Best Fund","Hold / consider top-up",IF($R287="Need to Improve","Watch 2 quarters, then decide","Review with client - switch or exit"))))</f>
        <v/>
      </c>
      <c r="T287" s="26"/>
      <c r="U287" s="7" t="str">
        <f aca="false">IF($R287&lt;&gt;"Best Fund","",COUNTIFS($R$6:$R$505,"Best Fund",$L$6:$L$505,"&gt;"&amp;$L287)+COUNTIFS($R$6:$R287,"Best Fund",$L$6:$L287,$L287))</f>
        <v/>
      </c>
      <c r="V287" s="7" t="str">
        <f aca="false">IF($R287&lt;&gt;"Need to Improve","",COUNTIFS($R$6:$R$505,"Need to Improve",$L$6:$L$505,"&lt;"&amp;$L287)+COUNTIFS($R$6:$R287,"Need to Improve",$L$6:$L287,$L287))</f>
        <v/>
      </c>
      <c r="W287" s="7" t="str">
        <f aca="false">IF($R287&lt;&gt;"Not Performing","",COUNTIFS($R$6:$R$505,"Not Performing",$L$6:$L$505,"&lt;"&amp;$L287)+COUNTIFS($R$6:$R287,"Not Performing",$L$6:$L287,$L287))</f>
        <v/>
      </c>
    </row>
    <row r="288" customFormat="false" ht="15" hidden="false" customHeight="true" outlineLevel="0" collapsed="false">
      <c r="A288" s="26"/>
      <c r="B288" s="26"/>
      <c r="C288" s="26"/>
      <c r="D288" s="27" t="str">
        <f aca="false">IF($C288="","",IFERROR(TRIM(LEFT($C288,FIND("-",$C288)-1)),""))</f>
        <v/>
      </c>
      <c r="E288" s="26"/>
      <c r="F288" s="28"/>
      <c r="G288" s="29"/>
      <c r="H288" s="29"/>
      <c r="I288" s="30" t="str">
        <f aca="false">IF($B288="","",$H288-$G288)</f>
        <v/>
      </c>
      <c r="J288" s="31" t="str">
        <f aca="false">IF(OR($B288="",$G288=0,$G288=""),"",$I288/$G288)</f>
        <v/>
      </c>
      <c r="K288" s="32"/>
      <c r="L288" s="32"/>
      <c r="M288" s="32"/>
      <c r="N288" s="32"/>
      <c r="O288" s="32"/>
      <c r="P288" s="31" t="str">
        <f aca="false">IF(OR($L288="",$N288=""),"",$L288-$N288)</f>
        <v/>
      </c>
      <c r="Q288" s="27" t="str">
        <f aca="false">IF($B288="","",IF(N($H288)&gt;0,"Live","Exited"))</f>
        <v/>
      </c>
      <c r="R288" s="27" t="str">
        <f aca="false">IF($B288="","",IF($L288="","Data Pending",IF($L288&gt;=Instructions!$D$19,"Best Fund",IF($L288&gt;=Instructions!$D$20,"Need to Improve","Not Performing"))))</f>
        <v/>
      </c>
      <c r="S288" s="7" t="str">
        <f aca="false">IF($R288="","",IF($R288="Data Pending","Enter the 3Y return",IF($R288="Best Fund","Hold / consider top-up",IF($R288="Need to Improve","Watch 2 quarters, then decide","Review with client - switch or exit"))))</f>
        <v/>
      </c>
      <c r="T288" s="26"/>
      <c r="U288" s="7" t="str">
        <f aca="false">IF($R288&lt;&gt;"Best Fund","",COUNTIFS($R$6:$R$505,"Best Fund",$L$6:$L$505,"&gt;"&amp;$L288)+COUNTIFS($R$6:$R288,"Best Fund",$L$6:$L288,$L288))</f>
        <v/>
      </c>
      <c r="V288" s="7" t="str">
        <f aca="false">IF($R288&lt;&gt;"Need to Improve","",COUNTIFS($R$6:$R$505,"Need to Improve",$L$6:$L$505,"&lt;"&amp;$L288)+COUNTIFS($R$6:$R288,"Need to Improve",$L$6:$L288,$L288))</f>
        <v/>
      </c>
      <c r="W288" s="7" t="str">
        <f aca="false">IF($R288&lt;&gt;"Not Performing","",COUNTIFS($R$6:$R$505,"Not Performing",$L$6:$L$505,"&lt;"&amp;$L288)+COUNTIFS($R$6:$R288,"Not Performing",$L$6:$L288,$L288))</f>
        <v/>
      </c>
    </row>
    <row r="289" customFormat="false" ht="15" hidden="false" customHeight="true" outlineLevel="0" collapsed="false">
      <c r="A289" s="26"/>
      <c r="B289" s="26"/>
      <c r="C289" s="26"/>
      <c r="D289" s="27" t="str">
        <f aca="false">IF($C289="","",IFERROR(TRIM(LEFT($C289,FIND("-",$C289)-1)),""))</f>
        <v/>
      </c>
      <c r="E289" s="26"/>
      <c r="F289" s="28"/>
      <c r="G289" s="29"/>
      <c r="H289" s="29"/>
      <c r="I289" s="30" t="str">
        <f aca="false">IF($B289="","",$H289-$G289)</f>
        <v/>
      </c>
      <c r="J289" s="31" t="str">
        <f aca="false">IF(OR($B289="",$G289=0,$G289=""),"",$I289/$G289)</f>
        <v/>
      </c>
      <c r="K289" s="32"/>
      <c r="L289" s="32"/>
      <c r="M289" s="32"/>
      <c r="N289" s="32"/>
      <c r="O289" s="32"/>
      <c r="P289" s="31" t="str">
        <f aca="false">IF(OR($L289="",$N289=""),"",$L289-$N289)</f>
        <v/>
      </c>
      <c r="Q289" s="27" t="str">
        <f aca="false">IF($B289="","",IF(N($H289)&gt;0,"Live","Exited"))</f>
        <v/>
      </c>
      <c r="R289" s="27" t="str">
        <f aca="false">IF($B289="","",IF($L289="","Data Pending",IF($L289&gt;=Instructions!$D$19,"Best Fund",IF($L289&gt;=Instructions!$D$20,"Need to Improve","Not Performing"))))</f>
        <v/>
      </c>
      <c r="S289" s="7" t="str">
        <f aca="false">IF($R289="","",IF($R289="Data Pending","Enter the 3Y return",IF($R289="Best Fund","Hold / consider top-up",IF($R289="Need to Improve","Watch 2 quarters, then decide","Review with client - switch or exit"))))</f>
        <v/>
      </c>
      <c r="T289" s="26"/>
      <c r="U289" s="7" t="str">
        <f aca="false">IF($R289&lt;&gt;"Best Fund","",COUNTIFS($R$6:$R$505,"Best Fund",$L$6:$L$505,"&gt;"&amp;$L289)+COUNTIFS($R$6:$R289,"Best Fund",$L$6:$L289,$L289))</f>
        <v/>
      </c>
      <c r="V289" s="7" t="str">
        <f aca="false">IF($R289&lt;&gt;"Need to Improve","",COUNTIFS($R$6:$R$505,"Need to Improve",$L$6:$L$505,"&lt;"&amp;$L289)+COUNTIFS($R$6:$R289,"Need to Improve",$L$6:$L289,$L289))</f>
        <v/>
      </c>
      <c r="W289" s="7" t="str">
        <f aca="false">IF($R289&lt;&gt;"Not Performing","",COUNTIFS($R$6:$R$505,"Not Performing",$L$6:$L$505,"&lt;"&amp;$L289)+COUNTIFS($R$6:$R289,"Not Performing",$L$6:$L289,$L289))</f>
        <v/>
      </c>
    </row>
    <row r="290" customFormat="false" ht="15" hidden="false" customHeight="true" outlineLevel="0" collapsed="false">
      <c r="A290" s="26"/>
      <c r="B290" s="26"/>
      <c r="C290" s="26"/>
      <c r="D290" s="27" t="str">
        <f aca="false">IF($C290="","",IFERROR(TRIM(LEFT($C290,FIND("-",$C290)-1)),""))</f>
        <v/>
      </c>
      <c r="E290" s="26"/>
      <c r="F290" s="28"/>
      <c r="G290" s="29"/>
      <c r="H290" s="29"/>
      <c r="I290" s="30" t="str">
        <f aca="false">IF($B290="","",$H290-$G290)</f>
        <v/>
      </c>
      <c r="J290" s="31" t="str">
        <f aca="false">IF(OR($B290="",$G290=0,$G290=""),"",$I290/$G290)</f>
        <v/>
      </c>
      <c r="K290" s="32"/>
      <c r="L290" s="32"/>
      <c r="M290" s="32"/>
      <c r="N290" s="32"/>
      <c r="O290" s="32"/>
      <c r="P290" s="31" t="str">
        <f aca="false">IF(OR($L290="",$N290=""),"",$L290-$N290)</f>
        <v/>
      </c>
      <c r="Q290" s="27" t="str">
        <f aca="false">IF($B290="","",IF(N($H290)&gt;0,"Live","Exited"))</f>
        <v/>
      </c>
      <c r="R290" s="27" t="str">
        <f aca="false">IF($B290="","",IF($L290="","Data Pending",IF($L290&gt;=Instructions!$D$19,"Best Fund",IF($L290&gt;=Instructions!$D$20,"Need to Improve","Not Performing"))))</f>
        <v/>
      </c>
      <c r="S290" s="7" t="str">
        <f aca="false">IF($R290="","",IF($R290="Data Pending","Enter the 3Y return",IF($R290="Best Fund","Hold / consider top-up",IF($R290="Need to Improve","Watch 2 quarters, then decide","Review with client - switch or exit"))))</f>
        <v/>
      </c>
      <c r="T290" s="26"/>
      <c r="U290" s="7" t="str">
        <f aca="false">IF($R290&lt;&gt;"Best Fund","",COUNTIFS($R$6:$R$505,"Best Fund",$L$6:$L$505,"&gt;"&amp;$L290)+COUNTIFS($R$6:$R290,"Best Fund",$L$6:$L290,$L290))</f>
        <v/>
      </c>
      <c r="V290" s="7" t="str">
        <f aca="false">IF($R290&lt;&gt;"Need to Improve","",COUNTIFS($R$6:$R$505,"Need to Improve",$L$6:$L$505,"&lt;"&amp;$L290)+COUNTIFS($R$6:$R290,"Need to Improve",$L$6:$L290,$L290))</f>
        <v/>
      </c>
      <c r="W290" s="7" t="str">
        <f aca="false">IF($R290&lt;&gt;"Not Performing","",COUNTIFS($R$6:$R$505,"Not Performing",$L$6:$L$505,"&lt;"&amp;$L290)+COUNTIFS($R$6:$R290,"Not Performing",$L$6:$L290,$L290))</f>
        <v/>
      </c>
    </row>
    <row r="291" customFormat="false" ht="15" hidden="false" customHeight="true" outlineLevel="0" collapsed="false">
      <c r="A291" s="26"/>
      <c r="B291" s="26"/>
      <c r="C291" s="26"/>
      <c r="D291" s="27" t="str">
        <f aca="false">IF($C291="","",IFERROR(TRIM(LEFT($C291,FIND("-",$C291)-1)),""))</f>
        <v/>
      </c>
      <c r="E291" s="26"/>
      <c r="F291" s="28"/>
      <c r="G291" s="29"/>
      <c r="H291" s="29"/>
      <c r="I291" s="30" t="str">
        <f aca="false">IF($B291="","",$H291-$G291)</f>
        <v/>
      </c>
      <c r="J291" s="31" t="str">
        <f aca="false">IF(OR($B291="",$G291=0,$G291=""),"",$I291/$G291)</f>
        <v/>
      </c>
      <c r="K291" s="32"/>
      <c r="L291" s="32"/>
      <c r="M291" s="32"/>
      <c r="N291" s="32"/>
      <c r="O291" s="32"/>
      <c r="P291" s="31" t="str">
        <f aca="false">IF(OR($L291="",$N291=""),"",$L291-$N291)</f>
        <v/>
      </c>
      <c r="Q291" s="27" t="str">
        <f aca="false">IF($B291="","",IF(N($H291)&gt;0,"Live","Exited"))</f>
        <v/>
      </c>
      <c r="R291" s="27" t="str">
        <f aca="false">IF($B291="","",IF($L291="","Data Pending",IF($L291&gt;=Instructions!$D$19,"Best Fund",IF($L291&gt;=Instructions!$D$20,"Need to Improve","Not Performing"))))</f>
        <v/>
      </c>
      <c r="S291" s="7" t="str">
        <f aca="false">IF($R291="","",IF($R291="Data Pending","Enter the 3Y return",IF($R291="Best Fund","Hold / consider top-up",IF($R291="Need to Improve","Watch 2 quarters, then decide","Review with client - switch or exit"))))</f>
        <v/>
      </c>
      <c r="T291" s="26"/>
      <c r="U291" s="7" t="str">
        <f aca="false">IF($R291&lt;&gt;"Best Fund","",COUNTIFS($R$6:$R$505,"Best Fund",$L$6:$L$505,"&gt;"&amp;$L291)+COUNTIFS($R$6:$R291,"Best Fund",$L$6:$L291,$L291))</f>
        <v/>
      </c>
      <c r="V291" s="7" t="str">
        <f aca="false">IF($R291&lt;&gt;"Need to Improve","",COUNTIFS($R$6:$R$505,"Need to Improve",$L$6:$L$505,"&lt;"&amp;$L291)+COUNTIFS($R$6:$R291,"Need to Improve",$L$6:$L291,$L291))</f>
        <v/>
      </c>
      <c r="W291" s="7" t="str">
        <f aca="false">IF($R291&lt;&gt;"Not Performing","",COUNTIFS($R$6:$R$505,"Not Performing",$L$6:$L$505,"&lt;"&amp;$L291)+COUNTIFS($R$6:$R291,"Not Performing",$L$6:$L291,$L291))</f>
        <v/>
      </c>
    </row>
    <row r="292" customFormat="false" ht="15" hidden="false" customHeight="true" outlineLevel="0" collapsed="false">
      <c r="A292" s="26"/>
      <c r="B292" s="26"/>
      <c r="C292" s="26"/>
      <c r="D292" s="27" t="str">
        <f aca="false">IF($C292="","",IFERROR(TRIM(LEFT($C292,FIND("-",$C292)-1)),""))</f>
        <v/>
      </c>
      <c r="E292" s="26"/>
      <c r="F292" s="28"/>
      <c r="G292" s="29"/>
      <c r="H292" s="29"/>
      <c r="I292" s="30" t="str">
        <f aca="false">IF($B292="","",$H292-$G292)</f>
        <v/>
      </c>
      <c r="J292" s="31" t="str">
        <f aca="false">IF(OR($B292="",$G292=0,$G292=""),"",$I292/$G292)</f>
        <v/>
      </c>
      <c r="K292" s="32"/>
      <c r="L292" s="32"/>
      <c r="M292" s="32"/>
      <c r="N292" s="32"/>
      <c r="O292" s="32"/>
      <c r="P292" s="31" t="str">
        <f aca="false">IF(OR($L292="",$N292=""),"",$L292-$N292)</f>
        <v/>
      </c>
      <c r="Q292" s="27" t="str">
        <f aca="false">IF($B292="","",IF(N($H292)&gt;0,"Live","Exited"))</f>
        <v/>
      </c>
      <c r="R292" s="27" t="str">
        <f aca="false">IF($B292="","",IF($L292="","Data Pending",IF($L292&gt;=Instructions!$D$19,"Best Fund",IF($L292&gt;=Instructions!$D$20,"Need to Improve","Not Performing"))))</f>
        <v/>
      </c>
      <c r="S292" s="7" t="str">
        <f aca="false">IF($R292="","",IF($R292="Data Pending","Enter the 3Y return",IF($R292="Best Fund","Hold / consider top-up",IF($R292="Need to Improve","Watch 2 quarters, then decide","Review with client - switch or exit"))))</f>
        <v/>
      </c>
      <c r="T292" s="26"/>
      <c r="U292" s="7" t="str">
        <f aca="false">IF($R292&lt;&gt;"Best Fund","",COUNTIFS($R$6:$R$505,"Best Fund",$L$6:$L$505,"&gt;"&amp;$L292)+COUNTIFS($R$6:$R292,"Best Fund",$L$6:$L292,$L292))</f>
        <v/>
      </c>
      <c r="V292" s="7" t="str">
        <f aca="false">IF($R292&lt;&gt;"Need to Improve","",COUNTIFS($R$6:$R$505,"Need to Improve",$L$6:$L$505,"&lt;"&amp;$L292)+COUNTIFS($R$6:$R292,"Need to Improve",$L$6:$L292,$L292))</f>
        <v/>
      </c>
      <c r="W292" s="7" t="str">
        <f aca="false">IF($R292&lt;&gt;"Not Performing","",COUNTIFS($R$6:$R$505,"Not Performing",$L$6:$L$505,"&lt;"&amp;$L292)+COUNTIFS($R$6:$R292,"Not Performing",$L$6:$L292,$L292))</f>
        <v/>
      </c>
    </row>
    <row r="293" customFormat="false" ht="15" hidden="false" customHeight="true" outlineLevel="0" collapsed="false">
      <c r="A293" s="26"/>
      <c r="B293" s="26"/>
      <c r="C293" s="26"/>
      <c r="D293" s="27" t="str">
        <f aca="false">IF($C293="","",IFERROR(TRIM(LEFT($C293,FIND("-",$C293)-1)),""))</f>
        <v/>
      </c>
      <c r="E293" s="26"/>
      <c r="F293" s="28"/>
      <c r="G293" s="29"/>
      <c r="H293" s="29"/>
      <c r="I293" s="30" t="str">
        <f aca="false">IF($B293="","",$H293-$G293)</f>
        <v/>
      </c>
      <c r="J293" s="31" t="str">
        <f aca="false">IF(OR($B293="",$G293=0,$G293=""),"",$I293/$G293)</f>
        <v/>
      </c>
      <c r="K293" s="32"/>
      <c r="L293" s="32"/>
      <c r="M293" s="32"/>
      <c r="N293" s="32"/>
      <c r="O293" s="32"/>
      <c r="P293" s="31" t="str">
        <f aca="false">IF(OR($L293="",$N293=""),"",$L293-$N293)</f>
        <v/>
      </c>
      <c r="Q293" s="27" t="str">
        <f aca="false">IF($B293="","",IF(N($H293)&gt;0,"Live","Exited"))</f>
        <v/>
      </c>
      <c r="R293" s="27" t="str">
        <f aca="false">IF($B293="","",IF($L293="","Data Pending",IF($L293&gt;=Instructions!$D$19,"Best Fund",IF($L293&gt;=Instructions!$D$20,"Need to Improve","Not Performing"))))</f>
        <v/>
      </c>
      <c r="S293" s="7" t="str">
        <f aca="false">IF($R293="","",IF($R293="Data Pending","Enter the 3Y return",IF($R293="Best Fund","Hold / consider top-up",IF($R293="Need to Improve","Watch 2 quarters, then decide","Review with client - switch or exit"))))</f>
        <v/>
      </c>
      <c r="T293" s="26"/>
      <c r="U293" s="7" t="str">
        <f aca="false">IF($R293&lt;&gt;"Best Fund","",COUNTIFS($R$6:$R$505,"Best Fund",$L$6:$L$505,"&gt;"&amp;$L293)+COUNTIFS($R$6:$R293,"Best Fund",$L$6:$L293,$L293))</f>
        <v/>
      </c>
      <c r="V293" s="7" t="str">
        <f aca="false">IF($R293&lt;&gt;"Need to Improve","",COUNTIFS($R$6:$R$505,"Need to Improve",$L$6:$L$505,"&lt;"&amp;$L293)+COUNTIFS($R$6:$R293,"Need to Improve",$L$6:$L293,$L293))</f>
        <v/>
      </c>
      <c r="W293" s="7" t="str">
        <f aca="false">IF($R293&lt;&gt;"Not Performing","",COUNTIFS($R$6:$R$505,"Not Performing",$L$6:$L$505,"&lt;"&amp;$L293)+COUNTIFS($R$6:$R293,"Not Performing",$L$6:$L293,$L293))</f>
        <v/>
      </c>
    </row>
    <row r="294" customFormat="false" ht="15" hidden="false" customHeight="true" outlineLevel="0" collapsed="false">
      <c r="A294" s="26"/>
      <c r="B294" s="26"/>
      <c r="C294" s="26"/>
      <c r="D294" s="27" t="str">
        <f aca="false">IF($C294="","",IFERROR(TRIM(LEFT($C294,FIND("-",$C294)-1)),""))</f>
        <v/>
      </c>
      <c r="E294" s="26"/>
      <c r="F294" s="28"/>
      <c r="G294" s="29"/>
      <c r="H294" s="29"/>
      <c r="I294" s="30" t="str">
        <f aca="false">IF($B294="","",$H294-$G294)</f>
        <v/>
      </c>
      <c r="J294" s="31" t="str">
        <f aca="false">IF(OR($B294="",$G294=0,$G294=""),"",$I294/$G294)</f>
        <v/>
      </c>
      <c r="K294" s="32"/>
      <c r="L294" s="32"/>
      <c r="M294" s="32"/>
      <c r="N294" s="32"/>
      <c r="O294" s="32"/>
      <c r="P294" s="31" t="str">
        <f aca="false">IF(OR($L294="",$N294=""),"",$L294-$N294)</f>
        <v/>
      </c>
      <c r="Q294" s="27" t="str">
        <f aca="false">IF($B294="","",IF(N($H294)&gt;0,"Live","Exited"))</f>
        <v/>
      </c>
      <c r="R294" s="27" t="str">
        <f aca="false">IF($B294="","",IF($L294="","Data Pending",IF($L294&gt;=Instructions!$D$19,"Best Fund",IF($L294&gt;=Instructions!$D$20,"Need to Improve","Not Performing"))))</f>
        <v/>
      </c>
      <c r="S294" s="7" t="str">
        <f aca="false">IF($R294="","",IF($R294="Data Pending","Enter the 3Y return",IF($R294="Best Fund","Hold / consider top-up",IF($R294="Need to Improve","Watch 2 quarters, then decide","Review with client - switch or exit"))))</f>
        <v/>
      </c>
      <c r="T294" s="26"/>
      <c r="U294" s="7" t="str">
        <f aca="false">IF($R294&lt;&gt;"Best Fund","",COUNTIFS($R$6:$R$505,"Best Fund",$L$6:$L$505,"&gt;"&amp;$L294)+COUNTIFS($R$6:$R294,"Best Fund",$L$6:$L294,$L294))</f>
        <v/>
      </c>
      <c r="V294" s="7" t="str">
        <f aca="false">IF($R294&lt;&gt;"Need to Improve","",COUNTIFS($R$6:$R$505,"Need to Improve",$L$6:$L$505,"&lt;"&amp;$L294)+COUNTIFS($R$6:$R294,"Need to Improve",$L$6:$L294,$L294))</f>
        <v/>
      </c>
      <c r="W294" s="7" t="str">
        <f aca="false">IF($R294&lt;&gt;"Not Performing","",COUNTIFS($R$6:$R$505,"Not Performing",$L$6:$L$505,"&lt;"&amp;$L294)+COUNTIFS($R$6:$R294,"Not Performing",$L$6:$L294,$L294))</f>
        <v/>
      </c>
    </row>
    <row r="295" customFormat="false" ht="15" hidden="false" customHeight="true" outlineLevel="0" collapsed="false">
      <c r="A295" s="26"/>
      <c r="B295" s="26"/>
      <c r="C295" s="26"/>
      <c r="D295" s="27" t="str">
        <f aca="false">IF($C295="","",IFERROR(TRIM(LEFT($C295,FIND("-",$C295)-1)),""))</f>
        <v/>
      </c>
      <c r="E295" s="26"/>
      <c r="F295" s="28"/>
      <c r="G295" s="29"/>
      <c r="H295" s="29"/>
      <c r="I295" s="30" t="str">
        <f aca="false">IF($B295="","",$H295-$G295)</f>
        <v/>
      </c>
      <c r="J295" s="31" t="str">
        <f aca="false">IF(OR($B295="",$G295=0,$G295=""),"",$I295/$G295)</f>
        <v/>
      </c>
      <c r="K295" s="32"/>
      <c r="L295" s="32"/>
      <c r="M295" s="32"/>
      <c r="N295" s="32"/>
      <c r="O295" s="32"/>
      <c r="P295" s="31" t="str">
        <f aca="false">IF(OR($L295="",$N295=""),"",$L295-$N295)</f>
        <v/>
      </c>
      <c r="Q295" s="27" t="str">
        <f aca="false">IF($B295="","",IF(N($H295)&gt;0,"Live","Exited"))</f>
        <v/>
      </c>
      <c r="R295" s="27" t="str">
        <f aca="false">IF($B295="","",IF($L295="","Data Pending",IF($L295&gt;=Instructions!$D$19,"Best Fund",IF($L295&gt;=Instructions!$D$20,"Need to Improve","Not Performing"))))</f>
        <v/>
      </c>
      <c r="S295" s="7" t="str">
        <f aca="false">IF($R295="","",IF($R295="Data Pending","Enter the 3Y return",IF($R295="Best Fund","Hold / consider top-up",IF($R295="Need to Improve","Watch 2 quarters, then decide","Review with client - switch or exit"))))</f>
        <v/>
      </c>
      <c r="T295" s="26"/>
      <c r="U295" s="7" t="str">
        <f aca="false">IF($R295&lt;&gt;"Best Fund","",COUNTIFS($R$6:$R$505,"Best Fund",$L$6:$L$505,"&gt;"&amp;$L295)+COUNTIFS($R$6:$R295,"Best Fund",$L$6:$L295,$L295))</f>
        <v/>
      </c>
      <c r="V295" s="7" t="str">
        <f aca="false">IF($R295&lt;&gt;"Need to Improve","",COUNTIFS($R$6:$R$505,"Need to Improve",$L$6:$L$505,"&lt;"&amp;$L295)+COUNTIFS($R$6:$R295,"Need to Improve",$L$6:$L295,$L295))</f>
        <v/>
      </c>
      <c r="W295" s="7" t="str">
        <f aca="false">IF($R295&lt;&gt;"Not Performing","",COUNTIFS($R$6:$R$505,"Not Performing",$L$6:$L$505,"&lt;"&amp;$L295)+COUNTIFS($R$6:$R295,"Not Performing",$L$6:$L295,$L295))</f>
        <v/>
      </c>
    </row>
    <row r="296" customFormat="false" ht="15" hidden="false" customHeight="true" outlineLevel="0" collapsed="false">
      <c r="A296" s="26"/>
      <c r="B296" s="26"/>
      <c r="C296" s="26"/>
      <c r="D296" s="27" t="str">
        <f aca="false">IF($C296="","",IFERROR(TRIM(LEFT($C296,FIND("-",$C296)-1)),""))</f>
        <v/>
      </c>
      <c r="E296" s="26"/>
      <c r="F296" s="28"/>
      <c r="G296" s="29"/>
      <c r="H296" s="29"/>
      <c r="I296" s="30" t="str">
        <f aca="false">IF($B296="","",$H296-$G296)</f>
        <v/>
      </c>
      <c r="J296" s="31" t="str">
        <f aca="false">IF(OR($B296="",$G296=0,$G296=""),"",$I296/$G296)</f>
        <v/>
      </c>
      <c r="K296" s="32"/>
      <c r="L296" s="32"/>
      <c r="M296" s="32"/>
      <c r="N296" s="32"/>
      <c r="O296" s="32"/>
      <c r="P296" s="31" t="str">
        <f aca="false">IF(OR($L296="",$N296=""),"",$L296-$N296)</f>
        <v/>
      </c>
      <c r="Q296" s="27" t="str">
        <f aca="false">IF($B296="","",IF(N($H296)&gt;0,"Live","Exited"))</f>
        <v/>
      </c>
      <c r="R296" s="27" t="str">
        <f aca="false">IF($B296="","",IF($L296="","Data Pending",IF($L296&gt;=Instructions!$D$19,"Best Fund",IF($L296&gt;=Instructions!$D$20,"Need to Improve","Not Performing"))))</f>
        <v/>
      </c>
      <c r="S296" s="7" t="str">
        <f aca="false">IF($R296="","",IF($R296="Data Pending","Enter the 3Y return",IF($R296="Best Fund","Hold / consider top-up",IF($R296="Need to Improve","Watch 2 quarters, then decide","Review with client - switch or exit"))))</f>
        <v/>
      </c>
      <c r="T296" s="26"/>
      <c r="U296" s="7" t="str">
        <f aca="false">IF($R296&lt;&gt;"Best Fund","",COUNTIFS($R$6:$R$505,"Best Fund",$L$6:$L$505,"&gt;"&amp;$L296)+COUNTIFS($R$6:$R296,"Best Fund",$L$6:$L296,$L296))</f>
        <v/>
      </c>
      <c r="V296" s="7" t="str">
        <f aca="false">IF($R296&lt;&gt;"Need to Improve","",COUNTIFS($R$6:$R$505,"Need to Improve",$L$6:$L$505,"&lt;"&amp;$L296)+COUNTIFS($R$6:$R296,"Need to Improve",$L$6:$L296,$L296))</f>
        <v/>
      </c>
      <c r="W296" s="7" t="str">
        <f aca="false">IF($R296&lt;&gt;"Not Performing","",COUNTIFS($R$6:$R$505,"Not Performing",$L$6:$L$505,"&lt;"&amp;$L296)+COUNTIFS($R$6:$R296,"Not Performing",$L$6:$L296,$L296))</f>
        <v/>
      </c>
    </row>
    <row r="297" customFormat="false" ht="15" hidden="false" customHeight="true" outlineLevel="0" collapsed="false">
      <c r="A297" s="26"/>
      <c r="B297" s="26"/>
      <c r="C297" s="26"/>
      <c r="D297" s="27" t="str">
        <f aca="false">IF($C297="","",IFERROR(TRIM(LEFT($C297,FIND("-",$C297)-1)),""))</f>
        <v/>
      </c>
      <c r="E297" s="26"/>
      <c r="F297" s="28"/>
      <c r="G297" s="29"/>
      <c r="H297" s="29"/>
      <c r="I297" s="30" t="str">
        <f aca="false">IF($B297="","",$H297-$G297)</f>
        <v/>
      </c>
      <c r="J297" s="31" t="str">
        <f aca="false">IF(OR($B297="",$G297=0,$G297=""),"",$I297/$G297)</f>
        <v/>
      </c>
      <c r="K297" s="32"/>
      <c r="L297" s="32"/>
      <c r="M297" s="32"/>
      <c r="N297" s="32"/>
      <c r="O297" s="32"/>
      <c r="P297" s="31" t="str">
        <f aca="false">IF(OR($L297="",$N297=""),"",$L297-$N297)</f>
        <v/>
      </c>
      <c r="Q297" s="27" t="str">
        <f aca="false">IF($B297="","",IF(N($H297)&gt;0,"Live","Exited"))</f>
        <v/>
      </c>
      <c r="R297" s="27" t="str">
        <f aca="false">IF($B297="","",IF($L297="","Data Pending",IF($L297&gt;=Instructions!$D$19,"Best Fund",IF($L297&gt;=Instructions!$D$20,"Need to Improve","Not Performing"))))</f>
        <v/>
      </c>
      <c r="S297" s="7" t="str">
        <f aca="false">IF($R297="","",IF($R297="Data Pending","Enter the 3Y return",IF($R297="Best Fund","Hold / consider top-up",IF($R297="Need to Improve","Watch 2 quarters, then decide","Review with client - switch or exit"))))</f>
        <v/>
      </c>
      <c r="T297" s="26"/>
      <c r="U297" s="7" t="str">
        <f aca="false">IF($R297&lt;&gt;"Best Fund","",COUNTIFS($R$6:$R$505,"Best Fund",$L$6:$L$505,"&gt;"&amp;$L297)+COUNTIFS($R$6:$R297,"Best Fund",$L$6:$L297,$L297))</f>
        <v/>
      </c>
      <c r="V297" s="7" t="str">
        <f aca="false">IF($R297&lt;&gt;"Need to Improve","",COUNTIFS($R$6:$R$505,"Need to Improve",$L$6:$L$505,"&lt;"&amp;$L297)+COUNTIFS($R$6:$R297,"Need to Improve",$L$6:$L297,$L297))</f>
        <v/>
      </c>
      <c r="W297" s="7" t="str">
        <f aca="false">IF($R297&lt;&gt;"Not Performing","",COUNTIFS($R$6:$R$505,"Not Performing",$L$6:$L$505,"&lt;"&amp;$L297)+COUNTIFS($R$6:$R297,"Not Performing",$L$6:$L297,$L297))</f>
        <v/>
      </c>
    </row>
    <row r="298" customFormat="false" ht="15" hidden="false" customHeight="true" outlineLevel="0" collapsed="false">
      <c r="A298" s="26"/>
      <c r="B298" s="26"/>
      <c r="C298" s="26"/>
      <c r="D298" s="27" t="str">
        <f aca="false">IF($C298="","",IFERROR(TRIM(LEFT($C298,FIND("-",$C298)-1)),""))</f>
        <v/>
      </c>
      <c r="E298" s="26"/>
      <c r="F298" s="28"/>
      <c r="G298" s="29"/>
      <c r="H298" s="29"/>
      <c r="I298" s="30" t="str">
        <f aca="false">IF($B298="","",$H298-$G298)</f>
        <v/>
      </c>
      <c r="J298" s="31" t="str">
        <f aca="false">IF(OR($B298="",$G298=0,$G298=""),"",$I298/$G298)</f>
        <v/>
      </c>
      <c r="K298" s="32"/>
      <c r="L298" s="32"/>
      <c r="M298" s="32"/>
      <c r="N298" s="32"/>
      <c r="O298" s="32"/>
      <c r="P298" s="31" t="str">
        <f aca="false">IF(OR($L298="",$N298=""),"",$L298-$N298)</f>
        <v/>
      </c>
      <c r="Q298" s="27" t="str">
        <f aca="false">IF($B298="","",IF(N($H298)&gt;0,"Live","Exited"))</f>
        <v/>
      </c>
      <c r="R298" s="27" t="str">
        <f aca="false">IF($B298="","",IF($L298="","Data Pending",IF($L298&gt;=Instructions!$D$19,"Best Fund",IF($L298&gt;=Instructions!$D$20,"Need to Improve","Not Performing"))))</f>
        <v/>
      </c>
      <c r="S298" s="7" t="str">
        <f aca="false">IF($R298="","",IF($R298="Data Pending","Enter the 3Y return",IF($R298="Best Fund","Hold / consider top-up",IF($R298="Need to Improve","Watch 2 quarters, then decide","Review with client - switch or exit"))))</f>
        <v/>
      </c>
      <c r="T298" s="26"/>
      <c r="U298" s="7" t="str">
        <f aca="false">IF($R298&lt;&gt;"Best Fund","",COUNTIFS($R$6:$R$505,"Best Fund",$L$6:$L$505,"&gt;"&amp;$L298)+COUNTIFS($R$6:$R298,"Best Fund",$L$6:$L298,$L298))</f>
        <v/>
      </c>
      <c r="V298" s="7" t="str">
        <f aca="false">IF($R298&lt;&gt;"Need to Improve","",COUNTIFS($R$6:$R$505,"Need to Improve",$L$6:$L$505,"&lt;"&amp;$L298)+COUNTIFS($R$6:$R298,"Need to Improve",$L$6:$L298,$L298))</f>
        <v/>
      </c>
      <c r="W298" s="7" t="str">
        <f aca="false">IF($R298&lt;&gt;"Not Performing","",COUNTIFS($R$6:$R$505,"Not Performing",$L$6:$L$505,"&lt;"&amp;$L298)+COUNTIFS($R$6:$R298,"Not Performing",$L$6:$L298,$L298))</f>
        <v/>
      </c>
    </row>
    <row r="299" customFormat="false" ht="15" hidden="false" customHeight="true" outlineLevel="0" collapsed="false">
      <c r="A299" s="26"/>
      <c r="B299" s="26"/>
      <c r="C299" s="26"/>
      <c r="D299" s="27" t="str">
        <f aca="false">IF($C299="","",IFERROR(TRIM(LEFT($C299,FIND("-",$C299)-1)),""))</f>
        <v/>
      </c>
      <c r="E299" s="26"/>
      <c r="F299" s="28"/>
      <c r="G299" s="29"/>
      <c r="H299" s="29"/>
      <c r="I299" s="30" t="str">
        <f aca="false">IF($B299="","",$H299-$G299)</f>
        <v/>
      </c>
      <c r="J299" s="31" t="str">
        <f aca="false">IF(OR($B299="",$G299=0,$G299=""),"",$I299/$G299)</f>
        <v/>
      </c>
      <c r="K299" s="32"/>
      <c r="L299" s="32"/>
      <c r="M299" s="32"/>
      <c r="N299" s="32"/>
      <c r="O299" s="32"/>
      <c r="P299" s="31" t="str">
        <f aca="false">IF(OR($L299="",$N299=""),"",$L299-$N299)</f>
        <v/>
      </c>
      <c r="Q299" s="27" t="str">
        <f aca="false">IF($B299="","",IF(N($H299)&gt;0,"Live","Exited"))</f>
        <v/>
      </c>
      <c r="R299" s="27" t="str">
        <f aca="false">IF($B299="","",IF($L299="","Data Pending",IF($L299&gt;=Instructions!$D$19,"Best Fund",IF($L299&gt;=Instructions!$D$20,"Need to Improve","Not Performing"))))</f>
        <v/>
      </c>
      <c r="S299" s="7" t="str">
        <f aca="false">IF($R299="","",IF($R299="Data Pending","Enter the 3Y return",IF($R299="Best Fund","Hold / consider top-up",IF($R299="Need to Improve","Watch 2 quarters, then decide","Review with client - switch or exit"))))</f>
        <v/>
      </c>
      <c r="T299" s="26"/>
      <c r="U299" s="7" t="str">
        <f aca="false">IF($R299&lt;&gt;"Best Fund","",COUNTIFS($R$6:$R$505,"Best Fund",$L$6:$L$505,"&gt;"&amp;$L299)+COUNTIFS($R$6:$R299,"Best Fund",$L$6:$L299,$L299))</f>
        <v/>
      </c>
      <c r="V299" s="7" t="str">
        <f aca="false">IF($R299&lt;&gt;"Need to Improve","",COUNTIFS($R$6:$R$505,"Need to Improve",$L$6:$L$505,"&lt;"&amp;$L299)+COUNTIFS($R$6:$R299,"Need to Improve",$L$6:$L299,$L299))</f>
        <v/>
      </c>
      <c r="W299" s="7" t="str">
        <f aca="false">IF($R299&lt;&gt;"Not Performing","",COUNTIFS($R$6:$R$505,"Not Performing",$L$6:$L$505,"&lt;"&amp;$L299)+COUNTIFS($R$6:$R299,"Not Performing",$L$6:$L299,$L299))</f>
        <v/>
      </c>
    </row>
    <row r="300" customFormat="false" ht="15" hidden="false" customHeight="true" outlineLevel="0" collapsed="false">
      <c r="A300" s="26"/>
      <c r="B300" s="26"/>
      <c r="C300" s="26"/>
      <c r="D300" s="27" t="str">
        <f aca="false">IF($C300="","",IFERROR(TRIM(LEFT($C300,FIND("-",$C300)-1)),""))</f>
        <v/>
      </c>
      <c r="E300" s="26"/>
      <c r="F300" s="28"/>
      <c r="G300" s="29"/>
      <c r="H300" s="29"/>
      <c r="I300" s="30" t="str">
        <f aca="false">IF($B300="","",$H300-$G300)</f>
        <v/>
      </c>
      <c r="J300" s="31" t="str">
        <f aca="false">IF(OR($B300="",$G300=0,$G300=""),"",$I300/$G300)</f>
        <v/>
      </c>
      <c r="K300" s="32"/>
      <c r="L300" s="32"/>
      <c r="M300" s="32"/>
      <c r="N300" s="32"/>
      <c r="O300" s="32"/>
      <c r="P300" s="31" t="str">
        <f aca="false">IF(OR($L300="",$N300=""),"",$L300-$N300)</f>
        <v/>
      </c>
      <c r="Q300" s="27" t="str">
        <f aca="false">IF($B300="","",IF(N($H300)&gt;0,"Live","Exited"))</f>
        <v/>
      </c>
      <c r="R300" s="27" t="str">
        <f aca="false">IF($B300="","",IF($L300="","Data Pending",IF($L300&gt;=Instructions!$D$19,"Best Fund",IF($L300&gt;=Instructions!$D$20,"Need to Improve","Not Performing"))))</f>
        <v/>
      </c>
      <c r="S300" s="7" t="str">
        <f aca="false">IF($R300="","",IF($R300="Data Pending","Enter the 3Y return",IF($R300="Best Fund","Hold / consider top-up",IF($R300="Need to Improve","Watch 2 quarters, then decide","Review with client - switch or exit"))))</f>
        <v/>
      </c>
      <c r="T300" s="26"/>
      <c r="U300" s="7" t="str">
        <f aca="false">IF($R300&lt;&gt;"Best Fund","",COUNTIFS($R$6:$R$505,"Best Fund",$L$6:$L$505,"&gt;"&amp;$L300)+COUNTIFS($R$6:$R300,"Best Fund",$L$6:$L300,$L300))</f>
        <v/>
      </c>
      <c r="V300" s="7" t="str">
        <f aca="false">IF($R300&lt;&gt;"Need to Improve","",COUNTIFS($R$6:$R$505,"Need to Improve",$L$6:$L$505,"&lt;"&amp;$L300)+COUNTIFS($R$6:$R300,"Need to Improve",$L$6:$L300,$L300))</f>
        <v/>
      </c>
      <c r="W300" s="7" t="str">
        <f aca="false">IF($R300&lt;&gt;"Not Performing","",COUNTIFS($R$6:$R$505,"Not Performing",$L$6:$L$505,"&lt;"&amp;$L300)+COUNTIFS($R$6:$R300,"Not Performing",$L$6:$L300,$L300))</f>
        <v/>
      </c>
    </row>
    <row r="301" customFormat="false" ht="15" hidden="false" customHeight="true" outlineLevel="0" collapsed="false">
      <c r="A301" s="26"/>
      <c r="B301" s="26"/>
      <c r="C301" s="26"/>
      <c r="D301" s="27" t="str">
        <f aca="false">IF($C301="","",IFERROR(TRIM(LEFT($C301,FIND("-",$C301)-1)),""))</f>
        <v/>
      </c>
      <c r="E301" s="26"/>
      <c r="F301" s="28"/>
      <c r="G301" s="29"/>
      <c r="H301" s="29"/>
      <c r="I301" s="30" t="str">
        <f aca="false">IF($B301="","",$H301-$G301)</f>
        <v/>
      </c>
      <c r="J301" s="31" t="str">
        <f aca="false">IF(OR($B301="",$G301=0,$G301=""),"",$I301/$G301)</f>
        <v/>
      </c>
      <c r="K301" s="32"/>
      <c r="L301" s="32"/>
      <c r="M301" s="32"/>
      <c r="N301" s="32"/>
      <c r="O301" s="32"/>
      <c r="P301" s="31" t="str">
        <f aca="false">IF(OR($L301="",$N301=""),"",$L301-$N301)</f>
        <v/>
      </c>
      <c r="Q301" s="27" t="str">
        <f aca="false">IF($B301="","",IF(N($H301)&gt;0,"Live","Exited"))</f>
        <v/>
      </c>
      <c r="R301" s="27" t="str">
        <f aca="false">IF($B301="","",IF($L301="","Data Pending",IF($L301&gt;=Instructions!$D$19,"Best Fund",IF($L301&gt;=Instructions!$D$20,"Need to Improve","Not Performing"))))</f>
        <v/>
      </c>
      <c r="S301" s="7" t="str">
        <f aca="false">IF($R301="","",IF($R301="Data Pending","Enter the 3Y return",IF($R301="Best Fund","Hold / consider top-up",IF($R301="Need to Improve","Watch 2 quarters, then decide","Review with client - switch or exit"))))</f>
        <v/>
      </c>
      <c r="T301" s="26"/>
      <c r="U301" s="7" t="str">
        <f aca="false">IF($R301&lt;&gt;"Best Fund","",COUNTIFS($R$6:$R$505,"Best Fund",$L$6:$L$505,"&gt;"&amp;$L301)+COUNTIFS($R$6:$R301,"Best Fund",$L$6:$L301,$L301))</f>
        <v/>
      </c>
      <c r="V301" s="7" t="str">
        <f aca="false">IF($R301&lt;&gt;"Need to Improve","",COUNTIFS($R$6:$R$505,"Need to Improve",$L$6:$L$505,"&lt;"&amp;$L301)+COUNTIFS($R$6:$R301,"Need to Improve",$L$6:$L301,$L301))</f>
        <v/>
      </c>
      <c r="W301" s="7" t="str">
        <f aca="false">IF($R301&lt;&gt;"Not Performing","",COUNTIFS($R$6:$R$505,"Not Performing",$L$6:$L$505,"&lt;"&amp;$L301)+COUNTIFS($R$6:$R301,"Not Performing",$L$6:$L301,$L301))</f>
        <v/>
      </c>
    </row>
    <row r="302" customFormat="false" ht="15" hidden="false" customHeight="true" outlineLevel="0" collapsed="false">
      <c r="A302" s="26"/>
      <c r="B302" s="26"/>
      <c r="C302" s="26"/>
      <c r="D302" s="27" t="str">
        <f aca="false">IF($C302="","",IFERROR(TRIM(LEFT($C302,FIND("-",$C302)-1)),""))</f>
        <v/>
      </c>
      <c r="E302" s="26"/>
      <c r="F302" s="28"/>
      <c r="G302" s="29"/>
      <c r="H302" s="29"/>
      <c r="I302" s="30" t="str">
        <f aca="false">IF($B302="","",$H302-$G302)</f>
        <v/>
      </c>
      <c r="J302" s="31" t="str">
        <f aca="false">IF(OR($B302="",$G302=0,$G302=""),"",$I302/$G302)</f>
        <v/>
      </c>
      <c r="K302" s="32"/>
      <c r="L302" s="32"/>
      <c r="M302" s="32"/>
      <c r="N302" s="32"/>
      <c r="O302" s="32"/>
      <c r="P302" s="31" t="str">
        <f aca="false">IF(OR($L302="",$N302=""),"",$L302-$N302)</f>
        <v/>
      </c>
      <c r="Q302" s="27" t="str">
        <f aca="false">IF($B302="","",IF(N($H302)&gt;0,"Live","Exited"))</f>
        <v/>
      </c>
      <c r="R302" s="27" t="str">
        <f aca="false">IF($B302="","",IF($L302="","Data Pending",IF($L302&gt;=Instructions!$D$19,"Best Fund",IF($L302&gt;=Instructions!$D$20,"Need to Improve","Not Performing"))))</f>
        <v/>
      </c>
      <c r="S302" s="7" t="str">
        <f aca="false">IF($R302="","",IF($R302="Data Pending","Enter the 3Y return",IF($R302="Best Fund","Hold / consider top-up",IF($R302="Need to Improve","Watch 2 quarters, then decide","Review with client - switch or exit"))))</f>
        <v/>
      </c>
      <c r="T302" s="26"/>
      <c r="U302" s="7" t="str">
        <f aca="false">IF($R302&lt;&gt;"Best Fund","",COUNTIFS($R$6:$R$505,"Best Fund",$L$6:$L$505,"&gt;"&amp;$L302)+COUNTIFS($R$6:$R302,"Best Fund",$L$6:$L302,$L302))</f>
        <v/>
      </c>
      <c r="V302" s="7" t="str">
        <f aca="false">IF($R302&lt;&gt;"Need to Improve","",COUNTIFS($R$6:$R$505,"Need to Improve",$L$6:$L$505,"&lt;"&amp;$L302)+COUNTIFS($R$6:$R302,"Need to Improve",$L$6:$L302,$L302))</f>
        <v/>
      </c>
      <c r="W302" s="7" t="str">
        <f aca="false">IF($R302&lt;&gt;"Not Performing","",COUNTIFS($R$6:$R$505,"Not Performing",$L$6:$L$505,"&lt;"&amp;$L302)+COUNTIFS($R$6:$R302,"Not Performing",$L$6:$L302,$L302))</f>
        <v/>
      </c>
    </row>
    <row r="303" customFormat="false" ht="15" hidden="false" customHeight="true" outlineLevel="0" collapsed="false">
      <c r="A303" s="26"/>
      <c r="B303" s="26"/>
      <c r="C303" s="26"/>
      <c r="D303" s="27" t="str">
        <f aca="false">IF($C303="","",IFERROR(TRIM(LEFT($C303,FIND("-",$C303)-1)),""))</f>
        <v/>
      </c>
      <c r="E303" s="26"/>
      <c r="F303" s="28"/>
      <c r="G303" s="29"/>
      <c r="H303" s="29"/>
      <c r="I303" s="30" t="str">
        <f aca="false">IF($B303="","",$H303-$G303)</f>
        <v/>
      </c>
      <c r="J303" s="31" t="str">
        <f aca="false">IF(OR($B303="",$G303=0,$G303=""),"",$I303/$G303)</f>
        <v/>
      </c>
      <c r="K303" s="32"/>
      <c r="L303" s="32"/>
      <c r="M303" s="32"/>
      <c r="N303" s="32"/>
      <c r="O303" s="32"/>
      <c r="P303" s="31" t="str">
        <f aca="false">IF(OR($L303="",$N303=""),"",$L303-$N303)</f>
        <v/>
      </c>
      <c r="Q303" s="27" t="str">
        <f aca="false">IF($B303="","",IF(N($H303)&gt;0,"Live","Exited"))</f>
        <v/>
      </c>
      <c r="R303" s="27" t="str">
        <f aca="false">IF($B303="","",IF($L303="","Data Pending",IF($L303&gt;=Instructions!$D$19,"Best Fund",IF($L303&gt;=Instructions!$D$20,"Need to Improve","Not Performing"))))</f>
        <v/>
      </c>
      <c r="S303" s="7" t="str">
        <f aca="false">IF($R303="","",IF($R303="Data Pending","Enter the 3Y return",IF($R303="Best Fund","Hold / consider top-up",IF($R303="Need to Improve","Watch 2 quarters, then decide","Review with client - switch or exit"))))</f>
        <v/>
      </c>
      <c r="T303" s="26"/>
      <c r="U303" s="7" t="str">
        <f aca="false">IF($R303&lt;&gt;"Best Fund","",COUNTIFS($R$6:$R$505,"Best Fund",$L$6:$L$505,"&gt;"&amp;$L303)+COUNTIFS($R$6:$R303,"Best Fund",$L$6:$L303,$L303))</f>
        <v/>
      </c>
      <c r="V303" s="7" t="str">
        <f aca="false">IF($R303&lt;&gt;"Need to Improve","",COUNTIFS($R$6:$R$505,"Need to Improve",$L$6:$L$505,"&lt;"&amp;$L303)+COUNTIFS($R$6:$R303,"Need to Improve",$L$6:$L303,$L303))</f>
        <v/>
      </c>
      <c r="W303" s="7" t="str">
        <f aca="false">IF($R303&lt;&gt;"Not Performing","",COUNTIFS($R$6:$R$505,"Not Performing",$L$6:$L$505,"&lt;"&amp;$L303)+COUNTIFS($R$6:$R303,"Not Performing",$L$6:$L303,$L303))</f>
        <v/>
      </c>
    </row>
    <row r="304" customFormat="false" ht="15" hidden="false" customHeight="true" outlineLevel="0" collapsed="false">
      <c r="A304" s="26"/>
      <c r="B304" s="26"/>
      <c r="C304" s="26"/>
      <c r="D304" s="27" t="str">
        <f aca="false">IF($C304="","",IFERROR(TRIM(LEFT($C304,FIND("-",$C304)-1)),""))</f>
        <v/>
      </c>
      <c r="E304" s="26"/>
      <c r="F304" s="28"/>
      <c r="G304" s="29"/>
      <c r="H304" s="29"/>
      <c r="I304" s="30" t="str">
        <f aca="false">IF($B304="","",$H304-$G304)</f>
        <v/>
      </c>
      <c r="J304" s="31" t="str">
        <f aca="false">IF(OR($B304="",$G304=0,$G304=""),"",$I304/$G304)</f>
        <v/>
      </c>
      <c r="K304" s="32"/>
      <c r="L304" s="32"/>
      <c r="M304" s="32"/>
      <c r="N304" s="32"/>
      <c r="O304" s="32"/>
      <c r="P304" s="31" t="str">
        <f aca="false">IF(OR($L304="",$N304=""),"",$L304-$N304)</f>
        <v/>
      </c>
      <c r="Q304" s="27" t="str">
        <f aca="false">IF($B304="","",IF(N($H304)&gt;0,"Live","Exited"))</f>
        <v/>
      </c>
      <c r="R304" s="27" t="str">
        <f aca="false">IF($B304="","",IF($L304="","Data Pending",IF($L304&gt;=Instructions!$D$19,"Best Fund",IF($L304&gt;=Instructions!$D$20,"Need to Improve","Not Performing"))))</f>
        <v/>
      </c>
      <c r="S304" s="7" t="str">
        <f aca="false">IF($R304="","",IF($R304="Data Pending","Enter the 3Y return",IF($R304="Best Fund","Hold / consider top-up",IF($R304="Need to Improve","Watch 2 quarters, then decide","Review with client - switch or exit"))))</f>
        <v/>
      </c>
      <c r="T304" s="26"/>
      <c r="U304" s="7" t="str">
        <f aca="false">IF($R304&lt;&gt;"Best Fund","",COUNTIFS($R$6:$R$505,"Best Fund",$L$6:$L$505,"&gt;"&amp;$L304)+COUNTIFS($R$6:$R304,"Best Fund",$L$6:$L304,$L304))</f>
        <v/>
      </c>
      <c r="V304" s="7" t="str">
        <f aca="false">IF($R304&lt;&gt;"Need to Improve","",COUNTIFS($R$6:$R$505,"Need to Improve",$L$6:$L$505,"&lt;"&amp;$L304)+COUNTIFS($R$6:$R304,"Need to Improve",$L$6:$L304,$L304))</f>
        <v/>
      </c>
      <c r="W304" s="7" t="str">
        <f aca="false">IF($R304&lt;&gt;"Not Performing","",COUNTIFS($R$6:$R$505,"Not Performing",$L$6:$L$505,"&lt;"&amp;$L304)+COUNTIFS($R$6:$R304,"Not Performing",$L$6:$L304,$L304))</f>
        <v/>
      </c>
    </row>
    <row r="305" customFormat="false" ht="15" hidden="false" customHeight="true" outlineLevel="0" collapsed="false">
      <c r="A305" s="26"/>
      <c r="B305" s="26"/>
      <c r="C305" s="26"/>
      <c r="D305" s="27" t="str">
        <f aca="false">IF($C305="","",IFERROR(TRIM(LEFT($C305,FIND("-",$C305)-1)),""))</f>
        <v/>
      </c>
      <c r="E305" s="26"/>
      <c r="F305" s="28"/>
      <c r="G305" s="29"/>
      <c r="H305" s="29"/>
      <c r="I305" s="30" t="str">
        <f aca="false">IF($B305="","",$H305-$G305)</f>
        <v/>
      </c>
      <c r="J305" s="31" t="str">
        <f aca="false">IF(OR($B305="",$G305=0,$G305=""),"",$I305/$G305)</f>
        <v/>
      </c>
      <c r="K305" s="32"/>
      <c r="L305" s="32"/>
      <c r="M305" s="32"/>
      <c r="N305" s="32"/>
      <c r="O305" s="32"/>
      <c r="P305" s="31" t="str">
        <f aca="false">IF(OR($L305="",$N305=""),"",$L305-$N305)</f>
        <v/>
      </c>
      <c r="Q305" s="27" t="str">
        <f aca="false">IF($B305="","",IF(N($H305)&gt;0,"Live","Exited"))</f>
        <v/>
      </c>
      <c r="R305" s="27" t="str">
        <f aca="false">IF($B305="","",IF($L305="","Data Pending",IF($L305&gt;=Instructions!$D$19,"Best Fund",IF($L305&gt;=Instructions!$D$20,"Need to Improve","Not Performing"))))</f>
        <v/>
      </c>
      <c r="S305" s="7" t="str">
        <f aca="false">IF($R305="","",IF($R305="Data Pending","Enter the 3Y return",IF($R305="Best Fund","Hold / consider top-up",IF($R305="Need to Improve","Watch 2 quarters, then decide","Review with client - switch or exit"))))</f>
        <v/>
      </c>
      <c r="T305" s="26"/>
      <c r="U305" s="7" t="str">
        <f aca="false">IF($R305&lt;&gt;"Best Fund","",COUNTIFS($R$6:$R$505,"Best Fund",$L$6:$L$505,"&gt;"&amp;$L305)+COUNTIFS($R$6:$R305,"Best Fund",$L$6:$L305,$L305))</f>
        <v/>
      </c>
      <c r="V305" s="7" t="str">
        <f aca="false">IF($R305&lt;&gt;"Need to Improve","",COUNTIFS($R$6:$R$505,"Need to Improve",$L$6:$L$505,"&lt;"&amp;$L305)+COUNTIFS($R$6:$R305,"Need to Improve",$L$6:$L305,$L305))</f>
        <v/>
      </c>
      <c r="W305" s="7" t="str">
        <f aca="false">IF($R305&lt;&gt;"Not Performing","",COUNTIFS($R$6:$R$505,"Not Performing",$L$6:$L$505,"&lt;"&amp;$L305)+COUNTIFS($R$6:$R305,"Not Performing",$L$6:$L305,$L305))</f>
        <v/>
      </c>
    </row>
    <row r="306" customFormat="false" ht="15" hidden="false" customHeight="true" outlineLevel="0" collapsed="false">
      <c r="A306" s="26"/>
      <c r="B306" s="26"/>
      <c r="C306" s="26"/>
      <c r="D306" s="27" t="str">
        <f aca="false">IF($C306="","",IFERROR(TRIM(LEFT($C306,FIND("-",$C306)-1)),""))</f>
        <v/>
      </c>
      <c r="E306" s="26"/>
      <c r="F306" s="28"/>
      <c r="G306" s="29"/>
      <c r="H306" s="29"/>
      <c r="I306" s="30" t="str">
        <f aca="false">IF($B306="","",$H306-$G306)</f>
        <v/>
      </c>
      <c r="J306" s="31" t="str">
        <f aca="false">IF(OR($B306="",$G306=0,$G306=""),"",$I306/$G306)</f>
        <v/>
      </c>
      <c r="K306" s="32"/>
      <c r="L306" s="32"/>
      <c r="M306" s="32"/>
      <c r="N306" s="32"/>
      <c r="O306" s="32"/>
      <c r="P306" s="31" t="str">
        <f aca="false">IF(OR($L306="",$N306=""),"",$L306-$N306)</f>
        <v/>
      </c>
      <c r="Q306" s="27" t="str">
        <f aca="false">IF($B306="","",IF(N($H306)&gt;0,"Live","Exited"))</f>
        <v/>
      </c>
      <c r="R306" s="27" t="str">
        <f aca="false">IF($B306="","",IF($L306="","Data Pending",IF($L306&gt;=Instructions!$D$19,"Best Fund",IF($L306&gt;=Instructions!$D$20,"Need to Improve","Not Performing"))))</f>
        <v/>
      </c>
      <c r="S306" s="7" t="str">
        <f aca="false">IF($R306="","",IF($R306="Data Pending","Enter the 3Y return",IF($R306="Best Fund","Hold / consider top-up",IF($R306="Need to Improve","Watch 2 quarters, then decide","Review with client - switch or exit"))))</f>
        <v/>
      </c>
      <c r="T306" s="26"/>
      <c r="U306" s="7" t="str">
        <f aca="false">IF($R306&lt;&gt;"Best Fund","",COUNTIFS($R$6:$R$505,"Best Fund",$L$6:$L$505,"&gt;"&amp;$L306)+COUNTIFS($R$6:$R306,"Best Fund",$L$6:$L306,$L306))</f>
        <v/>
      </c>
      <c r="V306" s="7" t="str">
        <f aca="false">IF($R306&lt;&gt;"Need to Improve","",COUNTIFS($R$6:$R$505,"Need to Improve",$L$6:$L$505,"&lt;"&amp;$L306)+COUNTIFS($R$6:$R306,"Need to Improve",$L$6:$L306,$L306))</f>
        <v/>
      </c>
      <c r="W306" s="7" t="str">
        <f aca="false">IF($R306&lt;&gt;"Not Performing","",COUNTIFS($R$6:$R$505,"Not Performing",$L$6:$L$505,"&lt;"&amp;$L306)+COUNTIFS($R$6:$R306,"Not Performing",$L$6:$L306,$L306))</f>
        <v/>
      </c>
    </row>
    <row r="307" customFormat="false" ht="15" hidden="false" customHeight="true" outlineLevel="0" collapsed="false">
      <c r="A307" s="26"/>
      <c r="B307" s="26"/>
      <c r="C307" s="26"/>
      <c r="D307" s="27" t="str">
        <f aca="false">IF($C307="","",IFERROR(TRIM(LEFT($C307,FIND("-",$C307)-1)),""))</f>
        <v/>
      </c>
      <c r="E307" s="26"/>
      <c r="F307" s="28"/>
      <c r="G307" s="29"/>
      <c r="H307" s="29"/>
      <c r="I307" s="30" t="str">
        <f aca="false">IF($B307="","",$H307-$G307)</f>
        <v/>
      </c>
      <c r="J307" s="31" t="str">
        <f aca="false">IF(OR($B307="",$G307=0,$G307=""),"",$I307/$G307)</f>
        <v/>
      </c>
      <c r="K307" s="32"/>
      <c r="L307" s="32"/>
      <c r="M307" s="32"/>
      <c r="N307" s="32"/>
      <c r="O307" s="32"/>
      <c r="P307" s="31" t="str">
        <f aca="false">IF(OR($L307="",$N307=""),"",$L307-$N307)</f>
        <v/>
      </c>
      <c r="Q307" s="27" t="str">
        <f aca="false">IF($B307="","",IF(N($H307)&gt;0,"Live","Exited"))</f>
        <v/>
      </c>
      <c r="R307" s="27" t="str">
        <f aca="false">IF($B307="","",IF($L307="","Data Pending",IF($L307&gt;=Instructions!$D$19,"Best Fund",IF($L307&gt;=Instructions!$D$20,"Need to Improve","Not Performing"))))</f>
        <v/>
      </c>
      <c r="S307" s="7" t="str">
        <f aca="false">IF($R307="","",IF($R307="Data Pending","Enter the 3Y return",IF($R307="Best Fund","Hold / consider top-up",IF($R307="Need to Improve","Watch 2 quarters, then decide","Review with client - switch or exit"))))</f>
        <v/>
      </c>
      <c r="T307" s="26"/>
      <c r="U307" s="7" t="str">
        <f aca="false">IF($R307&lt;&gt;"Best Fund","",COUNTIFS($R$6:$R$505,"Best Fund",$L$6:$L$505,"&gt;"&amp;$L307)+COUNTIFS($R$6:$R307,"Best Fund",$L$6:$L307,$L307))</f>
        <v/>
      </c>
      <c r="V307" s="7" t="str">
        <f aca="false">IF($R307&lt;&gt;"Need to Improve","",COUNTIFS($R$6:$R$505,"Need to Improve",$L$6:$L$505,"&lt;"&amp;$L307)+COUNTIFS($R$6:$R307,"Need to Improve",$L$6:$L307,$L307))</f>
        <v/>
      </c>
      <c r="W307" s="7" t="str">
        <f aca="false">IF($R307&lt;&gt;"Not Performing","",COUNTIFS($R$6:$R$505,"Not Performing",$L$6:$L$505,"&lt;"&amp;$L307)+COUNTIFS($R$6:$R307,"Not Performing",$L$6:$L307,$L307))</f>
        <v/>
      </c>
    </row>
    <row r="308" customFormat="false" ht="15" hidden="false" customHeight="true" outlineLevel="0" collapsed="false">
      <c r="A308" s="26"/>
      <c r="B308" s="26"/>
      <c r="C308" s="26"/>
      <c r="D308" s="27" t="str">
        <f aca="false">IF($C308="","",IFERROR(TRIM(LEFT($C308,FIND("-",$C308)-1)),""))</f>
        <v/>
      </c>
      <c r="E308" s="26"/>
      <c r="F308" s="28"/>
      <c r="G308" s="29"/>
      <c r="H308" s="29"/>
      <c r="I308" s="30" t="str">
        <f aca="false">IF($B308="","",$H308-$G308)</f>
        <v/>
      </c>
      <c r="J308" s="31" t="str">
        <f aca="false">IF(OR($B308="",$G308=0,$G308=""),"",$I308/$G308)</f>
        <v/>
      </c>
      <c r="K308" s="32"/>
      <c r="L308" s="32"/>
      <c r="M308" s="32"/>
      <c r="N308" s="32"/>
      <c r="O308" s="32"/>
      <c r="P308" s="31" t="str">
        <f aca="false">IF(OR($L308="",$N308=""),"",$L308-$N308)</f>
        <v/>
      </c>
      <c r="Q308" s="27" t="str">
        <f aca="false">IF($B308="","",IF(N($H308)&gt;0,"Live","Exited"))</f>
        <v/>
      </c>
      <c r="R308" s="27" t="str">
        <f aca="false">IF($B308="","",IF($L308="","Data Pending",IF($L308&gt;=Instructions!$D$19,"Best Fund",IF($L308&gt;=Instructions!$D$20,"Need to Improve","Not Performing"))))</f>
        <v/>
      </c>
      <c r="S308" s="7" t="str">
        <f aca="false">IF($R308="","",IF($R308="Data Pending","Enter the 3Y return",IF($R308="Best Fund","Hold / consider top-up",IF($R308="Need to Improve","Watch 2 quarters, then decide","Review with client - switch or exit"))))</f>
        <v/>
      </c>
      <c r="T308" s="26"/>
      <c r="U308" s="7" t="str">
        <f aca="false">IF($R308&lt;&gt;"Best Fund","",COUNTIFS($R$6:$R$505,"Best Fund",$L$6:$L$505,"&gt;"&amp;$L308)+COUNTIFS($R$6:$R308,"Best Fund",$L$6:$L308,$L308))</f>
        <v/>
      </c>
      <c r="V308" s="7" t="str">
        <f aca="false">IF($R308&lt;&gt;"Need to Improve","",COUNTIFS($R$6:$R$505,"Need to Improve",$L$6:$L$505,"&lt;"&amp;$L308)+COUNTIFS($R$6:$R308,"Need to Improve",$L$6:$L308,$L308))</f>
        <v/>
      </c>
      <c r="W308" s="7" t="str">
        <f aca="false">IF($R308&lt;&gt;"Not Performing","",COUNTIFS($R$6:$R$505,"Not Performing",$L$6:$L$505,"&lt;"&amp;$L308)+COUNTIFS($R$6:$R308,"Not Performing",$L$6:$L308,$L308))</f>
        <v/>
      </c>
    </row>
    <row r="309" customFormat="false" ht="15" hidden="false" customHeight="true" outlineLevel="0" collapsed="false">
      <c r="A309" s="26"/>
      <c r="B309" s="26"/>
      <c r="C309" s="26"/>
      <c r="D309" s="27" t="str">
        <f aca="false">IF($C309="","",IFERROR(TRIM(LEFT($C309,FIND("-",$C309)-1)),""))</f>
        <v/>
      </c>
      <c r="E309" s="26"/>
      <c r="F309" s="28"/>
      <c r="G309" s="29"/>
      <c r="H309" s="29"/>
      <c r="I309" s="30" t="str">
        <f aca="false">IF($B309="","",$H309-$G309)</f>
        <v/>
      </c>
      <c r="J309" s="31" t="str">
        <f aca="false">IF(OR($B309="",$G309=0,$G309=""),"",$I309/$G309)</f>
        <v/>
      </c>
      <c r="K309" s="32"/>
      <c r="L309" s="32"/>
      <c r="M309" s="32"/>
      <c r="N309" s="32"/>
      <c r="O309" s="32"/>
      <c r="P309" s="31" t="str">
        <f aca="false">IF(OR($L309="",$N309=""),"",$L309-$N309)</f>
        <v/>
      </c>
      <c r="Q309" s="27" t="str">
        <f aca="false">IF($B309="","",IF(N($H309)&gt;0,"Live","Exited"))</f>
        <v/>
      </c>
      <c r="R309" s="27" t="str">
        <f aca="false">IF($B309="","",IF($L309="","Data Pending",IF($L309&gt;=Instructions!$D$19,"Best Fund",IF($L309&gt;=Instructions!$D$20,"Need to Improve","Not Performing"))))</f>
        <v/>
      </c>
      <c r="S309" s="7" t="str">
        <f aca="false">IF($R309="","",IF($R309="Data Pending","Enter the 3Y return",IF($R309="Best Fund","Hold / consider top-up",IF($R309="Need to Improve","Watch 2 quarters, then decide","Review with client - switch or exit"))))</f>
        <v/>
      </c>
      <c r="T309" s="26"/>
      <c r="U309" s="7" t="str">
        <f aca="false">IF($R309&lt;&gt;"Best Fund","",COUNTIFS($R$6:$R$505,"Best Fund",$L$6:$L$505,"&gt;"&amp;$L309)+COUNTIFS($R$6:$R309,"Best Fund",$L$6:$L309,$L309))</f>
        <v/>
      </c>
      <c r="V309" s="7" t="str">
        <f aca="false">IF($R309&lt;&gt;"Need to Improve","",COUNTIFS($R$6:$R$505,"Need to Improve",$L$6:$L$505,"&lt;"&amp;$L309)+COUNTIFS($R$6:$R309,"Need to Improve",$L$6:$L309,$L309))</f>
        <v/>
      </c>
      <c r="W309" s="7" t="str">
        <f aca="false">IF($R309&lt;&gt;"Not Performing","",COUNTIFS($R$6:$R$505,"Not Performing",$L$6:$L$505,"&lt;"&amp;$L309)+COUNTIFS($R$6:$R309,"Not Performing",$L$6:$L309,$L309))</f>
        <v/>
      </c>
    </row>
    <row r="310" customFormat="false" ht="15" hidden="false" customHeight="true" outlineLevel="0" collapsed="false">
      <c r="A310" s="26"/>
      <c r="B310" s="26"/>
      <c r="C310" s="26"/>
      <c r="D310" s="27" t="str">
        <f aca="false">IF($C310="","",IFERROR(TRIM(LEFT($C310,FIND("-",$C310)-1)),""))</f>
        <v/>
      </c>
      <c r="E310" s="26"/>
      <c r="F310" s="28"/>
      <c r="G310" s="29"/>
      <c r="H310" s="29"/>
      <c r="I310" s="30" t="str">
        <f aca="false">IF($B310="","",$H310-$G310)</f>
        <v/>
      </c>
      <c r="J310" s="31" t="str">
        <f aca="false">IF(OR($B310="",$G310=0,$G310=""),"",$I310/$G310)</f>
        <v/>
      </c>
      <c r="K310" s="32"/>
      <c r="L310" s="32"/>
      <c r="M310" s="32"/>
      <c r="N310" s="32"/>
      <c r="O310" s="32"/>
      <c r="P310" s="31" t="str">
        <f aca="false">IF(OR($L310="",$N310=""),"",$L310-$N310)</f>
        <v/>
      </c>
      <c r="Q310" s="27" t="str">
        <f aca="false">IF($B310="","",IF(N($H310)&gt;0,"Live","Exited"))</f>
        <v/>
      </c>
      <c r="R310" s="27" t="str">
        <f aca="false">IF($B310="","",IF($L310="","Data Pending",IF($L310&gt;=Instructions!$D$19,"Best Fund",IF($L310&gt;=Instructions!$D$20,"Need to Improve","Not Performing"))))</f>
        <v/>
      </c>
      <c r="S310" s="7" t="str">
        <f aca="false">IF($R310="","",IF($R310="Data Pending","Enter the 3Y return",IF($R310="Best Fund","Hold / consider top-up",IF($R310="Need to Improve","Watch 2 quarters, then decide","Review with client - switch or exit"))))</f>
        <v/>
      </c>
      <c r="T310" s="26"/>
      <c r="U310" s="7" t="str">
        <f aca="false">IF($R310&lt;&gt;"Best Fund","",COUNTIFS($R$6:$R$505,"Best Fund",$L$6:$L$505,"&gt;"&amp;$L310)+COUNTIFS($R$6:$R310,"Best Fund",$L$6:$L310,$L310))</f>
        <v/>
      </c>
      <c r="V310" s="7" t="str">
        <f aca="false">IF($R310&lt;&gt;"Need to Improve","",COUNTIFS($R$6:$R$505,"Need to Improve",$L$6:$L$505,"&lt;"&amp;$L310)+COUNTIFS($R$6:$R310,"Need to Improve",$L$6:$L310,$L310))</f>
        <v/>
      </c>
      <c r="W310" s="7" t="str">
        <f aca="false">IF($R310&lt;&gt;"Not Performing","",COUNTIFS($R$6:$R$505,"Not Performing",$L$6:$L$505,"&lt;"&amp;$L310)+COUNTIFS($R$6:$R310,"Not Performing",$L$6:$L310,$L310))</f>
        <v/>
      </c>
    </row>
    <row r="311" customFormat="false" ht="15" hidden="false" customHeight="true" outlineLevel="0" collapsed="false">
      <c r="A311" s="26"/>
      <c r="B311" s="26"/>
      <c r="C311" s="26"/>
      <c r="D311" s="27" t="str">
        <f aca="false">IF($C311="","",IFERROR(TRIM(LEFT($C311,FIND("-",$C311)-1)),""))</f>
        <v/>
      </c>
      <c r="E311" s="26"/>
      <c r="F311" s="28"/>
      <c r="G311" s="29"/>
      <c r="H311" s="29"/>
      <c r="I311" s="30" t="str">
        <f aca="false">IF($B311="","",$H311-$G311)</f>
        <v/>
      </c>
      <c r="J311" s="31" t="str">
        <f aca="false">IF(OR($B311="",$G311=0,$G311=""),"",$I311/$G311)</f>
        <v/>
      </c>
      <c r="K311" s="32"/>
      <c r="L311" s="32"/>
      <c r="M311" s="32"/>
      <c r="N311" s="32"/>
      <c r="O311" s="32"/>
      <c r="P311" s="31" t="str">
        <f aca="false">IF(OR($L311="",$N311=""),"",$L311-$N311)</f>
        <v/>
      </c>
      <c r="Q311" s="27" t="str">
        <f aca="false">IF($B311="","",IF(N($H311)&gt;0,"Live","Exited"))</f>
        <v/>
      </c>
      <c r="R311" s="27" t="str">
        <f aca="false">IF($B311="","",IF($L311="","Data Pending",IF($L311&gt;=Instructions!$D$19,"Best Fund",IF($L311&gt;=Instructions!$D$20,"Need to Improve","Not Performing"))))</f>
        <v/>
      </c>
      <c r="S311" s="7" t="str">
        <f aca="false">IF($R311="","",IF($R311="Data Pending","Enter the 3Y return",IF($R311="Best Fund","Hold / consider top-up",IF($R311="Need to Improve","Watch 2 quarters, then decide","Review with client - switch or exit"))))</f>
        <v/>
      </c>
      <c r="T311" s="26"/>
      <c r="U311" s="7" t="str">
        <f aca="false">IF($R311&lt;&gt;"Best Fund","",COUNTIFS($R$6:$R$505,"Best Fund",$L$6:$L$505,"&gt;"&amp;$L311)+COUNTIFS($R$6:$R311,"Best Fund",$L$6:$L311,$L311))</f>
        <v/>
      </c>
      <c r="V311" s="7" t="str">
        <f aca="false">IF($R311&lt;&gt;"Need to Improve","",COUNTIFS($R$6:$R$505,"Need to Improve",$L$6:$L$505,"&lt;"&amp;$L311)+COUNTIFS($R$6:$R311,"Need to Improve",$L$6:$L311,$L311))</f>
        <v/>
      </c>
      <c r="W311" s="7" t="str">
        <f aca="false">IF($R311&lt;&gt;"Not Performing","",COUNTIFS($R$6:$R$505,"Not Performing",$L$6:$L$505,"&lt;"&amp;$L311)+COUNTIFS($R$6:$R311,"Not Performing",$L$6:$L311,$L311))</f>
        <v/>
      </c>
    </row>
    <row r="312" customFormat="false" ht="15" hidden="false" customHeight="true" outlineLevel="0" collapsed="false">
      <c r="A312" s="26"/>
      <c r="B312" s="26"/>
      <c r="C312" s="26"/>
      <c r="D312" s="27" t="str">
        <f aca="false">IF($C312="","",IFERROR(TRIM(LEFT($C312,FIND("-",$C312)-1)),""))</f>
        <v/>
      </c>
      <c r="E312" s="26"/>
      <c r="F312" s="28"/>
      <c r="G312" s="29"/>
      <c r="H312" s="29"/>
      <c r="I312" s="30" t="str">
        <f aca="false">IF($B312="","",$H312-$G312)</f>
        <v/>
      </c>
      <c r="J312" s="31" t="str">
        <f aca="false">IF(OR($B312="",$G312=0,$G312=""),"",$I312/$G312)</f>
        <v/>
      </c>
      <c r="K312" s="32"/>
      <c r="L312" s="32"/>
      <c r="M312" s="32"/>
      <c r="N312" s="32"/>
      <c r="O312" s="32"/>
      <c r="P312" s="31" t="str">
        <f aca="false">IF(OR($L312="",$N312=""),"",$L312-$N312)</f>
        <v/>
      </c>
      <c r="Q312" s="27" t="str">
        <f aca="false">IF($B312="","",IF(N($H312)&gt;0,"Live","Exited"))</f>
        <v/>
      </c>
      <c r="R312" s="27" t="str">
        <f aca="false">IF($B312="","",IF($L312="","Data Pending",IF($L312&gt;=Instructions!$D$19,"Best Fund",IF($L312&gt;=Instructions!$D$20,"Need to Improve","Not Performing"))))</f>
        <v/>
      </c>
      <c r="S312" s="7" t="str">
        <f aca="false">IF($R312="","",IF($R312="Data Pending","Enter the 3Y return",IF($R312="Best Fund","Hold / consider top-up",IF($R312="Need to Improve","Watch 2 quarters, then decide","Review with client - switch or exit"))))</f>
        <v/>
      </c>
      <c r="T312" s="26"/>
      <c r="U312" s="7" t="str">
        <f aca="false">IF($R312&lt;&gt;"Best Fund","",COUNTIFS($R$6:$R$505,"Best Fund",$L$6:$L$505,"&gt;"&amp;$L312)+COUNTIFS($R$6:$R312,"Best Fund",$L$6:$L312,$L312))</f>
        <v/>
      </c>
      <c r="V312" s="7" t="str">
        <f aca="false">IF($R312&lt;&gt;"Need to Improve","",COUNTIFS($R$6:$R$505,"Need to Improve",$L$6:$L$505,"&lt;"&amp;$L312)+COUNTIFS($R$6:$R312,"Need to Improve",$L$6:$L312,$L312))</f>
        <v/>
      </c>
      <c r="W312" s="7" t="str">
        <f aca="false">IF($R312&lt;&gt;"Not Performing","",COUNTIFS($R$6:$R$505,"Not Performing",$L$6:$L$505,"&lt;"&amp;$L312)+COUNTIFS($R$6:$R312,"Not Performing",$L$6:$L312,$L312))</f>
        <v/>
      </c>
    </row>
    <row r="313" customFormat="false" ht="15" hidden="false" customHeight="true" outlineLevel="0" collapsed="false">
      <c r="A313" s="26"/>
      <c r="B313" s="26"/>
      <c r="C313" s="26"/>
      <c r="D313" s="27" t="str">
        <f aca="false">IF($C313="","",IFERROR(TRIM(LEFT($C313,FIND("-",$C313)-1)),""))</f>
        <v/>
      </c>
      <c r="E313" s="26"/>
      <c r="F313" s="28"/>
      <c r="G313" s="29"/>
      <c r="H313" s="29"/>
      <c r="I313" s="30" t="str">
        <f aca="false">IF($B313="","",$H313-$G313)</f>
        <v/>
      </c>
      <c r="J313" s="31" t="str">
        <f aca="false">IF(OR($B313="",$G313=0,$G313=""),"",$I313/$G313)</f>
        <v/>
      </c>
      <c r="K313" s="32"/>
      <c r="L313" s="32"/>
      <c r="M313" s="32"/>
      <c r="N313" s="32"/>
      <c r="O313" s="32"/>
      <c r="P313" s="31" t="str">
        <f aca="false">IF(OR($L313="",$N313=""),"",$L313-$N313)</f>
        <v/>
      </c>
      <c r="Q313" s="27" t="str">
        <f aca="false">IF($B313="","",IF(N($H313)&gt;0,"Live","Exited"))</f>
        <v/>
      </c>
      <c r="R313" s="27" t="str">
        <f aca="false">IF($B313="","",IF($L313="","Data Pending",IF($L313&gt;=Instructions!$D$19,"Best Fund",IF($L313&gt;=Instructions!$D$20,"Need to Improve","Not Performing"))))</f>
        <v/>
      </c>
      <c r="S313" s="7" t="str">
        <f aca="false">IF($R313="","",IF($R313="Data Pending","Enter the 3Y return",IF($R313="Best Fund","Hold / consider top-up",IF($R313="Need to Improve","Watch 2 quarters, then decide","Review with client - switch or exit"))))</f>
        <v/>
      </c>
      <c r="T313" s="26"/>
      <c r="U313" s="7" t="str">
        <f aca="false">IF($R313&lt;&gt;"Best Fund","",COUNTIFS($R$6:$R$505,"Best Fund",$L$6:$L$505,"&gt;"&amp;$L313)+COUNTIFS($R$6:$R313,"Best Fund",$L$6:$L313,$L313))</f>
        <v/>
      </c>
      <c r="V313" s="7" t="str">
        <f aca="false">IF($R313&lt;&gt;"Need to Improve","",COUNTIFS($R$6:$R$505,"Need to Improve",$L$6:$L$505,"&lt;"&amp;$L313)+COUNTIFS($R$6:$R313,"Need to Improve",$L$6:$L313,$L313))</f>
        <v/>
      </c>
      <c r="W313" s="7" t="str">
        <f aca="false">IF($R313&lt;&gt;"Not Performing","",COUNTIFS($R$6:$R$505,"Not Performing",$L$6:$L$505,"&lt;"&amp;$L313)+COUNTIFS($R$6:$R313,"Not Performing",$L$6:$L313,$L313))</f>
        <v/>
      </c>
    </row>
    <row r="314" customFormat="false" ht="15" hidden="false" customHeight="true" outlineLevel="0" collapsed="false">
      <c r="A314" s="26"/>
      <c r="B314" s="26"/>
      <c r="C314" s="26"/>
      <c r="D314" s="27" t="str">
        <f aca="false">IF($C314="","",IFERROR(TRIM(LEFT($C314,FIND("-",$C314)-1)),""))</f>
        <v/>
      </c>
      <c r="E314" s="26"/>
      <c r="F314" s="28"/>
      <c r="G314" s="29"/>
      <c r="H314" s="29"/>
      <c r="I314" s="30" t="str">
        <f aca="false">IF($B314="","",$H314-$G314)</f>
        <v/>
      </c>
      <c r="J314" s="31" t="str">
        <f aca="false">IF(OR($B314="",$G314=0,$G314=""),"",$I314/$G314)</f>
        <v/>
      </c>
      <c r="K314" s="32"/>
      <c r="L314" s="32"/>
      <c r="M314" s="32"/>
      <c r="N314" s="32"/>
      <c r="O314" s="32"/>
      <c r="P314" s="31" t="str">
        <f aca="false">IF(OR($L314="",$N314=""),"",$L314-$N314)</f>
        <v/>
      </c>
      <c r="Q314" s="27" t="str">
        <f aca="false">IF($B314="","",IF(N($H314)&gt;0,"Live","Exited"))</f>
        <v/>
      </c>
      <c r="R314" s="27" t="str">
        <f aca="false">IF($B314="","",IF($L314="","Data Pending",IF($L314&gt;=Instructions!$D$19,"Best Fund",IF($L314&gt;=Instructions!$D$20,"Need to Improve","Not Performing"))))</f>
        <v/>
      </c>
      <c r="S314" s="7" t="str">
        <f aca="false">IF($R314="","",IF($R314="Data Pending","Enter the 3Y return",IF($R314="Best Fund","Hold / consider top-up",IF($R314="Need to Improve","Watch 2 quarters, then decide","Review with client - switch or exit"))))</f>
        <v/>
      </c>
      <c r="T314" s="26"/>
      <c r="U314" s="7" t="str">
        <f aca="false">IF($R314&lt;&gt;"Best Fund","",COUNTIFS($R$6:$R$505,"Best Fund",$L$6:$L$505,"&gt;"&amp;$L314)+COUNTIFS($R$6:$R314,"Best Fund",$L$6:$L314,$L314))</f>
        <v/>
      </c>
      <c r="V314" s="7" t="str">
        <f aca="false">IF($R314&lt;&gt;"Need to Improve","",COUNTIFS($R$6:$R$505,"Need to Improve",$L$6:$L$505,"&lt;"&amp;$L314)+COUNTIFS($R$6:$R314,"Need to Improve",$L$6:$L314,$L314))</f>
        <v/>
      </c>
      <c r="W314" s="7" t="str">
        <f aca="false">IF($R314&lt;&gt;"Not Performing","",COUNTIFS($R$6:$R$505,"Not Performing",$L$6:$L$505,"&lt;"&amp;$L314)+COUNTIFS($R$6:$R314,"Not Performing",$L$6:$L314,$L314))</f>
        <v/>
      </c>
    </row>
    <row r="315" customFormat="false" ht="15" hidden="false" customHeight="true" outlineLevel="0" collapsed="false">
      <c r="A315" s="26"/>
      <c r="B315" s="26"/>
      <c r="C315" s="26"/>
      <c r="D315" s="27" t="str">
        <f aca="false">IF($C315="","",IFERROR(TRIM(LEFT($C315,FIND("-",$C315)-1)),""))</f>
        <v/>
      </c>
      <c r="E315" s="26"/>
      <c r="F315" s="28"/>
      <c r="G315" s="29"/>
      <c r="H315" s="29"/>
      <c r="I315" s="30" t="str">
        <f aca="false">IF($B315="","",$H315-$G315)</f>
        <v/>
      </c>
      <c r="J315" s="31" t="str">
        <f aca="false">IF(OR($B315="",$G315=0,$G315=""),"",$I315/$G315)</f>
        <v/>
      </c>
      <c r="K315" s="32"/>
      <c r="L315" s="32"/>
      <c r="M315" s="32"/>
      <c r="N315" s="32"/>
      <c r="O315" s="32"/>
      <c r="P315" s="31" t="str">
        <f aca="false">IF(OR($L315="",$N315=""),"",$L315-$N315)</f>
        <v/>
      </c>
      <c r="Q315" s="27" t="str">
        <f aca="false">IF($B315="","",IF(N($H315)&gt;0,"Live","Exited"))</f>
        <v/>
      </c>
      <c r="R315" s="27" t="str">
        <f aca="false">IF($B315="","",IF($L315="","Data Pending",IF($L315&gt;=Instructions!$D$19,"Best Fund",IF($L315&gt;=Instructions!$D$20,"Need to Improve","Not Performing"))))</f>
        <v/>
      </c>
      <c r="S315" s="7" t="str">
        <f aca="false">IF($R315="","",IF($R315="Data Pending","Enter the 3Y return",IF($R315="Best Fund","Hold / consider top-up",IF($R315="Need to Improve","Watch 2 quarters, then decide","Review with client - switch or exit"))))</f>
        <v/>
      </c>
      <c r="T315" s="26"/>
      <c r="U315" s="7" t="str">
        <f aca="false">IF($R315&lt;&gt;"Best Fund","",COUNTIFS($R$6:$R$505,"Best Fund",$L$6:$L$505,"&gt;"&amp;$L315)+COUNTIFS($R$6:$R315,"Best Fund",$L$6:$L315,$L315))</f>
        <v/>
      </c>
      <c r="V315" s="7" t="str">
        <f aca="false">IF($R315&lt;&gt;"Need to Improve","",COUNTIFS($R$6:$R$505,"Need to Improve",$L$6:$L$505,"&lt;"&amp;$L315)+COUNTIFS($R$6:$R315,"Need to Improve",$L$6:$L315,$L315))</f>
        <v/>
      </c>
      <c r="W315" s="7" t="str">
        <f aca="false">IF($R315&lt;&gt;"Not Performing","",COUNTIFS($R$6:$R$505,"Not Performing",$L$6:$L$505,"&lt;"&amp;$L315)+COUNTIFS($R$6:$R315,"Not Performing",$L$6:$L315,$L315))</f>
        <v/>
      </c>
    </row>
    <row r="316" customFormat="false" ht="15" hidden="false" customHeight="true" outlineLevel="0" collapsed="false">
      <c r="A316" s="26"/>
      <c r="B316" s="26"/>
      <c r="C316" s="26"/>
      <c r="D316" s="27" t="str">
        <f aca="false">IF($C316="","",IFERROR(TRIM(LEFT($C316,FIND("-",$C316)-1)),""))</f>
        <v/>
      </c>
      <c r="E316" s="26"/>
      <c r="F316" s="28"/>
      <c r="G316" s="29"/>
      <c r="H316" s="29"/>
      <c r="I316" s="30" t="str">
        <f aca="false">IF($B316="","",$H316-$G316)</f>
        <v/>
      </c>
      <c r="J316" s="31" t="str">
        <f aca="false">IF(OR($B316="",$G316=0,$G316=""),"",$I316/$G316)</f>
        <v/>
      </c>
      <c r="K316" s="32"/>
      <c r="L316" s="32"/>
      <c r="M316" s="32"/>
      <c r="N316" s="32"/>
      <c r="O316" s="32"/>
      <c r="P316" s="31" t="str">
        <f aca="false">IF(OR($L316="",$N316=""),"",$L316-$N316)</f>
        <v/>
      </c>
      <c r="Q316" s="27" t="str">
        <f aca="false">IF($B316="","",IF(N($H316)&gt;0,"Live","Exited"))</f>
        <v/>
      </c>
      <c r="R316" s="27" t="str">
        <f aca="false">IF($B316="","",IF($L316="","Data Pending",IF($L316&gt;=Instructions!$D$19,"Best Fund",IF($L316&gt;=Instructions!$D$20,"Need to Improve","Not Performing"))))</f>
        <v/>
      </c>
      <c r="S316" s="7" t="str">
        <f aca="false">IF($R316="","",IF($R316="Data Pending","Enter the 3Y return",IF($R316="Best Fund","Hold / consider top-up",IF($R316="Need to Improve","Watch 2 quarters, then decide","Review with client - switch or exit"))))</f>
        <v/>
      </c>
      <c r="T316" s="26"/>
      <c r="U316" s="7" t="str">
        <f aca="false">IF($R316&lt;&gt;"Best Fund","",COUNTIFS($R$6:$R$505,"Best Fund",$L$6:$L$505,"&gt;"&amp;$L316)+COUNTIFS($R$6:$R316,"Best Fund",$L$6:$L316,$L316))</f>
        <v/>
      </c>
      <c r="V316" s="7" t="str">
        <f aca="false">IF($R316&lt;&gt;"Need to Improve","",COUNTIFS($R$6:$R$505,"Need to Improve",$L$6:$L$505,"&lt;"&amp;$L316)+COUNTIFS($R$6:$R316,"Need to Improve",$L$6:$L316,$L316))</f>
        <v/>
      </c>
      <c r="W316" s="7" t="str">
        <f aca="false">IF($R316&lt;&gt;"Not Performing","",COUNTIFS($R$6:$R$505,"Not Performing",$L$6:$L$505,"&lt;"&amp;$L316)+COUNTIFS($R$6:$R316,"Not Performing",$L$6:$L316,$L316))</f>
        <v/>
      </c>
    </row>
    <row r="317" customFormat="false" ht="15" hidden="false" customHeight="true" outlineLevel="0" collapsed="false">
      <c r="A317" s="26"/>
      <c r="B317" s="26"/>
      <c r="C317" s="26"/>
      <c r="D317" s="27" t="str">
        <f aca="false">IF($C317="","",IFERROR(TRIM(LEFT($C317,FIND("-",$C317)-1)),""))</f>
        <v/>
      </c>
      <c r="E317" s="26"/>
      <c r="F317" s="28"/>
      <c r="G317" s="29"/>
      <c r="H317" s="29"/>
      <c r="I317" s="30" t="str">
        <f aca="false">IF($B317="","",$H317-$G317)</f>
        <v/>
      </c>
      <c r="J317" s="31" t="str">
        <f aca="false">IF(OR($B317="",$G317=0,$G317=""),"",$I317/$G317)</f>
        <v/>
      </c>
      <c r="K317" s="32"/>
      <c r="L317" s="32"/>
      <c r="M317" s="32"/>
      <c r="N317" s="32"/>
      <c r="O317" s="32"/>
      <c r="P317" s="31" t="str">
        <f aca="false">IF(OR($L317="",$N317=""),"",$L317-$N317)</f>
        <v/>
      </c>
      <c r="Q317" s="27" t="str">
        <f aca="false">IF($B317="","",IF(N($H317)&gt;0,"Live","Exited"))</f>
        <v/>
      </c>
      <c r="R317" s="27" t="str">
        <f aca="false">IF($B317="","",IF($L317="","Data Pending",IF($L317&gt;=Instructions!$D$19,"Best Fund",IF($L317&gt;=Instructions!$D$20,"Need to Improve","Not Performing"))))</f>
        <v/>
      </c>
      <c r="S317" s="7" t="str">
        <f aca="false">IF($R317="","",IF($R317="Data Pending","Enter the 3Y return",IF($R317="Best Fund","Hold / consider top-up",IF($R317="Need to Improve","Watch 2 quarters, then decide","Review with client - switch or exit"))))</f>
        <v/>
      </c>
      <c r="T317" s="26"/>
      <c r="U317" s="7" t="str">
        <f aca="false">IF($R317&lt;&gt;"Best Fund","",COUNTIFS($R$6:$R$505,"Best Fund",$L$6:$L$505,"&gt;"&amp;$L317)+COUNTIFS($R$6:$R317,"Best Fund",$L$6:$L317,$L317))</f>
        <v/>
      </c>
      <c r="V317" s="7" t="str">
        <f aca="false">IF($R317&lt;&gt;"Need to Improve","",COUNTIFS($R$6:$R$505,"Need to Improve",$L$6:$L$505,"&lt;"&amp;$L317)+COUNTIFS($R$6:$R317,"Need to Improve",$L$6:$L317,$L317))</f>
        <v/>
      </c>
      <c r="W317" s="7" t="str">
        <f aca="false">IF($R317&lt;&gt;"Not Performing","",COUNTIFS($R$6:$R$505,"Not Performing",$L$6:$L$505,"&lt;"&amp;$L317)+COUNTIFS($R$6:$R317,"Not Performing",$L$6:$L317,$L317))</f>
        <v/>
      </c>
    </row>
    <row r="318" customFormat="false" ht="15" hidden="false" customHeight="true" outlineLevel="0" collapsed="false">
      <c r="A318" s="26"/>
      <c r="B318" s="26"/>
      <c r="C318" s="26"/>
      <c r="D318" s="27" t="str">
        <f aca="false">IF($C318="","",IFERROR(TRIM(LEFT($C318,FIND("-",$C318)-1)),""))</f>
        <v/>
      </c>
      <c r="E318" s="26"/>
      <c r="F318" s="28"/>
      <c r="G318" s="29"/>
      <c r="H318" s="29"/>
      <c r="I318" s="30" t="str">
        <f aca="false">IF($B318="","",$H318-$G318)</f>
        <v/>
      </c>
      <c r="J318" s="31" t="str">
        <f aca="false">IF(OR($B318="",$G318=0,$G318=""),"",$I318/$G318)</f>
        <v/>
      </c>
      <c r="K318" s="32"/>
      <c r="L318" s="32"/>
      <c r="M318" s="32"/>
      <c r="N318" s="32"/>
      <c r="O318" s="32"/>
      <c r="P318" s="31" t="str">
        <f aca="false">IF(OR($L318="",$N318=""),"",$L318-$N318)</f>
        <v/>
      </c>
      <c r="Q318" s="27" t="str">
        <f aca="false">IF($B318="","",IF(N($H318)&gt;0,"Live","Exited"))</f>
        <v/>
      </c>
      <c r="R318" s="27" t="str">
        <f aca="false">IF($B318="","",IF($L318="","Data Pending",IF($L318&gt;=Instructions!$D$19,"Best Fund",IF($L318&gt;=Instructions!$D$20,"Need to Improve","Not Performing"))))</f>
        <v/>
      </c>
      <c r="S318" s="7" t="str">
        <f aca="false">IF($R318="","",IF($R318="Data Pending","Enter the 3Y return",IF($R318="Best Fund","Hold / consider top-up",IF($R318="Need to Improve","Watch 2 quarters, then decide","Review with client - switch or exit"))))</f>
        <v/>
      </c>
      <c r="T318" s="26"/>
      <c r="U318" s="7" t="str">
        <f aca="false">IF($R318&lt;&gt;"Best Fund","",COUNTIFS($R$6:$R$505,"Best Fund",$L$6:$L$505,"&gt;"&amp;$L318)+COUNTIFS($R$6:$R318,"Best Fund",$L$6:$L318,$L318))</f>
        <v/>
      </c>
      <c r="V318" s="7" t="str">
        <f aca="false">IF($R318&lt;&gt;"Need to Improve","",COUNTIFS($R$6:$R$505,"Need to Improve",$L$6:$L$505,"&lt;"&amp;$L318)+COUNTIFS($R$6:$R318,"Need to Improve",$L$6:$L318,$L318))</f>
        <v/>
      </c>
      <c r="W318" s="7" t="str">
        <f aca="false">IF($R318&lt;&gt;"Not Performing","",COUNTIFS($R$6:$R$505,"Not Performing",$L$6:$L$505,"&lt;"&amp;$L318)+COUNTIFS($R$6:$R318,"Not Performing",$L$6:$L318,$L318))</f>
        <v/>
      </c>
    </row>
    <row r="319" customFormat="false" ht="15" hidden="false" customHeight="true" outlineLevel="0" collapsed="false">
      <c r="A319" s="26"/>
      <c r="B319" s="26"/>
      <c r="C319" s="26"/>
      <c r="D319" s="27" t="str">
        <f aca="false">IF($C319="","",IFERROR(TRIM(LEFT($C319,FIND("-",$C319)-1)),""))</f>
        <v/>
      </c>
      <c r="E319" s="26"/>
      <c r="F319" s="28"/>
      <c r="G319" s="29"/>
      <c r="H319" s="29"/>
      <c r="I319" s="30" t="str">
        <f aca="false">IF($B319="","",$H319-$G319)</f>
        <v/>
      </c>
      <c r="J319" s="31" t="str">
        <f aca="false">IF(OR($B319="",$G319=0,$G319=""),"",$I319/$G319)</f>
        <v/>
      </c>
      <c r="K319" s="32"/>
      <c r="L319" s="32"/>
      <c r="M319" s="32"/>
      <c r="N319" s="32"/>
      <c r="O319" s="32"/>
      <c r="P319" s="31" t="str">
        <f aca="false">IF(OR($L319="",$N319=""),"",$L319-$N319)</f>
        <v/>
      </c>
      <c r="Q319" s="27" t="str">
        <f aca="false">IF($B319="","",IF(N($H319)&gt;0,"Live","Exited"))</f>
        <v/>
      </c>
      <c r="R319" s="27" t="str">
        <f aca="false">IF($B319="","",IF($L319="","Data Pending",IF($L319&gt;=Instructions!$D$19,"Best Fund",IF($L319&gt;=Instructions!$D$20,"Need to Improve","Not Performing"))))</f>
        <v/>
      </c>
      <c r="S319" s="7" t="str">
        <f aca="false">IF($R319="","",IF($R319="Data Pending","Enter the 3Y return",IF($R319="Best Fund","Hold / consider top-up",IF($R319="Need to Improve","Watch 2 quarters, then decide","Review with client - switch or exit"))))</f>
        <v/>
      </c>
      <c r="T319" s="26"/>
      <c r="U319" s="7" t="str">
        <f aca="false">IF($R319&lt;&gt;"Best Fund","",COUNTIFS($R$6:$R$505,"Best Fund",$L$6:$L$505,"&gt;"&amp;$L319)+COUNTIFS($R$6:$R319,"Best Fund",$L$6:$L319,$L319))</f>
        <v/>
      </c>
      <c r="V319" s="7" t="str">
        <f aca="false">IF($R319&lt;&gt;"Need to Improve","",COUNTIFS($R$6:$R$505,"Need to Improve",$L$6:$L$505,"&lt;"&amp;$L319)+COUNTIFS($R$6:$R319,"Need to Improve",$L$6:$L319,$L319))</f>
        <v/>
      </c>
      <c r="W319" s="7" t="str">
        <f aca="false">IF($R319&lt;&gt;"Not Performing","",COUNTIFS($R$6:$R$505,"Not Performing",$L$6:$L$505,"&lt;"&amp;$L319)+COUNTIFS($R$6:$R319,"Not Performing",$L$6:$L319,$L319))</f>
        <v/>
      </c>
    </row>
    <row r="320" customFormat="false" ht="15" hidden="false" customHeight="true" outlineLevel="0" collapsed="false">
      <c r="A320" s="26"/>
      <c r="B320" s="26"/>
      <c r="C320" s="26"/>
      <c r="D320" s="27" t="str">
        <f aca="false">IF($C320="","",IFERROR(TRIM(LEFT($C320,FIND("-",$C320)-1)),""))</f>
        <v/>
      </c>
      <c r="E320" s="26"/>
      <c r="F320" s="28"/>
      <c r="G320" s="29"/>
      <c r="H320" s="29"/>
      <c r="I320" s="30" t="str">
        <f aca="false">IF($B320="","",$H320-$G320)</f>
        <v/>
      </c>
      <c r="J320" s="31" t="str">
        <f aca="false">IF(OR($B320="",$G320=0,$G320=""),"",$I320/$G320)</f>
        <v/>
      </c>
      <c r="K320" s="32"/>
      <c r="L320" s="32"/>
      <c r="M320" s="32"/>
      <c r="N320" s="32"/>
      <c r="O320" s="32"/>
      <c r="P320" s="31" t="str">
        <f aca="false">IF(OR($L320="",$N320=""),"",$L320-$N320)</f>
        <v/>
      </c>
      <c r="Q320" s="27" t="str">
        <f aca="false">IF($B320="","",IF(N($H320)&gt;0,"Live","Exited"))</f>
        <v/>
      </c>
      <c r="R320" s="27" t="str">
        <f aca="false">IF($B320="","",IF($L320="","Data Pending",IF($L320&gt;=Instructions!$D$19,"Best Fund",IF($L320&gt;=Instructions!$D$20,"Need to Improve","Not Performing"))))</f>
        <v/>
      </c>
      <c r="S320" s="7" t="str">
        <f aca="false">IF($R320="","",IF($R320="Data Pending","Enter the 3Y return",IF($R320="Best Fund","Hold / consider top-up",IF($R320="Need to Improve","Watch 2 quarters, then decide","Review with client - switch or exit"))))</f>
        <v/>
      </c>
      <c r="T320" s="26"/>
      <c r="U320" s="7" t="str">
        <f aca="false">IF($R320&lt;&gt;"Best Fund","",COUNTIFS($R$6:$R$505,"Best Fund",$L$6:$L$505,"&gt;"&amp;$L320)+COUNTIFS($R$6:$R320,"Best Fund",$L$6:$L320,$L320))</f>
        <v/>
      </c>
      <c r="V320" s="7" t="str">
        <f aca="false">IF($R320&lt;&gt;"Need to Improve","",COUNTIFS($R$6:$R$505,"Need to Improve",$L$6:$L$505,"&lt;"&amp;$L320)+COUNTIFS($R$6:$R320,"Need to Improve",$L$6:$L320,$L320))</f>
        <v/>
      </c>
      <c r="W320" s="7" t="str">
        <f aca="false">IF($R320&lt;&gt;"Not Performing","",COUNTIFS($R$6:$R$505,"Not Performing",$L$6:$L$505,"&lt;"&amp;$L320)+COUNTIFS($R$6:$R320,"Not Performing",$L$6:$L320,$L320))</f>
        <v/>
      </c>
    </row>
    <row r="321" customFormat="false" ht="15" hidden="false" customHeight="true" outlineLevel="0" collapsed="false">
      <c r="A321" s="26"/>
      <c r="B321" s="26"/>
      <c r="C321" s="26"/>
      <c r="D321" s="27" t="str">
        <f aca="false">IF($C321="","",IFERROR(TRIM(LEFT($C321,FIND("-",$C321)-1)),""))</f>
        <v/>
      </c>
      <c r="E321" s="26"/>
      <c r="F321" s="28"/>
      <c r="G321" s="29"/>
      <c r="H321" s="29"/>
      <c r="I321" s="30" t="str">
        <f aca="false">IF($B321="","",$H321-$G321)</f>
        <v/>
      </c>
      <c r="J321" s="31" t="str">
        <f aca="false">IF(OR($B321="",$G321=0,$G321=""),"",$I321/$G321)</f>
        <v/>
      </c>
      <c r="K321" s="32"/>
      <c r="L321" s="32"/>
      <c r="M321" s="32"/>
      <c r="N321" s="32"/>
      <c r="O321" s="32"/>
      <c r="P321" s="31" t="str">
        <f aca="false">IF(OR($L321="",$N321=""),"",$L321-$N321)</f>
        <v/>
      </c>
      <c r="Q321" s="27" t="str">
        <f aca="false">IF($B321="","",IF(N($H321)&gt;0,"Live","Exited"))</f>
        <v/>
      </c>
      <c r="R321" s="27" t="str">
        <f aca="false">IF($B321="","",IF($L321="","Data Pending",IF($L321&gt;=Instructions!$D$19,"Best Fund",IF($L321&gt;=Instructions!$D$20,"Need to Improve","Not Performing"))))</f>
        <v/>
      </c>
      <c r="S321" s="7" t="str">
        <f aca="false">IF($R321="","",IF($R321="Data Pending","Enter the 3Y return",IF($R321="Best Fund","Hold / consider top-up",IF($R321="Need to Improve","Watch 2 quarters, then decide","Review with client - switch or exit"))))</f>
        <v/>
      </c>
      <c r="T321" s="26"/>
      <c r="U321" s="7" t="str">
        <f aca="false">IF($R321&lt;&gt;"Best Fund","",COUNTIFS($R$6:$R$505,"Best Fund",$L$6:$L$505,"&gt;"&amp;$L321)+COUNTIFS($R$6:$R321,"Best Fund",$L$6:$L321,$L321))</f>
        <v/>
      </c>
      <c r="V321" s="7" t="str">
        <f aca="false">IF($R321&lt;&gt;"Need to Improve","",COUNTIFS($R$6:$R$505,"Need to Improve",$L$6:$L$505,"&lt;"&amp;$L321)+COUNTIFS($R$6:$R321,"Need to Improve",$L$6:$L321,$L321))</f>
        <v/>
      </c>
      <c r="W321" s="7" t="str">
        <f aca="false">IF($R321&lt;&gt;"Not Performing","",COUNTIFS($R$6:$R$505,"Not Performing",$L$6:$L$505,"&lt;"&amp;$L321)+COUNTIFS($R$6:$R321,"Not Performing",$L$6:$L321,$L321))</f>
        <v/>
      </c>
    </row>
    <row r="322" customFormat="false" ht="15" hidden="false" customHeight="true" outlineLevel="0" collapsed="false">
      <c r="A322" s="26"/>
      <c r="B322" s="26"/>
      <c r="C322" s="26"/>
      <c r="D322" s="27" t="str">
        <f aca="false">IF($C322="","",IFERROR(TRIM(LEFT($C322,FIND("-",$C322)-1)),""))</f>
        <v/>
      </c>
      <c r="E322" s="26"/>
      <c r="F322" s="28"/>
      <c r="G322" s="29"/>
      <c r="H322" s="29"/>
      <c r="I322" s="30" t="str">
        <f aca="false">IF($B322="","",$H322-$G322)</f>
        <v/>
      </c>
      <c r="J322" s="31" t="str">
        <f aca="false">IF(OR($B322="",$G322=0,$G322=""),"",$I322/$G322)</f>
        <v/>
      </c>
      <c r="K322" s="32"/>
      <c r="L322" s="32"/>
      <c r="M322" s="32"/>
      <c r="N322" s="32"/>
      <c r="O322" s="32"/>
      <c r="P322" s="31" t="str">
        <f aca="false">IF(OR($L322="",$N322=""),"",$L322-$N322)</f>
        <v/>
      </c>
      <c r="Q322" s="27" t="str">
        <f aca="false">IF($B322="","",IF(N($H322)&gt;0,"Live","Exited"))</f>
        <v/>
      </c>
      <c r="R322" s="27" t="str">
        <f aca="false">IF($B322="","",IF($L322="","Data Pending",IF($L322&gt;=Instructions!$D$19,"Best Fund",IF($L322&gt;=Instructions!$D$20,"Need to Improve","Not Performing"))))</f>
        <v/>
      </c>
      <c r="S322" s="7" t="str">
        <f aca="false">IF($R322="","",IF($R322="Data Pending","Enter the 3Y return",IF($R322="Best Fund","Hold / consider top-up",IF($R322="Need to Improve","Watch 2 quarters, then decide","Review with client - switch or exit"))))</f>
        <v/>
      </c>
      <c r="T322" s="26"/>
      <c r="U322" s="7" t="str">
        <f aca="false">IF($R322&lt;&gt;"Best Fund","",COUNTIFS($R$6:$R$505,"Best Fund",$L$6:$L$505,"&gt;"&amp;$L322)+COUNTIFS($R$6:$R322,"Best Fund",$L$6:$L322,$L322))</f>
        <v/>
      </c>
      <c r="V322" s="7" t="str">
        <f aca="false">IF($R322&lt;&gt;"Need to Improve","",COUNTIFS($R$6:$R$505,"Need to Improve",$L$6:$L$505,"&lt;"&amp;$L322)+COUNTIFS($R$6:$R322,"Need to Improve",$L$6:$L322,$L322))</f>
        <v/>
      </c>
      <c r="W322" s="7" t="str">
        <f aca="false">IF($R322&lt;&gt;"Not Performing","",COUNTIFS($R$6:$R$505,"Not Performing",$L$6:$L$505,"&lt;"&amp;$L322)+COUNTIFS($R$6:$R322,"Not Performing",$L$6:$L322,$L322))</f>
        <v/>
      </c>
    </row>
    <row r="323" customFormat="false" ht="15" hidden="false" customHeight="true" outlineLevel="0" collapsed="false">
      <c r="A323" s="26"/>
      <c r="B323" s="26"/>
      <c r="C323" s="26"/>
      <c r="D323" s="27" t="str">
        <f aca="false">IF($C323="","",IFERROR(TRIM(LEFT($C323,FIND("-",$C323)-1)),""))</f>
        <v/>
      </c>
      <c r="E323" s="26"/>
      <c r="F323" s="28"/>
      <c r="G323" s="29"/>
      <c r="H323" s="29"/>
      <c r="I323" s="30" t="str">
        <f aca="false">IF($B323="","",$H323-$G323)</f>
        <v/>
      </c>
      <c r="J323" s="31" t="str">
        <f aca="false">IF(OR($B323="",$G323=0,$G323=""),"",$I323/$G323)</f>
        <v/>
      </c>
      <c r="K323" s="32"/>
      <c r="L323" s="32"/>
      <c r="M323" s="32"/>
      <c r="N323" s="32"/>
      <c r="O323" s="32"/>
      <c r="P323" s="31" t="str">
        <f aca="false">IF(OR($L323="",$N323=""),"",$L323-$N323)</f>
        <v/>
      </c>
      <c r="Q323" s="27" t="str">
        <f aca="false">IF($B323="","",IF(N($H323)&gt;0,"Live","Exited"))</f>
        <v/>
      </c>
      <c r="R323" s="27" t="str">
        <f aca="false">IF($B323="","",IF($L323="","Data Pending",IF($L323&gt;=Instructions!$D$19,"Best Fund",IF($L323&gt;=Instructions!$D$20,"Need to Improve","Not Performing"))))</f>
        <v/>
      </c>
      <c r="S323" s="7" t="str">
        <f aca="false">IF($R323="","",IF($R323="Data Pending","Enter the 3Y return",IF($R323="Best Fund","Hold / consider top-up",IF($R323="Need to Improve","Watch 2 quarters, then decide","Review with client - switch or exit"))))</f>
        <v/>
      </c>
      <c r="T323" s="26"/>
      <c r="U323" s="7" t="str">
        <f aca="false">IF($R323&lt;&gt;"Best Fund","",COUNTIFS($R$6:$R$505,"Best Fund",$L$6:$L$505,"&gt;"&amp;$L323)+COUNTIFS($R$6:$R323,"Best Fund",$L$6:$L323,$L323))</f>
        <v/>
      </c>
      <c r="V323" s="7" t="str">
        <f aca="false">IF($R323&lt;&gt;"Need to Improve","",COUNTIFS($R$6:$R$505,"Need to Improve",$L$6:$L$505,"&lt;"&amp;$L323)+COUNTIFS($R$6:$R323,"Need to Improve",$L$6:$L323,$L323))</f>
        <v/>
      </c>
      <c r="W323" s="7" t="str">
        <f aca="false">IF($R323&lt;&gt;"Not Performing","",COUNTIFS($R$6:$R$505,"Not Performing",$L$6:$L$505,"&lt;"&amp;$L323)+COUNTIFS($R$6:$R323,"Not Performing",$L$6:$L323,$L323))</f>
        <v/>
      </c>
    </row>
    <row r="324" customFormat="false" ht="15" hidden="false" customHeight="true" outlineLevel="0" collapsed="false">
      <c r="A324" s="26"/>
      <c r="B324" s="26"/>
      <c r="C324" s="26"/>
      <c r="D324" s="27" t="str">
        <f aca="false">IF($C324="","",IFERROR(TRIM(LEFT($C324,FIND("-",$C324)-1)),""))</f>
        <v/>
      </c>
      <c r="E324" s="26"/>
      <c r="F324" s="28"/>
      <c r="G324" s="29"/>
      <c r="H324" s="29"/>
      <c r="I324" s="30" t="str">
        <f aca="false">IF($B324="","",$H324-$G324)</f>
        <v/>
      </c>
      <c r="J324" s="31" t="str">
        <f aca="false">IF(OR($B324="",$G324=0,$G324=""),"",$I324/$G324)</f>
        <v/>
      </c>
      <c r="K324" s="32"/>
      <c r="L324" s="32"/>
      <c r="M324" s="32"/>
      <c r="N324" s="32"/>
      <c r="O324" s="32"/>
      <c r="P324" s="31" t="str">
        <f aca="false">IF(OR($L324="",$N324=""),"",$L324-$N324)</f>
        <v/>
      </c>
      <c r="Q324" s="27" t="str">
        <f aca="false">IF($B324="","",IF(N($H324)&gt;0,"Live","Exited"))</f>
        <v/>
      </c>
      <c r="R324" s="27" t="str">
        <f aca="false">IF($B324="","",IF($L324="","Data Pending",IF($L324&gt;=Instructions!$D$19,"Best Fund",IF($L324&gt;=Instructions!$D$20,"Need to Improve","Not Performing"))))</f>
        <v/>
      </c>
      <c r="S324" s="7" t="str">
        <f aca="false">IF($R324="","",IF($R324="Data Pending","Enter the 3Y return",IF($R324="Best Fund","Hold / consider top-up",IF($R324="Need to Improve","Watch 2 quarters, then decide","Review with client - switch or exit"))))</f>
        <v/>
      </c>
      <c r="T324" s="26"/>
      <c r="U324" s="7" t="str">
        <f aca="false">IF($R324&lt;&gt;"Best Fund","",COUNTIFS($R$6:$R$505,"Best Fund",$L$6:$L$505,"&gt;"&amp;$L324)+COUNTIFS($R$6:$R324,"Best Fund",$L$6:$L324,$L324))</f>
        <v/>
      </c>
      <c r="V324" s="7" t="str">
        <f aca="false">IF($R324&lt;&gt;"Need to Improve","",COUNTIFS($R$6:$R$505,"Need to Improve",$L$6:$L$505,"&lt;"&amp;$L324)+COUNTIFS($R$6:$R324,"Need to Improve",$L$6:$L324,$L324))</f>
        <v/>
      </c>
      <c r="W324" s="7" t="str">
        <f aca="false">IF($R324&lt;&gt;"Not Performing","",COUNTIFS($R$6:$R$505,"Not Performing",$L$6:$L$505,"&lt;"&amp;$L324)+COUNTIFS($R$6:$R324,"Not Performing",$L$6:$L324,$L324))</f>
        <v/>
      </c>
    </row>
    <row r="325" customFormat="false" ht="15" hidden="false" customHeight="true" outlineLevel="0" collapsed="false">
      <c r="A325" s="26"/>
      <c r="B325" s="26"/>
      <c r="C325" s="26"/>
      <c r="D325" s="27" t="str">
        <f aca="false">IF($C325="","",IFERROR(TRIM(LEFT($C325,FIND("-",$C325)-1)),""))</f>
        <v/>
      </c>
      <c r="E325" s="26"/>
      <c r="F325" s="28"/>
      <c r="G325" s="29"/>
      <c r="H325" s="29"/>
      <c r="I325" s="30" t="str">
        <f aca="false">IF($B325="","",$H325-$G325)</f>
        <v/>
      </c>
      <c r="J325" s="31" t="str">
        <f aca="false">IF(OR($B325="",$G325=0,$G325=""),"",$I325/$G325)</f>
        <v/>
      </c>
      <c r="K325" s="32"/>
      <c r="L325" s="32"/>
      <c r="M325" s="32"/>
      <c r="N325" s="32"/>
      <c r="O325" s="32"/>
      <c r="P325" s="31" t="str">
        <f aca="false">IF(OR($L325="",$N325=""),"",$L325-$N325)</f>
        <v/>
      </c>
      <c r="Q325" s="27" t="str">
        <f aca="false">IF($B325="","",IF(N($H325)&gt;0,"Live","Exited"))</f>
        <v/>
      </c>
      <c r="R325" s="27" t="str">
        <f aca="false">IF($B325="","",IF($L325="","Data Pending",IF($L325&gt;=Instructions!$D$19,"Best Fund",IF($L325&gt;=Instructions!$D$20,"Need to Improve","Not Performing"))))</f>
        <v/>
      </c>
      <c r="S325" s="7" t="str">
        <f aca="false">IF($R325="","",IF($R325="Data Pending","Enter the 3Y return",IF($R325="Best Fund","Hold / consider top-up",IF($R325="Need to Improve","Watch 2 quarters, then decide","Review with client - switch or exit"))))</f>
        <v/>
      </c>
      <c r="T325" s="26"/>
      <c r="U325" s="7" t="str">
        <f aca="false">IF($R325&lt;&gt;"Best Fund","",COUNTIFS($R$6:$R$505,"Best Fund",$L$6:$L$505,"&gt;"&amp;$L325)+COUNTIFS($R$6:$R325,"Best Fund",$L$6:$L325,$L325))</f>
        <v/>
      </c>
      <c r="V325" s="7" t="str">
        <f aca="false">IF($R325&lt;&gt;"Need to Improve","",COUNTIFS($R$6:$R$505,"Need to Improve",$L$6:$L$505,"&lt;"&amp;$L325)+COUNTIFS($R$6:$R325,"Need to Improve",$L$6:$L325,$L325))</f>
        <v/>
      </c>
      <c r="W325" s="7" t="str">
        <f aca="false">IF($R325&lt;&gt;"Not Performing","",COUNTIFS($R$6:$R$505,"Not Performing",$L$6:$L$505,"&lt;"&amp;$L325)+COUNTIFS($R$6:$R325,"Not Performing",$L$6:$L325,$L325))</f>
        <v/>
      </c>
    </row>
    <row r="326" customFormat="false" ht="15" hidden="false" customHeight="true" outlineLevel="0" collapsed="false">
      <c r="A326" s="26"/>
      <c r="B326" s="26"/>
      <c r="C326" s="26"/>
      <c r="D326" s="27" t="str">
        <f aca="false">IF($C326="","",IFERROR(TRIM(LEFT($C326,FIND("-",$C326)-1)),""))</f>
        <v/>
      </c>
      <c r="E326" s="26"/>
      <c r="F326" s="28"/>
      <c r="G326" s="29"/>
      <c r="H326" s="29"/>
      <c r="I326" s="30" t="str">
        <f aca="false">IF($B326="","",$H326-$G326)</f>
        <v/>
      </c>
      <c r="J326" s="31" t="str">
        <f aca="false">IF(OR($B326="",$G326=0,$G326=""),"",$I326/$G326)</f>
        <v/>
      </c>
      <c r="K326" s="32"/>
      <c r="L326" s="32"/>
      <c r="M326" s="32"/>
      <c r="N326" s="32"/>
      <c r="O326" s="32"/>
      <c r="P326" s="31" t="str">
        <f aca="false">IF(OR($L326="",$N326=""),"",$L326-$N326)</f>
        <v/>
      </c>
      <c r="Q326" s="27" t="str">
        <f aca="false">IF($B326="","",IF(N($H326)&gt;0,"Live","Exited"))</f>
        <v/>
      </c>
      <c r="R326" s="27" t="str">
        <f aca="false">IF($B326="","",IF($L326="","Data Pending",IF($L326&gt;=Instructions!$D$19,"Best Fund",IF($L326&gt;=Instructions!$D$20,"Need to Improve","Not Performing"))))</f>
        <v/>
      </c>
      <c r="S326" s="7" t="str">
        <f aca="false">IF($R326="","",IF($R326="Data Pending","Enter the 3Y return",IF($R326="Best Fund","Hold / consider top-up",IF($R326="Need to Improve","Watch 2 quarters, then decide","Review with client - switch or exit"))))</f>
        <v/>
      </c>
      <c r="T326" s="26"/>
      <c r="U326" s="7" t="str">
        <f aca="false">IF($R326&lt;&gt;"Best Fund","",COUNTIFS($R$6:$R$505,"Best Fund",$L$6:$L$505,"&gt;"&amp;$L326)+COUNTIFS($R$6:$R326,"Best Fund",$L$6:$L326,$L326))</f>
        <v/>
      </c>
      <c r="V326" s="7" t="str">
        <f aca="false">IF($R326&lt;&gt;"Need to Improve","",COUNTIFS($R$6:$R$505,"Need to Improve",$L$6:$L$505,"&lt;"&amp;$L326)+COUNTIFS($R$6:$R326,"Need to Improve",$L$6:$L326,$L326))</f>
        <v/>
      </c>
      <c r="W326" s="7" t="str">
        <f aca="false">IF($R326&lt;&gt;"Not Performing","",COUNTIFS($R$6:$R$505,"Not Performing",$L$6:$L$505,"&lt;"&amp;$L326)+COUNTIFS($R$6:$R326,"Not Performing",$L$6:$L326,$L326))</f>
        <v/>
      </c>
    </row>
    <row r="327" customFormat="false" ht="15" hidden="false" customHeight="true" outlineLevel="0" collapsed="false">
      <c r="A327" s="26"/>
      <c r="B327" s="26"/>
      <c r="C327" s="26"/>
      <c r="D327" s="27" t="str">
        <f aca="false">IF($C327="","",IFERROR(TRIM(LEFT($C327,FIND("-",$C327)-1)),""))</f>
        <v/>
      </c>
      <c r="E327" s="26"/>
      <c r="F327" s="28"/>
      <c r="G327" s="29"/>
      <c r="H327" s="29"/>
      <c r="I327" s="30" t="str">
        <f aca="false">IF($B327="","",$H327-$G327)</f>
        <v/>
      </c>
      <c r="J327" s="31" t="str">
        <f aca="false">IF(OR($B327="",$G327=0,$G327=""),"",$I327/$G327)</f>
        <v/>
      </c>
      <c r="K327" s="32"/>
      <c r="L327" s="32"/>
      <c r="M327" s="32"/>
      <c r="N327" s="32"/>
      <c r="O327" s="32"/>
      <c r="P327" s="31" t="str">
        <f aca="false">IF(OR($L327="",$N327=""),"",$L327-$N327)</f>
        <v/>
      </c>
      <c r="Q327" s="27" t="str">
        <f aca="false">IF($B327="","",IF(N($H327)&gt;0,"Live","Exited"))</f>
        <v/>
      </c>
      <c r="R327" s="27" t="str">
        <f aca="false">IF($B327="","",IF($L327="","Data Pending",IF($L327&gt;=Instructions!$D$19,"Best Fund",IF($L327&gt;=Instructions!$D$20,"Need to Improve","Not Performing"))))</f>
        <v/>
      </c>
      <c r="S327" s="7" t="str">
        <f aca="false">IF($R327="","",IF($R327="Data Pending","Enter the 3Y return",IF($R327="Best Fund","Hold / consider top-up",IF($R327="Need to Improve","Watch 2 quarters, then decide","Review with client - switch or exit"))))</f>
        <v/>
      </c>
      <c r="T327" s="26"/>
      <c r="U327" s="7" t="str">
        <f aca="false">IF($R327&lt;&gt;"Best Fund","",COUNTIFS($R$6:$R$505,"Best Fund",$L$6:$L$505,"&gt;"&amp;$L327)+COUNTIFS($R$6:$R327,"Best Fund",$L$6:$L327,$L327))</f>
        <v/>
      </c>
      <c r="V327" s="7" t="str">
        <f aca="false">IF($R327&lt;&gt;"Need to Improve","",COUNTIFS($R$6:$R$505,"Need to Improve",$L$6:$L$505,"&lt;"&amp;$L327)+COUNTIFS($R$6:$R327,"Need to Improve",$L$6:$L327,$L327))</f>
        <v/>
      </c>
      <c r="W327" s="7" t="str">
        <f aca="false">IF($R327&lt;&gt;"Not Performing","",COUNTIFS($R$6:$R$505,"Not Performing",$L$6:$L$505,"&lt;"&amp;$L327)+COUNTIFS($R$6:$R327,"Not Performing",$L$6:$L327,$L327))</f>
        <v/>
      </c>
    </row>
    <row r="328" customFormat="false" ht="15" hidden="false" customHeight="true" outlineLevel="0" collapsed="false">
      <c r="A328" s="26"/>
      <c r="B328" s="26"/>
      <c r="C328" s="26"/>
      <c r="D328" s="27" t="str">
        <f aca="false">IF($C328="","",IFERROR(TRIM(LEFT($C328,FIND("-",$C328)-1)),""))</f>
        <v/>
      </c>
      <c r="E328" s="26"/>
      <c r="F328" s="28"/>
      <c r="G328" s="29"/>
      <c r="H328" s="29"/>
      <c r="I328" s="30" t="str">
        <f aca="false">IF($B328="","",$H328-$G328)</f>
        <v/>
      </c>
      <c r="J328" s="31" t="str">
        <f aca="false">IF(OR($B328="",$G328=0,$G328=""),"",$I328/$G328)</f>
        <v/>
      </c>
      <c r="K328" s="32"/>
      <c r="L328" s="32"/>
      <c r="M328" s="32"/>
      <c r="N328" s="32"/>
      <c r="O328" s="32"/>
      <c r="P328" s="31" t="str">
        <f aca="false">IF(OR($L328="",$N328=""),"",$L328-$N328)</f>
        <v/>
      </c>
      <c r="Q328" s="27" t="str">
        <f aca="false">IF($B328="","",IF(N($H328)&gt;0,"Live","Exited"))</f>
        <v/>
      </c>
      <c r="R328" s="27" t="str">
        <f aca="false">IF($B328="","",IF($L328="","Data Pending",IF($L328&gt;=Instructions!$D$19,"Best Fund",IF($L328&gt;=Instructions!$D$20,"Need to Improve","Not Performing"))))</f>
        <v/>
      </c>
      <c r="S328" s="7" t="str">
        <f aca="false">IF($R328="","",IF($R328="Data Pending","Enter the 3Y return",IF($R328="Best Fund","Hold / consider top-up",IF($R328="Need to Improve","Watch 2 quarters, then decide","Review with client - switch or exit"))))</f>
        <v/>
      </c>
      <c r="T328" s="26"/>
      <c r="U328" s="7" t="str">
        <f aca="false">IF($R328&lt;&gt;"Best Fund","",COUNTIFS($R$6:$R$505,"Best Fund",$L$6:$L$505,"&gt;"&amp;$L328)+COUNTIFS($R$6:$R328,"Best Fund",$L$6:$L328,$L328))</f>
        <v/>
      </c>
      <c r="V328" s="7" t="str">
        <f aca="false">IF($R328&lt;&gt;"Need to Improve","",COUNTIFS($R$6:$R$505,"Need to Improve",$L$6:$L$505,"&lt;"&amp;$L328)+COUNTIFS($R$6:$R328,"Need to Improve",$L$6:$L328,$L328))</f>
        <v/>
      </c>
      <c r="W328" s="7" t="str">
        <f aca="false">IF($R328&lt;&gt;"Not Performing","",COUNTIFS($R$6:$R$505,"Not Performing",$L$6:$L$505,"&lt;"&amp;$L328)+COUNTIFS($R$6:$R328,"Not Performing",$L$6:$L328,$L328))</f>
        <v/>
      </c>
    </row>
    <row r="329" customFormat="false" ht="15" hidden="false" customHeight="true" outlineLevel="0" collapsed="false">
      <c r="A329" s="26"/>
      <c r="B329" s="26"/>
      <c r="C329" s="26"/>
      <c r="D329" s="27" t="str">
        <f aca="false">IF($C329="","",IFERROR(TRIM(LEFT($C329,FIND("-",$C329)-1)),""))</f>
        <v/>
      </c>
      <c r="E329" s="26"/>
      <c r="F329" s="28"/>
      <c r="G329" s="29"/>
      <c r="H329" s="29"/>
      <c r="I329" s="30" t="str">
        <f aca="false">IF($B329="","",$H329-$G329)</f>
        <v/>
      </c>
      <c r="J329" s="31" t="str">
        <f aca="false">IF(OR($B329="",$G329=0,$G329=""),"",$I329/$G329)</f>
        <v/>
      </c>
      <c r="K329" s="32"/>
      <c r="L329" s="32"/>
      <c r="M329" s="32"/>
      <c r="N329" s="32"/>
      <c r="O329" s="32"/>
      <c r="P329" s="31" t="str">
        <f aca="false">IF(OR($L329="",$N329=""),"",$L329-$N329)</f>
        <v/>
      </c>
      <c r="Q329" s="27" t="str">
        <f aca="false">IF($B329="","",IF(N($H329)&gt;0,"Live","Exited"))</f>
        <v/>
      </c>
      <c r="R329" s="27" t="str">
        <f aca="false">IF($B329="","",IF($L329="","Data Pending",IF($L329&gt;=Instructions!$D$19,"Best Fund",IF($L329&gt;=Instructions!$D$20,"Need to Improve","Not Performing"))))</f>
        <v/>
      </c>
      <c r="S329" s="7" t="str">
        <f aca="false">IF($R329="","",IF($R329="Data Pending","Enter the 3Y return",IF($R329="Best Fund","Hold / consider top-up",IF($R329="Need to Improve","Watch 2 quarters, then decide","Review with client - switch or exit"))))</f>
        <v/>
      </c>
      <c r="T329" s="26"/>
      <c r="U329" s="7" t="str">
        <f aca="false">IF($R329&lt;&gt;"Best Fund","",COUNTIFS($R$6:$R$505,"Best Fund",$L$6:$L$505,"&gt;"&amp;$L329)+COUNTIFS($R$6:$R329,"Best Fund",$L$6:$L329,$L329))</f>
        <v/>
      </c>
      <c r="V329" s="7" t="str">
        <f aca="false">IF($R329&lt;&gt;"Need to Improve","",COUNTIFS($R$6:$R$505,"Need to Improve",$L$6:$L$505,"&lt;"&amp;$L329)+COUNTIFS($R$6:$R329,"Need to Improve",$L$6:$L329,$L329))</f>
        <v/>
      </c>
      <c r="W329" s="7" t="str">
        <f aca="false">IF($R329&lt;&gt;"Not Performing","",COUNTIFS($R$6:$R$505,"Not Performing",$L$6:$L$505,"&lt;"&amp;$L329)+COUNTIFS($R$6:$R329,"Not Performing",$L$6:$L329,$L329))</f>
        <v/>
      </c>
    </row>
    <row r="330" customFormat="false" ht="15" hidden="false" customHeight="true" outlineLevel="0" collapsed="false">
      <c r="A330" s="26"/>
      <c r="B330" s="26"/>
      <c r="C330" s="26"/>
      <c r="D330" s="27" t="str">
        <f aca="false">IF($C330="","",IFERROR(TRIM(LEFT($C330,FIND("-",$C330)-1)),""))</f>
        <v/>
      </c>
      <c r="E330" s="26"/>
      <c r="F330" s="28"/>
      <c r="G330" s="29"/>
      <c r="H330" s="29"/>
      <c r="I330" s="30" t="str">
        <f aca="false">IF($B330="","",$H330-$G330)</f>
        <v/>
      </c>
      <c r="J330" s="31" t="str">
        <f aca="false">IF(OR($B330="",$G330=0,$G330=""),"",$I330/$G330)</f>
        <v/>
      </c>
      <c r="K330" s="32"/>
      <c r="L330" s="32"/>
      <c r="M330" s="32"/>
      <c r="N330" s="32"/>
      <c r="O330" s="32"/>
      <c r="P330" s="31" t="str">
        <f aca="false">IF(OR($L330="",$N330=""),"",$L330-$N330)</f>
        <v/>
      </c>
      <c r="Q330" s="27" t="str">
        <f aca="false">IF($B330="","",IF(N($H330)&gt;0,"Live","Exited"))</f>
        <v/>
      </c>
      <c r="R330" s="27" t="str">
        <f aca="false">IF($B330="","",IF($L330="","Data Pending",IF($L330&gt;=Instructions!$D$19,"Best Fund",IF($L330&gt;=Instructions!$D$20,"Need to Improve","Not Performing"))))</f>
        <v/>
      </c>
      <c r="S330" s="7" t="str">
        <f aca="false">IF($R330="","",IF($R330="Data Pending","Enter the 3Y return",IF($R330="Best Fund","Hold / consider top-up",IF($R330="Need to Improve","Watch 2 quarters, then decide","Review with client - switch or exit"))))</f>
        <v/>
      </c>
      <c r="T330" s="26"/>
      <c r="U330" s="7" t="str">
        <f aca="false">IF($R330&lt;&gt;"Best Fund","",COUNTIFS($R$6:$R$505,"Best Fund",$L$6:$L$505,"&gt;"&amp;$L330)+COUNTIFS($R$6:$R330,"Best Fund",$L$6:$L330,$L330))</f>
        <v/>
      </c>
      <c r="V330" s="7" t="str">
        <f aca="false">IF($R330&lt;&gt;"Need to Improve","",COUNTIFS($R$6:$R$505,"Need to Improve",$L$6:$L$505,"&lt;"&amp;$L330)+COUNTIFS($R$6:$R330,"Need to Improve",$L$6:$L330,$L330))</f>
        <v/>
      </c>
      <c r="W330" s="7" t="str">
        <f aca="false">IF($R330&lt;&gt;"Not Performing","",COUNTIFS($R$6:$R$505,"Not Performing",$L$6:$L$505,"&lt;"&amp;$L330)+COUNTIFS($R$6:$R330,"Not Performing",$L$6:$L330,$L330))</f>
        <v/>
      </c>
    </row>
    <row r="331" customFormat="false" ht="15" hidden="false" customHeight="true" outlineLevel="0" collapsed="false">
      <c r="A331" s="26"/>
      <c r="B331" s="26"/>
      <c r="C331" s="26"/>
      <c r="D331" s="27" t="str">
        <f aca="false">IF($C331="","",IFERROR(TRIM(LEFT($C331,FIND("-",$C331)-1)),""))</f>
        <v/>
      </c>
      <c r="E331" s="26"/>
      <c r="F331" s="28"/>
      <c r="G331" s="29"/>
      <c r="H331" s="29"/>
      <c r="I331" s="30" t="str">
        <f aca="false">IF($B331="","",$H331-$G331)</f>
        <v/>
      </c>
      <c r="J331" s="31" t="str">
        <f aca="false">IF(OR($B331="",$G331=0,$G331=""),"",$I331/$G331)</f>
        <v/>
      </c>
      <c r="K331" s="32"/>
      <c r="L331" s="32"/>
      <c r="M331" s="32"/>
      <c r="N331" s="32"/>
      <c r="O331" s="32"/>
      <c r="P331" s="31" t="str">
        <f aca="false">IF(OR($L331="",$N331=""),"",$L331-$N331)</f>
        <v/>
      </c>
      <c r="Q331" s="27" t="str">
        <f aca="false">IF($B331="","",IF(N($H331)&gt;0,"Live","Exited"))</f>
        <v/>
      </c>
      <c r="R331" s="27" t="str">
        <f aca="false">IF($B331="","",IF($L331="","Data Pending",IF($L331&gt;=Instructions!$D$19,"Best Fund",IF($L331&gt;=Instructions!$D$20,"Need to Improve","Not Performing"))))</f>
        <v/>
      </c>
      <c r="S331" s="7" t="str">
        <f aca="false">IF($R331="","",IF($R331="Data Pending","Enter the 3Y return",IF($R331="Best Fund","Hold / consider top-up",IF($R331="Need to Improve","Watch 2 quarters, then decide","Review with client - switch or exit"))))</f>
        <v/>
      </c>
      <c r="T331" s="26"/>
      <c r="U331" s="7" t="str">
        <f aca="false">IF($R331&lt;&gt;"Best Fund","",COUNTIFS($R$6:$R$505,"Best Fund",$L$6:$L$505,"&gt;"&amp;$L331)+COUNTIFS($R$6:$R331,"Best Fund",$L$6:$L331,$L331))</f>
        <v/>
      </c>
      <c r="V331" s="7" t="str">
        <f aca="false">IF($R331&lt;&gt;"Need to Improve","",COUNTIFS($R$6:$R$505,"Need to Improve",$L$6:$L$505,"&lt;"&amp;$L331)+COUNTIFS($R$6:$R331,"Need to Improve",$L$6:$L331,$L331))</f>
        <v/>
      </c>
      <c r="W331" s="7" t="str">
        <f aca="false">IF($R331&lt;&gt;"Not Performing","",COUNTIFS($R$6:$R$505,"Not Performing",$L$6:$L$505,"&lt;"&amp;$L331)+COUNTIFS($R$6:$R331,"Not Performing",$L$6:$L331,$L331))</f>
        <v/>
      </c>
    </row>
    <row r="332" customFormat="false" ht="15" hidden="false" customHeight="true" outlineLevel="0" collapsed="false">
      <c r="A332" s="26"/>
      <c r="B332" s="26"/>
      <c r="C332" s="26"/>
      <c r="D332" s="27" t="str">
        <f aca="false">IF($C332="","",IFERROR(TRIM(LEFT($C332,FIND("-",$C332)-1)),""))</f>
        <v/>
      </c>
      <c r="E332" s="26"/>
      <c r="F332" s="28"/>
      <c r="G332" s="29"/>
      <c r="H332" s="29"/>
      <c r="I332" s="30" t="str">
        <f aca="false">IF($B332="","",$H332-$G332)</f>
        <v/>
      </c>
      <c r="J332" s="31" t="str">
        <f aca="false">IF(OR($B332="",$G332=0,$G332=""),"",$I332/$G332)</f>
        <v/>
      </c>
      <c r="K332" s="32"/>
      <c r="L332" s="32"/>
      <c r="M332" s="32"/>
      <c r="N332" s="32"/>
      <c r="O332" s="32"/>
      <c r="P332" s="31" t="str">
        <f aca="false">IF(OR($L332="",$N332=""),"",$L332-$N332)</f>
        <v/>
      </c>
      <c r="Q332" s="27" t="str">
        <f aca="false">IF($B332="","",IF(N($H332)&gt;0,"Live","Exited"))</f>
        <v/>
      </c>
      <c r="R332" s="27" t="str">
        <f aca="false">IF($B332="","",IF($L332="","Data Pending",IF($L332&gt;=Instructions!$D$19,"Best Fund",IF($L332&gt;=Instructions!$D$20,"Need to Improve","Not Performing"))))</f>
        <v/>
      </c>
      <c r="S332" s="7" t="str">
        <f aca="false">IF($R332="","",IF($R332="Data Pending","Enter the 3Y return",IF($R332="Best Fund","Hold / consider top-up",IF($R332="Need to Improve","Watch 2 quarters, then decide","Review with client - switch or exit"))))</f>
        <v/>
      </c>
      <c r="T332" s="26"/>
      <c r="U332" s="7" t="str">
        <f aca="false">IF($R332&lt;&gt;"Best Fund","",COUNTIFS($R$6:$R$505,"Best Fund",$L$6:$L$505,"&gt;"&amp;$L332)+COUNTIFS($R$6:$R332,"Best Fund",$L$6:$L332,$L332))</f>
        <v/>
      </c>
      <c r="V332" s="7" t="str">
        <f aca="false">IF($R332&lt;&gt;"Need to Improve","",COUNTIFS($R$6:$R$505,"Need to Improve",$L$6:$L$505,"&lt;"&amp;$L332)+COUNTIFS($R$6:$R332,"Need to Improve",$L$6:$L332,$L332))</f>
        <v/>
      </c>
      <c r="W332" s="7" t="str">
        <f aca="false">IF($R332&lt;&gt;"Not Performing","",COUNTIFS($R$6:$R$505,"Not Performing",$L$6:$L$505,"&lt;"&amp;$L332)+COUNTIFS($R$6:$R332,"Not Performing",$L$6:$L332,$L332))</f>
        <v/>
      </c>
    </row>
    <row r="333" customFormat="false" ht="15" hidden="false" customHeight="true" outlineLevel="0" collapsed="false">
      <c r="A333" s="26"/>
      <c r="B333" s="26"/>
      <c r="C333" s="26"/>
      <c r="D333" s="27" t="str">
        <f aca="false">IF($C333="","",IFERROR(TRIM(LEFT($C333,FIND("-",$C333)-1)),""))</f>
        <v/>
      </c>
      <c r="E333" s="26"/>
      <c r="F333" s="28"/>
      <c r="G333" s="29"/>
      <c r="H333" s="29"/>
      <c r="I333" s="30" t="str">
        <f aca="false">IF($B333="","",$H333-$G333)</f>
        <v/>
      </c>
      <c r="J333" s="31" t="str">
        <f aca="false">IF(OR($B333="",$G333=0,$G333=""),"",$I333/$G333)</f>
        <v/>
      </c>
      <c r="K333" s="32"/>
      <c r="L333" s="32"/>
      <c r="M333" s="32"/>
      <c r="N333" s="32"/>
      <c r="O333" s="32"/>
      <c r="P333" s="31" t="str">
        <f aca="false">IF(OR($L333="",$N333=""),"",$L333-$N333)</f>
        <v/>
      </c>
      <c r="Q333" s="27" t="str">
        <f aca="false">IF($B333="","",IF(N($H333)&gt;0,"Live","Exited"))</f>
        <v/>
      </c>
      <c r="R333" s="27" t="str">
        <f aca="false">IF($B333="","",IF($L333="","Data Pending",IF($L333&gt;=Instructions!$D$19,"Best Fund",IF($L333&gt;=Instructions!$D$20,"Need to Improve","Not Performing"))))</f>
        <v/>
      </c>
      <c r="S333" s="7" t="str">
        <f aca="false">IF($R333="","",IF($R333="Data Pending","Enter the 3Y return",IF($R333="Best Fund","Hold / consider top-up",IF($R333="Need to Improve","Watch 2 quarters, then decide","Review with client - switch or exit"))))</f>
        <v/>
      </c>
      <c r="T333" s="26"/>
      <c r="U333" s="7" t="str">
        <f aca="false">IF($R333&lt;&gt;"Best Fund","",COUNTIFS($R$6:$R$505,"Best Fund",$L$6:$L$505,"&gt;"&amp;$L333)+COUNTIFS($R$6:$R333,"Best Fund",$L$6:$L333,$L333))</f>
        <v/>
      </c>
      <c r="V333" s="7" t="str">
        <f aca="false">IF($R333&lt;&gt;"Need to Improve","",COUNTIFS($R$6:$R$505,"Need to Improve",$L$6:$L$505,"&lt;"&amp;$L333)+COUNTIFS($R$6:$R333,"Need to Improve",$L$6:$L333,$L333))</f>
        <v/>
      </c>
      <c r="W333" s="7" t="str">
        <f aca="false">IF($R333&lt;&gt;"Not Performing","",COUNTIFS($R$6:$R$505,"Not Performing",$L$6:$L$505,"&lt;"&amp;$L333)+COUNTIFS($R$6:$R333,"Not Performing",$L$6:$L333,$L333))</f>
        <v/>
      </c>
    </row>
    <row r="334" customFormat="false" ht="15" hidden="false" customHeight="true" outlineLevel="0" collapsed="false">
      <c r="A334" s="26"/>
      <c r="B334" s="26"/>
      <c r="C334" s="26"/>
      <c r="D334" s="27" t="str">
        <f aca="false">IF($C334="","",IFERROR(TRIM(LEFT($C334,FIND("-",$C334)-1)),""))</f>
        <v/>
      </c>
      <c r="E334" s="26"/>
      <c r="F334" s="28"/>
      <c r="G334" s="29"/>
      <c r="H334" s="29"/>
      <c r="I334" s="30" t="str">
        <f aca="false">IF($B334="","",$H334-$G334)</f>
        <v/>
      </c>
      <c r="J334" s="31" t="str">
        <f aca="false">IF(OR($B334="",$G334=0,$G334=""),"",$I334/$G334)</f>
        <v/>
      </c>
      <c r="K334" s="32"/>
      <c r="L334" s="32"/>
      <c r="M334" s="32"/>
      <c r="N334" s="32"/>
      <c r="O334" s="32"/>
      <c r="P334" s="31" t="str">
        <f aca="false">IF(OR($L334="",$N334=""),"",$L334-$N334)</f>
        <v/>
      </c>
      <c r="Q334" s="27" t="str">
        <f aca="false">IF($B334="","",IF(N($H334)&gt;0,"Live","Exited"))</f>
        <v/>
      </c>
      <c r="R334" s="27" t="str">
        <f aca="false">IF($B334="","",IF($L334="","Data Pending",IF($L334&gt;=Instructions!$D$19,"Best Fund",IF($L334&gt;=Instructions!$D$20,"Need to Improve","Not Performing"))))</f>
        <v/>
      </c>
      <c r="S334" s="7" t="str">
        <f aca="false">IF($R334="","",IF($R334="Data Pending","Enter the 3Y return",IF($R334="Best Fund","Hold / consider top-up",IF($R334="Need to Improve","Watch 2 quarters, then decide","Review with client - switch or exit"))))</f>
        <v/>
      </c>
      <c r="T334" s="26"/>
      <c r="U334" s="7" t="str">
        <f aca="false">IF($R334&lt;&gt;"Best Fund","",COUNTIFS($R$6:$R$505,"Best Fund",$L$6:$L$505,"&gt;"&amp;$L334)+COUNTIFS($R$6:$R334,"Best Fund",$L$6:$L334,$L334))</f>
        <v/>
      </c>
      <c r="V334" s="7" t="str">
        <f aca="false">IF($R334&lt;&gt;"Need to Improve","",COUNTIFS($R$6:$R$505,"Need to Improve",$L$6:$L$505,"&lt;"&amp;$L334)+COUNTIFS($R$6:$R334,"Need to Improve",$L$6:$L334,$L334))</f>
        <v/>
      </c>
      <c r="W334" s="7" t="str">
        <f aca="false">IF($R334&lt;&gt;"Not Performing","",COUNTIFS($R$6:$R$505,"Not Performing",$L$6:$L$505,"&lt;"&amp;$L334)+COUNTIFS($R$6:$R334,"Not Performing",$L$6:$L334,$L334))</f>
        <v/>
      </c>
    </row>
    <row r="335" customFormat="false" ht="15" hidden="false" customHeight="true" outlineLevel="0" collapsed="false">
      <c r="A335" s="26"/>
      <c r="B335" s="26"/>
      <c r="C335" s="26"/>
      <c r="D335" s="27" t="str">
        <f aca="false">IF($C335="","",IFERROR(TRIM(LEFT($C335,FIND("-",$C335)-1)),""))</f>
        <v/>
      </c>
      <c r="E335" s="26"/>
      <c r="F335" s="28"/>
      <c r="G335" s="29"/>
      <c r="H335" s="29"/>
      <c r="I335" s="30" t="str">
        <f aca="false">IF($B335="","",$H335-$G335)</f>
        <v/>
      </c>
      <c r="J335" s="31" t="str">
        <f aca="false">IF(OR($B335="",$G335=0,$G335=""),"",$I335/$G335)</f>
        <v/>
      </c>
      <c r="K335" s="32"/>
      <c r="L335" s="32"/>
      <c r="M335" s="32"/>
      <c r="N335" s="32"/>
      <c r="O335" s="32"/>
      <c r="P335" s="31" t="str">
        <f aca="false">IF(OR($L335="",$N335=""),"",$L335-$N335)</f>
        <v/>
      </c>
      <c r="Q335" s="27" t="str">
        <f aca="false">IF($B335="","",IF(N($H335)&gt;0,"Live","Exited"))</f>
        <v/>
      </c>
      <c r="R335" s="27" t="str">
        <f aca="false">IF($B335="","",IF($L335="","Data Pending",IF($L335&gt;=Instructions!$D$19,"Best Fund",IF($L335&gt;=Instructions!$D$20,"Need to Improve","Not Performing"))))</f>
        <v/>
      </c>
      <c r="S335" s="7" t="str">
        <f aca="false">IF($R335="","",IF($R335="Data Pending","Enter the 3Y return",IF($R335="Best Fund","Hold / consider top-up",IF($R335="Need to Improve","Watch 2 quarters, then decide","Review with client - switch or exit"))))</f>
        <v/>
      </c>
      <c r="T335" s="26"/>
      <c r="U335" s="7" t="str">
        <f aca="false">IF($R335&lt;&gt;"Best Fund","",COUNTIFS($R$6:$R$505,"Best Fund",$L$6:$L$505,"&gt;"&amp;$L335)+COUNTIFS($R$6:$R335,"Best Fund",$L$6:$L335,$L335))</f>
        <v/>
      </c>
      <c r="V335" s="7" t="str">
        <f aca="false">IF($R335&lt;&gt;"Need to Improve","",COUNTIFS($R$6:$R$505,"Need to Improve",$L$6:$L$505,"&lt;"&amp;$L335)+COUNTIFS($R$6:$R335,"Need to Improve",$L$6:$L335,$L335))</f>
        <v/>
      </c>
      <c r="W335" s="7" t="str">
        <f aca="false">IF($R335&lt;&gt;"Not Performing","",COUNTIFS($R$6:$R$505,"Not Performing",$L$6:$L$505,"&lt;"&amp;$L335)+COUNTIFS($R$6:$R335,"Not Performing",$L$6:$L335,$L335))</f>
        <v/>
      </c>
    </row>
    <row r="336" customFormat="false" ht="15" hidden="false" customHeight="true" outlineLevel="0" collapsed="false">
      <c r="A336" s="26"/>
      <c r="B336" s="26"/>
      <c r="C336" s="26"/>
      <c r="D336" s="27" t="str">
        <f aca="false">IF($C336="","",IFERROR(TRIM(LEFT($C336,FIND("-",$C336)-1)),""))</f>
        <v/>
      </c>
      <c r="E336" s="26"/>
      <c r="F336" s="28"/>
      <c r="G336" s="29"/>
      <c r="H336" s="29"/>
      <c r="I336" s="30" t="str">
        <f aca="false">IF($B336="","",$H336-$G336)</f>
        <v/>
      </c>
      <c r="J336" s="31" t="str">
        <f aca="false">IF(OR($B336="",$G336=0,$G336=""),"",$I336/$G336)</f>
        <v/>
      </c>
      <c r="K336" s="32"/>
      <c r="L336" s="32"/>
      <c r="M336" s="32"/>
      <c r="N336" s="32"/>
      <c r="O336" s="32"/>
      <c r="P336" s="31" t="str">
        <f aca="false">IF(OR($L336="",$N336=""),"",$L336-$N336)</f>
        <v/>
      </c>
      <c r="Q336" s="27" t="str">
        <f aca="false">IF($B336="","",IF(N($H336)&gt;0,"Live","Exited"))</f>
        <v/>
      </c>
      <c r="R336" s="27" t="str">
        <f aca="false">IF($B336="","",IF($L336="","Data Pending",IF($L336&gt;=Instructions!$D$19,"Best Fund",IF($L336&gt;=Instructions!$D$20,"Need to Improve","Not Performing"))))</f>
        <v/>
      </c>
      <c r="S336" s="7" t="str">
        <f aca="false">IF($R336="","",IF($R336="Data Pending","Enter the 3Y return",IF($R336="Best Fund","Hold / consider top-up",IF($R336="Need to Improve","Watch 2 quarters, then decide","Review with client - switch or exit"))))</f>
        <v/>
      </c>
      <c r="T336" s="26"/>
      <c r="U336" s="7" t="str">
        <f aca="false">IF($R336&lt;&gt;"Best Fund","",COUNTIFS($R$6:$R$505,"Best Fund",$L$6:$L$505,"&gt;"&amp;$L336)+COUNTIFS($R$6:$R336,"Best Fund",$L$6:$L336,$L336))</f>
        <v/>
      </c>
      <c r="V336" s="7" t="str">
        <f aca="false">IF($R336&lt;&gt;"Need to Improve","",COUNTIFS($R$6:$R$505,"Need to Improve",$L$6:$L$505,"&lt;"&amp;$L336)+COUNTIFS($R$6:$R336,"Need to Improve",$L$6:$L336,$L336))</f>
        <v/>
      </c>
      <c r="W336" s="7" t="str">
        <f aca="false">IF($R336&lt;&gt;"Not Performing","",COUNTIFS($R$6:$R$505,"Not Performing",$L$6:$L$505,"&lt;"&amp;$L336)+COUNTIFS($R$6:$R336,"Not Performing",$L$6:$L336,$L336))</f>
        <v/>
      </c>
    </row>
    <row r="337" customFormat="false" ht="15" hidden="false" customHeight="true" outlineLevel="0" collapsed="false">
      <c r="A337" s="26"/>
      <c r="B337" s="26"/>
      <c r="C337" s="26"/>
      <c r="D337" s="27" t="str">
        <f aca="false">IF($C337="","",IFERROR(TRIM(LEFT($C337,FIND("-",$C337)-1)),""))</f>
        <v/>
      </c>
      <c r="E337" s="26"/>
      <c r="F337" s="28"/>
      <c r="G337" s="29"/>
      <c r="H337" s="29"/>
      <c r="I337" s="30" t="str">
        <f aca="false">IF($B337="","",$H337-$G337)</f>
        <v/>
      </c>
      <c r="J337" s="31" t="str">
        <f aca="false">IF(OR($B337="",$G337=0,$G337=""),"",$I337/$G337)</f>
        <v/>
      </c>
      <c r="K337" s="32"/>
      <c r="L337" s="32"/>
      <c r="M337" s="32"/>
      <c r="N337" s="32"/>
      <c r="O337" s="32"/>
      <c r="P337" s="31" t="str">
        <f aca="false">IF(OR($L337="",$N337=""),"",$L337-$N337)</f>
        <v/>
      </c>
      <c r="Q337" s="27" t="str">
        <f aca="false">IF($B337="","",IF(N($H337)&gt;0,"Live","Exited"))</f>
        <v/>
      </c>
      <c r="R337" s="27" t="str">
        <f aca="false">IF($B337="","",IF($L337="","Data Pending",IF($L337&gt;=Instructions!$D$19,"Best Fund",IF($L337&gt;=Instructions!$D$20,"Need to Improve","Not Performing"))))</f>
        <v/>
      </c>
      <c r="S337" s="7" t="str">
        <f aca="false">IF($R337="","",IF($R337="Data Pending","Enter the 3Y return",IF($R337="Best Fund","Hold / consider top-up",IF($R337="Need to Improve","Watch 2 quarters, then decide","Review with client - switch or exit"))))</f>
        <v/>
      </c>
      <c r="T337" s="26"/>
      <c r="U337" s="7" t="str">
        <f aca="false">IF($R337&lt;&gt;"Best Fund","",COUNTIFS($R$6:$R$505,"Best Fund",$L$6:$L$505,"&gt;"&amp;$L337)+COUNTIFS($R$6:$R337,"Best Fund",$L$6:$L337,$L337))</f>
        <v/>
      </c>
      <c r="V337" s="7" t="str">
        <f aca="false">IF($R337&lt;&gt;"Need to Improve","",COUNTIFS($R$6:$R$505,"Need to Improve",$L$6:$L$505,"&lt;"&amp;$L337)+COUNTIFS($R$6:$R337,"Need to Improve",$L$6:$L337,$L337))</f>
        <v/>
      </c>
      <c r="W337" s="7" t="str">
        <f aca="false">IF($R337&lt;&gt;"Not Performing","",COUNTIFS($R$6:$R$505,"Not Performing",$L$6:$L$505,"&lt;"&amp;$L337)+COUNTIFS($R$6:$R337,"Not Performing",$L$6:$L337,$L337))</f>
        <v/>
      </c>
    </row>
    <row r="338" customFormat="false" ht="15" hidden="false" customHeight="true" outlineLevel="0" collapsed="false">
      <c r="A338" s="26"/>
      <c r="B338" s="26"/>
      <c r="C338" s="26"/>
      <c r="D338" s="27" t="str">
        <f aca="false">IF($C338="","",IFERROR(TRIM(LEFT($C338,FIND("-",$C338)-1)),""))</f>
        <v/>
      </c>
      <c r="E338" s="26"/>
      <c r="F338" s="28"/>
      <c r="G338" s="29"/>
      <c r="H338" s="29"/>
      <c r="I338" s="30" t="str">
        <f aca="false">IF($B338="","",$H338-$G338)</f>
        <v/>
      </c>
      <c r="J338" s="31" t="str">
        <f aca="false">IF(OR($B338="",$G338=0,$G338=""),"",$I338/$G338)</f>
        <v/>
      </c>
      <c r="K338" s="32"/>
      <c r="L338" s="32"/>
      <c r="M338" s="32"/>
      <c r="N338" s="32"/>
      <c r="O338" s="32"/>
      <c r="P338" s="31" t="str">
        <f aca="false">IF(OR($L338="",$N338=""),"",$L338-$N338)</f>
        <v/>
      </c>
      <c r="Q338" s="27" t="str">
        <f aca="false">IF($B338="","",IF(N($H338)&gt;0,"Live","Exited"))</f>
        <v/>
      </c>
      <c r="R338" s="27" t="str">
        <f aca="false">IF($B338="","",IF($L338="","Data Pending",IF($L338&gt;=Instructions!$D$19,"Best Fund",IF($L338&gt;=Instructions!$D$20,"Need to Improve","Not Performing"))))</f>
        <v/>
      </c>
      <c r="S338" s="7" t="str">
        <f aca="false">IF($R338="","",IF($R338="Data Pending","Enter the 3Y return",IF($R338="Best Fund","Hold / consider top-up",IF($R338="Need to Improve","Watch 2 quarters, then decide","Review with client - switch or exit"))))</f>
        <v/>
      </c>
      <c r="T338" s="26"/>
      <c r="U338" s="7" t="str">
        <f aca="false">IF($R338&lt;&gt;"Best Fund","",COUNTIFS($R$6:$R$505,"Best Fund",$L$6:$L$505,"&gt;"&amp;$L338)+COUNTIFS($R$6:$R338,"Best Fund",$L$6:$L338,$L338))</f>
        <v/>
      </c>
      <c r="V338" s="7" t="str">
        <f aca="false">IF($R338&lt;&gt;"Need to Improve","",COUNTIFS($R$6:$R$505,"Need to Improve",$L$6:$L$505,"&lt;"&amp;$L338)+COUNTIFS($R$6:$R338,"Need to Improve",$L$6:$L338,$L338))</f>
        <v/>
      </c>
      <c r="W338" s="7" t="str">
        <f aca="false">IF($R338&lt;&gt;"Not Performing","",COUNTIFS($R$6:$R$505,"Not Performing",$L$6:$L$505,"&lt;"&amp;$L338)+COUNTIFS($R$6:$R338,"Not Performing",$L$6:$L338,$L338))</f>
        <v/>
      </c>
    </row>
    <row r="339" customFormat="false" ht="15" hidden="false" customHeight="true" outlineLevel="0" collapsed="false">
      <c r="A339" s="26"/>
      <c r="B339" s="26"/>
      <c r="C339" s="26"/>
      <c r="D339" s="27" t="str">
        <f aca="false">IF($C339="","",IFERROR(TRIM(LEFT($C339,FIND("-",$C339)-1)),""))</f>
        <v/>
      </c>
      <c r="E339" s="26"/>
      <c r="F339" s="28"/>
      <c r="G339" s="29"/>
      <c r="H339" s="29"/>
      <c r="I339" s="30" t="str">
        <f aca="false">IF($B339="","",$H339-$G339)</f>
        <v/>
      </c>
      <c r="J339" s="31" t="str">
        <f aca="false">IF(OR($B339="",$G339=0,$G339=""),"",$I339/$G339)</f>
        <v/>
      </c>
      <c r="K339" s="32"/>
      <c r="L339" s="32"/>
      <c r="M339" s="32"/>
      <c r="N339" s="32"/>
      <c r="O339" s="32"/>
      <c r="P339" s="31" t="str">
        <f aca="false">IF(OR($L339="",$N339=""),"",$L339-$N339)</f>
        <v/>
      </c>
      <c r="Q339" s="27" t="str">
        <f aca="false">IF($B339="","",IF(N($H339)&gt;0,"Live","Exited"))</f>
        <v/>
      </c>
      <c r="R339" s="27" t="str">
        <f aca="false">IF($B339="","",IF($L339="","Data Pending",IF($L339&gt;=Instructions!$D$19,"Best Fund",IF($L339&gt;=Instructions!$D$20,"Need to Improve","Not Performing"))))</f>
        <v/>
      </c>
      <c r="S339" s="7" t="str">
        <f aca="false">IF($R339="","",IF($R339="Data Pending","Enter the 3Y return",IF($R339="Best Fund","Hold / consider top-up",IF($R339="Need to Improve","Watch 2 quarters, then decide","Review with client - switch or exit"))))</f>
        <v/>
      </c>
      <c r="T339" s="26"/>
      <c r="U339" s="7" t="str">
        <f aca="false">IF($R339&lt;&gt;"Best Fund","",COUNTIFS($R$6:$R$505,"Best Fund",$L$6:$L$505,"&gt;"&amp;$L339)+COUNTIFS($R$6:$R339,"Best Fund",$L$6:$L339,$L339))</f>
        <v/>
      </c>
      <c r="V339" s="7" t="str">
        <f aca="false">IF($R339&lt;&gt;"Need to Improve","",COUNTIFS($R$6:$R$505,"Need to Improve",$L$6:$L$505,"&lt;"&amp;$L339)+COUNTIFS($R$6:$R339,"Need to Improve",$L$6:$L339,$L339))</f>
        <v/>
      </c>
      <c r="W339" s="7" t="str">
        <f aca="false">IF($R339&lt;&gt;"Not Performing","",COUNTIFS($R$6:$R$505,"Not Performing",$L$6:$L$505,"&lt;"&amp;$L339)+COUNTIFS($R$6:$R339,"Not Performing",$L$6:$L339,$L339))</f>
        <v/>
      </c>
    </row>
    <row r="340" customFormat="false" ht="15" hidden="false" customHeight="true" outlineLevel="0" collapsed="false">
      <c r="A340" s="26"/>
      <c r="B340" s="26"/>
      <c r="C340" s="26"/>
      <c r="D340" s="27" t="str">
        <f aca="false">IF($C340="","",IFERROR(TRIM(LEFT($C340,FIND("-",$C340)-1)),""))</f>
        <v/>
      </c>
      <c r="E340" s="26"/>
      <c r="F340" s="28"/>
      <c r="G340" s="29"/>
      <c r="H340" s="29"/>
      <c r="I340" s="30" t="str">
        <f aca="false">IF($B340="","",$H340-$G340)</f>
        <v/>
      </c>
      <c r="J340" s="31" t="str">
        <f aca="false">IF(OR($B340="",$G340=0,$G340=""),"",$I340/$G340)</f>
        <v/>
      </c>
      <c r="K340" s="32"/>
      <c r="L340" s="32"/>
      <c r="M340" s="32"/>
      <c r="N340" s="32"/>
      <c r="O340" s="32"/>
      <c r="P340" s="31" t="str">
        <f aca="false">IF(OR($L340="",$N340=""),"",$L340-$N340)</f>
        <v/>
      </c>
      <c r="Q340" s="27" t="str">
        <f aca="false">IF($B340="","",IF(N($H340)&gt;0,"Live","Exited"))</f>
        <v/>
      </c>
      <c r="R340" s="27" t="str">
        <f aca="false">IF($B340="","",IF($L340="","Data Pending",IF($L340&gt;=Instructions!$D$19,"Best Fund",IF($L340&gt;=Instructions!$D$20,"Need to Improve","Not Performing"))))</f>
        <v/>
      </c>
      <c r="S340" s="7" t="str">
        <f aca="false">IF($R340="","",IF($R340="Data Pending","Enter the 3Y return",IF($R340="Best Fund","Hold / consider top-up",IF($R340="Need to Improve","Watch 2 quarters, then decide","Review with client - switch or exit"))))</f>
        <v/>
      </c>
      <c r="T340" s="26"/>
      <c r="U340" s="7" t="str">
        <f aca="false">IF($R340&lt;&gt;"Best Fund","",COUNTIFS($R$6:$R$505,"Best Fund",$L$6:$L$505,"&gt;"&amp;$L340)+COUNTIFS($R$6:$R340,"Best Fund",$L$6:$L340,$L340))</f>
        <v/>
      </c>
      <c r="V340" s="7" t="str">
        <f aca="false">IF($R340&lt;&gt;"Need to Improve","",COUNTIFS($R$6:$R$505,"Need to Improve",$L$6:$L$505,"&lt;"&amp;$L340)+COUNTIFS($R$6:$R340,"Need to Improve",$L$6:$L340,$L340))</f>
        <v/>
      </c>
      <c r="W340" s="7" t="str">
        <f aca="false">IF($R340&lt;&gt;"Not Performing","",COUNTIFS($R$6:$R$505,"Not Performing",$L$6:$L$505,"&lt;"&amp;$L340)+COUNTIFS($R$6:$R340,"Not Performing",$L$6:$L340,$L340))</f>
        <v/>
      </c>
    </row>
    <row r="341" customFormat="false" ht="15" hidden="false" customHeight="true" outlineLevel="0" collapsed="false">
      <c r="A341" s="26"/>
      <c r="B341" s="26"/>
      <c r="C341" s="26"/>
      <c r="D341" s="27" t="str">
        <f aca="false">IF($C341="","",IFERROR(TRIM(LEFT($C341,FIND("-",$C341)-1)),""))</f>
        <v/>
      </c>
      <c r="E341" s="26"/>
      <c r="F341" s="28"/>
      <c r="G341" s="29"/>
      <c r="H341" s="29"/>
      <c r="I341" s="30" t="str">
        <f aca="false">IF($B341="","",$H341-$G341)</f>
        <v/>
      </c>
      <c r="J341" s="31" t="str">
        <f aca="false">IF(OR($B341="",$G341=0,$G341=""),"",$I341/$G341)</f>
        <v/>
      </c>
      <c r="K341" s="32"/>
      <c r="L341" s="32"/>
      <c r="M341" s="32"/>
      <c r="N341" s="32"/>
      <c r="O341" s="32"/>
      <c r="P341" s="31" t="str">
        <f aca="false">IF(OR($L341="",$N341=""),"",$L341-$N341)</f>
        <v/>
      </c>
      <c r="Q341" s="27" t="str">
        <f aca="false">IF($B341="","",IF(N($H341)&gt;0,"Live","Exited"))</f>
        <v/>
      </c>
      <c r="R341" s="27" t="str">
        <f aca="false">IF($B341="","",IF($L341="","Data Pending",IF($L341&gt;=Instructions!$D$19,"Best Fund",IF($L341&gt;=Instructions!$D$20,"Need to Improve","Not Performing"))))</f>
        <v/>
      </c>
      <c r="S341" s="7" t="str">
        <f aca="false">IF($R341="","",IF($R341="Data Pending","Enter the 3Y return",IF($R341="Best Fund","Hold / consider top-up",IF($R341="Need to Improve","Watch 2 quarters, then decide","Review with client - switch or exit"))))</f>
        <v/>
      </c>
      <c r="T341" s="26"/>
      <c r="U341" s="7" t="str">
        <f aca="false">IF($R341&lt;&gt;"Best Fund","",COUNTIFS($R$6:$R$505,"Best Fund",$L$6:$L$505,"&gt;"&amp;$L341)+COUNTIFS($R$6:$R341,"Best Fund",$L$6:$L341,$L341))</f>
        <v/>
      </c>
      <c r="V341" s="7" t="str">
        <f aca="false">IF($R341&lt;&gt;"Need to Improve","",COUNTIFS($R$6:$R$505,"Need to Improve",$L$6:$L$505,"&lt;"&amp;$L341)+COUNTIFS($R$6:$R341,"Need to Improve",$L$6:$L341,$L341))</f>
        <v/>
      </c>
      <c r="W341" s="7" t="str">
        <f aca="false">IF($R341&lt;&gt;"Not Performing","",COUNTIFS($R$6:$R$505,"Not Performing",$L$6:$L$505,"&lt;"&amp;$L341)+COUNTIFS($R$6:$R341,"Not Performing",$L$6:$L341,$L341))</f>
        <v/>
      </c>
    </row>
    <row r="342" customFormat="false" ht="15" hidden="false" customHeight="true" outlineLevel="0" collapsed="false">
      <c r="A342" s="26"/>
      <c r="B342" s="26"/>
      <c r="C342" s="26"/>
      <c r="D342" s="27" t="str">
        <f aca="false">IF($C342="","",IFERROR(TRIM(LEFT($C342,FIND("-",$C342)-1)),""))</f>
        <v/>
      </c>
      <c r="E342" s="26"/>
      <c r="F342" s="28"/>
      <c r="G342" s="29"/>
      <c r="H342" s="29"/>
      <c r="I342" s="30" t="str">
        <f aca="false">IF($B342="","",$H342-$G342)</f>
        <v/>
      </c>
      <c r="J342" s="31" t="str">
        <f aca="false">IF(OR($B342="",$G342=0,$G342=""),"",$I342/$G342)</f>
        <v/>
      </c>
      <c r="K342" s="32"/>
      <c r="L342" s="32"/>
      <c r="M342" s="32"/>
      <c r="N342" s="32"/>
      <c r="O342" s="32"/>
      <c r="P342" s="31" t="str">
        <f aca="false">IF(OR($L342="",$N342=""),"",$L342-$N342)</f>
        <v/>
      </c>
      <c r="Q342" s="27" t="str">
        <f aca="false">IF($B342="","",IF(N($H342)&gt;0,"Live","Exited"))</f>
        <v/>
      </c>
      <c r="R342" s="27" t="str">
        <f aca="false">IF($B342="","",IF($L342="","Data Pending",IF($L342&gt;=Instructions!$D$19,"Best Fund",IF($L342&gt;=Instructions!$D$20,"Need to Improve","Not Performing"))))</f>
        <v/>
      </c>
      <c r="S342" s="7" t="str">
        <f aca="false">IF($R342="","",IF($R342="Data Pending","Enter the 3Y return",IF($R342="Best Fund","Hold / consider top-up",IF($R342="Need to Improve","Watch 2 quarters, then decide","Review with client - switch or exit"))))</f>
        <v/>
      </c>
      <c r="T342" s="26"/>
      <c r="U342" s="7" t="str">
        <f aca="false">IF($R342&lt;&gt;"Best Fund","",COUNTIFS($R$6:$R$505,"Best Fund",$L$6:$L$505,"&gt;"&amp;$L342)+COUNTIFS($R$6:$R342,"Best Fund",$L$6:$L342,$L342))</f>
        <v/>
      </c>
      <c r="V342" s="7" t="str">
        <f aca="false">IF($R342&lt;&gt;"Need to Improve","",COUNTIFS($R$6:$R$505,"Need to Improve",$L$6:$L$505,"&lt;"&amp;$L342)+COUNTIFS($R$6:$R342,"Need to Improve",$L$6:$L342,$L342))</f>
        <v/>
      </c>
      <c r="W342" s="7" t="str">
        <f aca="false">IF($R342&lt;&gt;"Not Performing","",COUNTIFS($R$6:$R$505,"Not Performing",$L$6:$L$505,"&lt;"&amp;$L342)+COUNTIFS($R$6:$R342,"Not Performing",$L$6:$L342,$L342))</f>
        <v/>
      </c>
    </row>
    <row r="343" customFormat="false" ht="15" hidden="false" customHeight="true" outlineLevel="0" collapsed="false">
      <c r="A343" s="26"/>
      <c r="B343" s="26"/>
      <c r="C343" s="26"/>
      <c r="D343" s="27" t="str">
        <f aca="false">IF($C343="","",IFERROR(TRIM(LEFT($C343,FIND("-",$C343)-1)),""))</f>
        <v/>
      </c>
      <c r="E343" s="26"/>
      <c r="F343" s="28"/>
      <c r="G343" s="29"/>
      <c r="H343" s="29"/>
      <c r="I343" s="30" t="str">
        <f aca="false">IF($B343="","",$H343-$G343)</f>
        <v/>
      </c>
      <c r="J343" s="31" t="str">
        <f aca="false">IF(OR($B343="",$G343=0,$G343=""),"",$I343/$G343)</f>
        <v/>
      </c>
      <c r="K343" s="32"/>
      <c r="L343" s="32"/>
      <c r="M343" s="32"/>
      <c r="N343" s="32"/>
      <c r="O343" s="32"/>
      <c r="P343" s="31" t="str">
        <f aca="false">IF(OR($L343="",$N343=""),"",$L343-$N343)</f>
        <v/>
      </c>
      <c r="Q343" s="27" t="str">
        <f aca="false">IF($B343="","",IF(N($H343)&gt;0,"Live","Exited"))</f>
        <v/>
      </c>
      <c r="R343" s="27" t="str">
        <f aca="false">IF($B343="","",IF($L343="","Data Pending",IF($L343&gt;=Instructions!$D$19,"Best Fund",IF($L343&gt;=Instructions!$D$20,"Need to Improve","Not Performing"))))</f>
        <v/>
      </c>
      <c r="S343" s="7" t="str">
        <f aca="false">IF($R343="","",IF($R343="Data Pending","Enter the 3Y return",IF($R343="Best Fund","Hold / consider top-up",IF($R343="Need to Improve","Watch 2 quarters, then decide","Review with client - switch or exit"))))</f>
        <v/>
      </c>
      <c r="T343" s="26"/>
      <c r="U343" s="7" t="str">
        <f aca="false">IF($R343&lt;&gt;"Best Fund","",COUNTIFS($R$6:$R$505,"Best Fund",$L$6:$L$505,"&gt;"&amp;$L343)+COUNTIFS($R$6:$R343,"Best Fund",$L$6:$L343,$L343))</f>
        <v/>
      </c>
      <c r="V343" s="7" t="str">
        <f aca="false">IF($R343&lt;&gt;"Need to Improve","",COUNTIFS($R$6:$R$505,"Need to Improve",$L$6:$L$505,"&lt;"&amp;$L343)+COUNTIFS($R$6:$R343,"Need to Improve",$L$6:$L343,$L343))</f>
        <v/>
      </c>
      <c r="W343" s="7" t="str">
        <f aca="false">IF($R343&lt;&gt;"Not Performing","",COUNTIFS($R$6:$R$505,"Not Performing",$L$6:$L$505,"&lt;"&amp;$L343)+COUNTIFS($R$6:$R343,"Not Performing",$L$6:$L343,$L343))</f>
        <v/>
      </c>
    </row>
    <row r="344" customFormat="false" ht="15" hidden="false" customHeight="true" outlineLevel="0" collapsed="false">
      <c r="A344" s="26"/>
      <c r="B344" s="26"/>
      <c r="C344" s="26"/>
      <c r="D344" s="27" t="str">
        <f aca="false">IF($C344="","",IFERROR(TRIM(LEFT($C344,FIND("-",$C344)-1)),""))</f>
        <v/>
      </c>
      <c r="E344" s="26"/>
      <c r="F344" s="28"/>
      <c r="G344" s="29"/>
      <c r="H344" s="29"/>
      <c r="I344" s="30" t="str">
        <f aca="false">IF($B344="","",$H344-$G344)</f>
        <v/>
      </c>
      <c r="J344" s="31" t="str">
        <f aca="false">IF(OR($B344="",$G344=0,$G344=""),"",$I344/$G344)</f>
        <v/>
      </c>
      <c r="K344" s="32"/>
      <c r="L344" s="32"/>
      <c r="M344" s="32"/>
      <c r="N344" s="32"/>
      <c r="O344" s="32"/>
      <c r="P344" s="31" t="str">
        <f aca="false">IF(OR($L344="",$N344=""),"",$L344-$N344)</f>
        <v/>
      </c>
      <c r="Q344" s="27" t="str">
        <f aca="false">IF($B344="","",IF(N($H344)&gt;0,"Live","Exited"))</f>
        <v/>
      </c>
      <c r="R344" s="27" t="str">
        <f aca="false">IF($B344="","",IF($L344="","Data Pending",IF($L344&gt;=Instructions!$D$19,"Best Fund",IF($L344&gt;=Instructions!$D$20,"Need to Improve","Not Performing"))))</f>
        <v/>
      </c>
      <c r="S344" s="7" t="str">
        <f aca="false">IF($R344="","",IF($R344="Data Pending","Enter the 3Y return",IF($R344="Best Fund","Hold / consider top-up",IF($R344="Need to Improve","Watch 2 quarters, then decide","Review with client - switch or exit"))))</f>
        <v/>
      </c>
      <c r="T344" s="26"/>
      <c r="U344" s="7" t="str">
        <f aca="false">IF($R344&lt;&gt;"Best Fund","",COUNTIFS($R$6:$R$505,"Best Fund",$L$6:$L$505,"&gt;"&amp;$L344)+COUNTIFS($R$6:$R344,"Best Fund",$L$6:$L344,$L344))</f>
        <v/>
      </c>
      <c r="V344" s="7" t="str">
        <f aca="false">IF($R344&lt;&gt;"Need to Improve","",COUNTIFS($R$6:$R$505,"Need to Improve",$L$6:$L$505,"&lt;"&amp;$L344)+COUNTIFS($R$6:$R344,"Need to Improve",$L$6:$L344,$L344))</f>
        <v/>
      </c>
      <c r="W344" s="7" t="str">
        <f aca="false">IF($R344&lt;&gt;"Not Performing","",COUNTIFS($R$6:$R$505,"Not Performing",$L$6:$L$505,"&lt;"&amp;$L344)+COUNTIFS($R$6:$R344,"Not Performing",$L$6:$L344,$L344))</f>
        <v/>
      </c>
    </row>
    <row r="345" customFormat="false" ht="15" hidden="false" customHeight="true" outlineLevel="0" collapsed="false">
      <c r="A345" s="26"/>
      <c r="B345" s="26"/>
      <c r="C345" s="26"/>
      <c r="D345" s="27" t="str">
        <f aca="false">IF($C345="","",IFERROR(TRIM(LEFT($C345,FIND("-",$C345)-1)),""))</f>
        <v/>
      </c>
      <c r="E345" s="26"/>
      <c r="F345" s="28"/>
      <c r="G345" s="29"/>
      <c r="H345" s="29"/>
      <c r="I345" s="30" t="str">
        <f aca="false">IF($B345="","",$H345-$G345)</f>
        <v/>
      </c>
      <c r="J345" s="31" t="str">
        <f aca="false">IF(OR($B345="",$G345=0,$G345=""),"",$I345/$G345)</f>
        <v/>
      </c>
      <c r="K345" s="32"/>
      <c r="L345" s="32"/>
      <c r="M345" s="32"/>
      <c r="N345" s="32"/>
      <c r="O345" s="32"/>
      <c r="P345" s="31" t="str">
        <f aca="false">IF(OR($L345="",$N345=""),"",$L345-$N345)</f>
        <v/>
      </c>
      <c r="Q345" s="27" t="str">
        <f aca="false">IF($B345="","",IF(N($H345)&gt;0,"Live","Exited"))</f>
        <v/>
      </c>
      <c r="R345" s="27" t="str">
        <f aca="false">IF($B345="","",IF($L345="","Data Pending",IF($L345&gt;=Instructions!$D$19,"Best Fund",IF($L345&gt;=Instructions!$D$20,"Need to Improve","Not Performing"))))</f>
        <v/>
      </c>
      <c r="S345" s="7" t="str">
        <f aca="false">IF($R345="","",IF($R345="Data Pending","Enter the 3Y return",IF($R345="Best Fund","Hold / consider top-up",IF($R345="Need to Improve","Watch 2 quarters, then decide","Review with client - switch or exit"))))</f>
        <v/>
      </c>
      <c r="T345" s="26"/>
      <c r="U345" s="7" t="str">
        <f aca="false">IF($R345&lt;&gt;"Best Fund","",COUNTIFS($R$6:$R$505,"Best Fund",$L$6:$L$505,"&gt;"&amp;$L345)+COUNTIFS($R$6:$R345,"Best Fund",$L$6:$L345,$L345))</f>
        <v/>
      </c>
      <c r="V345" s="7" t="str">
        <f aca="false">IF($R345&lt;&gt;"Need to Improve","",COUNTIFS($R$6:$R$505,"Need to Improve",$L$6:$L$505,"&lt;"&amp;$L345)+COUNTIFS($R$6:$R345,"Need to Improve",$L$6:$L345,$L345))</f>
        <v/>
      </c>
      <c r="W345" s="7" t="str">
        <f aca="false">IF($R345&lt;&gt;"Not Performing","",COUNTIFS($R$6:$R$505,"Not Performing",$L$6:$L$505,"&lt;"&amp;$L345)+COUNTIFS($R$6:$R345,"Not Performing",$L$6:$L345,$L345))</f>
        <v/>
      </c>
    </row>
    <row r="346" customFormat="false" ht="15" hidden="false" customHeight="true" outlineLevel="0" collapsed="false">
      <c r="A346" s="26"/>
      <c r="B346" s="26"/>
      <c r="C346" s="26"/>
      <c r="D346" s="27" t="str">
        <f aca="false">IF($C346="","",IFERROR(TRIM(LEFT($C346,FIND("-",$C346)-1)),""))</f>
        <v/>
      </c>
      <c r="E346" s="26"/>
      <c r="F346" s="28"/>
      <c r="G346" s="29"/>
      <c r="H346" s="29"/>
      <c r="I346" s="30" t="str">
        <f aca="false">IF($B346="","",$H346-$G346)</f>
        <v/>
      </c>
      <c r="J346" s="31" t="str">
        <f aca="false">IF(OR($B346="",$G346=0,$G346=""),"",$I346/$G346)</f>
        <v/>
      </c>
      <c r="K346" s="32"/>
      <c r="L346" s="32"/>
      <c r="M346" s="32"/>
      <c r="N346" s="32"/>
      <c r="O346" s="32"/>
      <c r="P346" s="31" t="str">
        <f aca="false">IF(OR($L346="",$N346=""),"",$L346-$N346)</f>
        <v/>
      </c>
      <c r="Q346" s="27" t="str">
        <f aca="false">IF($B346="","",IF(N($H346)&gt;0,"Live","Exited"))</f>
        <v/>
      </c>
      <c r="R346" s="27" t="str">
        <f aca="false">IF($B346="","",IF($L346="","Data Pending",IF($L346&gt;=Instructions!$D$19,"Best Fund",IF($L346&gt;=Instructions!$D$20,"Need to Improve","Not Performing"))))</f>
        <v/>
      </c>
      <c r="S346" s="7" t="str">
        <f aca="false">IF($R346="","",IF($R346="Data Pending","Enter the 3Y return",IF($R346="Best Fund","Hold / consider top-up",IF($R346="Need to Improve","Watch 2 quarters, then decide","Review with client - switch or exit"))))</f>
        <v/>
      </c>
      <c r="T346" s="26"/>
      <c r="U346" s="7" t="str">
        <f aca="false">IF($R346&lt;&gt;"Best Fund","",COUNTIFS($R$6:$R$505,"Best Fund",$L$6:$L$505,"&gt;"&amp;$L346)+COUNTIFS($R$6:$R346,"Best Fund",$L$6:$L346,$L346))</f>
        <v/>
      </c>
      <c r="V346" s="7" t="str">
        <f aca="false">IF($R346&lt;&gt;"Need to Improve","",COUNTIFS($R$6:$R$505,"Need to Improve",$L$6:$L$505,"&lt;"&amp;$L346)+COUNTIFS($R$6:$R346,"Need to Improve",$L$6:$L346,$L346))</f>
        <v/>
      </c>
      <c r="W346" s="7" t="str">
        <f aca="false">IF($R346&lt;&gt;"Not Performing","",COUNTIFS($R$6:$R$505,"Not Performing",$L$6:$L$505,"&lt;"&amp;$L346)+COUNTIFS($R$6:$R346,"Not Performing",$L$6:$L346,$L346))</f>
        <v/>
      </c>
    </row>
    <row r="347" customFormat="false" ht="15" hidden="false" customHeight="true" outlineLevel="0" collapsed="false">
      <c r="A347" s="26"/>
      <c r="B347" s="26"/>
      <c r="C347" s="26"/>
      <c r="D347" s="27" t="str">
        <f aca="false">IF($C347="","",IFERROR(TRIM(LEFT($C347,FIND("-",$C347)-1)),""))</f>
        <v/>
      </c>
      <c r="E347" s="26"/>
      <c r="F347" s="28"/>
      <c r="G347" s="29"/>
      <c r="H347" s="29"/>
      <c r="I347" s="30" t="str">
        <f aca="false">IF($B347="","",$H347-$G347)</f>
        <v/>
      </c>
      <c r="J347" s="31" t="str">
        <f aca="false">IF(OR($B347="",$G347=0,$G347=""),"",$I347/$G347)</f>
        <v/>
      </c>
      <c r="K347" s="32"/>
      <c r="L347" s="32"/>
      <c r="M347" s="32"/>
      <c r="N347" s="32"/>
      <c r="O347" s="32"/>
      <c r="P347" s="31" t="str">
        <f aca="false">IF(OR($L347="",$N347=""),"",$L347-$N347)</f>
        <v/>
      </c>
      <c r="Q347" s="27" t="str">
        <f aca="false">IF($B347="","",IF(N($H347)&gt;0,"Live","Exited"))</f>
        <v/>
      </c>
      <c r="R347" s="27" t="str">
        <f aca="false">IF($B347="","",IF($L347="","Data Pending",IF($L347&gt;=Instructions!$D$19,"Best Fund",IF($L347&gt;=Instructions!$D$20,"Need to Improve","Not Performing"))))</f>
        <v/>
      </c>
      <c r="S347" s="7" t="str">
        <f aca="false">IF($R347="","",IF($R347="Data Pending","Enter the 3Y return",IF($R347="Best Fund","Hold / consider top-up",IF($R347="Need to Improve","Watch 2 quarters, then decide","Review with client - switch or exit"))))</f>
        <v/>
      </c>
      <c r="T347" s="26"/>
      <c r="U347" s="7" t="str">
        <f aca="false">IF($R347&lt;&gt;"Best Fund","",COUNTIFS($R$6:$R$505,"Best Fund",$L$6:$L$505,"&gt;"&amp;$L347)+COUNTIFS($R$6:$R347,"Best Fund",$L$6:$L347,$L347))</f>
        <v/>
      </c>
      <c r="V347" s="7" t="str">
        <f aca="false">IF($R347&lt;&gt;"Need to Improve","",COUNTIFS($R$6:$R$505,"Need to Improve",$L$6:$L$505,"&lt;"&amp;$L347)+COUNTIFS($R$6:$R347,"Need to Improve",$L$6:$L347,$L347))</f>
        <v/>
      </c>
      <c r="W347" s="7" t="str">
        <f aca="false">IF($R347&lt;&gt;"Not Performing","",COUNTIFS($R$6:$R$505,"Not Performing",$L$6:$L$505,"&lt;"&amp;$L347)+COUNTIFS($R$6:$R347,"Not Performing",$L$6:$L347,$L347))</f>
        <v/>
      </c>
    </row>
    <row r="348" customFormat="false" ht="15" hidden="false" customHeight="true" outlineLevel="0" collapsed="false">
      <c r="A348" s="26"/>
      <c r="B348" s="26"/>
      <c r="C348" s="26"/>
      <c r="D348" s="27" t="str">
        <f aca="false">IF($C348="","",IFERROR(TRIM(LEFT($C348,FIND("-",$C348)-1)),""))</f>
        <v/>
      </c>
      <c r="E348" s="26"/>
      <c r="F348" s="28"/>
      <c r="G348" s="29"/>
      <c r="H348" s="29"/>
      <c r="I348" s="30" t="str">
        <f aca="false">IF($B348="","",$H348-$G348)</f>
        <v/>
      </c>
      <c r="J348" s="31" t="str">
        <f aca="false">IF(OR($B348="",$G348=0,$G348=""),"",$I348/$G348)</f>
        <v/>
      </c>
      <c r="K348" s="32"/>
      <c r="L348" s="32"/>
      <c r="M348" s="32"/>
      <c r="N348" s="32"/>
      <c r="O348" s="32"/>
      <c r="P348" s="31" t="str">
        <f aca="false">IF(OR($L348="",$N348=""),"",$L348-$N348)</f>
        <v/>
      </c>
      <c r="Q348" s="27" t="str">
        <f aca="false">IF($B348="","",IF(N($H348)&gt;0,"Live","Exited"))</f>
        <v/>
      </c>
      <c r="R348" s="27" t="str">
        <f aca="false">IF($B348="","",IF($L348="","Data Pending",IF($L348&gt;=Instructions!$D$19,"Best Fund",IF($L348&gt;=Instructions!$D$20,"Need to Improve","Not Performing"))))</f>
        <v/>
      </c>
      <c r="S348" s="7" t="str">
        <f aca="false">IF($R348="","",IF($R348="Data Pending","Enter the 3Y return",IF($R348="Best Fund","Hold / consider top-up",IF($R348="Need to Improve","Watch 2 quarters, then decide","Review with client - switch or exit"))))</f>
        <v/>
      </c>
      <c r="T348" s="26"/>
      <c r="U348" s="7" t="str">
        <f aca="false">IF($R348&lt;&gt;"Best Fund","",COUNTIFS($R$6:$R$505,"Best Fund",$L$6:$L$505,"&gt;"&amp;$L348)+COUNTIFS($R$6:$R348,"Best Fund",$L$6:$L348,$L348))</f>
        <v/>
      </c>
      <c r="V348" s="7" t="str">
        <f aca="false">IF($R348&lt;&gt;"Need to Improve","",COUNTIFS($R$6:$R$505,"Need to Improve",$L$6:$L$505,"&lt;"&amp;$L348)+COUNTIFS($R$6:$R348,"Need to Improve",$L$6:$L348,$L348))</f>
        <v/>
      </c>
      <c r="W348" s="7" t="str">
        <f aca="false">IF($R348&lt;&gt;"Not Performing","",COUNTIFS($R$6:$R$505,"Not Performing",$L$6:$L$505,"&lt;"&amp;$L348)+COUNTIFS($R$6:$R348,"Not Performing",$L$6:$L348,$L348))</f>
        <v/>
      </c>
    </row>
    <row r="349" customFormat="false" ht="15" hidden="false" customHeight="true" outlineLevel="0" collapsed="false">
      <c r="A349" s="26"/>
      <c r="B349" s="26"/>
      <c r="C349" s="26"/>
      <c r="D349" s="27" t="str">
        <f aca="false">IF($C349="","",IFERROR(TRIM(LEFT($C349,FIND("-",$C349)-1)),""))</f>
        <v/>
      </c>
      <c r="E349" s="26"/>
      <c r="F349" s="28"/>
      <c r="G349" s="29"/>
      <c r="H349" s="29"/>
      <c r="I349" s="30" t="str">
        <f aca="false">IF($B349="","",$H349-$G349)</f>
        <v/>
      </c>
      <c r="J349" s="31" t="str">
        <f aca="false">IF(OR($B349="",$G349=0,$G349=""),"",$I349/$G349)</f>
        <v/>
      </c>
      <c r="K349" s="32"/>
      <c r="L349" s="32"/>
      <c r="M349" s="32"/>
      <c r="N349" s="32"/>
      <c r="O349" s="32"/>
      <c r="P349" s="31" t="str">
        <f aca="false">IF(OR($L349="",$N349=""),"",$L349-$N349)</f>
        <v/>
      </c>
      <c r="Q349" s="27" t="str">
        <f aca="false">IF($B349="","",IF(N($H349)&gt;0,"Live","Exited"))</f>
        <v/>
      </c>
      <c r="R349" s="27" t="str">
        <f aca="false">IF($B349="","",IF($L349="","Data Pending",IF($L349&gt;=Instructions!$D$19,"Best Fund",IF($L349&gt;=Instructions!$D$20,"Need to Improve","Not Performing"))))</f>
        <v/>
      </c>
      <c r="S349" s="7" t="str">
        <f aca="false">IF($R349="","",IF($R349="Data Pending","Enter the 3Y return",IF($R349="Best Fund","Hold / consider top-up",IF($R349="Need to Improve","Watch 2 quarters, then decide","Review with client - switch or exit"))))</f>
        <v/>
      </c>
      <c r="T349" s="26"/>
      <c r="U349" s="7" t="str">
        <f aca="false">IF($R349&lt;&gt;"Best Fund","",COUNTIFS($R$6:$R$505,"Best Fund",$L$6:$L$505,"&gt;"&amp;$L349)+COUNTIFS($R$6:$R349,"Best Fund",$L$6:$L349,$L349))</f>
        <v/>
      </c>
      <c r="V349" s="7" t="str">
        <f aca="false">IF($R349&lt;&gt;"Need to Improve","",COUNTIFS($R$6:$R$505,"Need to Improve",$L$6:$L$505,"&lt;"&amp;$L349)+COUNTIFS($R$6:$R349,"Need to Improve",$L$6:$L349,$L349))</f>
        <v/>
      </c>
      <c r="W349" s="7" t="str">
        <f aca="false">IF($R349&lt;&gt;"Not Performing","",COUNTIFS($R$6:$R$505,"Not Performing",$L$6:$L$505,"&lt;"&amp;$L349)+COUNTIFS($R$6:$R349,"Not Performing",$L$6:$L349,$L349))</f>
        <v/>
      </c>
    </row>
    <row r="350" customFormat="false" ht="15" hidden="false" customHeight="true" outlineLevel="0" collapsed="false">
      <c r="A350" s="26"/>
      <c r="B350" s="26"/>
      <c r="C350" s="26"/>
      <c r="D350" s="27" t="str">
        <f aca="false">IF($C350="","",IFERROR(TRIM(LEFT($C350,FIND("-",$C350)-1)),""))</f>
        <v/>
      </c>
      <c r="E350" s="26"/>
      <c r="F350" s="28"/>
      <c r="G350" s="29"/>
      <c r="H350" s="29"/>
      <c r="I350" s="30" t="str">
        <f aca="false">IF($B350="","",$H350-$G350)</f>
        <v/>
      </c>
      <c r="J350" s="31" t="str">
        <f aca="false">IF(OR($B350="",$G350=0,$G350=""),"",$I350/$G350)</f>
        <v/>
      </c>
      <c r="K350" s="32"/>
      <c r="L350" s="32"/>
      <c r="M350" s="32"/>
      <c r="N350" s="32"/>
      <c r="O350" s="32"/>
      <c r="P350" s="31" t="str">
        <f aca="false">IF(OR($L350="",$N350=""),"",$L350-$N350)</f>
        <v/>
      </c>
      <c r="Q350" s="27" t="str">
        <f aca="false">IF($B350="","",IF(N($H350)&gt;0,"Live","Exited"))</f>
        <v/>
      </c>
      <c r="R350" s="27" t="str">
        <f aca="false">IF($B350="","",IF($L350="","Data Pending",IF($L350&gt;=Instructions!$D$19,"Best Fund",IF($L350&gt;=Instructions!$D$20,"Need to Improve","Not Performing"))))</f>
        <v/>
      </c>
      <c r="S350" s="7" t="str">
        <f aca="false">IF($R350="","",IF($R350="Data Pending","Enter the 3Y return",IF($R350="Best Fund","Hold / consider top-up",IF($R350="Need to Improve","Watch 2 quarters, then decide","Review with client - switch or exit"))))</f>
        <v/>
      </c>
      <c r="T350" s="26"/>
      <c r="U350" s="7" t="str">
        <f aca="false">IF($R350&lt;&gt;"Best Fund","",COUNTIFS($R$6:$R$505,"Best Fund",$L$6:$L$505,"&gt;"&amp;$L350)+COUNTIFS($R$6:$R350,"Best Fund",$L$6:$L350,$L350))</f>
        <v/>
      </c>
      <c r="V350" s="7" t="str">
        <f aca="false">IF($R350&lt;&gt;"Need to Improve","",COUNTIFS($R$6:$R$505,"Need to Improve",$L$6:$L$505,"&lt;"&amp;$L350)+COUNTIFS($R$6:$R350,"Need to Improve",$L$6:$L350,$L350))</f>
        <v/>
      </c>
      <c r="W350" s="7" t="str">
        <f aca="false">IF($R350&lt;&gt;"Not Performing","",COUNTIFS($R$6:$R$505,"Not Performing",$L$6:$L$505,"&lt;"&amp;$L350)+COUNTIFS($R$6:$R350,"Not Performing",$L$6:$L350,$L350))</f>
        <v/>
      </c>
    </row>
    <row r="351" customFormat="false" ht="15" hidden="false" customHeight="true" outlineLevel="0" collapsed="false">
      <c r="A351" s="26"/>
      <c r="B351" s="26"/>
      <c r="C351" s="26"/>
      <c r="D351" s="27" t="str">
        <f aca="false">IF($C351="","",IFERROR(TRIM(LEFT($C351,FIND("-",$C351)-1)),""))</f>
        <v/>
      </c>
      <c r="E351" s="26"/>
      <c r="F351" s="28"/>
      <c r="G351" s="29"/>
      <c r="H351" s="29"/>
      <c r="I351" s="30" t="str">
        <f aca="false">IF($B351="","",$H351-$G351)</f>
        <v/>
      </c>
      <c r="J351" s="31" t="str">
        <f aca="false">IF(OR($B351="",$G351=0,$G351=""),"",$I351/$G351)</f>
        <v/>
      </c>
      <c r="K351" s="32"/>
      <c r="L351" s="32"/>
      <c r="M351" s="32"/>
      <c r="N351" s="32"/>
      <c r="O351" s="32"/>
      <c r="P351" s="31" t="str">
        <f aca="false">IF(OR($L351="",$N351=""),"",$L351-$N351)</f>
        <v/>
      </c>
      <c r="Q351" s="27" t="str">
        <f aca="false">IF($B351="","",IF(N($H351)&gt;0,"Live","Exited"))</f>
        <v/>
      </c>
      <c r="R351" s="27" t="str">
        <f aca="false">IF($B351="","",IF($L351="","Data Pending",IF($L351&gt;=Instructions!$D$19,"Best Fund",IF($L351&gt;=Instructions!$D$20,"Need to Improve","Not Performing"))))</f>
        <v/>
      </c>
      <c r="S351" s="7" t="str">
        <f aca="false">IF($R351="","",IF($R351="Data Pending","Enter the 3Y return",IF($R351="Best Fund","Hold / consider top-up",IF($R351="Need to Improve","Watch 2 quarters, then decide","Review with client - switch or exit"))))</f>
        <v/>
      </c>
      <c r="T351" s="26"/>
      <c r="U351" s="7" t="str">
        <f aca="false">IF($R351&lt;&gt;"Best Fund","",COUNTIFS($R$6:$R$505,"Best Fund",$L$6:$L$505,"&gt;"&amp;$L351)+COUNTIFS($R$6:$R351,"Best Fund",$L$6:$L351,$L351))</f>
        <v/>
      </c>
      <c r="V351" s="7" t="str">
        <f aca="false">IF($R351&lt;&gt;"Need to Improve","",COUNTIFS($R$6:$R$505,"Need to Improve",$L$6:$L$505,"&lt;"&amp;$L351)+COUNTIFS($R$6:$R351,"Need to Improve",$L$6:$L351,$L351))</f>
        <v/>
      </c>
      <c r="W351" s="7" t="str">
        <f aca="false">IF($R351&lt;&gt;"Not Performing","",COUNTIFS($R$6:$R$505,"Not Performing",$L$6:$L$505,"&lt;"&amp;$L351)+COUNTIFS($R$6:$R351,"Not Performing",$L$6:$L351,$L351))</f>
        <v/>
      </c>
    </row>
    <row r="352" customFormat="false" ht="15" hidden="false" customHeight="true" outlineLevel="0" collapsed="false">
      <c r="A352" s="26"/>
      <c r="B352" s="26"/>
      <c r="C352" s="26"/>
      <c r="D352" s="27" t="str">
        <f aca="false">IF($C352="","",IFERROR(TRIM(LEFT($C352,FIND("-",$C352)-1)),""))</f>
        <v/>
      </c>
      <c r="E352" s="26"/>
      <c r="F352" s="28"/>
      <c r="G352" s="29"/>
      <c r="H352" s="29"/>
      <c r="I352" s="30" t="str">
        <f aca="false">IF($B352="","",$H352-$G352)</f>
        <v/>
      </c>
      <c r="J352" s="31" t="str">
        <f aca="false">IF(OR($B352="",$G352=0,$G352=""),"",$I352/$G352)</f>
        <v/>
      </c>
      <c r="K352" s="32"/>
      <c r="L352" s="32"/>
      <c r="M352" s="32"/>
      <c r="N352" s="32"/>
      <c r="O352" s="32"/>
      <c r="P352" s="31" t="str">
        <f aca="false">IF(OR($L352="",$N352=""),"",$L352-$N352)</f>
        <v/>
      </c>
      <c r="Q352" s="27" t="str">
        <f aca="false">IF($B352="","",IF(N($H352)&gt;0,"Live","Exited"))</f>
        <v/>
      </c>
      <c r="R352" s="27" t="str">
        <f aca="false">IF($B352="","",IF($L352="","Data Pending",IF($L352&gt;=Instructions!$D$19,"Best Fund",IF($L352&gt;=Instructions!$D$20,"Need to Improve","Not Performing"))))</f>
        <v/>
      </c>
      <c r="S352" s="7" t="str">
        <f aca="false">IF($R352="","",IF($R352="Data Pending","Enter the 3Y return",IF($R352="Best Fund","Hold / consider top-up",IF($R352="Need to Improve","Watch 2 quarters, then decide","Review with client - switch or exit"))))</f>
        <v/>
      </c>
      <c r="T352" s="26"/>
      <c r="U352" s="7" t="str">
        <f aca="false">IF($R352&lt;&gt;"Best Fund","",COUNTIFS($R$6:$R$505,"Best Fund",$L$6:$L$505,"&gt;"&amp;$L352)+COUNTIFS($R$6:$R352,"Best Fund",$L$6:$L352,$L352))</f>
        <v/>
      </c>
      <c r="V352" s="7" t="str">
        <f aca="false">IF($R352&lt;&gt;"Need to Improve","",COUNTIFS($R$6:$R$505,"Need to Improve",$L$6:$L$505,"&lt;"&amp;$L352)+COUNTIFS($R$6:$R352,"Need to Improve",$L$6:$L352,$L352))</f>
        <v/>
      </c>
      <c r="W352" s="7" t="str">
        <f aca="false">IF($R352&lt;&gt;"Not Performing","",COUNTIFS($R$6:$R$505,"Not Performing",$L$6:$L$505,"&lt;"&amp;$L352)+COUNTIFS($R$6:$R352,"Not Performing",$L$6:$L352,$L352))</f>
        <v/>
      </c>
    </row>
    <row r="353" customFormat="false" ht="15" hidden="false" customHeight="true" outlineLevel="0" collapsed="false">
      <c r="A353" s="26"/>
      <c r="B353" s="26"/>
      <c r="C353" s="26"/>
      <c r="D353" s="27" t="str">
        <f aca="false">IF($C353="","",IFERROR(TRIM(LEFT($C353,FIND("-",$C353)-1)),""))</f>
        <v/>
      </c>
      <c r="E353" s="26"/>
      <c r="F353" s="28"/>
      <c r="G353" s="29"/>
      <c r="H353" s="29"/>
      <c r="I353" s="30" t="str">
        <f aca="false">IF($B353="","",$H353-$G353)</f>
        <v/>
      </c>
      <c r="J353" s="31" t="str">
        <f aca="false">IF(OR($B353="",$G353=0,$G353=""),"",$I353/$G353)</f>
        <v/>
      </c>
      <c r="K353" s="32"/>
      <c r="L353" s="32"/>
      <c r="M353" s="32"/>
      <c r="N353" s="32"/>
      <c r="O353" s="32"/>
      <c r="P353" s="31" t="str">
        <f aca="false">IF(OR($L353="",$N353=""),"",$L353-$N353)</f>
        <v/>
      </c>
      <c r="Q353" s="27" t="str">
        <f aca="false">IF($B353="","",IF(N($H353)&gt;0,"Live","Exited"))</f>
        <v/>
      </c>
      <c r="R353" s="27" t="str">
        <f aca="false">IF($B353="","",IF($L353="","Data Pending",IF($L353&gt;=Instructions!$D$19,"Best Fund",IF($L353&gt;=Instructions!$D$20,"Need to Improve","Not Performing"))))</f>
        <v/>
      </c>
      <c r="S353" s="7" t="str">
        <f aca="false">IF($R353="","",IF($R353="Data Pending","Enter the 3Y return",IF($R353="Best Fund","Hold / consider top-up",IF($R353="Need to Improve","Watch 2 quarters, then decide","Review with client - switch or exit"))))</f>
        <v/>
      </c>
      <c r="T353" s="26"/>
      <c r="U353" s="7" t="str">
        <f aca="false">IF($R353&lt;&gt;"Best Fund","",COUNTIFS($R$6:$R$505,"Best Fund",$L$6:$L$505,"&gt;"&amp;$L353)+COUNTIFS($R$6:$R353,"Best Fund",$L$6:$L353,$L353))</f>
        <v/>
      </c>
      <c r="V353" s="7" t="str">
        <f aca="false">IF($R353&lt;&gt;"Need to Improve","",COUNTIFS($R$6:$R$505,"Need to Improve",$L$6:$L$505,"&lt;"&amp;$L353)+COUNTIFS($R$6:$R353,"Need to Improve",$L$6:$L353,$L353))</f>
        <v/>
      </c>
      <c r="W353" s="7" t="str">
        <f aca="false">IF($R353&lt;&gt;"Not Performing","",COUNTIFS($R$6:$R$505,"Not Performing",$L$6:$L$505,"&lt;"&amp;$L353)+COUNTIFS($R$6:$R353,"Not Performing",$L$6:$L353,$L353))</f>
        <v/>
      </c>
    </row>
    <row r="354" customFormat="false" ht="15" hidden="false" customHeight="true" outlineLevel="0" collapsed="false">
      <c r="A354" s="26"/>
      <c r="B354" s="26"/>
      <c r="C354" s="26"/>
      <c r="D354" s="27" t="str">
        <f aca="false">IF($C354="","",IFERROR(TRIM(LEFT($C354,FIND("-",$C354)-1)),""))</f>
        <v/>
      </c>
      <c r="E354" s="26"/>
      <c r="F354" s="28"/>
      <c r="G354" s="29"/>
      <c r="H354" s="29"/>
      <c r="I354" s="30" t="str">
        <f aca="false">IF($B354="","",$H354-$G354)</f>
        <v/>
      </c>
      <c r="J354" s="31" t="str">
        <f aca="false">IF(OR($B354="",$G354=0,$G354=""),"",$I354/$G354)</f>
        <v/>
      </c>
      <c r="K354" s="32"/>
      <c r="L354" s="32"/>
      <c r="M354" s="32"/>
      <c r="N354" s="32"/>
      <c r="O354" s="32"/>
      <c r="P354" s="31" t="str">
        <f aca="false">IF(OR($L354="",$N354=""),"",$L354-$N354)</f>
        <v/>
      </c>
      <c r="Q354" s="27" t="str">
        <f aca="false">IF($B354="","",IF(N($H354)&gt;0,"Live","Exited"))</f>
        <v/>
      </c>
      <c r="R354" s="27" t="str">
        <f aca="false">IF($B354="","",IF($L354="","Data Pending",IF($L354&gt;=Instructions!$D$19,"Best Fund",IF($L354&gt;=Instructions!$D$20,"Need to Improve","Not Performing"))))</f>
        <v/>
      </c>
      <c r="S354" s="7" t="str">
        <f aca="false">IF($R354="","",IF($R354="Data Pending","Enter the 3Y return",IF($R354="Best Fund","Hold / consider top-up",IF($R354="Need to Improve","Watch 2 quarters, then decide","Review with client - switch or exit"))))</f>
        <v/>
      </c>
      <c r="T354" s="26"/>
      <c r="U354" s="7" t="str">
        <f aca="false">IF($R354&lt;&gt;"Best Fund","",COUNTIFS($R$6:$R$505,"Best Fund",$L$6:$L$505,"&gt;"&amp;$L354)+COUNTIFS($R$6:$R354,"Best Fund",$L$6:$L354,$L354))</f>
        <v/>
      </c>
      <c r="V354" s="7" t="str">
        <f aca="false">IF($R354&lt;&gt;"Need to Improve","",COUNTIFS($R$6:$R$505,"Need to Improve",$L$6:$L$505,"&lt;"&amp;$L354)+COUNTIFS($R$6:$R354,"Need to Improve",$L$6:$L354,$L354))</f>
        <v/>
      </c>
      <c r="W354" s="7" t="str">
        <f aca="false">IF($R354&lt;&gt;"Not Performing","",COUNTIFS($R$6:$R$505,"Not Performing",$L$6:$L$505,"&lt;"&amp;$L354)+COUNTIFS($R$6:$R354,"Not Performing",$L$6:$L354,$L354))</f>
        <v/>
      </c>
    </row>
    <row r="355" customFormat="false" ht="15" hidden="false" customHeight="true" outlineLevel="0" collapsed="false">
      <c r="A355" s="26"/>
      <c r="B355" s="26"/>
      <c r="C355" s="26"/>
      <c r="D355" s="27" t="str">
        <f aca="false">IF($C355="","",IFERROR(TRIM(LEFT($C355,FIND("-",$C355)-1)),""))</f>
        <v/>
      </c>
      <c r="E355" s="26"/>
      <c r="F355" s="28"/>
      <c r="G355" s="29"/>
      <c r="H355" s="29"/>
      <c r="I355" s="30" t="str">
        <f aca="false">IF($B355="","",$H355-$G355)</f>
        <v/>
      </c>
      <c r="J355" s="31" t="str">
        <f aca="false">IF(OR($B355="",$G355=0,$G355=""),"",$I355/$G355)</f>
        <v/>
      </c>
      <c r="K355" s="32"/>
      <c r="L355" s="32"/>
      <c r="M355" s="32"/>
      <c r="N355" s="32"/>
      <c r="O355" s="32"/>
      <c r="P355" s="31" t="str">
        <f aca="false">IF(OR($L355="",$N355=""),"",$L355-$N355)</f>
        <v/>
      </c>
      <c r="Q355" s="27" t="str">
        <f aca="false">IF($B355="","",IF(N($H355)&gt;0,"Live","Exited"))</f>
        <v/>
      </c>
      <c r="R355" s="27" t="str">
        <f aca="false">IF($B355="","",IF($L355="","Data Pending",IF($L355&gt;=Instructions!$D$19,"Best Fund",IF($L355&gt;=Instructions!$D$20,"Need to Improve","Not Performing"))))</f>
        <v/>
      </c>
      <c r="S355" s="7" t="str">
        <f aca="false">IF($R355="","",IF($R355="Data Pending","Enter the 3Y return",IF($R355="Best Fund","Hold / consider top-up",IF($R355="Need to Improve","Watch 2 quarters, then decide","Review with client - switch or exit"))))</f>
        <v/>
      </c>
      <c r="T355" s="26"/>
      <c r="U355" s="7" t="str">
        <f aca="false">IF($R355&lt;&gt;"Best Fund","",COUNTIFS($R$6:$R$505,"Best Fund",$L$6:$L$505,"&gt;"&amp;$L355)+COUNTIFS($R$6:$R355,"Best Fund",$L$6:$L355,$L355))</f>
        <v/>
      </c>
      <c r="V355" s="7" t="str">
        <f aca="false">IF($R355&lt;&gt;"Need to Improve","",COUNTIFS($R$6:$R$505,"Need to Improve",$L$6:$L$505,"&lt;"&amp;$L355)+COUNTIFS($R$6:$R355,"Need to Improve",$L$6:$L355,$L355))</f>
        <v/>
      </c>
      <c r="W355" s="7" t="str">
        <f aca="false">IF($R355&lt;&gt;"Not Performing","",COUNTIFS($R$6:$R$505,"Not Performing",$L$6:$L$505,"&lt;"&amp;$L355)+COUNTIFS($R$6:$R355,"Not Performing",$L$6:$L355,$L355))</f>
        <v/>
      </c>
    </row>
    <row r="356" customFormat="false" ht="15" hidden="false" customHeight="true" outlineLevel="0" collapsed="false">
      <c r="A356" s="26"/>
      <c r="B356" s="26"/>
      <c r="C356" s="26"/>
      <c r="D356" s="27" t="str">
        <f aca="false">IF($C356="","",IFERROR(TRIM(LEFT($C356,FIND("-",$C356)-1)),""))</f>
        <v/>
      </c>
      <c r="E356" s="26"/>
      <c r="F356" s="28"/>
      <c r="G356" s="29"/>
      <c r="H356" s="29"/>
      <c r="I356" s="30" t="str">
        <f aca="false">IF($B356="","",$H356-$G356)</f>
        <v/>
      </c>
      <c r="J356" s="31" t="str">
        <f aca="false">IF(OR($B356="",$G356=0,$G356=""),"",$I356/$G356)</f>
        <v/>
      </c>
      <c r="K356" s="32"/>
      <c r="L356" s="32"/>
      <c r="M356" s="32"/>
      <c r="N356" s="32"/>
      <c r="O356" s="32"/>
      <c r="P356" s="31" t="str">
        <f aca="false">IF(OR($L356="",$N356=""),"",$L356-$N356)</f>
        <v/>
      </c>
      <c r="Q356" s="27" t="str">
        <f aca="false">IF($B356="","",IF(N($H356)&gt;0,"Live","Exited"))</f>
        <v/>
      </c>
      <c r="R356" s="27" t="str">
        <f aca="false">IF($B356="","",IF($L356="","Data Pending",IF($L356&gt;=Instructions!$D$19,"Best Fund",IF($L356&gt;=Instructions!$D$20,"Need to Improve","Not Performing"))))</f>
        <v/>
      </c>
      <c r="S356" s="7" t="str">
        <f aca="false">IF($R356="","",IF($R356="Data Pending","Enter the 3Y return",IF($R356="Best Fund","Hold / consider top-up",IF($R356="Need to Improve","Watch 2 quarters, then decide","Review with client - switch or exit"))))</f>
        <v/>
      </c>
      <c r="T356" s="26"/>
      <c r="U356" s="7" t="str">
        <f aca="false">IF($R356&lt;&gt;"Best Fund","",COUNTIFS($R$6:$R$505,"Best Fund",$L$6:$L$505,"&gt;"&amp;$L356)+COUNTIFS($R$6:$R356,"Best Fund",$L$6:$L356,$L356))</f>
        <v/>
      </c>
      <c r="V356" s="7" t="str">
        <f aca="false">IF($R356&lt;&gt;"Need to Improve","",COUNTIFS($R$6:$R$505,"Need to Improve",$L$6:$L$505,"&lt;"&amp;$L356)+COUNTIFS($R$6:$R356,"Need to Improve",$L$6:$L356,$L356))</f>
        <v/>
      </c>
      <c r="W356" s="7" t="str">
        <f aca="false">IF($R356&lt;&gt;"Not Performing","",COUNTIFS($R$6:$R$505,"Not Performing",$L$6:$L$505,"&lt;"&amp;$L356)+COUNTIFS($R$6:$R356,"Not Performing",$L$6:$L356,$L356))</f>
        <v/>
      </c>
    </row>
    <row r="357" customFormat="false" ht="15" hidden="false" customHeight="true" outlineLevel="0" collapsed="false">
      <c r="A357" s="26"/>
      <c r="B357" s="26"/>
      <c r="C357" s="26"/>
      <c r="D357" s="27" t="str">
        <f aca="false">IF($C357="","",IFERROR(TRIM(LEFT($C357,FIND("-",$C357)-1)),""))</f>
        <v/>
      </c>
      <c r="E357" s="26"/>
      <c r="F357" s="28"/>
      <c r="G357" s="29"/>
      <c r="H357" s="29"/>
      <c r="I357" s="30" t="str">
        <f aca="false">IF($B357="","",$H357-$G357)</f>
        <v/>
      </c>
      <c r="J357" s="31" t="str">
        <f aca="false">IF(OR($B357="",$G357=0,$G357=""),"",$I357/$G357)</f>
        <v/>
      </c>
      <c r="K357" s="32"/>
      <c r="L357" s="32"/>
      <c r="M357" s="32"/>
      <c r="N357" s="32"/>
      <c r="O357" s="32"/>
      <c r="P357" s="31" t="str">
        <f aca="false">IF(OR($L357="",$N357=""),"",$L357-$N357)</f>
        <v/>
      </c>
      <c r="Q357" s="27" t="str">
        <f aca="false">IF($B357="","",IF(N($H357)&gt;0,"Live","Exited"))</f>
        <v/>
      </c>
      <c r="R357" s="27" t="str">
        <f aca="false">IF($B357="","",IF($L357="","Data Pending",IF($L357&gt;=Instructions!$D$19,"Best Fund",IF($L357&gt;=Instructions!$D$20,"Need to Improve","Not Performing"))))</f>
        <v/>
      </c>
      <c r="S357" s="7" t="str">
        <f aca="false">IF($R357="","",IF($R357="Data Pending","Enter the 3Y return",IF($R357="Best Fund","Hold / consider top-up",IF($R357="Need to Improve","Watch 2 quarters, then decide","Review with client - switch or exit"))))</f>
        <v/>
      </c>
      <c r="T357" s="26"/>
      <c r="U357" s="7" t="str">
        <f aca="false">IF($R357&lt;&gt;"Best Fund","",COUNTIFS($R$6:$R$505,"Best Fund",$L$6:$L$505,"&gt;"&amp;$L357)+COUNTIFS($R$6:$R357,"Best Fund",$L$6:$L357,$L357))</f>
        <v/>
      </c>
      <c r="V357" s="7" t="str">
        <f aca="false">IF($R357&lt;&gt;"Need to Improve","",COUNTIFS($R$6:$R$505,"Need to Improve",$L$6:$L$505,"&lt;"&amp;$L357)+COUNTIFS($R$6:$R357,"Need to Improve",$L$6:$L357,$L357))</f>
        <v/>
      </c>
      <c r="W357" s="7" t="str">
        <f aca="false">IF($R357&lt;&gt;"Not Performing","",COUNTIFS($R$6:$R$505,"Not Performing",$L$6:$L$505,"&lt;"&amp;$L357)+COUNTIFS($R$6:$R357,"Not Performing",$L$6:$L357,$L357))</f>
        <v/>
      </c>
    </row>
    <row r="358" customFormat="false" ht="15" hidden="false" customHeight="true" outlineLevel="0" collapsed="false">
      <c r="A358" s="26"/>
      <c r="B358" s="26"/>
      <c r="C358" s="26"/>
      <c r="D358" s="27" t="str">
        <f aca="false">IF($C358="","",IFERROR(TRIM(LEFT($C358,FIND("-",$C358)-1)),""))</f>
        <v/>
      </c>
      <c r="E358" s="26"/>
      <c r="F358" s="28"/>
      <c r="G358" s="29"/>
      <c r="H358" s="29"/>
      <c r="I358" s="30" t="str">
        <f aca="false">IF($B358="","",$H358-$G358)</f>
        <v/>
      </c>
      <c r="J358" s="31" t="str">
        <f aca="false">IF(OR($B358="",$G358=0,$G358=""),"",$I358/$G358)</f>
        <v/>
      </c>
      <c r="K358" s="32"/>
      <c r="L358" s="32"/>
      <c r="M358" s="32"/>
      <c r="N358" s="32"/>
      <c r="O358" s="32"/>
      <c r="P358" s="31" t="str">
        <f aca="false">IF(OR($L358="",$N358=""),"",$L358-$N358)</f>
        <v/>
      </c>
      <c r="Q358" s="27" t="str">
        <f aca="false">IF($B358="","",IF(N($H358)&gt;0,"Live","Exited"))</f>
        <v/>
      </c>
      <c r="R358" s="27" t="str">
        <f aca="false">IF($B358="","",IF($L358="","Data Pending",IF($L358&gt;=Instructions!$D$19,"Best Fund",IF($L358&gt;=Instructions!$D$20,"Need to Improve","Not Performing"))))</f>
        <v/>
      </c>
      <c r="S358" s="7" t="str">
        <f aca="false">IF($R358="","",IF($R358="Data Pending","Enter the 3Y return",IF($R358="Best Fund","Hold / consider top-up",IF($R358="Need to Improve","Watch 2 quarters, then decide","Review with client - switch or exit"))))</f>
        <v/>
      </c>
      <c r="T358" s="26"/>
      <c r="U358" s="7" t="str">
        <f aca="false">IF($R358&lt;&gt;"Best Fund","",COUNTIFS($R$6:$R$505,"Best Fund",$L$6:$L$505,"&gt;"&amp;$L358)+COUNTIFS($R$6:$R358,"Best Fund",$L$6:$L358,$L358))</f>
        <v/>
      </c>
      <c r="V358" s="7" t="str">
        <f aca="false">IF($R358&lt;&gt;"Need to Improve","",COUNTIFS($R$6:$R$505,"Need to Improve",$L$6:$L$505,"&lt;"&amp;$L358)+COUNTIFS($R$6:$R358,"Need to Improve",$L$6:$L358,$L358))</f>
        <v/>
      </c>
      <c r="W358" s="7" t="str">
        <f aca="false">IF($R358&lt;&gt;"Not Performing","",COUNTIFS($R$6:$R$505,"Not Performing",$L$6:$L$505,"&lt;"&amp;$L358)+COUNTIFS($R$6:$R358,"Not Performing",$L$6:$L358,$L358))</f>
        <v/>
      </c>
    </row>
    <row r="359" customFormat="false" ht="15" hidden="false" customHeight="true" outlineLevel="0" collapsed="false">
      <c r="A359" s="26"/>
      <c r="B359" s="26"/>
      <c r="C359" s="26"/>
      <c r="D359" s="27" t="str">
        <f aca="false">IF($C359="","",IFERROR(TRIM(LEFT($C359,FIND("-",$C359)-1)),""))</f>
        <v/>
      </c>
      <c r="E359" s="26"/>
      <c r="F359" s="28"/>
      <c r="G359" s="29"/>
      <c r="H359" s="29"/>
      <c r="I359" s="30" t="str">
        <f aca="false">IF($B359="","",$H359-$G359)</f>
        <v/>
      </c>
      <c r="J359" s="31" t="str">
        <f aca="false">IF(OR($B359="",$G359=0,$G359=""),"",$I359/$G359)</f>
        <v/>
      </c>
      <c r="K359" s="32"/>
      <c r="L359" s="32"/>
      <c r="M359" s="32"/>
      <c r="N359" s="32"/>
      <c r="O359" s="32"/>
      <c r="P359" s="31" t="str">
        <f aca="false">IF(OR($L359="",$N359=""),"",$L359-$N359)</f>
        <v/>
      </c>
      <c r="Q359" s="27" t="str">
        <f aca="false">IF($B359="","",IF(N($H359)&gt;0,"Live","Exited"))</f>
        <v/>
      </c>
      <c r="R359" s="27" t="str">
        <f aca="false">IF($B359="","",IF($L359="","Data Pending",IF($L359&gt;=Instructions!$D$19,"Best Fund",IF($L359&gt;=Instructions!$D$20,"Need to Improve","Not Performing"))))</f>
        <v/>
      </c>
      <c r="S359" s="7" t="str">
        <f aca="false">IF($R359="","",IF($R359="Data Pending","Enter the 3Y return",IF($R359="Best Fund","Hold / consider top-up",IF($R359="Need to Improve","Watch 2 quarters, then decide","Review with client - switch or exit"))))</f>
        <v/>
      </c>
      <c r="T359" s="26"/>
      <c r="U359" s="7" t="str">
        <f aca="false">IF($R359&lt;&gt;"Best Fund","",COUNTIFS($R$6:$R$505,"Best Fund",$L$6:$L$505,"&gt;"&amp;$L359)+COUNTIFS($R$6:$R359,"Best Fund",$L$6:$L359,$L359))</f>
        <v/>
      </c>
      <c r="V359" s="7" t="str">
        <f aca="false">IF($R359&lt;&gt;"Need to Improve","",COUNTIFS($R$6:$R$505,"Need to Improve",$L$6:$L$505,"&lt;"&amp;$L359)+COUNTIFS($R$6:$R359,"Need to Improve",$L$6:$L359,$L359))</f>
        <v/>
      </c>
      <c r="W359" s="7" t="str">
        <f aca="false">IF($R359&lt;&gt;"Not Performing","",COUNTIFS($R$6:$R$505,"Not Performing",$L$6:$L$505,"&lt;"&amp;$L359)+COUNTIFS($R$6:$R359,"Not Performing",$L$6:$L359,$L359))</f>
        <v/>
      </c>
    </row>
    <row r="360" customFormat="false" ht="15" hidden="false" customHeight="true" outlineLevel="0" collapsed="false">
      <c r="A360" s="26"/>
      <c r="B360" s="26"/>
      <c r="C360" s="26"/>
      <c r="D360" s="27" t="str">
        <f aca="false">IF($C360="","",IFERROR(TRIM(LEFT($C360,FIND("-",$C360)-1)),""))</f>
        <v/>
      </c>
      <c r="E360" s="26"/>
      <c r="F360" s="28"/>
      <c r="G360" s="29"/>
      <c r="H360" s="29"/>
      <c r="I360" s="30" t="str">
        <f aca="false">IF($B360="","",$H360-$G360)</f>
        <v/>
      </c>
      <c r="J360" s="31" t="str">
        <f aca="false">IF(OR($B360="",$G360=0,$G360=""),"",$I360/$G360)</f>
        <v/>
      </c>
      <c r="K360" s="32"/>
      <c r="L360" s="32"/>
      <c r="M360" s="32"/>
      <c r="N360" s="32"/>
      <c r="O360" s="32"/>
      <c r="P360" s="31" t="str">
        <f aca="false">IF(OR($L360="",$N360=""),"",$L360-$N360)</f>
        <v/>
      </c>
      <c r="Q360" s="27" t="str">
        <f aca="false">IF($B360="","",IF(N($H360)&gt;0,"Live","Exited"))</f>
        <v/>
      </c>
      <c r="R360" s="27" t="str">
        <f aca="false">IF($B360="","",IF($L360="","Data Pending",IF($L360&gt;=Instructions!$D$19,"Best Fund",IF($L360&gt;=Instructions!$D$20,"Need to Improve","Not Performing"))))</f>
        <v/>
      </c>
      <c r="S360" s="7" t="str">
        <f aca="false">IF($R360="","",IF($R360="Data Pending","Enter the 3Y return",IF($R360="Best Fund","Hold / consider top-up",IF($R360="Need to Improve","Watch 2 quarters, then decide","Review with client - switch or exit"))))</f>
        <v/>
      </c>
      <c r="T360" s="26"/>
      <c r="U360" s="7" t="str">
        <f aca="false">IF($R360&lt;&gt;"Best Fund","",COUNTIFS($R$6:$R$505,"Best Fund",$L$6:$L$505,"&gt;"&amp;$L360)+COUNTIFS($R$6:$R360,"Best Fund",$L$6:$L360,$L360))</f>
        <v/>
      </c>
      <c r="V360" s="7" t="str">
        <f aca="false">IF($R360&lt;&gt;"Need to Improve","",COUNTIFS($R$6:$R$505,"Need to Improve",$L$6:$L$505,"&lt;"&amp;$L360)+COUNTIFS($R$6:$R360,"Need to Improve",$L$6:$L360,$L360))</f>
        <v/>
      </c>
      <c r="W360" s="7" t="str">
        <f aca="false">IF($R360&lt;&gt;"Not Performing","",COUNTIFS($R$6:$R$505,"Not Performing",$L$6:$L$505,"&lt;"&amp;$L360)+COUNTIFS($R$6:$R360,"Not Performing",$L$6:$L360,$L360))</f>
        <v/>
      </c>
    </row>
    <row r="361" customFormat="false" ht="15" hidden="false" customHeight="true" outlineLevel="0" collapsed="false">
      <c r="A361" s="26"/>
      <c r="B361" s="26"/>
      <c r="C361" s="26"/>
      <c r="D361" s="27" t="str">
        <f aca="false">IF($C361="","",IFERROR(TRIM(LEFT($C361,FIND("-",$C361)-1)),""))</f>
        <v/>
      </c>
      <c r="E361" s="26"/>
      <c r="F361" s="28"/>
      <c r="G361" s="29"/>
      <c r="H361" s="29"/>
      <c r="I361" s="30" t="str">
        <f aca="false">IF($B361="","",$H361-$G361)</f>
        <v/>
      </c>
      <c r="J361" s="31" t="str">
        <f aca="false">IF(OR($B361="",$G361=0,$G361=""),"",$I361/$G361)</f>
        <v/>
      </c>
      <c r="K361" s="32"/>
      <c r="L361" s="32"/>
      <c r="M361" s="32"/>
      <c r="N361" s="32"/>
      <c r="O361" s="32"/>
      <c r="P361" s="31" t="str">
        <f aca="false">IF(OR($L361="",$N361=""),"",$L361-$N361)</f>
        <v/>
      </c>
      <c r="Q361" s="27" t="str">
        <f aca="false">IF($B361="","",IF(N($H361)&gt;0,"Live","Exited"))</f>
        <v/>
      </c>
      <c r="R361" s="27" t="str">
        <f aca="false">IF($B361="","",IF($L361="","Data Pending",IF($L361&gt;=Instructions!$D$19,"Best Fund",IF($L361&gt;=Instructions!$D$20,"Need to Improve","Not Performing"))))</f>
        <v/>
      </c>
      <c r="S361" s="7" t="str">
        <f aca="false">IF($R361="","",IF($R361="Data Pending","Enter the 3Y return",IF($R361="Best Fund","Hold / consider top-up",IF($R361="Need to Improve","Watch 2 quarters, then decide","Review with client - switch or exit"))))</f>
        <v/>
      </c>
      <c r="T361" s="26"/>
      <c r="U361" s="7" t="str">
        <f aca="false">IF($R361&lt;&gt;"Best Fund","",COUNTIFS($R$6:$R$505,"Best Fund",$L$6:$L$505,"&gt;"&amp;$L361)+COUNTIFS($R$6:$R361,"Best Fund",$L$6:$L361,$L361))</f>
        <v/>
      </c>
      <c r="V361" s="7" t="str">
        <f aca="false">IF($R361&lt;&gt;"Need to Improve","",COUNTIFS($R$6:$R$505,"Need to Improve",$L$6:$L$505,"&lt;"&amp;$L361)+COUNTIFS($R$6:$R361,"Need to Improve",$L$6:$L361,$L361))</f>
        <v/>
      </c>
      <c r="W361" s="7" t="str">
        <f aca="false">IF($R361&lt;&gt;"Not Performing","",COUNTIFS($R$6:$R$505,"Not Performing",$L$6:$L$505,"&lt;"&amp;$L361)+COUNTIFS($R$6:$R361,"Not Performing",$L$6:$L361,$L361))</f>
        <v/>
      </c>
    </row>
    <row r="362" customFormat="false" ht="15" hidden="false" customHeight="true" outlineLevel="0" collapsed="false">
      <c r="A362" s="26"/>
      <c r="B362" s="26"/>
      <c r="C362" s="26"/>
      <c r="D362" s="27" t="str">
        <f aca="false">IF($C362="","",IFERROR(TRIM(LEFT($C362,FIND("-",$C362)-1)),""))</f>
        <v/>
      </c>
      <c r="E362" s="26"/>
      <c r="F362" s="28"/>
      <c r="G362" s="29"/>
      <c r="H362" s="29"/>
      <c r="I362" s="30" t="str">
        <f aca="false">IF($B362="","",$H362-$G362)</f>
        <v/>
      </c>
      <c r="J362" s="31" t="str">
        <f aca="false">IF(OR($B362="",$G362=0,$G362=""),"",$I362/$G362)</f>
        <v/>
      </c>
      <c r="K362" s="32"/>
      <c r="L362" s="32"/>
      <c r="M362" s="32"/>
      <c r="N362" s="32"/>
      <c r="O362" s="32"/>
      <c r="P362" s="31" t="str">
        <f aca="false">IF(OR($L362="",$N362=""),"",$L362-$N362)</f>
        <v/>
      </c>
      <c r="Q362" s="27" t="str">
        <f aca="false">IF($B362="","",IF(N($H362)&gt;0,"Live","Exited"))</f>
        <v/>
      </c>
      <c r="R362" s="27" t="str">
        <f aca="false">IF($B362="","",IF($L362="","Data Pending",IF($L362&gt;=Instructions!$D$19,"Best Fund",IF($L362&gt;=Instructions!$D$20,"Need to Improve","Not Performing"))))</f>
        <v/>
      </c>
      <c r="S362" s="7" t="str">
        <f aca="false">IF($R362="","",IF($R362="Data Pending","Enter the 3Y return",IF($R362="Best Fund","Hold / consider top-up",IF($R362="Need to Improve","Watch 2 quarters, then decide","Review with client - switch or exit"))))</f>
        <v/>
      </c>
      <c r="T362" s="26"/>
      <c r="U362" s="7" t="str">
        <f aca="false">IF($R362&lt;&gt;"Best Fund","",COUNTIFS($R$6:$R$505,"Best Fund",$L$6:$L$505,"&gt;"&amp;$L362)+COUNTIFS($R$6:$R362,"Best Fund",$L$6:$L362,$L362))</f>
        <v/>
      </c>
      <c r="V362" s="7" t="str">
        <f aca="false">IF($R362&lt;&gt;"Need to Improve","",COUNTIFS($R$6:$R$505,"Need to Improve",$L$6:$L$505,"&lt;"&amp;$L362)+COUNTIFS($R$6:$R362,"Need to Improve",$L$6:$L362,$L362))</f>
        <v/>
      </c>
      <c r="W362" s="7" t="str">
        <f aca="false">IF($R362&lt;&gt;"Not Performing","",COUNTIFS($R$6:$R$505,"Not Performing",$L$6:$L$505,"&lt;"&amp;$L362)+COUNTIFS($R$6:$R362,"Not Performing",$L$6:$L362,$L362))</f>
        <v/>
      </c>
    </row>
    <row r="363" customFormat="false" ht="15" hidden="false" customHeight="true" outlineLevel="0" collapsed="false">
      <c r="A363" s="26"/>
      <c r="B363" s="26"/>
      <c r="C363" s="26"/>
      <c r="D363" s="27" t="str">
        <f aca="false">IF($C363="","",IFERROR(TRIM(LEFT($C363,FIND("-",$C363)-1)),""))</f>
        <v/>
      </c>
      <c r="E363" s="26"/>
      <c r="F363" s="28"/>
      <c r="G363" s="29"/>
      <c r="H363" s="29"/>
      <c r="I363" s="30" t="str">
        <f aca="false">IF($B363="","",$H363-$G363)</f>
        <v/>
      </c>
      <c r="J363" s="31" t="str">
        <f aca="false">IF(OR($B363="",$G363=0,$G363=""),"",$I363/$G363)</f>
        <v/>
      </c>
      <c r="K363" s="32"/>
      <c r="L363" s="32"/>
      <c r="M363" s="32"/>
      <c r="N363" s="32"/>
      <c r="O363" s="32"/>
      <c r="P363" s="31" t="str">
        <f aca="false">IF(OR($L363="",$N363=""),"",$L363-$N363)</f>
        <v/>
      </c>
      <c r="Q363" s="27" t="str">
        <f aca="false">IF($B363="","",IF(N($H363)&gt;0,"Live","Exited"))</f>
        <v/>
      </c>
      <c r="R363" s="27" t="str">
        <f aca="false">IF($B363="","",IF($L363="","Data Pending",IF($L363&gt;=Instructions!$D$19,"Best Fund",IF($L363&gt;=Instructions!$D$20,"Need to Improve","Not Performing"))))</f>
        <v/>
      </c>
      <c r="S363" s="7" t="str">
        <f aca="false">IF($R363="","",IF($R363="Data Pending","Enter the 3Y return",IF($R363="Best Fund","Hold / consider top-up",IF($R363="Need to Improve","Watch 2 quarters, then decide","Review with client - switch or exit"))))</f>
        <v/>
      </c>
      <c r="T363" s="26"/>
      <c r="U363" s="7" t="str">
        <f aca="false">IF($R363&lt;&gt;"Best Fund","",COUNTIFS($R$6:$R$505,"Best Fund",$L$6:$L$505,"&gt;"&amp;$L363)+COUNTIFS($R$6:$R363,"Best Fund",$L$6:$L363,$L363))</f>
        <v/>
      </c>
      <c r="V363" s="7" t="str">
        <f aca="false">IF($R363&lt;&gt;"Need to Improve","",COUNTIFS($R$6:$R$505,"Need to Improve",$L$6:$L$505,"&lt;"&amp;$L363)+COUNTIFS($R$6:$R363,"Need to Improve",$L$6:$L363,$L363))</f>
        <v/>
      </c>
      <c r="W363" s="7" t="str">
        <f aca="false">IF($R363&lt;&gt;"Not Performing","",COUNTIFS($R$6:$R$505,"Not Performing",$L$6:$L$505,"&lt;"&amp;$L363)+COUNTIFS($R$6:$R363,"Not Performing",$L$6:$L363,$L363))</f>
        <v/>
      </c>
    </row>
    <row r="364" customFormat="false" ht="15" hidden="false" customHeight="true" outlineLevel="0" collapsed="false">
      <c r="A364" s="26"/>
      <c r="B364" s="26"/>
      <c r="C364" s="26"/>
      <c r="D364" s="27" t="str">
        <f aca="false">IF($C364="","",IFERROR(TRIM(LEFT($C364,FIND("-",$C364)-1)),""))</f>
        <v/>
      </c>
      <c r="E364" s="26"/>
      <c r="F364" s="28"/>
      <c r="G364" s="29"/>
      <c r="H364" s="29"/>
      <c r="I364" s="30" t="str">
        <f aca="false">IF($B364="","",$H364-$G364)</f>
        <v/>
      </c>
      <c r="J364" s="31" t="str">
        <f aca="false">IF(OR($B364="",$G364=0,$G364=""),"",$I364/$G364)</f>
        <v/>
      </c>
      <c r="K364" s="32"/>
      <c r="L364" s="32"/>
      <c r="M364" s="32"/>
      <c r="N364" s="32"/>
      <c r="O364" s="32"/>
      <c r="P364" s="31" t="str">
        <f aca="false">IF(OR($L364="",$N364=""),"",$L364-$N364)</f>
        <v/>
      </c>
      <c r="Q364" s="27" t="str">
        <f aca="false">IF($B364="","",IF(N($H364)&gt;0,"Live","Exited"))</f>
        <v/>
      </c>
      <c r="R364" s="27" t="str">
        <f aca="false">IF($B364="","",IF($L364="","Data Pending",IF($L364&gt;=Instructions!$D$19,"Best Fund",IF($L364&gt;=Instructions!$D$20,"Need to Improve","Not Performing"))))</f>
        <v/>
      </c>
      <c r="S364" s="7" t="str">
        <f aca="false">IF($R364="","",IF($R364="Data Pending","Enter the 3Y return",IF($R364="Best Fund","Hold / consider top-up",IF($R364="Need to Improve","Watch 2 quarters, then decide","Review with client - switch or exit"))))</f>
        <v/>
      </c>
      <c r="T364" s="26"/>
      <c r="U364" s="7" t="str">
        <f aca="false">IF($R364&lt;&gt;"Best Fund","",COUNTIFS($R$6:$R$505,"Best Fund",$L$6:$L$505,"&gt;"&amp;$L364)+COUNTIFS($R$6:$R364,"Best Fund",$L$6:$L364,$L364))</f>
        <v/>
      </c>
      <c r="V364" s="7" t="str">
        <f aca="false">IF($R364&lt;&gt;"Need to Improve","",COUNTIFS($R$6:$R$505,"Need to Improve",$L$6:$L$505,"&lt;"&amp;$L364)+COUNTIFS($R$6:$R364,"Need to Improve",$L$6:$L364,$L364))</f>
        <v/>
      </c>
      <c r="W364" s="7" t="str">
        <f aca="false">IF($R364&lt;&gt;"Not Performing","",COUNTIFS($R$6:$R$505,"Not Performing",$L$6:$L$505,"&lt;"&amp;$L364)+COUNTIFS($R$6:$R364,"Not Performing",$L$6:$L364,$L364))</f>
        <v/>
      </c>
    </row>
    <row r="365" customFormat="false" ht="15" hidden="false" customHeight="true" outlineLevel="0" collapsed="false">
      <c r="A365" s="26"/>
      <c r="B365" s="26"/>
      <c r="C365" s="26"/>
      <c r="D365" s="27" t="str">
        <f aca="false">IF($C365="","",IFERROR(TRIM(LEFT($C365,FIND("-",$C365)-1)),""))</f>
        <v/>
      </c>
      <c r="E365" s="26"/>
      <c r="F365" s="28"/>
      <c r="G365" s="29"/>
      <c r="H365" s="29"/>
      <c r="I365" s="30" t="str">
        <f aca="false">IF($B365="","",$H365-$G365)</f>
        <v/>
      </c>
      <c r="J365" s="31" t="str">
        <f aca="false">IF(OR($B365="",$G365=0,$G365=""),"",$I365/$G365)</f>
        <v/>
      </c>
      <c r="K365" s="32"/>
      <c r="L365" s="32"/>
      <c r="M365" s="32"/>
      <c r="N365" s="32"/>
      <c r="O365" s="32"/>
      <c r="P365" s="31" t="str">
        <f aca="false">IF(OR($L365="",$N365=""),"",$L365-$N365)</f>
        <v/>
      </c>
      <c r="Q365" s="27" t="str">
        <f aca="false">IF($B365="","",IF(N($H365)&gt;0,"Live","Exited"))</f>
        <v/>
      </c>
      <c r="R365" s="27" t="str">
        <f aca="false">IF($B365="","",IF($L365="","Data Pending",IF($L365&gt;=Instructions!$D$19,"Best Fund",IF($L365&gt;=Instructions!$D$20,"Need to Improve","Not Performing"))))</f>
        <v/>
      </c>
      <c r="S365" s="7" t="str">
        <f aca="false">IF($R365="","",IF($R365="Data Pending","Enter the 3Y return",IF($R365="Best Fund","Hold / consider top-up",IF($R365="Need to Improve","Watch 2 quarters, then decide","Review with client - switch or exit"))))</f>
        <v/>
      </c>
      <c r="T365" s="26"/>
      <c r="U365" s="7" t="str">
        <f aca="false">IF($R365&lt;&gt;"Best Fund","",COUNTIFS($R$6:$R$505,"Best Fund",$L$6:$L$505,"&gt;"&amp;$L365)+COUNTIFS($R$6:$R365,"Best Fund",$L$6:$L365,$L365))</f>
        <v/>
      </c>
      <c r="V365" s="7" t="str">
        <f aca="false">IF($R365&lt;&gt;"Need to Improve","",COUNTIFS($R$6:$R$505,"Need to Improve",$L$6:$L$505,"&lt;"&amp;$L365)+COUNTIFS($R$6:$R365,"Need to Improve",$L$6:$L365,$L365))</f>
        <v/>
      </c>
      <c r="W365" s="7" t="str">
        <f aca="false">IF($R365&lt;&gt;"Not Performing","",COUNTIFS($R$6:$R$505,"Not Performing",$L$6:$L$505,"&lt;"&amp;$L365)+COUNTIFS($R$6:$R365,"Not Performing",$L$6:$L365,$L365))</f>
        <v/>
      </c>
    </row>
    <row r="366" customFormat="false" ht="15" hidden="false" customHeight="true" outlineLevel="0" collapsed="false">
      <c r="A366" s="26"/>
      <c r="B366" s="26"/>
      <c r="C366" s="26"/>
      <c r="D366" s="27" t="str">
        <f aca="false">IF($C366="","",IFERROR(TRIM(LEFT($C366,FIND("-",$C366)-1)),""))</f>
        <v/>
      </c>
      <c r="E366" s="26"/>
      <c r="F366" s="28"/>
      <c r="G366" s="29"/>
      <c r="H366" s="29"/>
      <c r="I366" s="30" t="str">
        <f aca="false">IF($B366="","",$H366-$G366)</f>
        <v/>
      </c>
      <c r="J366" s="31" t="str">
        <f aca="false">IF(OR($B366="",$G366=0,$G366=""),"",$I366/$G366)</f>
        <v/>
      </c>
      <c r="K366" s="32"/>
      <c r="L366" s="32"/>
      <c r="M366" s="32"/>
      <c r="N366" s="32"/>
      <c r="O366" s="32"/>
      <c r="P366" s="31" t="str">
        <f aca="false">IF(OR($L366="",$N366=""),"",$L366-$N366)</f>
        <v/>
      </c>
      <c r="Q366" s="27" t="str">
        <f aca="false">IF($B366="","",IF(N($H366)&gt;0,"Live","Exited"))</f>
        <v/>
      </c>
      <c r="R366" s="27" t="str">
        <f aca="false">IF($B366="","",IF($L366="","Data Pending",IF($L366&gt;=Instructions!$D$19,"Best Fund",IF($L366&gt;=Instructions!$D$20,"Need to Improve","Not Performing"))))</f>
        <v/>
      </c>
      <c r="S366" s="7" t="str">
        <f aca="false">IF($R366="","",IF($R366="Data Pending","Enter the 3Y return",IF($R366="Best Fund","Hold / consider top-up",IF($R366="Need to Improve","Watch 2 quarters, then decide","Review with client - switch or exit"))))</f>
        <v/>
      </c>
      <c r="T366" s="26"/>
      <c r="U366" s="7" t="str">
        <f aca="false">IF($R366&lt;&gt;"Best Fund","",COUNTIFS($R$6:$R$505,"Best Fund",$L$6:$L$505,"&gt;"&amp;$L366)+COUNTIFS($R$6:$R366,"Best Fund",$L$6:$L366,$L366))</f>
        <v/>
      </c>
      <c r="V366" s="7" t="str">
        <f aca="false">IF($R366&lt;&gt;"Need to Improve","",COUNTIFS($R$6:$R$505,"Need to Improve",$L$6:$L$505,"&lt;"&amp;$L366)+COUNTIFS($R$6:$R366,"Need to Improve",$L$6:$L366,$L366))</f>
        <v/>
      </c>
      <c r="W366" s="7" t="str">
        <f aca="false">IF($R366&lt;&gt;"Not Performing","",COUNTIFS($R$6:$R$505,"Not Performing",$L$6:$L$505,"&lt;"&amp;$L366)+COUNTIFS($R$6:$R366,"Not Performing",$L$6:$L366,$L366))</f>
        <v/>
      </c>
    </row>
    <row r="367" customFormat="false" ht="15" hidden="false" customHeight="true" outlineLevel="0" collapsed="false">
      <c r="A367" s="26"/>
      <c r="B367" s="26"/>
      <c r="C367" s="26"/>
      <c r="D367" s="27" t="str">
        <f aca="false">IF($C367="","",IFERROR(TRIM(LEFT($C367,FIND("-",$C367)-1)),""))</f>
        <v/>
      </c>
      <c r="E367" s="26"/>
      <c r="F367" s="28"/>
      <c r="G367" s="29"/>
      <c r="H367" s="29"/>
      <c r="I367" s="30" t="str">
        <f aca="false">IF($B367="","",$H367-$G367)</f>
        <v/>
      </c>
      <c r="J367" s="31" t="str">
        <f aca="false">IF(OR($B367="",$G367=0,$G367=""),"",$I367/$G367)</f>
        <v/>
      </c>
      <c r="K367" s="32"/>
      <c r="L367" s="32"/>
      <c r="M367" s="32"/>
      <c r="N367" s="32"/>
      <c r="O367" s="32"/>
      <c r="P367" s="31" t="str">
        <f aca="false">IF(OR($L367="",$N367=""),"",$L367-$N367)</f>
        <v/>
      </c>
      <c r="Q367" s="27" t="str">
        <f aca="false">IF($B367="","",IF(N($H367)&gt;0,"Live","Exited"))</f>
        <v/>
      </c>
      <c r="R367" s="27" t="str">
        <f aca="false">IF($B367="","",IF($L367="","Data Pending",IF($L367&gt;=Instructions!$D$19,"Best Fund",IF($L367&gt;=Instructions!$D$20,"Need to Improve","Not Performing"))))</f>
        <v/>
      </c>
      <c r="S367" s="7" t="str">
        <f aca="false">IF($R367="","",IF($R367="Data Pending","Enter the 3Y return",IF($R367="Best Fund","Hold / consider top-up",IF($R367="Need to Improve","Watch 2 quarters, then decide","Review with client - switch or exit"))))</f>
        <v/>
      </c>
      <c r="T367" s="26"/>
      <c r="U367" s="7" t="str">
        <f aca="false">IF($R367&lt;&gt;"Best Fund","",COUNTIFS($R$6:$R$505,"Best Fund",$L$6:$L$505,"&gt;"&amp;$L367)+COUNTIFS($R$6:$R367,"Best Fund",$L$6:$L367,$L367))</f>
        <v/>
      </c>
      <c r="V367" s="7" t="str">
        <f aca="false">IF($R367&lt;&gt;"Need to Improve","",COUNTIFS($R$6:$R$505,"Need to Improve",$L$6:$L$505,"&lt;"&amp;$L367)+COUNTIFS($R$6:$R367,"Need to Improve",$L$6:$L367,$L367))</f>
        <v/>
      </c>
      <c r="W367" s="7" t="str">
        <f aca="false">IF($R367&lt;&gt;"Not Performing","",COUNTIFS($R$6:$R$505,"Not Performing",$L$6:$L$505,"&lt;"&amp;$L367)+COUNTIFS($R$6:$R367,"Not Performing",$L$6:$L367,$L367))</f>
        <v/>
      </c>
    </row>
    <row r="368" customFormat="false" ht="15" hidden="false" customHeight="true" outlineLevel="0" collapsed="false">
      <c r="A368" s="26"/>
      <c r="B368" s="26"/>
      <c r="C368" s="26"/>
      <c r="D368" s="27" t="str">
        <f aca="false">IF($C368="","",IFERROR(TRIM(LEFT($C368,FIND("-",$C368)-1)),""))</f>
        <v/>
      </c>
      <c r="E368" s="26"/>
      <c r="F368" s="28"/>
      <c r="G368" s="29"/>
      <c r="H368" s="29"/>
      <c r="I368" s="30" t="str">
        <f aca="false">IF($B368="","",$H368-$G368)</f>
        <v/>
      </c>
      <c r="J368" s="31" t="str">
        <f aca="false">IF(OR($B368="",$G368=0,$G368=""),"",$I368/$G368)</f>
        <v/>
      </c>
      <c r="K368" s="32"/>
      <c r="L368" s="32"/>
      <c r="M368" s="32"/>
      <c r="N368" s="32"/>
      <c r="O368" s="32"/>
      <c r="P368" s="31" t="str">
        <f aca="false">IF(OR($L368="",$N368=""),"",$L368-$N368)</f>
        <v/>
      </c>
      <c r="Q368" s="27" t="str">
        <f aca="false">IF($B368="","",IF(N($H368)&gt;0,"Live","Exited"))</f>
        <v/>
      </c>
      <c r="R368" s="27" t="str">
        <f aca="false">IF($B368="","",IF($L368="","Data Pending",IF($L368&gt;=Instructions!$D$19,"Best Fund",IF($L368&gt;=Instructions!$D$20,"Need to Improve","Not Performing"))))</f>
        <v/>
      </c>
      <c r="S368" s="7" t="str">
        <f aca="false">IF($R368="","",IF($R368="Data Pending","Enter the 3Y return",IF($R368="Best Fund","Hold / consider top-up",IF($R368="Need to Improve","Watch 2 quarters, then decide","Review with client - switch or exit"))))</f>
        <v/>
      </c>
      <c r="T368" s="26"/>
      <c r="U368" s="7" t="str">
        <f aca="false">IF($R368&lt;&gt;"Best Fund","",COUNTIFS($R$6:$R$505,"Best Fund",$L$6:$L$505,"&gt;"&amp;$L368)+COUNTIFS($R$6:$R368,"Best Fund",$L$6:$L368,$L368))</f>
        <v/>
      </c>
      <c r="V368" s="7" t="str">
        <f aca="false">IF($R368&lt;&gt;"Need to Improve","",COUNTIFS($R$6:$R$505,"Need to Improve",$L$6:$L$505,"&lt;"&amp;$L368)+COUNTIFS($R$6:$R368,"Need to Improve",$L$6:$L368,$L368))</f>
        <v/>
      </c>
      <c r="W368" s="7" t="str">
        <f aca="false">IF($R368&lt;&gt;"Not Performing","",COUNTIFS($R$6:$R$505,"Not Performing",$L$6:$L$505,"&lt;"&amp;$L368)+COUNTIFS($R$6:$R368,"Not Performing",$L$6:$L368,$L368))</f>
        <v/>
      </c>
    </row>
    <row r="369" customFormat="false" ht="15" hidden="false" customHeight="true" outlineLevel="0" collapsed="false">
      <c r="A369" s="26"/>
      <c r="B369" s="26"/>
      <c r="C369" s="26"/>
      <c r="D369" s="27" t="str">
        <f aca="false">IF($C369="","",IFERROR(TRIM(LEFT($C369,FIND("-",$C369)-1)),""))</f>
        <v/>
      </c>
      <c r="E369" s="26"/>
      <c r="F369" s="28"/>
      <c r="G369" s="29"/>
      <c r="H369" s="29"/>
      <c r="I369" s="30" t="str">
        <f aca="false">IF($B369="","",$H369-$G369)</f>
        <v/>
      </c>
      <c r="J369" s="31" t="str">
        <f aca="false">IF(OR($B369="",$G369=0,$G369=""),"",$I369/$G369)</f>
        <v/>
      </c>
      <c r="K369" s="32"/>
      <c r="L369" s="32"/>
      <c r="M369" s="32"/>
      <c r="N369" s="32"/>
      <c r="O369" s="32"/>
      <c r="P369" s="31" t="str">
        <f aca="false">IF(OR($L369="",$N369=""),"",$L369-$N369)</f>
        <v/>
      </c>
      <c r="Q369" s="27" t="str">
        <f aca="false">IF($B369="","",IF(N($H369)&gt;0,"Live","Exited"))</f>
        <v/>
      </c>
      <c r="R369" s="27" t="str">
        <f aca="false">IF($B369="","",IF($L369="","Data Pending",IF($L369&gt;=Instructions!$D$19,"Best Fund",IF($L369&gt;=Instructions!$D$20,"Need to Improve","Not Performing"))))</f>
        <v/>
      </c>
      <c r="S369" s="7" t="str">
        <f aca="false">IF($R369="","",IF($R369="Data Pending","Enter the 3Y return",IF($R369="Best Fund","Hold / consider top-up",IF($R369="Need to Improve","Watch 2 quarters, then decide","Review with client - switch or exit"))))</f>
        <v/>
      </c>
      <c r="T369" s="26"/>
      <c r="U369" s="7" t="str">
        <f aca="false">IF($R369&lt;&gt;"Best Fund","",COUNTIFS($R$6:$R$505,"Best Fund",$L$6:$L$505,"&gt;"&amp;$L369)+COUNTIFS($R$6:$R369,"Best Fund",$L$6:$L369,$L369))</f>
        <v/>
      </c>
      <c r="V369" s="7" t="str">
        <f aca="false">IF($R369&lt;&gt;"Need to Improve","",COUNTIFS($R$6:$R$505,"Need to Improve",$L$6:$L$505,"&lt;"&amp;$L369)+COUNTIFS($R$6:$R369,"Need to Improve",$L$6:$L369,$L369))</f>
        <v/>
      </c>
      <c r="W369" s="7" t="str">
        <f aca="false">IF($R369&lt;&gt;"Not Performing","",COUNTIFS($R$6:$R$505,"Not Performing",$L$6:$L$505,"&lt;"&amp;$L369)+COUNTIFS($R$6:$R369,"Not Performing",$L$6:$L369,$L369))</f>
        <v/>
      </c>
    </row>
    <row r="370" customFormat="false" ht="15" hidden="false" customHeight="true" outlineLevel="0" collapsed="false">
      <c r="A370" s="26"/>
      <c r="B370" s="26"/>
      <c r="C370" s="26"/>
      <c r="D370" s="27" t="str">
        <f aca="false">IF($C370="","",IFERROR(TRIM(LEFT($C370,FIND("-",$C370)-1)),""))</f>
        <v/>
      </c>
      <c r="E370" s="26"/>
      <c r="F370" s="28"/>
      <c r="G370" s="29"/>
      <c r="H370" s="29"/>
      <c r="I370" s="30" t="str">
        <f aca="false">IF($B370="","",$H370-$G370)</f>
        <v/>
      </c>
      <c r="J370" s="31" t="str">
        <f aca="false">IF(OR($B370="",$G370=0,$G370=""),"",$I370/$G370)</f>
        <v/>
      </c>
      <c r="K370" s="32"/>
      <c r="L370" s="32"/>
      <c r="M370" s="32"/>
      <c r="N370" s="32"/>
      <c r="O370" s="32"/>
      <c r="P370" s="31" t="str">
        <f aca="false">IF(OR($L370="",$N370=""),"",$L370-$N370)</f>
        <v/>
      </c>
      <c r="Q370" s="27" t="str">
        <f aca="false">IF($B370="","",IF(N($H370)&gt;0,"Live","Exited"))</f>
        <v/>
      </c>
      <c r="R370" s="27" t="str">
        <f aca="false">IF($B370="","",IF($L370="","Data Pending",IF($L370&gt;=Instructions!$D$19,"Best Fund",IF($L370&gt;=Instructions!$D$20,"Need to Improve","Not Performing"))))</f>
        <v/>
      </c>
      <c r="S370" s="7" t="str">
        <f aca="false">IF($R370="","",IF($R370="Data Pending","Enter the 3Y return",IF($R370="Best Fund","Hold / consider top-up",IF($R370="Need to Improve","Watch 2 quarters, then decide","Review with client - switch or exit"))))</f>
        <v/>
      </c>
      <c r="T370" s="26"/>
      <c r="U370" s="7" t="str">
        <f aca="false">IF($R370&lt;&gt;"Best Fund","",COUNTIFS($R$6:$R$505,"Best Fund",$L$6:$L$505,"&gt;"&amp;$L370)+COUNTIFS($R$6:$R370,"Best Fund",$L$6:$L370,$L370))</f>
        <v/>
      </c>
      <c r="V370" s="7" t="str">
        <f aca="false">IF($R370&lt;&gt;"Need to Improve","",COUNTIFS($R$6:$R$505,"Need to Improve",$L$6:$L$505,"&lt;"&amp;$L370)+COUNTIFS($R$6:$R370,"Need to Improve",$L$6:$L370,$L370))</f>
        <v/>
      </c>
      <c r="W370" s="7" t="str">
        <f aca="false">IF($R370&lt;&gt;"Not Performing","",COUNTIFS($R$6:$R$505,"Not Performing",$L$6:$L$505,"&lt;"&amp;$L370)+COUNTIFS($R$6:$R370,"Not Performing",$L$6:$L370,$L370))</f>
        <v/>
      </c>
    </row>
    <row r="371" customFormat="false" ht="15" hidden="false" customHeight="true" outlineLevel="0" collapsed="false">
      <c r="A371" s="26"/>
      <c r="B371" s="26"/>
      <c r="C371" s="26"/>
      <c r="D371" s="27" t="str">
        <f aca="false">IF($C371="","",IFERROR(TRIM(LEFT($C371,FIND("-",$C371)-1)),""))</f>
        <v/>
      </c>
      <c r="E371" s="26"/>
      <c r="F371" s="28"/>
      <c r="G371" s="29"/>
      <c r="H371" s="29"/>
      <c r="I371" s="30" t="str">
        <f aca="false">IF($B371="","",$H371-$G371)</f>
        <v/>
      </c>
      <c r="J371" s="31" t="str">
        <f aca="false">IF(OR($B371="",$G371=0,$G371=""),"",$I371/$G371)</f>
        <v/>
      </c>
      <c r="K371" s="32"/>
      <c r="L371" s="32"/>
      <c r="M371" s="32"/>
      <c r="N371" s="32"/>
      <c r="O371" s="32"/>
      <c r="P371" s="31" t="str">
        <f aca="false">IF(OR($L371="",$N371=""),"",$L371-$N371)</f>
        <v/>
      </c>
      <c r="Q371" s="27" t="str">
        <f aca="false">IF($B371="","",IF(N($H371)&gt;0,"Live","Exited"))</f>
        <v/>
      </c>
      <c r="R371" s="27" t="str">
        <f aca="false">IF($B371="","",IF($L371="","Data Pending",IF($L371&gt;=Instructions!$D$19,"Best Fund",IF($L371&gt;=Instructions!$D$20,"Need to Improve","Not Performing"))))</f>
        <v/>
      </c>
      <c r="S371" s="7" t="str">
        <f aca="false">IF($R371="","",IF($R371="Data Pending","Enter the 3Y return",IF($R371="Best Fund","Hold / consider top-up",IF($R371="Need to Improve","Watch 2 quarters, then decide","Review with client - switch or exit"))))</f>
        <v/>
      </c>
      <c r="T371" s="26"/>
      <c r="U371" s="7" t="str">
        <f aca="false">IF($R371&lt;&gt;"Best Fund","",COUNTIFS($R$6:$R$505,"Best Fund",$L$6:$L$505,"&gt;"&amp;$L371)+COUNTIFS($R$6:$R371,"Best Fund",$L$6:$L371,$L371))</f>
        <v/>
      </c>
      <c r="V371" s="7" t="str">
        <f aca="false">IF($R371&lt;&gt;"Need to Improve","",COUNTIFS($R$6:$R$505,"Need to Improve",$L$6:$L$505,"&lt;"&amp;$L371)+COUNTIFS($R$6:$R371,"Need to Improve",$L$6:$L371,$L371))</f>
        <v/>
      </c>
      <c r="W371" s="7" t="str">
        <f aca="false">IF($R371&lt;&gt;"Not Performing","",COUNTIFS($R$6:$R$505,"Not Performing",$L$6:$L$505,"&lt;"&amp;$L371)+COUNTIFS($R$6:$R371,"Not Performing",$L$6:$L371,$L371))</f>
        <v/>
      </c>
    </row>
    <row r="372" customFormat="false" ht="15" hidden="false" customHeight="true" outlineLevel="0" collapsed="false">
      <c r="A372" s="26"/>
      <c r="B372" s="26"/>
      <c r="C372" s="26"/>
      <c r="D372" s="27" t="str">
        <f aca="false">IF($C372="","",IFERROR(TRIM(LEFT($C372,FIND("-",$C372)-1)),""))</f>
        <v/>
      </c>
      <c r="E372" s="26"/>
      <c r="F372" s="28"/>
      <c r="G372" s="29"/>
      <c r="H372" s="29"/>
      <c r="I372" s="30" t="str">
        <f aca="false">IF($B372="","",$H372-$G372)</f>
        <v/>
      </c>
      <c r="J372" s="31" t="str">
        <f aca="false">IF(OR($B372="",$G372=0,$G372=""),"",$I372/$G372)</f>
        <v/>
      </c>
      <c r="K372" s="32"/>
      <c r="L372" s="32"/>
      <c r="M372" s="32"/>
      <c r="N372" s="32"/>
      <c r="O372" s="32"/>
      <c r="P372" s="31" t="str">
        <f aca="false">IF(OR($L372="",$N372=""),"",$L372-$N372)</f>
        <v/>
      </c>
      <c r="Q372" s="27" t="str">
        <f aca="false">IF($B372="","",IF(N($H372)&gt;0,"Live","Exited"))</f>
        <v/>
      </c>
      <c r="R372" s="27" t="str">
        <f aca="false">IF($B372="","",IF($L372="","Data Pending",IF($L372&gt;=Instructions!$D$19,"Best Fund",IF($L372&gt;=Instructions!$D$20,"Need to Improve","Not Performing"))))</f>
        <v/>
      </c>
      <c r="S372" s="7" t="str">
        <f aca="false">IF($R372="","",IF($R372="Data Pending","Enter the 3Y return",IF($R372="Best Fund","Hold / consider top-up",IF($R372="Need to Improve","Watch 2 quarters, then decide","Review with client - switch or exit"))))</f>
        <v/>
      </c>
      <c r="T372" s="26"/>
      <c r="U372" s="7" t="str">
        <f aca="false">IF($R372&lt;&gt;"Best Fund","",COUNTIFS($R$6:$R$505,"Best Fund",$L$6:$L$505,"&gt;"&amp;$L372)+COUNTIFS($R$6:$R372,"Best Fund",$L$6:$L372,$L372))</f>
        <v/>
      </c>
      <c r="V372" s="7" t="str">
        <f aca="false">IF($R372&lt;&gt;"Need to Improve","",COUNTIFS($R$6:$R$505,"Need to Improve",$L$6:$L$505,"&lt;"&amp;$L372)+COUNTIFS($R$6:$R372,"Need to Improve",$L$6:$L372,$L372))</f>
        <v/>
      </c>
      <c r="W372" s="7" t="str">
        <f aca="false">IF($R372&lt;&gt;"Not Performing","",COUNTIFS($R$6:$R$505,"Not Performing",$L$6:$L$505,"&lt;"&amp;$L372)+COUNTIFS($R$6:$R372,"Not Performing",$L$6:$L372,$L372))</f>
        <v/>
      </c>
    </row>
    <row r="373" customFormat="false" ht="15" hidden="false" customHeight="true" outlineLevel="0" collapsed="false">
      <c r="A373" s="26"/>
      <c r="B373" s="26"/>
      <c r="C373" s="26"/>
      <c r="D373" s="27" t="str">
        <f aca="false">IF($C373="","",IFERROR(TRIM(LEFT($C373,FIND("-",$C373)-1)),""))</f>
        <v/>
      </c>
      <c r="E373" s="26"/>
      <c r="F373" s="28"/>
      <c r="G373" s="29"/>
      <c r="H373" s="29"/>
      <c r="I373" s="30" t="str">
        <f aca="false">IF($B373="","",$H373-$G373)</f>
        <v/>
      </c>
      <c r="J373" s="31" t="str">
        <f aca="false">IF(OR($B373="",$G373=0,$G373=""),"",$I373/$G373)</f>
        <v/>
      </c>
      <c r="K373" s="32"/>
      <c r="L373" s="32"/>
      <c r="M373" s="32"/>
      <c r="N373" s="32"/>
      <c r="O373" s="32"/>
      <c r="P373" s="31" t="str">
        <f aca="false">IF(OR($L373="",$N373=""),"",$L373-$N373)</f>
        <v/>
      </c>
      <c r="Q373" s="27" t="str">
        <f aca="false">IF($B373="","",IF(N($H373)&gt;0,"Live","Exited"))</f>
        <v/>
      </c>
      <c r="R373" s="27" t="str">
        <f aca="false">IF($B373="","",IF($L373="","Data Pending",IF($L373&gt;=Instructions!$D$19,"Best Fund",IF($L373&gt;=Instructions!$D$20,"Need to Improve","Not Performing"))))</f>
        <v/>
      </c>
      <c r="S373" s="7" t="str">
        <f aca="false">IF($R373="","",IF($R373="Data Pending","Enter the 3Y return",IF($R373="Best Fund","Hold / consider top-up",IF($R373="Need to Improve","Watch 2 quarters, then decide","Review with client - switch or exit"))))</f>
        <v/>
      </c>
      <c r="T373" s="26"/>
      <c r="U373" s="7" t="str">
        <f aca="false">IF($R373&lt;&gt;"Best Fund","",COUNTIFS($R$6:$R$505,"Best Fund",$L$6:$L$505,"&gt;"&amp;$L373)+COUNTIFS($R$6:$R373,"Best Fund",$L$6:$L373,$L373))</f>
        <v/>
      </c>
      <c r="V373" s="7" t="str">
        <f aca="false">IF($R373&lt;&gt;"Need to Improve","",COUNTIFS($R$6:$R$505,"Need to Improve",$L$6:$L$505,"&lt;"&amp;$L373)+COUNTIFS($R$6:$R373,"Need to Improve",$L$6:$L373,$L373))</f>
        <v/>
      </c>
      <c r="W373" s="7" t="str">
        <f aca="false">IF($R373&lt;&gt;"Not Performing","",COUNTIFS($R$6:$R$505,"Not Performing",$L$6:$L$505,"&lt;"&amp;$L373)+COUNTIFS($R$6:$R373,"Not Performing",$L$6:$L373,$L373))</f>
        <v/>
      </c>
    </row>
    <row r="374" customFormat="false" ht="15" hidden="false" customHeight="true" outlineLevel="0" collapsed="false">
      <c r="A374" s="26"/>
      <c r="B374" s="26"/>
      <c r="C374" s="26"/>
      <c r="D374" s="27" t="str">
        <f aca="false">IF($C374="","",IFERROR(TRIM(LEFT($C374,FIND("-",$C374)-1)),""))</f>
        <v/>
      </c>
      <c r="E374" s="26"/>
      <c r="F374" s="28"/>
      <c r="G374" s="29"/>
      <c r="H374" s="29"/>
      <c r="I374" s="30" t="str">
        <f aca="false">IF($B374="","",$H374-$G374)</f>
        <v/>
      </c>
      <c r="J374" s="31" t="str">
        <f aca="false">IF(OR($B374="",$G374=0,$G374=""),"",$I374/$G374)</f>
        <v/>
      </c>
      <c r="K374" s="32"/>
      <c r="L374" s="32"/>
      <c r="M374" s="32"/>
      <c r="N374" s="32"/>
      <c r="O374" s="32"/>
      <c r="P374" s="31" t="str">
        <f aca="false">IF(OR($L374="",$N374=""),"",$L374-$N374)</f>
        <v/>
      </c>
      <c r="Q374" s="27" t="str">
        <f aca="false">IF($B374="","",IF(N($H374)&gt;0,"Live","Exited"))</f>
        <v/>
      </c>
      <c r="R374" s="27" t="str">
        <f aca="false">IF($B374="","",IF($L374="","Data Pending",IF($L374&gt;=Instructions!$D$19,"Best Fund",IF($L374&gt;=Instructions!$D$20,"Need to Improve","Not Performing"))))</f>
        <v/>
      </c>
      <c r="S374" s="7" t="str">
        <f aca="false">IF($R374="","",IF($R374="Data Pending","Enter the 3Y return",IF($R374="Best Fund","Hold / consider top-up",IF($R374="Need to Improve","Watch 2 quarters, then decide","Review with client - switch or exit"))))</f>
        <v/>
      </c>
      <c r="T374" s="26"/>
      <c r="U374" s="7" t="str">
        <f aca="false">IF($R374&lt;&gt;"Best Fund","",COUNTIFS($R$6:$R$505,"Best Fund",$L$6:$L$505,"&gt;"&amp;$L374)+COUNTIFS($R$6:$R374,"Best Fund",$L$6:$L374,$L374))</f>
        <v/>
      </c>
      <c r="V374" s="7" t="str">
        <f aca="false">IF($R374&lt;&gt;"Need to Improve","",COUNTIFS($R$6:$R$505,"Need to Improve",$L$6:$L$505,"&lt;"&amp;$L374)+COUNTIFS($R$6:$R374,"Need to Improve",$L$6:$L374,$L374))</f>
        <v/>
      </c>
      <c r="W374" s="7" t="str">
        <f aca="false">IF($R374&lt;&gt;"Not Performing","",COUNTIFS($R$6:$R$505,"Not Performing",$L$6:$L$505,"&lt;"&amp;$L374)+COUNTIFS($R$6:$R374,"Not Performing",$L$6:$L374,$L374))</f>
        <v/>
      </c>
    </row>
    <row r="375" customFormat="false" ht="15" hidden="false" customHeight="true" outlineLevel="0" collapsed="false">
      <c r="A375" s="26"/>
      <c r="B375" s="26"/>
      <c r="C375" s="26"/>
      <c r="D375" s="27" t="str">
        <f aca="false">IF($C375="","",IFERROR(TRIM(LEFT($C375,FIND("-",$C375)-1)),""))</f>
        <v/>
      </c>
      <c r="E375" s="26"/>
      <c r="F375" s="28"/>
      <c r="G375" s="29"/>
      <c r="H375" s="29"/>
      <c r="I375" s="30" t="str">
        <f aca="false">IF($B375="","",$H375-$G375)</f>
        <v/>
      </c>
      <c r="J375" s="31" t="str">
        <f aca="false">IF(OR($B375="",$G375=0,$G375=""),"",$I375/$G375)</f>
        <v/>
      </c>
      <c r="K375" s="32"/>
      <c r="L375" s="32"/>
      <c r="M375" s="32"/>
      <c r="N375" s="32"/>
      <c r="O375" s="32"/>
      <c r="P375" s="31" t="str">
        <f aca="false">IF(OR($L375="",$N375=""),"",$L375-$N375)</f>
        <v/>
      </c>
      <c r="Q375" s="27" t="str">
        <f aca="false">IF($B375="","",IF(N($H375)&gt;0,"Live","Exited"))</f>
        <v/>
      </c>
      <c r="R375" s="27" t="str">
        <f aca="false">IF($B375="","",IF($L375="","Data Pending",IF($L375&gt;=Instructions!$D$19,"Best Fund",IF($L375&gt;=Instructions!$D$20,"Need to Improve","Not Performing"))))</f>
        <v/>
      </c>
      <c r="S375" s="7" t="str">
        <f aca="false">IF($R375="","",IF($R375="Data Pending","Enter the 3Y return",IF($R375="Best Fund","Hold / consider top-up",IF($R375="Need to Improve","Watch 2 quarters, then decide","Review with client - switch or exit"))))</f>
        <v/>
      </c>
      <c r="T375" s="26"/>
      <c r="U375" s="7" t="str">
        <f aca="false">IF($R375&lt;&gt;"Best Fund","",COUNTIFS($R$6:$R$505,"Best Fund",$L$6:$L$505,"&gt;"&amp;$L375)+COUNTIFS($R$6:$R375,"Best Fund",$L$6:$L375,$L375))</f>
        <v/>
      </c>
      <c r="V375" s="7" t="str">
        <f aca="false">IF($R375&lt;&gt;"Need to Improve","",COUNTIFS($R$6:$R$505,"Need to Improve",$L$6:$L$505,"&lt;"&amp;$L375)+COUNTIFS($R$6:$R375,"Need to Improve",$L$6:$L375,$L375))</f>
        <v/>
      </c>
      <c r="W375" s="7" t="str">
        <f aca="false">IF($R375&lt;&gt;"Not Performing","",COUNTIFS($R$6:$R$505,"Not Performing",$L$6:$L$505,"&lt;"&amp;$L375)+COUNTIFS($R$6:$R375,"Not Performing",$L$6:$L375,$L375))</f>
        <v/>
      </c>
    </row>
    <row r="376" customFormat="false" ht="15" hidden="false" customHeight="true" outlineLevel="0" collapsed="false">
      <c r="A376" s="26"/>
      <c r="B376" s="26"/>
      <c r="C376" s="26"/>
      <c r="D376" s="27" t="str">
        <f aca="false">IF($C376="","",IFERROR(TRIM(LEFT($C376,FIND("-",$C376)-1)),""))</f>
        <v/>
      </c>
      <c r="E376" s="26"/>
      <c r="F376" s="28"/>
      <c r="G376" s="29"/>
      <c r="H376" s="29"/>
      <c r="I376" s="30" t="str">
        <f aca="false">IF($B376="","",$H376-$G376)</f>
        <v/>
      </c>
      <c r="J376" s="31" t="str">
        <f aca="false">IF(OR($B376="",$G376=0,$G376=""),"",$I376/$G376)</f>
        <v/>
      </c>
      <c r="K376" s="32"/>
      <c r="L376" s="32"/>
      <c r="M376" s="32"/>
      <c r="N376" s="32"/>
      <c r="O376" s="32"/>
      <c r="P376" s="31" t="str">
        <f aca="false">IF(OR($L376="",$N376=""),"",$L376-$N376)</f>
        <v/>
      </c>
      <c r="Q376" s="27" t="str">
        <f aca="false">IF($B376="","",IF(N($H376)&gt;0,"Live","Exited"))</f>
        <v/>
      </c>
      <c r="R376" s="27" t="str">
        <f aca="false">IF($B376="","",IF($L376="","Data Pending",IF($L376&gt;=Instructions!$D$19,"Best Fund",IF($L376&gt;=Instructions!$D$20,"Need to Improve","Not Performing"))))</f>
        <v/>
      </c>
      <c r="S376" s="7" t="str">
        <f aca="false">IF($R376="","",IF($R376="Data Pending","Enter the 3Y return",IF($R376="Best Fund","Hold / consider top-up",IF($R376="Need to Improve","Watch 2 quarters, then decide","Review with client - switch or exit"))))</f>
        <v/>
      </c>
      <c r="T376" s="26"/>
      <c r="U376" s="7" t="str">
        <f aca="false">IF($R376&lt;&gt;"Best Fund","",COUNTIFS($R$6:$R$505,"Best Fund",$L$6:$L$505,"&gt;"&amp;$L376)+COUNTIFS($R$6:$R376,"Best Fund",$L$6:$L376,$L376))</f>
        <v/>
      </c>
      <c r="V376" s="7" t="str">
        <f aca="false">IF($R376&lt;&gt;"Need to Improve","",COUNTIFS($R$6:$R$505,"Need to Improve",$L$6:$L$505,"&lt;"&amp;$L376)+COUNTIFS($R$6:$R376,"Need to Improve",$L$6:$L376,$L376))</f>
        <v/>
      </c>
      <c r="W376" s="7" t="str">
        <f aca="false">IF($R376&lt;&gt;"Not Performing","",COUNTIFS($R$6:$R$505,"Not Performing",$L$6:$L$505,"&lt;"&amp;$L376)+COUNTIFS($R$6:$R376,"Not Performing",$L$6:$L376,$L376))</f>
        <v/>
      </c>
    </row>
    <row r="377" customFormat="false" ht="15" hidden="false" customHeight="true" outlineLevel="0" collapsed="false">
      <c r="A377" s="26"/>
      <c r="B377" s="26"/>
      <c r="C377" s="26"/>
      <c r="D377" s="27" t="str">
        <f aca="false">IF($C377="","",IFERROR(TRIM(LEFT($C377,FIND("-",$C377)-1)),""))</f>
        <v/>
      </c>
      <c r="E377" s="26"/>
      <c r="F377" s="28"/>
      <c r="G377" s="29"/>
      <c r="H377" s="29"/>
      <c r="I377" s="30" t="str">
        <f aca="false">IF($B377="","",$H377-$G377)</f>
        <v/>
      </c>
      <c r="J377" s="31" t="str">
        <f aca="false">IF(OR($B377="",$G377=0,$G377=""),"",$I377/$G377)</f>
        <v/>
      </c>
      <c r="K377" s="32"/>
      <c r="L377" s="32"/>
      <c r="M377" s="32"/>
      <c r="N377" s="32"/>
      <c r="O377" s="32"/>
      <c r="P377" s="31" t="str">
        <f aca="false">IF(OR($L377="",$N377=""),"",$L377-$N377)</f>
        <v/>
      </c>
      <c r="Q377" s="27" t="str">
        <f aca="false">IF($B377="","",IF(N($H377)&gt;0,"Live","Exited"))</f>
        <v/>
      </c>
      <c r="R377" s="27" t="str">
        <f aca="false">IF($B377="","",IF($L377="","Data Pending",IF($L377&gt;=Instructions!$D$19,"Best Fund",IF($L377&gt;=Instructions!$D$20,"Need to Improve","Not Performing"))))</f>
        <v/>
      </c>
      <c r="S377" s="7" t="str">
        <f aca="false">IF($R377="","",IF($R377="Data Pending","Enter the 3Y return",IF($R377="Best Fund","Hold / consider top-up",IF($R377="Need to Improve","Watch 2 quarters, then decide","Review with client - switch or exit"))))</f>
        <v/>
      </c>
      <c r="T377" s="26"/>
      <c r="U377" s="7" t="str">
        <f aca="false">IF($R377&lt;&gt;"Best Fund","",COUNTIFS($R$6:$R$505,"Best Fund",$L$6:$L$505,"&gt;"&amp;$L377)+COUNTIFS($R$6:$R377,"Best Fund",$L$6:$L377,$L377))</f>
        <v/>
      </c>
      <c r="V377" s="7" t="str">
        <f aca="false">IF($R377&lt;&gt;"Need to Improve","",COUNTIFS($R$6:$R$505,"Need to Improve",$L$6:$L$505,"&lt;"&amp;$L377)+COUNTIFS($R$6:$R377,"Need to Improve",$L$6:$L377,$L377))</f>
        <v/>
      </c>
      <c r="W377" s="7" t="str">
        <f aca="false">IF($R377&lt;&gt;"Not Performing","",COUNTIFS($R$6:$R$505,"Not Performing",$L$6:$L$505,"&lt;"&amp;$L377)+COUNTIFS($R$6:$R377,"Not Performing",$L$6:$L377,$L377))</f>
        <v/>
      </c>
    </row>
    <row r="378" customFormat="false" ht="15" hidden="false" customHeight="true" outlineLevel="0" collapsed="false">
      <c r="A378" s="26"/>
      <c r="B378" s="26"/>
      <c r="C378" s="26"/>
      <c r="D378" s="27" t="str">
        <f aca="false">IF($C378="","",IFERROR(TRIM(LEFT($C378,FIND("-",$C378)-1)),""))</f>
        <v/>
      </c>
      <c r="E378" s="26"/>
      <c r="F378" s="28"/>
      <c r="G378" s="29"/>
      <c r="H378" s="29"/>
      <c r="I378" s="30" t="str">
        <f aca="false">IF($B378="","",$H378-$G378)</f>
        <v/>
      </c>
      <c r="J378" s="31" t="str">
        <f aca="false">IF(OR($B378="",$G378=0,$G378=""),"",$I378/$G378)</f>
        <v/>
      </c>
      <c r="K378" s="32"/>
      <c r="L378" s="32"/>
      <c r="M378" s="32"/>
      <c r="N378" s="32"/>
      <c r="O378" s="32"/>
      <c r="P378" s="31" t="str">
        <f aca="false">IF(OR($L378="",$N378=""),"",$L378-$N378)</f>
        <v/>
      </c>
      <c r="Q378" s="27" t="str">
        <f aca="false">IF($B378="","",IF(N($H378)&gt;0,"Live","Exited"))</f>
        <v/>
      </c>
      <c r="R378" s="27" t="str">
        <f aca="false">IF($B378="","",IF($L378="","Data Pending",IF($L378&gt;=Instructions!$D$19,"Best Fund",IF($L378&gt;=Instructions!$D$20,"Need to Improve","Not Performing"))))</f>
        <v/>
      </c>
      <c r="S378" s="7" t="str">
        <f aca="false">IF($R378="","",IF($R378="Data Pending","Enter the 3Y return",IF($R378="Best Fund","Hold / consider top-up",IF($R378="Need to Improve","Watch 2 quarters, then decide","Review with client - switch or exit"))))</f>
        <v/>
      </c>
      <c r="T378" s="26"/>
      <c r="U378" s="7" t="str">
        <f aca="false">IF($R378&lt;&gt;"Best Fund","",COUNTIFS($R$6:$R$505,"Best Fund",$L$6:$L$505,"&gt;"&amp;$L378)+COUNTIFS($R$6:$R378,"Best Fund",$L$6:$L378,$L378))</f>
        <v/>
      </c>
      <c r="V378" s="7" t="str">
        <f aca="false">IF($R378&lt;&gt;"Need to Improve","",COUNTIFS($R$6:$R$505,"Need to Improve",$L$6:$L$505,"&lt;"&amp;$L378)+COUNTIFS($R$6:$R378,"Need to Improve",$L$6:$L378,$L378))</f>
        <v/>
      </c>
      <c r="W378" s="7" t="str">
        <f aca="false">IF($R378&lt;&gt;"Not Performing","",COUNTIFS($R$6:$R$505,"Not Performing",$L$6:$L$505,"&lt;"&amp;$L378)+COUNTIFS($R$6:$R378,"Not Performing",$L$6:$L378,$L378))</f>
        <v/>
      </c>
    </row>
    <row r="379" customFormat="false" ht="15" hidden="false" customHeight="true" outlineLevel="0" collapsed="false">
      <c r="A379" s="26"/>
      <c r="B379" s="26"/>
      <c r="C379" s="26"/>
      <c r="D379" s="27" t="str">
        <f aca="false">IF($C379="","",IFERROR(TRIM(LEFT($C379,FIND("-",$C379)-1)),""))</f>
        <v/>
      </c>
      <c r="E379" s="26"/>
      <c r="F379" s="28"/>
      <c r="G379" s="29"/>
      <c r="H379" s="29"/>
      <c r="I379" s="30" t="str">
        <f aca="false">IF($B379="","",$H379-$G379)</f>
        <v/>
      </c>
      <c r="J379" s="31" t="str">
        <f aca="false">IF(OR($B379="",$G379=0,$G379=""),"",$I379/$G379)</f>
        <v/>
      </c>
      <c r="K379" s="32"/>
      <c r="L379" s="32"/>
      <c r="M379" s="32"/>
      <c r="N379" s="32"/>
      <c r="O379" s="32"/>
      <c r="P379" s="31" t="str">
        <f aca="false">IF(OR($L379="",$N379=""),"",$L379-$N379)</f>
        <v/>
      </c>
      <c r="Q379" s="27" t="str">
        <f aca="false">IF($B379="","",IF(N($H379)&gt;0,"Live","Exited"))</f>
        <v/>
      </c>
      <c r="R379" s="27" t="str">
        <f aca="false">IF($B379="","",IF($L379="","Data Pending",IF($L379&gt;=Instructions!$D$19,"Best Fund",IF($L379&gt;=Instructions!$D$20,"Need to Improve","Not Performing"))))</f>
        <v/>
      </c>
      <c r="S379" s="7" t="str">
        <f aca="false">IF($R379="","",IF($R379="Data Pending","Enter the 3Y return",IF($R379="Best Fund","Hold / consider top-up",IF($R379="Need to Improve","Watch 2 quarters, then decide","Review with client - switch or exit"))))</f>
        <v/>
      </c>
      <c r="T379" s="26"/>
      <c r="U379" s="7" t="str">
        <f aca="false">IF($R379&lt;&gt;"Best Fund","",COUNTIFS($R$6:$R$505,"Best Fund",$L$6:$L$505,"&gt;"&amp;$L379)+COUNTIFS($R$6:$R379,"Best Fund",$L$6:$L379,$L379))</f>
        <v/>
      </c>
      <c r="V379" s="7" t="str">
        <f aca="false">IF($R379&lt;&gt;"Need to Improve","",COUNTIFS($R$6:$R$505,"Need to Improve",$L$6:$L$505,"&lt;"&amp;$L379)+COUNTIFS($R$6:$R379,"Need to Improve",$L$6:$L379,$L379))</f>
        <v/>
      </c>
      <c r="W379" s="7" t="str">
        <f aca="false">IF($R379&lt;&gt;"Not Performing","",COUNTIFS($R$6:$R$505,"Not Performing",$L$6:$L$505,"&lt;"&amp;$L379)+COUNTIFS($R$6:$R379,"Not Performing",$L$6:$L379,$L379))</f>
        <v/>
      </c>
    </row>
    <row r="380" customFormat="false" ht="15" hidden="false" customHeight="true" outlineLevel="0" collapsed="false">
      <c r="A380" s="26"/>
      <c r="B380" s="26"/>
      <c r="C380" s="26"/>
      <c r="D380" s="27" t="str">
        <f aca="false">IF($C380="","",IFERROR(TRIM(LEFT($C380,FIND("-",$C380)-1)),""))</f>
        <v/>
      </c>
      <c r="E380" s="26"/>
      <c r="F380" s="28"/>
      <c r="G380" s="29"/>
      <c r="H380" s="29"/>
      <c r="I380" s="30" t="str">
        <f aca="false">IF($B380="","",$H380-$G380)</f>
        <v/>
      </c>
      <c r="J380" s="31" t="str">
        <f aca="false">IF(OR($B380="",$G380=0,$G380=""),"",$I380/$G380)</f>
        <v/>
      </c>
      <c r="K380" s="32"/>
      <c r="L380" s="32"/>
      <c r="M380" s="32"/>
      <c r="N380" s="32"/>
      <c r="O380" s="32"/>
      <c r="P380" s="31" t="str">
        <f aca="false">IF(OR($L380="",$N380=""),"",$L380-$N380)</f>
        <v/>
      </c>
      <c r="Q380" s="27" t="str">
        <f aca="false">IF($B380="","",IF(N($H380)&gt;0,"Live","Exited"))</f>
        <v/>
      </c>
      <c r="R380" s="27" t="str">
        <f aca="false">IF($B380="","",IF($L380="","Data Pending",IF($L380&gt;=Instructions!$D$19,"Best Fund",IF($L380&gt;=Instructions!$D$20,"Need to Improve","Not Performing"))))</f>
        <v/>
      </c>
      <c r="S380" s="7" t="str">
        <f aca="false">IF($R380="","",IF($R380="Data Pending","Enter the 3Y return",IF($R380="Best Fund","Hold / consider top-up",IF($R380="Need to Improve","Watch 2 quarters, then decide","Review with client - switch or exit"))))</f>
        <v/>
      </c>
      <c r="T380" s="26"/>
      <c r="U380" s="7" t="str">
        <f aca="false">IF($R380&lt;&gt;"Best Fund","",COUNTIFS($R$6:$R$505,"Best Fund",$L$6:$L$505,"&gt;"&amp;$L380)+COUNTIFS($R$6:$R380,"Best Fund",$L$6:$L380,$L380))</f>
        <v/>
      </c>
      <c r="V380" s="7" t="str">
        <f aca="false">IF($R380&lt;&gt;"Need to Improve","",COUNTIFS($R$6:$R$505,"Need to Improve",$L$6:$L$505,"&lt;"&amp;$L380)+COUNTIFS($R$6:$R380,"Need to Improve",$L$6:$L380,$L380))</f>
        <v/>
      </c>
      <c r="W380" s="7" t="str">
        <f aca="false">IF($R380&lt;&gt;"Not Performing","",COUNTIFS($R$6:$R$505,"Not Performing",$L$6:$L$505,"&lt;"&amp;$L380)+COUNTIFS($R$6:$R380,"Not Performing",$L$6:$L380,$L380))</f>
        <v/>
      </c>
    </row>
    <row r="381" customFormat="false" ht="15" hidden="false" customHeight="true" outlineLevel="0" collapsed="false">
      <c r="A381" s="26"/>
      <c r="B381" s="26"/>
      <c r="C381" s="26"/>
      <c r="D381" s="27" t="str">
        <f aca="false">IF($C381="","",IFERROR(TRIM(LEFT($C381,FIND("-",$C381)-1)),""))</f>
        <v/>
      </c>
      <c r="E381" s="26"/>
      <c r="F381" s="28"/>
      <c r="G381" s="29"/>
      <c r="H381" s="29"/>
      <c r="I381" s="30" t="str">
        <f aca="false">IF($B381="","",$H381-$G381)</f>
        <v/>
      </c>
      <c r="J381" s="31" t="str">
        <f aca="false">IF(OR($B381="",$G381=0,$G381=""),"",$I381/$G381)</f>
        <v/>
      </c>
      <c r="K381" s="32"/>
      <c r="L381" s="32"/>
      <c r="M381" s="32"/>
      <c r="N381" s="32"/>
      <c r="O381" s="32"/>
      <c r="P381" s="31" t="str">
        <f aca="false">IF(OR($L381="",$N381=""),"",$L381-$N381)</f>
        <v/>
      </c>
      <c r="Q381" s="27" t="str">
        <f aca="false">IF($B381="","",IF(N($H381)&gt;0,"Live","Exited"))</f>
        <v/>
      </c>
      <c r="R381" s="27" t="str">
        <f aca="false">IF($B381="","",IF($L381="","Data Pending",IF($L381&gt;=Instructions!$D$19,"Best Fund",IF($L381&gt;=Instructions!$D$20,"Need to Improve","Not Performing"))))</f>
        <v/>
      </c>
      <c r="S381" s="7" t="str">
        <f aca="false">IF($R381="","",IF($R381="Data Pending","Enter the 3Y return",IF($R381="Best Fund","Hold / consider top-up",IF($R381="Need to Improve","Watch 2 quarters, then decide","Review with client - switch or exit"))))</f>
        <v/>
      </c>
      <c r="T381" s="26"/>
      <c r="U381" s="7" t="str">
        <f aca="false">IF($R381&lt;&gt;"Best Fund","",COUNTIFS($R$6:$R$505,"Best Fund",$L$6:$L$505,"&gt;"&amp;$L381)+COUNTIFS($R$6:$R381,"Best Fund",$L$6:$L381,$L381))</f>
        <v/>
      </c>
      <c r="V381" s="7" t="str">
        <f aca="false">IF($R381&lt;&gt;"Need to Improve","",COUNTIFS($R$6:$R$505,"Need to Improve",$L$6:$L$505,"&lt;"&amp;$L381)+COUNTIFS($R$6:$R381,"Need to Improve",$L$6:$L381,$L381))</f>
        <v/>
      </c>
      <c r="W381" s="7" t="str">
        <f aca="false">IF($R381&lt;&gt;"Not Performing","",COUNTIFS($R$6:$R$505,"Not Performing",$L$6:$L$505,"&lt;"&amp;$L381)+COUNTIFS($R$6:$R381,"Not Performing",$L$6:$L381,$L381))</f>
        <v/>
      </c>
    </row>
    <row r="382" customFormat="false" ht="15" hidden="false" customHeight="true" outlineLevel="0" collapsed="false">
      <c r="A382" s="26"/>
      <c r="B382" s="26"/>
      <c r="C382" s="26"/>
      <c r="D382" s="27" t="str">
        <f aca="false">IF($C382="","",IFERROR(TRIM(LEFT($C382,FIND("-",$C382)-1)),""))</f>
        <v/>
      </c>
      <c r="E382" s="26"/>
      <c r="F382" s="28"/>
      <c r="G382" s="29"/>
      <c r="H382" s="29"/>
      <c r="I382" s="30" t="str">
        <f aca="false">IF($B382="","",$H382-$G382)</f>
        <v/>
      </c>
      <c r="J382" s="31" t="str">
        <f aca="false">IF(OR($B382="",$G382=0,$G382=""),"",$I382/$G382)</f>
        <v/>
      </c>
      <c r="K382" s="32"/>
      <c r="L382" s="32"/>
      <c r="M382" s="32"/>
      <c r="N382" s="32"/>
      <c r="O382" s="32"/>
      <c r="P382" s="31" t="str">
        <f aca="false">IF(OR($L382="",$N382=""),"",$L382-$N382)</f>
        <v/>
      </c>
      <c r="Q382" s="27" t="str">
        <f aca="false">IF($B382="","",IF(N($H382)&gt;0,"Live","Exited"))</f>
        <v/>
      </c>
      <c r="R382" s="27" t="str">
        <f aca="false">IF($B382="","",IF($L382="","Data Pending",IF($L382&gt;=Instructions!$D$19,"Best Fund",IF($L382&gt;=Instructions!$D$20,"Need to Improve","Not Performing"))))</f>
        <v/>
      </c>
      <c r="S382" s="7" t="str">
        <f aca="false">IF($R382="","",IF($R382="Data Pending","Enter the 3Y return",IF($R382="Best Fund","Hold / consider top-up",IF($R382="Need to Improve","Watch 2 quarters, then decide","Review with client - switch or exit"))))</f>
        <v/>
      </c>
      <c r="T382" s="26"/>
      <c r="U382" s="7" t="str">
        <f aca="false">IF($R382&lt;&gt;"Best Fund","",COUNTIFS($R$6:$R$505,"Best Fund",$L$6:$L$505,"&gt;"&amp;$L382)+COUNTIFS($R$6:$R382,"Best Fund",$L$6:$L382,$L382))</f>
        <v/>
      </c>
      <c r="V382" s="7" t="str">
        <f aca="false">IF($R382&lt;&gt;"Need to Improve","",COUNTIFS($R$6:$R$505,"Need to Improve",$L$6:$L$505,"&lt;"&amp;$L382)+COUNTIFS($R$6:$R382,"Need to Improve",$L$6:$L382,$L382))</f>
        <v/>
      </c>
      <c r="W382" s="7" t="str">
        <f aca="false">IF($R382&lt;&gt;"Not Performing","",COUNTIFS($R$6:$R$505,"Not Performing",$L$6:$L$505,"&lt;"&amp;$L382)+COUNTIFS($R$6:$R382,"Not Performing",$L$6:$L382,$L382))</f>
        <v/>
      </c>
    </row>
    <row r="383" customFormat="false" ht="15" hidden="false" customHeight="true" outlineLevel="0" collapsed="false">
      <c r="A383" s="26"/>
      <c r="B383" s="26"/>
      <c r="C383" s="26"/>
      <c r="D383" s="27" t="str">
        <f aca="false">IF($C383="","",IFERROR(TRIM(LEFT($C383,FIND("-",$C383)-1)),""))</f>
        <v/>
      </c>
      <c r="E383" s="26"/>
      <c r="F383" s="28"/>
      <c r="G383" s="29"/>
      <c r="H383" s="29"/>
      <c r="I383" s="30" t="str">
        <f aca="false">IF($B383="","",$H383-$G383)</f>
        <v/>
      </c>
      <c r="J383" s="31" t="str">
        <f aca="false">IF(OR($B383="",$G383=0,$G383=""),"",$I383/$G383)</f>
        <v/>
      </c>
      <c r="K383" s="32"/>
      <c r="L383" s="32"/>
      <c r="M383" s="32"/>
      <c r="N383" s="32"/>
      <c r="O383" s="32"/>
      <c r="P383" s="31" t="str">
        <f aca="false">IF(OR($L383="",$N383=""),"",$L383-$N383)</f>
        <v/>
      </c>
      <c r="Q383" s="27" t="str">
        <f aca="false">IF($B383="","",IF(N($H383)&gt;0,"Live","Exited"))</f>
        <v/>
      </c>
      <c r="R383" s="27" t="str">
        <f aca="false">IF($B383="","",IF($L383="","Data Pending",IF($L383&gt;=Instructions!$D$19,"Best Fund",IF($L383&gt;=Instructions!$D$20,"Need to Improve","Not Performing"))))</f>
        <v/>
      </c>
      <c r="S383" s="7" t="str">
        <f aca="false">IF($R383="","",IF($R383="Data Pending","Enter the 3Y return",IF($R383="Best Fund","Hold / consider top-up",IF($R383="Need to Improve","Watch 2 quarters, then decide","Review with client - switch or exit"))))</f>
        <v/>
      </c>
      <c r="T383" s="26"/>
      <c r="U383" s="7" t="str">
        <f aca="false">IF($R383&lt;&gt;"Best Fund","",COUNTIFS($R$6:$R$505,"Best Fund",$L$6:$L$505,"&gt;"&amp;$L383)+COUNTIFS($R$6:$R383,"Best Fund",$L$6:$L383,$L383))</f>
        <v/>
      </c>
      <c r="V383" s="7" t="str">
        <f aca="false">IF($R383&lt;&gt;"Need to Improve","",COUNTIFS($R$6:$R$505,"Need to Improve",$L$6:$L$505,"&lt;"&amp;$L383)+COUNTIFS($R$6:$R383,"Need to Improve",$L$6:$L383,$L383))</f>
        <v/>
      </c>
      <c r="W383" s="7" t="str">
        <f aca="false">IF($R383&lt;&gt;"Not Performing","",COUNTIFS($R$6:$R$505,"Not Performing",$L$6:$L$505,"&lt;"&amp;$L383)+COUNTIFS($R$6:$R383,"Not Performing",$L$6:$L383,$L383))</f>
        <v/>
      </c>
    </row>
    <row r="384" customFormat="false" ht="15" hidden="false" customHeight="true" outlineLevel="0" collapsed="false">
      <c r="A384" s="26"/>
      <c r="B384" s="26"/>
      <c r="C384" s="26"/>
      <c r="D384" s="27" t="str">
        <f aca="false">IF($C384="","",IFERROR(TRIM(LEFT($C384,FIND("-",$C384)-1)),""))</f>
        <v/>
      </c>
      <c r="E384" s="26"/>
      <c r="F384" s="28"/>
      <c r="G384" s="29"/>
      <c r="H384" s="29"/>
      <c r="I384" s="30" t="str">
        <f aca="false">IF($B384="","",$H384-$G384)</f>
        <v/>
      </c>
      <c r="J384" s="31" t="str">
        <f aca="false">IF(OR($B384="",$G384=0,$G384=""),"",$I384/$G384)</f>
        <v/>
      </c>
      <c r="K384" s="32"/>
      <c r="L384" s="32"/>
      <c r="M384" s="32"/>
      <c r="N384" s="32"/>
      <c r="O384" s="32"/>
      <c r="P384" s="31" t="str">
        <f aca="false">IF(OR($L384="",$N384=""),"",$L384-$N384)</f>
        <v/>
      </c>
      <c r="Q384" s="27" t="str">
        <f aca="false">IF($B384="","",IF(N($H384)&gt;0,"Live","Exited"))</f>
        <v/>
      </c>
      <c r="R384" s="27" t="str">
        <f aca="false">IF($B384="","",IF($L384="","Data Pending",IF($L384&gt;=Instructions!$D$19,"Best Fund",IF($L384&gt;=Instructions!$D$20,"Need to Improve","Not Performing"))))</f>
        <v/>
      </c>
      <c r="S384" s="7" t="str">
        <f aca="false">IF($R384="","",IF($R384="Data Pending","Enter the 3Y return",IF($R384="Best Fund","Hold / consider top-up",IF($R384="Need to Improve","Watch 2 quarters, then decide","Review with client - switch or exit"))))</f>
        <v/>
      </c>
      <c r="T384" s="26"/>
      <c r="U384" s="7" t="str">
        <f aca="false">IF($R384&lt;&gt;"Best Fund","",COUNTIFS($R$6:$R$505,"Best Fund",$L$6:$L$505,"&gt;"&amp;$L384)+COUNTIFS($R$6:$R384,"Best Fund",$L$6:$L384,$L384))</f>
        <v/>
      </c>
      <c r="V384" s="7" t="str">
        <f aca="false">IF($R384&lt;&gt;"Need to Improve","",COUNTIFS($R$6:$R$505,"Need to Improve",$L$6:$L$505,"&lt;"&amp;$L384)+COUNTIFS($R$6:$R384,"Need to Improve",$L$6:$L384,$L384))</f>
        <v/>
      </c>
      <c r="W384" s="7" t="str">
        <f aca="false">IF($R384&lt;&gt;"Not Performing","",COUNTIFS($R$6:$R$505,"Not Performing",$L$6:$L$505,"&lt;"&amp;$L384)+COUNTIFS($R$6:$R384,"Not Performing",$L$6:$L384,$L384))</f>
        <v/>
      </c>
    </row>
    <row r="385" customFormat="false" ht="15" hidden="false" customHeight="true" outlineLevel="0" collapsed="false">
      <c r="A385" s="26"/>
      <c r="B385" s="26"/>
      <c r="C385" s="26"/>
      <c r="D385" s="27" t="str">
        <f aca="false">IF($C385="","",IFERROR(TRIM(LEFT($C385,FIND("-",$C385)-1)),""))</f>
        <v/>
      </c>
      <c r="E385" s="26"/>
      <c r="F385" s="28"/>
      <c r="G385" s="29"/>
      <c r="H385" s="29"/>
      <c r="I385" s="30" t="str">
        <f aca="false">IF($B385="","",$H385-$G385)</f>
        <v/>
      </c>
      <c r="J385" s="31" t="str">
        <f aca="false">IF(OR($B385="",$G385=0,$G385=""),"",$I385/$G385)</f>
        <v/>
      </c>
      <c r="K385" s="32"/>
      <c r="L385" s="32"/>
      <c r="M385" s="32"/>
      <c r="N385" s="32"/>
      <c r="O385" s="32"/>
      <c r="P385" s="31" t="str">
        <f aca="false">IF(OR($L385="",$N385=""),"",$L385-$N385)</f>
        <v/>
      </c>
      <c r="Q385" s="27" t="str">
        <f aca="false">IF($B385="","",IF(N($H385)&gt;0,"Live","Exited"))</f>
        <v/>
      </c>
      <c r="R385" s="27" t="str">
        <f aca="false">IF($B385="","",IF($L385="","Data Pending",IF($L385&gt;=Instructions!$D$19,"Best Fund",IF($L385&gt;=Instructions!$D$20,"Need to Improve","Not Performing"))))</f>
        <v/>
      </c>
      <c r="S385" s="7" t="str">
        <f aca="false">IF($R385="","",IF($R385="Data Pending","Enter the 3Y return",IF($R385="Best Fund","Hold / consider top-up",IF($R385="Need to Improve","Watch 2 quarters, then decide","Review with client - switch or exit"))))</f>
        <v/>
      </c>
      <c r="T385" s="26"/>
      <c r="U385" s="7" t="str">
        <f aca="false">IF($R385&lt;&gt;"Best Fund","",COUNTIFS($R$6:$R$505,"Best Fund",$L$6:$L$505,"&gt;"&amp;$L385)+COUNTIFS($R$6:$R385,"Best Fund",$L$6:$L385,$L385))</f>
        <v/>
      </c>
      <c r="V385" s="7" t="str">
        <f aca="false">IF($R385&lt;&gt;"Need to Improve","",COUNTIFS($R$6:$R$505,"Need to Improve",$L$6:$L$505,"&lt;"&amp;$L385)+COUNTIFS($R$6:$R385,"Need to Improve",$L$6:$L385,$L385))</f>
        <v/>
      </c>
      <c r="W385" s="7" t="str">
        <f aca="false">IF($R385&lt;&gt;"Not Performing","",COUNTIFS($R$6:$R$505,"Not Performing",$L$6:$L$505,"&lt;"&amp;$L385)+COUNTIFS($R$6:$R385,"Not Performing",$L$6:$L385,$L385))</f>
        <v/>
      </c>
    </row>
    <row r="386" customFormat="false" ht="15" hidden="false" customHeight="true" outlineLevel="0" collapsed="false">
      <c r="A386" s="26"/>
      <c r="B386" s="26"/>
      <c r="C386" s="26"/>
      <c r="D386" s="27" t="str">
        <f aca="false">IF($C386="","",IFERROR(TRIM(LEFT($C386,FIND("-",$C386)-1)),""))</f>
        <v/>
      </c>
      <c r="E386" s="26"/>
      <c r="F386" s="28"/>
      <c r="G386" s="29"/>
      <c r="H386" s="29"/>
      <c r="I386" s="30" t="str">
        <f aca="false">IF($B386="","",$H386-$G386)</f>
        <v/>
      </c>
      <c r="J386" s="31" t="str">
        <f aca="false">IF(OR($B386="",$G386=0,$G386=""),"",$I386/$G386)</f>
        <v/>
      </c>
      <c r="K386" s="32"/>
      <c r="L386" s="32"/>
      <c r="M386" s="32"/>
      <c r="N386" s="32"/>
      <c r="O386" s="32"/>
      <c r="P386" s="31" t="str">
        <f aca="false">IF(OR($L386="",$N386=""),"",$L386-$N386)</f>
        <v/>
      </c>
      <c r="Q386" s="27" t="str">
        <f aca="false">IF($B386="","",IF(N($H386)&gt;0,"Live","Exited"))</f>
        <v/>
      </c>
      <c r="R386" s="27" t="str">
        <f aca="false">IF($B386="","",IF($L386="","Data Pending",IF($L386&gt;=Instructions!$D$19,"Best Fund",IF($L386&gt;=Instructions!$D$20,"Need to Improve","Not Performing"))))</f>
        <v/>
      </c>
      <c r="S386" s="7" t="str">
        <f aca="false">IF($R386="","",IF($R386="Data Pending","Enter the 3Y return",IF($R386="Best Fund","Hold / consider top-up",IF($R386="Need to Improve","Watch 2 quarters, then decide","Review with client - switch or exit"))))</f>
        <v/>
      </c>
      <c r="T386" s="26"/>
      <c r="U386" s="7" t="str">
        <f aca="false">IF($R386&lt;&gt;"Best Fund","",COUNTIFS($R$6:$R$505,"Best Fund",$L$6:$L$505,"&gt;"&amp;$L386)+COUNTIFS($R$6:$R386,"Best Fund",$L$6:$L386,$L386))</f>
        <v/>
      </c>
      <c r="V386" s="7" t="str">
        <f aca="false">IF($R386&lt;&gt;"Need to Improve","",COUNTIFS($R$6:$R$505,"Need to Improve",$L$6:$L$505,"&lt;"&amp;$L386)+COUNTIFS($R$6:$R386,"Need to Improve",$L$6:$L386,$L386))</f>
        <v/>
      </c>
      <c r="W386" s="7" t="str">
        <f aca="false">IF($R386&lt;&gt;"Not Performing","",COUNTIFS($R$6:$R$505,"Not Performing",$L$6:$L$505,"&lt;"&amp;$L386)+COUNTIFS($R$6:$R386,"Not Performing",$L$6:$L386,$L386))</f>
        <v/>
      </c>
    </row>
    <row r="387" customFormat="false" ht="15" hidden="false" customHeight="true" outlineLevel="0" collapsed="false">
      <c r="A387" s="26"/>
      <c r="B387" s="26"/>
      <c r="C387" s="26"/>
      <c r="D387" s="27" t="str">
        <f aca="false">IF($C387="","",IFERROR(TRIM(LEFT($C387,FIND("-",$C387)-1)),""))</f>
        <v/>
      </c>
      <c r="E387" s="26"/>
      <c r="F387" s="28"/>
      <c r="G387" s="29"/>
      <c r="H387" s="29"/>
      <c r="I387" s="30" t="str">
        <f aca="false">IF($B387="","",$H387-$G387)</f>
        <v/>
      </c>
      <c r="J387" s="31" t="str">
        <f aca="false">IF(OR($B387="",$G387=0,$G387=""),"",$I387/$G387)</f>
        <v/>
      </c>
      <c r="K387" s="32"/>
      <c r="L387" s="32"/>
      <c r="M387" s="32"/>
      <c r="N387" s="32"/>
      <c r="O387" s="32"/>
      <c r="P387" s="31" t="str">
        <f aca="false">IF(OR($L387="",$N387=""),"",$L387-$N387)</f>
        <v/>
      </c>
      <c r="Q387" s="27" t="str">
        <f aca="false">IF($B387="","",IF(N($H387)&gt;0,"Live","Exited"))</f>
        <v/>
      </c>
      <c r="R387" s="27" t="str">
        <f aca="false">IF($B387="","",IF($L387="","Data Pending",IF($L387&gt;=Instructions!$D$19,"Best Fund",IF($L387&gt;=Instructions!$D$20,"Need to Improve","Not Performing"))))</f>
        <v/>
      </c>
      <c r="S387" s="7" t="str">
        <f aca="false">IF($R387="","",IF($R387="Data Pending","Enter the 3Y return",IF($R387="Best Fund","Hold / consider top-up",IF($R387="Need to Improve","Watch 2 quarters, then decide","Review with client - switch or exit"))))</f>
        <v/>
      </c>
      <c r="T387" s="26"/>
      <c r="U387" s="7" t="str">
        <f aca="false">IF($R387&lt;&gt;"Best Fund","",COUNTIFS($R$6:$R$505,"Best Fund",$L$6:$L$505,"&gt;"&amp;$L387)+COUNTIFS($R$6:$R387,"Best Fund",$L$6:$L387,$L387))</f>
        <v/>
      </c>
      <c r="V387" s="7" t="str">
        <f aca="false">IF($R387&lt;&gt;"Need to Improve","",COUNTIFS($R$6:$R$505,"Need to Improve",$L$6:$L$505,"&lt;"&amp;$L387)+COUNTIFS($R$6:$R387,"Need to Improve",$L$6:$L387,$L387))</f>
        <v/>
      </c>
      <c r="W387" s="7" t="str">
        <f aca="false">IF($R387&lt;&gt;"Not Performing","",COUNTIFS($R$6:$R$505,"Not Performing",$L$6:$L$505,"&lt;"&amp;$L387)+COUNTIFS($R$6:$R387,"Not Performing",$L$6:$L387,$L387))</f>
        <v/>
      </c>
    </row>
    <row r="388" customFormat="false" ht="15" hidden="false" customHeight="true" outlineLevel="0" collapsed="false">
      <c r="A388" s="26"/>
      <c r="B388" s="26"/>
      <c r="C388" s="26"/>
      <c r="D388" s="27" t="str">
        <f aca="false">IF($C388="","",IFERROR(TRIM(LEFT($C388,FIND("-",$C388)-1)),""))</f>
        <v/>
      </c>
      <c r="E388" s="26"/>
      <c r="F388" s="28"/>
      <c r="G388" s="29"/>
      <c r="H388" s="29"/>
      <c r="I388" s="30" t="str">
        <f aca="false">IF($B388="","",$H388-$G388)</f>
        <v/>
      </c>
      <c r="J388" s="31" t="str">
        <f aca="false">IF(OR($B388="",$G388=0,$G388=""),"",$I388/$G388)</f>
        <v/>
      </c>
      <c r="K388" s="32"/>
      <c r="L388" s="32"/>
      <c r="M388" s="32"/>
      <c r="N388" s="32"/>
      <c r="O388" s="32"/>
      <c r="P388" s="31" t="str">
        <f aca="false">IF(OR($L388="",$N388=""),"",$L388-$N388)</f>
        <v/>
      </c>
      <c r="Q388" s="27" t="str">
        <f aca="false">IF($B388="","",IF(N($H388)&gt;0,"Live","Exited"))</f>
        <v/>
      </c>
      <c r="R388" s="27" t="str">
        <f aca="false">IF($B388="","",IF($L388="","Data Pending",IF($L388&gt;=Instructions!$D$19,"Best Fund",IF($L388&gt;=Instructions!$D$20,"Need to Improve","Not Performing"))))</f>
        <v/>
      </c>
      <c r="S388" s="7" t="str">
        <f aca="false">IF($R388="","",IF($R388="Data Pending","Enter the 3Y return",IF($R388="Best Fund","Hold / consider top-up",IF($R388="Need to Improve","Watch 2 quarters, then decide","Review with client - switch or exit"))))</f>
        <v/>
      </c>
      <c r="T388" s="26"/>
      <c r="U388" s="7" t="str">
        <f aca="false">IF($R388&lt;&gt;"Best Fund","",COUNTIFS($R$6:$R$505,"Best Fund",$L$6:$L$505,"&gt;"&amp;$L388)+COUNTIFS($R$6:$R388,"Best Fund",$L$6:$L388,$L388))</f>
        <v/>
      </c>
      <c r="V388" s="7" t="str">
        <f aca="false">IF($R388&lt;&gt;"Need to Improve","",COUNTIFS($R$6:$R$505,"Need to Improve",$L$6:$L$505,"&lt;"&amp;$L388)+COUNTIFS($R$6:$R388,"Need to Improve",$L$6:$L388,$L388))</f>
        <v/>
      </c>
      <c r="W388" s="7" t="str">
        <f aca="false">IF($R388&lt;&gt;"Not Performing","",COUNTIFS($R$6:$R$505,"Not Performing",$L$6:$L$505,"&lt;"&amp;$L388)+COUNTIFS($R$6:$R388,"Not Performing",$L$6:$L388,$L388))</f>
        <v/>
      </c>
    </row>
    <row r="389" customFormat="false" ht="15" hidden="false" customHeight="true" outlineLevel="0" collapsed="false">
      <c r="A389" s="26"/>
      <c r="B389" s="26"/>
      <c r="C389" s="26"/>
      <c r="D389" s="27" t="str">
        <f aca="false">IF($C389="","",IFERROR(TRIM(LEFT($C389,FIND("-",$C389)-1)),""))</f>
        <v/>
      </c>
      <c r="E389" s="26"/>
      <c r="F389" s="28"/>
      <c r="G389" s="29"/>
      <c r="H389" s="29"/>
      <c r="I389" s="30" t="str">
        <f aca="false">IF($B389="","",$H389-$G389)</f>
        <v/>
      </c>
      <c r="J389" s="31" t="str">
        <f aca="false">IF(OR($B389="",$G389=0,$G389=""),"",$I389/$G389)</f>
        <v/>
      </c>
      <c r="K389" s="32"/>
      <c r="L389" s="32"/>
      <c r="M389" s="32"/>
      <c r="N389" s="32"/>
      <c r="O389" s="32"/>
      <c r="P389" s="31" t="str">
        <f aca="false">IF(OR($L389="",$N389=""),"",$L389-$N389)</f>
        <v/>
      </c>
      <c r="Q389" s="27" t="str">
        <f aca="false">IF($B389="","",IF(N($H389)&gt;0,"Live","Exited"))</f>
        <v/>
      </c>
      <c r="R389" s="27" t="str">
        <f aca="false">IF($B389="","",IF($L389="","Data Pending",IF($L389&gt;=Instructions!$D$19,"Best Fund",IF($L389&gt;=Instructions!$D$20,"Need to Improve","Not Performing"))))</f>
        <v/>
      </c>
      <c r="S389" s="7" t="str">
        <f aca="false">IF($R389="","",IF($R389="Data Pending","Enter the 3Y return",IF($R389="Best Fund","Hold / consider top-up",IF($R389="Need to Improve","Watch 2 quarters, then decide","Review with client - switch or exit"))))</f>
        <v/>
      </c>
      <c r="T389" s="26"/>
      <c r="U389" s="7" t="str">
        <f aca="false">IF($R389&lt;&gt;"Best Fund","",COUNTIFS($R$6:$R$505,"Best Fund",$L$6:$L$505,"&gt;"&amp;$L389)+COUNTIFS($R$6:$R389,"Best Fund",$L$6:$L389,$L389))</f>
        <v/>
      </c>
      <c r="V389" s="7" t="str">
        <f aca="false">IF($R389&lt;&gt;"Need to Improve","",COUNTIFS($R$6:$R$505,"Need to Improve",$L$6:$L$505,"&lt;"&amp;$L389)+COUNTIFS($R$6:$R389,"Need to Improve",$L$6:$L389,$L389))</f>
        <v/>
      </c>
      <c r="W389" s="7" t="str">
        <f aca="false">IF($R389&lt;&gt;"Not Performing","",COUNTIFS($R$6:$R$505,"Not Performing",$L$6:$L$505,"&lt;"&amp;$L389)+COUNTIFS($R$6:$R389,"Not Performing",$L$6:$L389,$L389))</f>
        <v/>
      </c>
    </row>
    <row r="390" customFormat="false" ht="15" hidden="false" customHeight="true" outlineLevel="0" collapsed="false">
      <c r="A390" s="26"/>
      <c r="B390" s="26"/>
      <c r="C390" s="26"/>
      <c r="D390" s="27" t="str">
        <f aca="false">IF($C390="","",IFERROR(TRIM(LEFT($C390,FIND("-",$C390)-1)),""))</f>
        <v/>
      </c>
      <c r="E390" s="26"/>
      <c r="F390" s="28"/>
      <c r="G390" s="29"/>
      <c r="H390" s="29"/>
      <c r="I390" s="30" t="str">
        <f aca="false">IF($B390="","",$H390-$G390)</f>
        <v/>
      </c>
      <c r="J390" s="31" t="str">
        <f aca="false">IF(OR($B390="",$G390=0,$G390=""),"",$I390/$G390)</f>
        <v/>
      </c>
      <c r="K390" s="32"/>
      <c r="L390" s="32"/>
      <c r="M390" s="32"/>
      <c r="N390" s="32"/>
      <c r="O390" s="32"/>
      <c r="P390" s="31" t="str">
        <f aca="false">IF(OR($L390="",$N390=""),"",$L390-$N390)</f>
        <v/>
      </c>
      <c r="Q390" s="27" t="str">
        <f aca="false">IF($B390="","",IF(N($H390)&gt;0,"Live","Exited"))</f>
        <v/>
      </c>
      <c r="R390" s="27" t="str">
        <f aca="false">IF($B390="","",IF($L390="","Data Pending",IF($L390&gt;=Instructions!$D$19,"Best Fund",IF($L390&gt;=Instructions!$D$20,"Need to Improve","Not Performing"))))</f>
        <v/>
      </c>
      <c r="S390" s="7" t="str">
        <f aca="false">IF($R390="","",IF($R390="Data Pending","Enter the 3Y return",IF($R390="Best Fund","Hold / consider top-up",IF($R390="Need to Improve","Watch 2 quarters, then decide","Review with client - switch or exit"))))</f>
        <v/>
      </c>
      <c r="T390" s="26"/>
      <c r="U390" s="7" t="str">
        <f aca="false">IF($R390&lt;&gt;"Best Fund","",COUNTIFS($R$6:$R$505,"Best Fund",$L$6:$L$505,"&gt;"&amp;$L390)+COUNTIFS($R$6:$R390,"Best Fund",$L$6:$L390,$L390))</f>
        <v/>
      </c>
      <c r="V390" s="7" t="str">
        <f aca="false">IF($R390&lt;&gt;"Need to Improve","",COUNTIFS($R$6:$R$505,"Need to Improve",$L$6:$L$505,"&lt;"&amp;$L390)+COUNTIFS($R$6:$R390,"Need to Improve",$L$6:$L390,$L390))</f>
        <v/>
      </c>
      <c r="W390" s="7" t="str">
        <f aca="false">IF($R390&lt;&gt;"Not Performing","",COUNTIFS($R$6:$R$505,"Not Performing",$L$6:$L$505,"&lt;"&amp;$L390)+COUNTIFS($R$6:$R390,"Not Performing",$L$6:$L390,$L390))</f>
        <v/>
      </c>
    </row>
    <row r="391" customFormat="false" ht="15" hidden="false" customHeight="true" outlineLevel="0" collapsed="false">
      <c r="A391" s="26"/>
      <c r="B391" s="26"/>
      <c r="C391" s="26"/>
      <c r="D391" s="27" t="str">
        <f aca="false">IF($C391="","",IFERROR(TRIM(LEFT($C391,FIND("-",$C391)-1)),""))</f>
        <v/>
      </c>
      <c r="E391" s="26"/>
      <c r="F391" s="28"/>
      <c r="G391" s="29"/>
      <c r="H391" s="29"/>
      <c r="I391" s="30" t="str">
        <f aca="false">IF($B391="","",$H391-$G391)</f>
        <v/>
      </c>
      <c r="J391" s="31" t="str">
        <f aca="false">IF(OR($B391="",$G391=0,$G391=""),"",$I391/$G391)</f>
        <v/>
      </c>
      <c r="K391" s="32"/>
      <c r="L391" s="32"/>
      <c r="M391" s="32"/>
      <c r="N391" s="32"/>
      <c r="O391" s="32"/>
      <c r="P391" s="31" t="str">
        <f aca="false">IF(OR($L391="",$N391=""),"",$L391-$N391)</f>
        <v/>
      </c>
      <c r="Q391" s="27" t="str">
        <f aca="false">IF($B391="","",IF(N($H391)&gt;0,"Live","Exited"))</f>
        <v/>
      </c>
      <c r="R391" s="27" t="str">
        <f aca="false">IF($B391="","",IF($L391="","Data Pending",IF($L391&gt;=Instructions!$D$19,"Best Fund",IF($L391&gt;=Instructions!$D$20,"Need to Improve","Not Performing"))))</f>
        <v/>
      </c>
      <c r="S391" s="7" t="str">
        <f aca="false">IF($R391="","",IF($R391="Data Pending","Enter the 3Y return",IF($R391="Best Fund","Hold / consider top-up",IF($R391="Need to Improve","Watch 2 quarters, then decide","Review with client - switch or exit"))))</f>
        <v/>
      </c>
      <c r="T391" s="26"/>
      <c r="U391" s="7" t="str">
        <f aca="false">IF($R391&lt;&gt;"Best Fund","",COUNTIFS($R$6:$R$505,"Best Fund",$L$6:$L$505,"&gt;"&amp;$L391)+COUNTIFS($R$6:$R391,"Best Fund",$L$6:$L391,$L391))</f>
        <v/>
      </c>
      <c r="V391" s="7" t="str">
        <f aca="false">IF($R391&lt;&gt;"Need to Improve","",COUNTIFS($R$6:$R$505,"Need to Improve",$L$6:$L$505,"&lt;"&amp;$L391)+COUNTIFS($R$6:$R391,"Need to Improve",$L$6:$L391,$L391))</f>
        <v/>
      </c>
      <c r="W391" s="7" t="str">
        <f aca="false">IF($R391&lt;&gt;"Not Performing","",COUNTIFS($R$6:$R$505,"Not Performing",$L$6:$L$505,"&lt;"&amp;$L391)+COUNTIFS($R$6:$R391,"Not Performing",$L$6:$L391,$L391))</f>
        <v/>
      </c>
    </row>
    <row r="392" customFormat="false" ht="15" hidden="false" customHeight="true" outlineLevel="0" collapsed="false">
      <c r="A392" s="26"/>
      <c r="B392" s="26"/>
      <c r="C392" s="26"/>
      <c r="D392" s="27" t="str">
        <f aca="false">IF($C392="","",IFERROR(TRIM(LEFT($C392,FIND("-",$C392)-1)),""))</f>
        <v/>
      </c>
      <c r="E392" s="26"/>
      <c r="F392" s="28"/>
      <c r="G392" s="29"/>
      <c r="H392" s="29"/>
      <c r="I392" s="30" t="str">
        <f aca="false">IF($B392="","",$H392-$G392)</f>
        <v/>
      </c>
      <c r="J392" s="31" t="str">
        <f aca="false">IF(OR($B392="",$G392=0,$G392=""),"",$I392/$G392)</f>
        <v/>
      </c>
      <c r="K392" s="32"/>
      <c r="L392" s="32"/>
      <c r="M392" s="32"/>
      <c r="N392" s="32"/>
      <c r="O392" s="32"/>
      <c r="P392" s="31" t="str">
        <f aca="false">IF(OR($L392="",$N392=""),"",$L392-$N392)</f>
        <v/>
      </c>
      <c r="Q392" s="27" t="str">
        <f aca="false">IF($B392="","",IF(N($H392)&gt;0,"Live","Exited"))</f>
        <v/>
      </c>
      <c r="R392" s="27" t="str">
        <f aca="false">IF($B392="","",IF($L392="","Data Pending",IF($L392&gt;=Instructions!$D$19,"Best Fund",IF($L392&gt;=Instructions!$D$20,"Need to Improve","Not Performing"))))</f>
        <v/>
      </c>
      <c r="S392" s="7" t="str">
        <f aca="false">IF($R392="","",IF($R392="Data Pending","Enter the 3Y return",IF($R392="Best Fund","Hold / consider top-up",IF($R392="Need to Improve","Watch 2 quarters, then decide","Review with client - switch or exit"))))</f>
        <v/>
      </c>
      <c r="T392" s="26"/>
      <c r="U392" s="7" t="str">
        <f aca="false">IF($R392&lt;&gt;"Best Fund","",COUNTIFS($R$6:$R$505,"Best Fund",$L$6:$L$505,"&gt;"&amp;$L392)+COUNTIFS($R$6:$R392,"Best Fund",$L$6:$L392,$L392))</f>
        <v/>
      </c>
      <c r="V392" s="7" t="str">
        <f aca="false">IF($R392&lt;&gt;"Need to Improve","",COUNTIFS($R$6:$R$505,"Need to Improve",$L$6:$L$505,"&lt;"&amp;$L392)+COUNTIFS($R$6:$R392,"Need to Improve",$L$6:$L392,$L392))</f>
        <v/>
      </c>
      <c r="W392" s="7" t="str">
        <f aca="false">IF($R392&lt;&gt;"Not Performing","",COUNTIFS($R$6:$R$505,"Not Performing",$L$6:$L$505,"&lt;"&amp;$L392)+COUNTIFS($R$6:$R392,"Not Performing",$L$6:$L392,$L392))</f>
        <v/>
      </c>
    </row>
    <row r="393" customFormat="false" ht="15" hidden="false" customHeight="true" outlineLevel="0" collapsed="false">
      <c r="A393" s="26"/>
      <c r="B393" s="26"/>
      <c r="C393" s="26"/>
      <c r="D393" s="27" t="str">
        <f aca="false">IF($C393="","",IFERROR(TRIM(LEFT($C393,FIND("-",$C393)-1)),""))</f>
        <v/>
      </c>
      <c r="E393" s="26"/>
      <c r="F393" s="28"/>
      <c r="G393" s="29"/>
      <c r="H393" s="29"/>
      <c r="I393" s="30" t="str">
        <f aca="false">IF($B393="","",$H393-$G393)</f>
        <v/>
      </c>
      <c r="J393" s="31" t="str">
        <f aca="false">IF(OR($B393="",$G393=0,$G393=""),"",$I393/$G393)</f>
        <v/>
      </c>
      <c r="K393" s="32"/>
      <c r="L393" s="32"/>
      <c r="M393" s="32"/>
      <c r="N393" s="32"/>
      <c r="O393" s="32"/>
      <c r="P393" s="31" t="str">
        <f aca="false">IF(OR($L393="",$N393=""),"",$L393-$N393)</f>
        <v/>
      </c>
      <c r="Q393" s="27" t="str">
        <f aca="false">IF($B393="","",IF(N($H393)&gt;0,"Live","Exited"))</f>
        <v/>
      </c>
      <c r="R393" s="27" t="str">
        <f aca="false">IF($B393="","",IF($L393="","Data Pending",IF($L393&gt;=Instructions!$D$19,"Best Fund",IF($L393&gt;=Instructions!$D$20,"Need to Improve","Not Performing"))))</f>
        <v/>
      </c>
      <c r="S393" s="7" t="str">
        <f aca="false">IF($R393="","",IF($R393="Data Pending","Enter the 3Y return",IF($R393="Best Fund","Hold / consider top-up",IF($R393="Need to Improve","Watch 2 quarters, then decide","Review with client - switch or exit"))))</f>
        <v/>
      </c>
      <c r="T393" s="26"/>
      <c r="U393" s="7" t="str">
        <f aca="false">IF($R393&lt;&gt;"Best Fund","",COUNTIFS($R$6:$R$505,"Best Fund",$L$6:$L$505,"&gt;"&amp;$L393)+COUNTIFS($R$6:$R393,"Best Fund",$L$6:$L393,$L393))</f>
        <v/>
      </c>
      <c r="V393" s="7" t="str">
        <f aca="false">IF($R393&lt;&gt;"Need to Improve","",COUNTIFS($R$6:$R$505,"Need to Improve",$L$6:$L$505,"&lt;"&amp;$L393)+COUNTIFS($R$6:$R393,"Need to Improve",$L$6:$L393,$L393))</f>
        <v/>
      </c>
      <c r="W393" s="7" t="str">
        <f aca="false">IF($R393&lt;&gt;"Not Performing","",COUNTIFS($R$6:$R$505,"Not Performing",$L$6:$L$505,"&lt;"&amp;$L393)+COUNTIFS($R$6:$R393,"Not Performing",$L$6:$L393,$L393))</f>
        <v/>
      </c>
    </row>
    <row r="394" customFormat="false" ht="15" hidden="false" customHeight="true" outlineLevel="0" collapsed="false">
      <c r="A394" s="26"/>
      <c r="B394" s="26"/>
      <c r="C394" s="26"/>
      <c r="D394" s="27" t="str">
        <f aca="false">IF($C394="","",IFERROR(TRIM(LEFT($C394,FIND("-",$C394)-1)),""))</f>
        <v/>
      </c>
      <c r="E394" s="26"/>
      <c r="F394" s="28"/>
      <c r="G394" s="29"/>
      <c r="H394" s="29"/>
      <c r="I394" s="30" t="str">
        <f aca="false">IF($B394="","",$H394-$G394)</f>
        <v/>
      </c>
      <c r="J394" s="31" t="str">
        <f aca="false">IF(OR($B394="",$G394=0,$G394=""),"",$I394/$G394)</f>
        <v/>
      </c>
      <c r="K394" s="32"/>
      <c r="L394" s="32"/>
      <c r="M394" s="32"/>
      <c r="N394" s="32"/>
      <c r="O394" s="32"/>
      <c r="P394" s="31" t="str">
        <f aca="false">IF(OR($L394="",$N394=""),"",$L394-$N394)</f>
        <v/>
      </c>
      <c r="Q394" s="27" t="str">
        <f aca="false">IF($B394="","",IF(N($H394)&gt;0,"Live","Exited"))</f>
        <v/>
      </c>
      <c r="R394" s="27" t="str">
        <f aca="false">IF($B394="","",IF($L394="","Data Pending",IF($L394&gt;=Instructions!$D$19,"Best Fund",IF($L394&gt;=Instructions!$D$20,"Need to Improve","Not Performing"))))</f>
        <v/>
      </c>
      <c r="S394" s="7" t="str">
        <f aca="false">IF($R394="","",IF($R394="Data Pending","Enter the 3Y return",IF($R394="Best Fund","Hold / consider top-up",IF($R394="Need to Improve","Watch 2 quarters, then decide","Review with client - switch or exit"))))</f>
        <v/>
      </c>
      <c r="T394" s="26"/>
      <c r="U394" s="7" t="str">
        <f aca="false">IF($R394&lt;&gt;"Best Fund","",COUNTIFS($R$6:$R$505,"Best Fund",$L$6:$L$505,"&gt;"&amp;$L394)+COUNTIFS($R$6:$R394,"Best Fund",$L$6:$L394,$L394))</f>
        <v/>
      </c>
      <c r="V394" s="7" t="str">
        <f aca="false">IF($R394&lt;&gt;"Need to Improve","",COUNTIFS($R$6:$R$505,"Need to Improve",$L$6:$L$505,"&lt;"&amp;$L394)+COUNTIFS($R$6:$R394,"Need to Improve",$L$6:$L394,$L394))</f>
        <v/>
      </c>
      <c r="W394" s="7" t="str">
        <f aca="false">IF($R394&lt;&gt;"Not Performing","",COUNTIFS($R$6:$R$505,"Not Performing",$L$6:$L$505,"&lt;"&amp;$L394)+COUNTIFS($R$6:$R394,"Not Performing",$L$6:$L394,$L394))</f>
        <v/>
      </c>
    </row>
    <row r="395" customFormat="false" ht="15" hidden="false" customHeight="true" outlineLevel="0" collapsed="false">
      <c r="A395" s="26"/>
      <c r="B395" s="26"/>
      <c r="C395" s="26"/>
      <c r="D395" s="27" t="str">
        <f aca="false">IF($C395="","",IFERROR(TRIM(LEFT($C395,FIND("-",$C395)-1)),""))</f>
        <v/>
      </c>
      <c r="E395" s="26"/>
      <c r="F395" s="28"/>
      <c r="G395" s="29"/>
      <c r="H395" s="29"/>
      <c r="I395" s="30" t="str">
        <f aca="false">IF($B395="","",$H395-$G395)</f>
        <v/>
      </c>
      <c r="J395" s="31" t="str">
        <f aca="false">IF(OR($B395="",$G395=0,$G395=""),"",$I395/$G395)</f>
        <v/>
      </c>
      <c r="K395" s="32"/>
      <c r="L395" s="32"/>
      <c r="M395" s="32"/>
      <c r="N395" s="32"/>
      <c r="O395" s="32"/>
      <c r="P395" s="31" t="str">
        <f aca="false">IF(OR($L395="",$N395=""),"",$L395-$N395)</f>
        <v/>
      </c>
      <c r="Q395" s="27" t="str">
        <f aca="false">IF($B395="","",IF(N($H395)&gt;0,"Live","Exited"))</f>
        <v/>
      </c>
      <c r="R395" s="27" t="str">
        <f aca="false">IF($B395="","",IF($L395="","Data Pending",IF($L395&gt;=Instructions!$D$19,"Best Fund",IF($L395&gt;=Instructions!$D$20,"Need to Improve","Not Performing"))))</f>
        <v/>
      </c>
      <c r="S395" s="7" t="str">
        <f aca="false">IF($R395="","",IF($R395="Data Pending","Enter the 3Y return",IF($R395="Best Fund","Hold / consider top-up",IF($R395="Need to Improve","Watch 2 quarters, then decide","Review with client - switch or exit"))))</f>
        <v/>
      </c>
      <c r="T395" s="26"/>
      <c r="U395" s="7" t="str">
        <f aca="false">IF($R395&lt;&gt;"Best Fund","",COUNTIFS($R$6:$R$505,"Best Fund",$L$6:$L$505,"&gt;"&amp;$L395)+COUNTIFS($R$6:$R395,"Best Fund",$L$6:$L395,$L395))</f>
        <v/>
      </c>
      <c r="V395" s="7" t="str">
        <f aca="false">IF($R395&lt;&gt;"Need to Improve","",COUNTIFS($R$6:$R$505,"Need to Improve",$L$6:$L$505,"&lt;"&amp;$L395)+COUNTIFS($R$6:$R395,"Need to Improve",$L$6:$L395,$L395))</f>
        <v/>
      </c>
      <c r="W395" s="7" t="str">
        <f aca="false">IF($R395&lt;&gt;"Not Performing","",COUNTIFS($R$6:$R$505,"Not Performing",$L$6:$L$505,"&lt;"&amp;$L395)+COUNTIFS($R$6:$R395,"Not Performing",$L$6:$L395,$L395))</f>
        <v/>
      </c>
    </row>
    <row r="396" customFormat="false" ht="15" hidden="false" customHeight="true" outlineLevel="0" collapsed="false">
      <c r="A396" s="26"/>
      <c r="B396" s="26"/>
      <c r="C396" s="26"/>
      <c r="D396" s="27" t="str">
        <f aca="false">IF($C396="","",IFERROR(TRIM(LEFT($C396,FIND("-",$C396)-1)),""))</f>
        <v/>
      </c>
      <c r="E396" s="26"/>
      <c r="F396" s="28"/>
      <c r="G396" s="29"/>
      <c r="H396" s="29"/>
      <c r="I396" s="30" t="str">
        <f aca="false">IF($B396="","",$H396-$G396)</f>
        <v/>
      </c>
      <c r="J396" s="31" t="str">
        <f aca="false">IF(OR($B396="",$G396=0,$G396=""),"",$I396/$G396)</f>
        <v/>
      </c>
      <c r="K396" s="32"/>
      <c r="L396" s="32"/>
      <c r="M396" s="32"/>
      <c r="N396" s="32"/>
      <c r="O396" s="32"/>
      <c r="P396" s="31" t="str">
        <f aca="false">IF(OR($L396="",$N396=""),"",$L396-$N396)</f>
        <v/>
      </c>
      <c r="Q396" s="27" t="str">
        <f aca="false">IF($B396="","",IF(N($H396)&gt;0,"Live","Exited"))</f>
        <v/>
      </c>
      <c r="R396" s="27" t="str">
        <f aca="false">IF($B396="","",IF($L396="","Data Pending",IF($L396&gt;=Instructions!$D$19,"Best Fund",IF($L396&gt;=Instructions!$D$20,"Need to Improve","Not Performing"))))</f>
        <v/>
      </c>
      <c r="S396" s="7" t="str">
        <f aca="false">IF($R396="","",IF($R396="Data Pending","Enter the 3Y return",IF($R396="Best Fund","Hold / consider top-up",IF($R396="Need to Improve","Watch 2 quarters, then decide","Review with client - switch or exit"))))</f>
        <v/>
      </c>
      <c r="T396" s="26"/>
      <c r="U396" s="7" t="str">
        <f aca="false">IF($R396&lt;&gt;"Best Fund","",COUNTIFS($R$6:$R$505,"Best Fund",$L$6:$L$505,"&gt;"&amp;$L396)+COUNTIFS($R$6:$R396,"Best Fund",$L$6:$L396,$L396))</f>
        <v/>
      </c>
      <c r="V396" s="7" t="str">
        <f aca="false">IF($R396&lt;&gt;"Need to Improve","",COUNTIFS($R$6:$R$505,"Need to Improve",$L$6:$L$505,"&lt;"&amp;$L396)+COUNTIFS($R$6:$R396,"Need to Improve",$L$6:$L396,$L396))</f>
        <v/>
      </c>
      <c r="W396" s="7" t="str">
        <f aca="false">IF($R396&lt;&gt;"Not Performing","",COUNTIFS($R$6:$R$505,"Not Performing",$L$6:$L$505,"&lt;"&amp;$L396)+COUNTIFS($R$6:$R396,"Not Performing",$L$6:$L396,$L396))</f>
        <v/>
      </c>
    </row>
    <row r="397" customFormat="false" ht="15" hidden="false" customHeight="true" outlineLevel="0" collapsed="false">
      <c r="A397" s="26"/>
      <c r="B397" s="26"/>
      <c r="C397" s="26"/>
      <c r="D397" s="27" t="str">
        <f aca="false">IF($C397="","",IFERROR(TRIM(LEFT($C397,FIND("-",$C397)-1)),""))</f>
        <v/>
      </c>
      <c r="E397" s="26"/>
      <c r="F397" s="28"/>
      <c r="G397" s="29"/>
      <c r="H397" s="29"/>
      <c r="I397" s="30" t="str">
        <f aca="false">IF($B397="","",$H397-$G397)</f>
        <v/>
      </c>
      <c r="J397" s="31" t="str">
        <f aca="false">IF(OR($B397="",$G397=0,$G397=""),"",$I397/$G397)</f>
        <v/>
      </c>
      <c r="K397" s="32"/>
      <c r="L397" s="32"/>
      <c r="M397" s="32"/>
      <c r="N397" s="32"/>
      <c r="O397" s="32"/>
      <c r="P397" s="31" t="str">
        <f aca="false">IF(OR($L397="",$N397=""),"",$L397-$N397)</f>
        <v/>
      </c>
      <c r="Q397" s="27" t="str">
        <f aca="false">IF($B397="","",IF(N($H397)&gt;0,"Live","Exited"))</f>
        <v/>
      </c>
      <c r="R397" s="27" t="str">
        <f aca="false">IF($B397="","",IF($L397="","Data Pending",IF($L397&gt;=Instructions!$D$19,"Best Fund",IF($L397&gt;=Instructions!$D$20,"Need to Improve","Not Performing"))))</f>
        <v/>
      </c>
      <c r="S397" s="7" t="str">
        <f aca="false">IF($R397="","",IF($R397="Data Pending","Enter the 3Y return",IF($R397="Best Fund","Hold / consider top-up",IF($R397="Need to Improve","Watch 2 quarters, then decide","Review with client - switch or exit"))))</f>
        <v/>
      </c>
      <c r="T397" s="26"/>
      <c r="U397" s="7" t="str">
        <f aca="false">IF($R397&lt;&gt;"Best Fund","",COUNTIFS($R$6:$R$505,"Best Fund",$L$6:$L$505,"&gt;"&amp;$L397)+COUNTIFS($R$6:$R397,"Best Fund",$L$6:$L397,$L397))</f>
        <v/>
      </c>
      <c r="V397" s="7" t="str">
        <f aca="false">IF($R397&lt;&gt;"Need to Improve","",COUNTIFS($R$6:$R$505,"Need to Improve",$L$6:$L$505,"&lt;"&amp;$L397)+COUNTIFS($R$6:$R397,"Need to Improve",$L$6:$L397,$L397))</f>
        <v/>
      </c>
      <c r="W397" s="7" t="str">
        <f aca="false">IF($R397&lt;&gt;"Not Performing","",COUNTIFS($R$6:$R$505,"Not Performing",$L$6:$L$505,"&lt;"&amp;$L397)+COUNTIFS($R$6:$R397,"Not Performing",$L$6:$L397,$L397))</f>
        <v/>
      </c>
    </row>
    <row r="398" customFormat="false" ht="15" hidden="false" customHeight="true" outlineLevel="0" collapsed="false">
      <c r="A398" s="26"/>
      <c r="B398" s="26"/>
      <c r="C398" s="26"/>
      <c r="D398" s="27" t="str">
        <f aca="false">IF($C398="","",IFERROR(TRIM(LEFT($C398,FIND("-",$C398)-1)),""))</f>
        <v/>
      </c>
      <c r="E398" s="26"/>
      <c r="F398" s="28"/>
      <c r="G398" s="29"/>
      <c r="H398" s="29"/>
      <c r="I398" s="30" t="str">
        <f aca="false">IF($B398="","",$H398-$G398)</f>
        <v/>
      </c>
      <c r="J398" s="31" t="str">
        <f aca="false">IF(OR($B398="",$G398=0,$G398=""),"",$I398/$G398)</f>
        <v/>
      </c>
      <c r="K398" s="32"/>
      <c r="L398" s="32"/>
      <c r="M398" s="32"/>
      <c r="N398" s="32"/>
      <c r="O398" s="32"/>
      <c r="P398" s="31" t="str">
        <f aca="false">IF(OR($L398="",$N398=""),"",$L398-$N398)</f>
        <v/>
      </c>
      <c r="Q398" s="27" t="str">
        <f aca="false">IF($B398="","",IF(N($H398)&gt;0,"Live","Exited"))</f>
        <v/>
      </c>
      <c r="R398" s="27" t="str">
        <f aca="false">IF($B398="","",IF($L398="","Data Pending",IF($L398&gt;=Instructions!$D$19,"Best Fund",IF($L398&gt;=Instructions!$D$20,"Need to Improve","Not Performing"))))</f>
        <v/>
      </c>
      <c r="S398" s="7" t="str">
        <f aca="false">IF($R398="","",IF($R398="Data Pending","Enter the 3Y return",IF($R398="Best Fund","Hold / consider top-up",IF($R398="Need to Improve","Watch 2 quarters, then decide","Review with client - switch or exit"))))</f>
        <v/>
      </c>
      <c r="T398" s="26"/>
      <c r="U398" s="7" t="str">
        <f aca="false">IF($R398&lt;&gt;"Best Fund","",COUNTIFS($R$6:$R$505,"Best Fund",$L$6:$L$505,"&gt;"&amp;$L398)+COUNTIFS($R$6:$R398,"Best Fund",$L$6:$L398,$L398))</f>
        <v/>
      </c>
      <c r="V398" s="7" t="str">
        <f aca="false">IF($R398&lt;&gt;"Need to Improve","",COUNTIFS($R$6:$R$505,"Need to Improve",$L$6:$L$505,"&lt;"&amp;$L398)+COUNTIFS($R$6:$R398,"Need to Improve",$L$6:$L398,$L398))</f>
        <v/>
      </c>
      <c r="W398" s="7" t="str">
        <f aca="false">IF($R398&lt;&gt;"Not Performing","",COUNTIFS($R$6:$R$505,"Not Performing",$L$6:$L$505,"&lt;"&amp;$L398)+COUNTIFS($R$6:$R398,"Not Performing",$L$6:$L398,$L398))</f>
        <v/>
      </c>
    </row>
    <row r="399" customFormat="false" ht="15" hidden="false" customHeight="true" outlineLevel="0" collapsed="false">
      <c r="A399" s="26"/>
      <c r="B399" s="26"/>
      <c r="C399" s="26"/>
      <c r="D399" s="27" t="str">
        <f aca="false">IF($C399="","",IFERROR(TRIM(LEFT($C399,FIND("-",$C399)-1)),""))</f>
        <v/>
      </c>
      <c r="E399" s="26"/>
      <c r="F399" s="28"/>
      <c r="G399" s="29"/>
      <c r="H399" s="29"/>
      <c r="I399" s="30" t="str">
        <f aca="false">IF($B399="","",$H399-$G399)</f>
        <v/>
      </c>
      <c r="J399" s="31" t="str">
        <f aca="false">IF(OR($B399="",$G399=0,$G399=""),"",$I399/$G399)</f>
        <v/>
      </c>
      <c r="K399" s="32"/>
      <c r="L399" s="32"/>
      <c r="M399" s="32"/>
      <c r="N399" s="32"/>
      <c r="O399" s="32"/>
      <c r="P399" s="31" t="str">
        <f aca="false">IF(OR($L399="",$N399=""),"",$L399-$N399)</f>
        <v/>
      </c>
      <c r="Q399" s="27" t="str">
        <f aca="false">IF($B399="","",IF(N($H399)&gt;0,"Live","Exited"))</f>
        <v/>
      </c>
      <c r="R399" s="27" t="str">
        <f aca="false">IF($B399="","",IF($L399="","Data Pending",IF($L399&gt;=Instructions!$D$19,"Best Fund",IF($L399&gt;=Instructions!$D$20,"Need to Improve","Not Performing"))))</f>
        <v/>
      </c>
      <c r="S399" s="7" t="str">
        <f aca="false">IF($R399="","",IF($R399="Data Pending","Enter the 3Y return",IF($R399="Best Fund","Hold / consider top-up",IF($R399="Need to Improve","Watch 2 quarters, then decide","Review with client - switch or exit"))))</f>
        <v/>
      </c>
      <c r="T399" s="26"/>
      <c r="U399" s="7" t="str">
        <f aca="false">IF($R399&lt;&gt;"Best Fund","",COUNTIFS($R$6:$R$505,"Best Fund",$L$6:$L$505,"&gt;"&amp;$L399)+COUNTIFS($R$6:$R399,"Best Fund",$L$6:$L399,$L399))</f>
        <v/>
      </c>
      <c r="V399" s="7" t="str">
        <f aca="false">IF($R399&lt;&gt;"Need to Improve","",COUNTIFS($R$6:$R$505,"Need to Improve",$L$6:$L$505,"&lt;"&amp;$L399)+COUNTIFS($R$6:$R399,"Need to Improve",$L$6:$L399,$L399))</f>
        <v/>
      </c>
      <c r="W399" s="7" t="str">
        <f aca="false">IF($R399&lt;&gt;"Not Performing","",COUNTIFS($R$6:$R$505,"Not Performing",$L$6:$L$505,"&lt;"&amp;$L399)+COUNTIFS($R$6:$R399,"Not Performing",$L$6:$L399,$L399))</f>
        <v/>
      </c>
    </row>
    <row r="400" customFormat="false" ht="15" hidden="false" customHeight="true" outlineLevel="0" collapsed="false">
      <c r="A400" s="26"/>
      <c r="B400" s="26"/>
      <c r="C400" s="26"/>
      <c r="D400" s="27" t="str">
        <f aca="false">IF($C400="","",IFERROR(TRIM(LEFT($C400,FIND("-",$C400)-1)),""))</f>
        <v/>
      </c>
      <c r="E400" s="26"/>
      <c r="F400" s="28"/>
      <c r="G400" s="29"/>
      <c r="H400" s="29"/>
      <c r="I400" s="30" t="str">
        <f aca="false">IF($B400="","",$H400-$G400)</f>
        <v/>
      </c>
      <c r="J400" s="31" t="str">
        <f aca="false">IF(OR($B400="",$G400=0,$G400=""),"",$I400/$G400)</f>
        <v/>
      </c>
      <c r="K400" s="32"/>
      <c r="L400" s="32"/>
      <c r="M400" s="32"/>
      <c r="N400" s="32"/>
      <c r="O400" s="32"/>
      <c r="P400" s="31" t="str">
        <f aca="false">IF(OR($L400="",$N400=""),"",$L400-$N400)</f>
        <v/>
      </c>
      <c r="Q400" s="27" t="str">
        <f aca="false">IF($B400="","",IF(N($H400)&gt;0,"Live","Exited"))</f>
        <v/>
      </c>
      <c r="R400" s="27" t="str">
        <f aca="false">IF($B400="","",IF($L400="","Data Pending",IF($L400&gt;=Instructions!$D$19,"Best Fund",IF($L400&gt;=Instructions!$D$20,"Need to Improve","Not Performing"))))</f>
        <v/>
      </c>
      <c r="S400" s="7" t="str">
        <f aca="false">IF($R400="","",IF($R400="Data Pending","Enter the 3Y return",IF($R400="Best Fund","Hold / consider top-up",IF($R400="Need to Improve","Watch 2 quarters, then decide","Review with client - switch or exit"))))</f>
        <v/>
      </c>
      <c r="T400" s="26"/>
      <c r="U400" s="7" t="str">
        <f aca="false">IF($R400&lt;&gt;"Best Fund","",COUNTIFS($R$6:$R$505,"Best Fund",$L$6:$L$505,"&gt;"&amp;$L400)+COUNTIFS($R$6:$R400,"Best Fund",$L$6:$L400,$L400))</f>
        <v/>
      </c>
      <c r="V400" s="7" t="str">
        <f aca="false">IF($R400&lt;&gt;"Need to Improve","",COUNTIFS($R$6:$R$505,"Need to Improve",$L$6:$L$505,"&lt;"&amp;$L400)+COUNTIFS($R$6:$R400,"Need to Improve",$L$6:$L400,$L400))</f>
        <v/>
      </c>
      <c r="W400" s="7" t="str">
        <f aca="false">IF($R400&lt;&gt;"Not Performing","",COUNTIFS($R$6:$R$505,"Not Performing",$L$6:$L$505,"&lt;"&amp;$L400)+COUNTIFS($R$6:$R400,"Not Performing",$L$6:$L400,$L400))</f>
        <v/>
      </c>
    </row>
    <row r="401" customFormat="false" ht="15" hidden="false" customHeight="true" outlineLevel="0" collapsed="false">
      <c r="A401" s="26"/>
      <c r="B401" s="26"/>
      <c r="C401" s="26"/>
      <c r="D401" s="27" t="str">
        <f aca="false">IF($C401="","",IFERROR(TRIM(LEFT($C401,FIND("-",$C401)-1)),""))</f>
        <v/>
      </c>
      <c r="E401" s="26"/>
      <c r="F401" s="28"/>
      <c r="G401" s="29"/>
      <c r="H401" s="29"/>
      <c r="I401" s="30" t="str">
        <f aca="false">IF($B401="","",$H401-$G401)</f>
        <v/>
      </c>
      <c r="J401" s="31" t="str">
        <f aca="false">IF(OR($B401="",$G401=0,$G401=""),"",$I401/$G401)</f>
        <v/>
      </c>
      <c r="K401" s="32"/>
      <c r="L401" s="32"/>
      <c r="M401" s="32"/>
      <c r="N401" s="32"/>
      <c r="O401" s="32"/>
      <c r="P401" s="31" t="str">
        <f aca="false">IF(OR($L401="",$N401=""),"",$L401-$N401)</f>
        <v/>
      </c>
      <c r="Q401" s="27" t="str">
        <f aca="false">IF($B401="","",IF(N($H401)&gt;0,"Live","Exited"))</f>
        <v/>
      </c>
      <c r="R401" s="27" t="str">
        <f aca="false">IF($B401="","",IF($L401="","Data Pending",IF($L401&gt;=Instructions!$D$19,"Best Fund",IF($L401&gt;=Instructions!$D$20,"Need to Improve","Not Performing"))))</f>
        <v/>
      </c>
      <c r="S401" s="7" t="str">
        <f aca="false">IF($R401="","",IF($R401="Data Pending","Enter the 3Y return",IF($R401="Best Fund","Hold / consider top-up",IF($R401="Need to Improve","Watch 2 quarters, then decide","Review with client - switch or exit"))))</f>
        <v/>
      </c>
      <c r="T401" s="26"/>
      <c r="U401" s="7" t="str">
        <f aca="false">IF($R401&lt;&gt;"Best Fund","",COUNTIFS($R$6:$R$505,"Best Fund",$L$6:$L$505,"&gt;"&amp;$L401)+COUNTIFS($R$6:$R401,"Best Fund",$L$6:$L401,$L401))</f>
        <v/>
      </c>
      <c r="V401" s="7" t="str">
        <f aca="false">IF($R401&lt;&gt;"Need to Improve","",COUNTIFS($R$6:$R$505,"Need to Improve",$L$6:$L$505,"&lt;"&amp;$L401)+COUNTIFS($R$6:$R401,"Need to Improve",$L$6:$L401,$L401))</f>
        <v/>
      </c>
      <c r="W401" s="7" t="str">
        <f aca="false">IF($R401&lt;&gt;"Not Performing","",COUNTIFS($R$6:$R$505,"Not Performing",$L$6:$L$505,"&lt;"&amp;$L401)+COUNTIFS($R$6:$R401,"Not Performing",$L$6:$L401,$L401))</f>
        <v/>
      </c>
    </row>
    <row r="402" customFormat="false" ht="15" hidden="false" customHeight="true" outlineLevel="0" collapsed="false">
      <c r="A402" s="26"/>
      <c r="B402" s="26"/>
      <c r="C402" s="26"/>
      <c r="D402" s="27" t="str">
        <f aca="false">IF($C402="","",IFERROR(TRIM(LEFT($C402,FIND("-",$C402)-1)),""))</f>
        <v/>
      </c>
      <c r="E402" s="26"/>
      <c r="F402" s="28"/>
      <c r="G402" s="29"/>
      <c r="H402" s="29"/>
      <c r="I402" s="30" t="str">
        <f aca="false">IF($B402="","",$H402-$G402)</f>
        <v/>
      </c>
      <c r="J402" s="31" t="str">
        <f aca="false">IF(OR($B402="",$G402=0,$G402=""),"",$I402/$G402)</f>
        <v/>
      </c>
      <c r="K402" s="32"/>
      <c r="L402" s="32"/>
      <c r="M402" s="32"/>
      <c r="N402" s="32"/>
      <c r="O402" s="32"/>
      <c r="P402" s="31" t="str">
        <f aca="false">IF(OR($L402="",$N402=""),"",$L402-$N402)</f>
        <v/>
      </c>
      <c r="Q402" s="27" t="str">
        <f aca="false">IF($B402="","",IF(N($H402)&gt;0,"Live","Exited"))</f>
        <v/>
      </c>
      <c r="R402" s="27" t="str">
        <f aca="false">IF($B402="","",IF($L402="","Data Pending",IF($L402&gt;=Instructions!$D$19,"Best Fund",IF($L402&gt;=Instructions!$D$20,"Need to Improve","Not Performing"))))</f>
        <v/>
      </c>
      <c r="S402" s="7" t="str">
        <f aca="false">IF($R402="","",IF($R402="Data Pending","Enter the 3Y return",IF($R402="Best Fund","Hold / consider top-up",IF($R402="Need to Improve","Watch 2 quarters, then decide","Review with client - switch or exit"))))</f>
        <v/>
      </c>
      <c r="T402" s="26"/>
      <c r="U402" s="7" t="str">
        <f aca="false">IF($R402&lt;&gt;"Best Fund","",COUNTIFS($R$6:$R$505,"Best Fund",$L$6:$L$505,"&gt;"&amp;$L402)+COUNTIFS($R$6:$R402,"Best Fund",$L$6:$L402,$L402))</f>
        <v/>
      </c>
      <c r="V402" s="7" t="str">
        <f aca="false">IF($R402&lt;&gt;"Need to Improve","",COUNTIFS($R$6:$R$505,"Need to Improve",$L$6:$L$505,"&lt;"&amp;$L402)+COUNTIFS($R$6:$R402,"Need to Improve",$L$6:$L402,$L402))</f>
        <v/>
      </c>
      <c r="W402" s="7" t="str">
        <f aca="false">IF($R402&lt;&gt;"Not Performing","",COUNTIFS($R$6:$R$505,"Not Performing",$L$6:$L$505,"&lt;"&amp;$L402)+COUNTIFS($R$6:$R402,"Not Performing",$L$6:$L402,$L402))</f>
        <v/>
      </c>
    </row>
    <row r="403" customFormat="false" ht="15" hidden="false" customHeight="true" outlineLevel="0" collapsed="false">
      <c r="A403" s="26"/>
      <c r="B403" s="26"/>
      <c r="C403" s="26"/>
      <c r="D403" s="27" t="str">
        <f aca="false">IF($C403="","",IFERROR(TRIM(LEFT($C403,FIND("-",$C403)-1)),""))</f>
        <v/>
      </c>
      <c r="E403" s="26"/>
      <c r="F403" s="28"/>
      <c r="G403" s="29"/>
      <c r="H403" s="29"/>
      <c r="I403" s="30" t="str">
        <f aca="false">IF($B403="","",$H403-$G403)</f>
        <v/>
      </c>
      <c r="J403" s="31" t="str">
        <f aca="false">IF(OR($B403="",$G403=0,$G403=""),"",$I403/$G403)</f>
        <v/>
      </c>
      <c r="K403" s="32"/>
      <c r="L403" s="32"/>
      <c r="M403" s="32"/>
      <c r="N403" s="32"/>
      <c r="O403" s="32"/>
      <c r="P403" s="31" t="str">
        <f aca="false">IF(OR($L403="",$N403=""),"",$L403-$N403)</f>
        <v/>
      </c>
      <c r="Q403" s="27" t="str">
        <f aca="false">IF($B403="","",IF(N($H403)&gt;0,"Live","Exited"))</f>
        <v/>
      </c>
      <c r="R403" s="27" t="str">
        <f aca="false">IF($B403="","",IF($L403="","Data Pending",IF($L403&gt;=Instructions!$D$19,"Best Fund",IF($L403&gt;=Instructions!$D$20,"Need to Improve","Not Performing"))))</f>
        <v/>
      </c>
      <c r="S403" s="7" t="str">
        <f aca="false">IF($R403="","",IF($R403="Data Pending","Enter the 3Y return",IF($R403="Best Fund","Hold / consider top-up",IF($R403="Need to Improve","Watch 2 quarters, then decide","Review with client - switch or exit"))))</f>
        <v/>
      </c>
      <c r="T403" s="26"/>
      <c r="U403" s="7" t="str">
        <f aca="false">IF($R403&lt;&gt;"Best Fund","",COUNTIFS($R$6:$R$505,"Best Fund",$L$6:$L$505,"&gt;"&amp;$L403)+COUNTIFS($R$6:$R403,"Best Fund",$L$6:$L403,$L403))</f>
        <v/>
      </c>
      <c r="V403" s="7" t="str">
        <f aca="false">IF($R403&lt;&gt;"Need to Improve","",COUNTIFS($R$6:$R$505,"Need to Improve",$L$6:$L$505,"&lt;"&amp;$L403)+COUNTIFS($R$6:$R403,"Need to Improve",$L$6:$L403,$L403))</f>
        <v/>
      </c>
      <c r="W403" s="7" t="str">
        <f aca="false">IF($R403&lt;&gt;"Not Performing","",COUNTIFS($R$6:$R$505,"Not Performing",$L$6:$L$505,"&lt;"&amp;$L403)+COUNTIFS($R$6:$R403,"Not Performing",$L$6:$L403,$L403))</f>
        <v/>
      </c>
    </row>
    <row r="404" customFormat="false" ht="15" hidden="false" customHeight="true" outlineLevel="0" collapsed="false">
      <c r="A404" s="26"/>
      <c r="B404" s="26"/>
      <c r="C404" s="26"/>
      <c r="D404" s="27" t="str">
        <f aca="false">IF($C404="","",IFERROR(TRIM(LEFT($C404,FIND("-",$C404)-1)),""))</f>
        <v/>
      </c>
      <c r="E404" s="26"/>
      <c r="F404" s="28"/>
      <c r="G404" s="29"/>
      <c r="H404" s="29"/>
      <c r="I404" s="30" t="str">
        <f aca="false">IF($B404="","",$H404-$G404)</f>
        <v/>
      </c>
      <c r="J404" s="31" t="str">
        <f aca="false">IF(OR($B404="",$G404=0,$G404=""),"",$I404/$G404)</f>
        <v/>
      </c>
      <c r="K404" s="32"/>
      <c r="L404" s="32"/>
      <c r="M404" s="32"/>
      <c r="N404" s="32"/>
      <c r="O404" s="32"/>
      <c r="P404" s="31" t="str">
        <f aca="false">IF(OR($L404="",$N404=""),"",$L404-$N404)</f>
        <v/>
      </c>
      <c r="Q404" s="27" t="str">
        <f aca="false">IF($B404="","",IF(N($H404)&gt;0,"Live","Exited"))</f>
        <v/>
      </c>
      <c r="R404" s="27" t="str">
        <f aca="false">IF($B404="","",IF($L404="","Data Pending",IF($L404&gt;=Instructions!$D$19,"Best Fund",IF($L404&gt;=Instructions!$D$20,"Need to Improve","Not Performing"))))</f>
        <v/>
      </c>
      <c r="S404" s="7" t="str">
        <f aca="false">IF($R404="","",IF($R404="Data Pending","Enter the 3Y return",IF($R404="Best Fund","Hold / consider top-up",IF($R404="Need to Improve","Watch 2 quarters, then decide","Review with client - switch or exit"))))</f>
        <v/>
      </c>
      <c r="T404" s="26"/>
      <c r="U404" s="7" t="str">
        <f aca="false">IF($R404&lt;&gt;"Best Fund","",COUNTIFS($R$6:$R$505,"Best Fund",$L$6:$L$505,"&gt;"&amp;$L404)+COUNTIFS($R$6:$R404,"Best Fund",$L$6:$L404,$L404))</f>
        <v/>
      </c>
      <c r="V404" s="7" t="str">
        <f aca="false">IF($R404&lt;&gt;"Need to Improve","",COUNTIFS($R$6:$R$505,"Need to Improve",$L$6:$L$505,"&lt;"&amp;$L404)+COUNTIFS($R$6:$R404,"Need to Improve",$L$6:$L404,$L404))</f>
        <v/>
      </c>
      <c r="W404" s="7" t="str">
        <f aca="false">IF($R404&lt;&gt;"Not Performing","",COUNTIFS($R$6:$R$505,"Not Performing",$L$6:$L$505,"&lt;"&amp;$L404)+COUNTIFS($R$6:$R404,"Not Performing",$L$6:$L404,$L404))</f>
        <v/>
      </c>
    </row>
    <row r="405" customFormat="false" ht="15" hidden="false" customHeight="true" outlineLevel="0" collapsed="false">
      <c r="A405" s="26"/>
      <c r="B405" s="26"/>
      <c r="C405" s="26"/>
      <c r="D405" s="27" t="str">
        <f aca="false">IF($C405="","",IFERROR(TRIM(LEFT($C405,FIND("-",$C405)-1)),""))</f>
        <v/>
      </c>
      <c r="E405" s="26"/>
      <c r="F405" s="28"/>
      <c r="G405" s="29"/>
      <c r="H405" s="29"/>
      <c r="I405" s="30" t="str">
        <f aca="false">IF($B405="","",$H405-$G405)</f>
        <v/>
      </c>
      <c r="J405" s="31" t="str">
        <f aca="false">IF(OR($B405="",$G405=0,$G405=""),"",$I405/$G405)</f>
        <v/>
      </c>
      <c r="K405" s="32"/>
      <c r="L405" s="32"/>
      <c r="M405" s="32"/>
      <c r="N405" s="32"/>
      <c r="O405" s="32"/>
      <c r="P405" s="31" t="str">
        <f aca="false">IF(OR($L405="",$N405=""),"",$L405-$N405)</f>
        <v/>
      </c>
      <c r="Q405" s="27" t="str">
        <f aca="false">IF($B405="","",IF(N($H405)&gt;0,"Live","Exited"))</f>
        <v/>
      </c>
      <c r="R405" s="27" t="str">
        <f aca="false">IF($B405="","",IF($L405="","Data Pending",IF($L405&gt;=Instructions!$D$19,"Best Fund",IF($L405&gt;=Instructions!$D$20,"Need to Improve","Not Performing"))))</f>
        <v/>
      </c>
      <c r="S405" s="7" t="str">
        <f aca="false">IF($R405="","",IF($R405="Data Pending","Enter the 3Y return",IF($R405="Best Fund","Hold / consider top-up",IF($R405="Need to Improve","Watch 2 quarters, then decide","Review with client - switch or exit"))))</f>
        <v/>
      </c>
      <c r="T405" s="26"/>
      <c r="U405" s="7" t="str">
        <f aca="false">IF($R405&lt;&gt;"Best Fund","",COUNTIFS($R$6:$R$505,"Best Fund",$L$6:$L$505,"&gt;"&amp;$L405)+COUNTIFS($R$6:$R405,"Best Fund",$L$6:$L405,$L405))</f>
        <v/>
      </c>
      <c r="V405" s="7" t="str">
        <f aca="false">IF($R405&lt;&gt;"Need to Improve","",COUNTIFS($R$6:$R$505,"Need to Improve",$L$6:$L$505,"&lt;"&amp;$L405)+COUNTIFS($R$6:$R405,"Need to Improve",$L$6:$L405,$L405))</f>
        <v/>
      </c>
      <c r="W405" s="7" t="str">
        <f aca="false">IF($R405&lt;&gt;"Not Performing","",COUNTIFS($R$6:$R$505,"Not Performing",$L$6:$L$505,"&lt;"&amp;$L405)+COUNTIFS($R$6:$R405,"Not Performing",$L$6:$L405,$L405))</f>
        <v/>
      </c>
    </row>
    <row r="406" customFormat="false" ht="15" hidden="false" customHeight="true" outlineLevel="0" collapsed="false">
      <c r="A406" s="26"/>
      <c r="B406" s="26"/>
      <c r="C406" s="26"/>
      <c r="D406" s="27" t="str">
        <f aca="false">IF($C406="","",IFERROR(TRIM(LEFT($C406,FIND("-",$C406)-1)),""))</f>
        <v/>
      </c>
      <c r="E406" s="26"/>
      <c r="F406" s="28"/>
      <c r="G406" s="29"/>
      <c r="H406" s="29"/>
      <c r="I406" s="30" t="str">
        <f aca="false">IF($B406="","",$H406-$G406)</f>
        <v/>
      </c>
      <c r="J406" s="31" t="str">
        <f aca="false">IF(OR($B406="",$G406=0,$G406=""),"",$I406/$G406)</f>
        <v/>
      </c>
      <c r="K406" s="32"/>
      <c r="L406" s="32"/>
      <c r="M406" s="32"/>
      <c r="N406" s="32"/>
      <c r="O406" s="32"/>
      <c r="P406" s="31" t="str">
        <f aca="false">IF(OR($L406="",$N406=""),"",$L406-$N406)</f>
        <v/>
      </c>
      <c r="Q406" s="27" t="str">
        <f aca="false">IF($B406="","",IF(N($H406)&gt;0,"Live","Exited"))</f>
        <v/>
      </c>
      <c r="R406" s="27" t="str">
        <f aca="false">IF($B406="","",IF($L406="","Data Pending",IF($L406&gt;=Instructions!$D$19,"Best Fund",IF($L406&gt;=Instructions!$D$20,"Need to Improve","Not Performing"))))</f>
        <v/>
      </c>
      <c r="S406" s="7" t="str">
        <f aca="false">IF($R406="","",IF($R406="Data Pending","Enter the 3Y return",IF($R406="Best Fund","Hold / consider top-up",IF($R406="Need to Improve","Watch 2 quarters, then decide","Review with client - switch or exit"))))</f>
        <v/>
      </c>
      <c r="T406" s="26"/>
      <c r="U406" s="7" t="str">
        <f aca="false">IF($R406&lt;&gt;"Best Fund","",COUNTIFS($R$6:$R$505,"Best Fund",$L$6:$L$505,"&gt;"&amp;$L406)+COUNTIFS($R$6:$R406,"Best Fund",$L$6:$L406,$L406))</f>
        <v/>
      </c>
      <c r="V406" s="7" t="str">
        <f aca="false">IF($R406&lt;&gt;"Need to Improve","",COUNTIFS($R$6:$R$505,"Need to Improve",$L$6:$L$505,"&lt;"&amp;$L406)+COUNTIFS($R$6:$R406,"Need to Improve",$L$6:$L406,$L406))</f>
        <v/>
      </c>
      <c r="W406" s="7" t="str">
        <f aca="false">IF($R406&lt;&gt;"Not Performing","",COUNTIFS($R$6:$R$505,"Not Performing",$L$6:$L$505,"&lt;"&amp;$L406)+COUNTIFS($R$6:$R406,"Not Performing",$L$6:$L406,$L406))</f>
        <v/>
      </c>
    </row>
    <row r="407" customFormat="false" ht="15" hidden="false" customHeight="true" outlineLevel="0" collapsed="false">
      <c r="A407" s="26"/>
      <c r="B407" s="26"/>
      <c r="C407" s="26"/>
      <c r="D407" s="27" t="str">
        <f aca="false">IF($C407="","",IFERROR(TRIM(LEFT($C407,FIND("-",$C407)-1)),""))</f>
        <v/>
      </c>
      <c r="E407" s="26"/>
      <c r="F407" s="28"/>
      <c r="G407" s="29"/>
      <c r="H407" s="29"/>
      <c r="I407" s="30" t="str">
        <f aca="false">IF($B407="","",$H407-$G407)</f>
        <v/>
      </c>
      <c r="J407" s="31" t="str">
        <f aca="false">IF(OR($B407="",$G407=0,$G407=""),"",$I407/$G407)</f>
        <v/>
      </c>
      <c r="K407" s="32"/>
      <c r="L407" s="32"/>
      <c r="M407" s="32"/>
      <c r="N407" s="32"/>
      <c r="O407" s="32"/>
      <c r="P407" s="31" t="str">
        <f aca="false">IF(OR($L407="",$N407=""),"",$L407-$N407)</f>
        <v/>
      </c>
      <c r="Q407" s="27" t="str">
        <f aca="false">IF($B407="","",IF(N($H407)&gt;0,"Live","Exited"))</f>
        <v/>
      </c>
      <c r="R407" s="27" t="str">
        <f aca="false">IF($B407="","",IF($L407="","Data Pending",IF($L407&gt;=Instructions!$D$19,"Best Fund",IF($L407&gt;=Instructions!$D$20,"Need to Improve","Not Performing"))))</f>
        <v/>
      </c>
      <c r="S407" s="7" t="str">
        <f aca="false">IF($R407="","",IF($R407="Data Pending","Enter the 3Y return",IF($R407="Best Fund","Hold / consider top-up",IF($R407="Need to Improve","Watch 2 quarters, then decide","Review with client - switch or exit"))))</f>
        <v/>
      </c>
      <c r="T407" s="26"/>
      <c r="U407" s="7" t="str">
        <f aca="false">IF($R407&lt;&gt;"Best Fund","",COUNTIFS($R$6:$R$505,"Best Fund",$L$6:$L$505,"&gt;"&amp;$L407)+COUNTIFS($R$6:$R407,"Best Fund",$L$6:$L407,$L407))</f>
        <v/>
      </c>
      <c r="V407" s="7" t="str">
        <f aca="false">IF($R407&lt;&gt;"Need to Improve","",COUNTIFS($R$6:$R$505,"Need to Improve",$L$6:$L$505,"&lt;"&amp;$L407)+COUNTIFS($R$6:$R407,"Need to Improve",$L$6:$L407,$L407))</f>
        <v/>
      </c>
      <c r="W407" s="7" t="str">
        <f aca="false">IF($R407&lt;&gt;"Not Performing","",COUNTIFS($R$6:$R$505,"Not Performing",$L$6:$L$505,"&lt;"&amp;$L407)+COUNTIFS($R$6:$R407,"Not Performing",$L$6:$L407,$L407))</f>
        <v/>
      </c>
    </row>
    <row r="408" customFormat="false" ht="15" hidden="false" customHeight="true" outlineLevel="0" collapsed="false">
      <c r="A408" s="26"/>
      <c r="B408" s="26"/>
      <c r="C408" s="26"/>
      <c r="D408" s="27" t="str">
        <f aca="false">IF($C408="","",IFERROR(TRIM(LEFT($C408,FIND("-",$C408)-1)),""))</f>
        <v/>
      </c>
      <c r="E408" s="26"/>
      <c r="F408" s="28"/>
      <c r="G408" s="29"/>
      <c r="H408" s="29"/>
      <c r="I408" s="30" t="str">
        <f aca="false">IF($B408="","",$H408-$G408)</f>
        <v/>
      </c>
      <c r="J408" s="31" t="str">
        <f aca="false">IF(OR($B408="",$G408=0,$G408=""),"",$I408/$G408)</f>
        <v/>
      </c>
      <c r="K408" s="32"/>
      <c r="L408" s="32"/>
      <c r="M408" s="32"/>
      <c r="N408" s="32"/>
      <c r="O408" s="32"/>
      <c r="P408" s="31" t="str">
        <f aca="false">IF(OR($L408="",$N408=""),"",$L408-$N408)</f>
        <v/>
      </c>
      <c r="Q408" s="27" t="str">
        <f aca="false">IF($B408="","",IF(N($H408)&gt;0,"Live","Exited"))</f>
        <v/>
      </c>
      <c r="R408" s="27" t="str">
        <f aca="false">IF($B408="","",IF($L408="","Data Pending",IF($L408&gt;=Instructions!$D$19,"Best Fund",IF($L408&gt;=Instructions!$D$20,"Need to Improve","Not Performing"))))</f>
        <v/>
      </c>
      <c r="S408" s="7" t="str">
        <f aca="false">IF($R408="","",IF($R408="Data Pending","Enter the 3Y return",IF($R408="Best Fund","Hold / consider top-up",IF($R408="Need to Improve","Watch 2 quarters, then decide","Review with client - switch or exit"))))</f>
        <v/>
      </c>
      <c r="T408" s="26"/>
      <c r="U408" s="7" t="str">
        <f aca="false">IF($R408&lt;&gt;"Best Fund","",COUNTIFS($R$6:$R$505,"Best Fund",$L$6:$L$505,"&gt;"&amp;$L408)+COUNTIFS($R$6:$R408,"Best Fund",$L$6:$L408,$L408))</f>
        <v/>
      </c>
      <c r="V408" s="7" t="str">
        <f aca="false">IF($R408&lt;&gt;"Need to Improve","",COUNTIFS($R$6:$R$505,"Need to Improve",$L$6:$L$505,"&lt;"&amp;$L408)+COUNTIFS($R$6:$R408,"Need to Improve",$L$6:$L408,$L408))</f>
        <v/>
      </c>
      <c r="W408" s="7" t="str">
        <f aca="false">IF($R408&lt;&gt;"Not Performing","",COUNTIFS($R$6:$R$505,"Not Performing",$L$6:$L$505,"&lt;"&amp;$L408)+COUNTIFS($R$6:$R408,"Not Performing",$L$6:$L408,$L408))</f>
        <v/>
      </c>
    </row>
    <row r="409" customFormat="false" ht="15" hidden="false" customHeight="true" outlineLevel="0" collapsed="false">
      <c r="A409" s="26"/>
      <c r="B409" s="26"/>
      <c r="C409" s="26"/>
      <c r="D409" s="27" t="str">
        <f aca="false">IF($C409="","",IFERROR(TRIM(LEFT($C409,FIND("-",$C409)-1)),""))</f>
        <v/>
      </c>
      <c r="E409" s="26"/>
      <c r="F409" s="28"/>
      <c r="G409" s="29"/>
      <c r="H409" s="29"/>
      <c r="I409" s="30" t="str">
        <f aca="false">IF($B409="","",$H409-$G409)</f>
        <v/>
      </c>
      <c r="J409" s="31" t="str">
        <f aca="false">IF(OR($B409="",$G409=0,$G409=""),"",$I409/$G409)</f>
        <v/>
      </c>
      <c r="K409" s="32"/>
      <c r="L409" s="32"/>
      <c r="M409" s="32"/>
      <c r="N409" s="32"/>
      <c r="O409" s="32"/>
      <c r="P409" s="31" t="str">
        <f aca="false">IF(OR($L409="",$N409=""),"",$L409-$N409)</f>
        <v/>
      </c>
      <c r="Q409" s="27" t="str">
        <f aca="false">IF($B409="","",IF(N($H409)&gt;0,"Live","Exited"))</f>
        <v/>
      </c>
      <c r="R409" s="27" t="str">
        <f aca="false">IF($B409="","",IF($L409="","Data Pending",IF($L409&gt;=Instructions!$D$19,"Best Fund",IF($L409&gt;=Instructions!$D$20,"Need to Improve","Not Performing"))))</f>
        <v/>
      </c>
      <c r="S409" s="7" t="str">
        <f aca="false">IF($R409="","",IF($R409="Data Pending","Enter the 3Y return",IF($R409="Best Fund","Hold / consider top-up",IF($R409="Need to Improve","Watch 2 quarters, then decide","Review with client - switch or exit"))))</f>
        <v/>
      </c>
      <c r="T409" s="26"/>
      <c r="U409" s="7" t="str">
        <f aca="false">IF($R409&lt;&gt;"Best Fund","",COUNTIFS($R$6:$R$505,"Best Fund",$L$6:$L$505,"&gt;"&amp;$L409)+COUNTIFS($R$6:$R409,"Best Fund",$L$6:$L409,$L409))</f>
        <v/>
      </c>
      <c r="V409" s="7" t="str">
        <f aca="false">IF($R409&lt;&gt;"Need to Improve","",COUNTIFS($R$6:$R$505,"Need to Improve",$L$6:$L$505,"&lt;"&amp;$L409)+COUNTIFS($R$6:$R409,"Need to Improve",$L$6:$L409,$L409))</f>
        <v/>
      </c>
      <c r="W409" s="7" t="str">
        <f aca="false">IF($R409&lt;&gt;"Not Performing","",COUNTIFS($R$6:$R$505,"Not Performing",$L$6:$L$505,"&lt;"&amp;$L409)+COUNTIFS($R$6:$R409,"Not Performing",$L$6:$L409,$L409))</f>
        <v/>
      </c>
    </row>
    <row r="410" customFormat="false" ht="15" hidden="false" customHeight="true" outlineLevel="0" collapsed="false">
      <c r="A410" s="26"/>
      <c r="B410" s="26"/>
      <c r="C410" s="26"/>
      <c r="D410" s="27" t="str">
        <f aca="false">IF($C410="","",IFERROR(TRIM(LEFT($C410,FIND("-",$C410)-1)),""))</f>
        <v/>
      </c>
      <c r="E410" s="26"/>
      <c r="F410" s="28"/>
      <c r="G410" s="29"/>
      <c r="H410" s="29"/>
      <c r="I410" s="30" t="str">
        <f aca="false">IF($B410="","",$H410-$G410)</f>
        <v/>
      </c>
      <c r="J410" s="31" t="str">
        <f aca="false">IF(OR($B410="",$G410=0,$G410=""),"",$I410/$G410)</f>
        <v/>
      </c>
      <c r="K410" s="32"/>
      <c r="L410" s="32"/>
      <c r="M410" s="32"/>
      <c r="N410" s="32"/>
      <c r="O410" s="32"/>
      <c r="P410" s="31" t="str">
        <f aca="false">IF(OR($L410="",$N410=""),"",$L410-$N410)</f>
        <v/>
      </c>
      <c r="Q410" s="27" t="str">
        <f aca="false">IF($B410="","",IF(N($H410)&gt;0,"Live","Exited"))</f>
        <v/>
      </c>
      <c r="R410" s="27" t="str">
        <f aca="false">IF($B410="","",IF($L410="","Data Pending",IF($L410&gt;=Instructions!$D$19,"Best Fund",IF($L410&gt;=Instructions!$D$20,"Need to Improve","Not Performing"))))</f>
        <v/>
      </c>
      <c r="S410" s="7" t="str">
        <f aca="false">IF($R410="","",IF($R410="Data Pending","Enter the 3Y return",IF($R410="Best Fund","Hold / consider top-up",IF($R410="Need to Improve","Watch 2 quarters, then decide","Review with client - switch or exit"))))</f>
        <v/>
      </c>
      <c r="T410" s="26"/>
      <c r="U410" s="7" t="str">
        <f aca="false">IF($R410&lt;&gt;"Best Fund","",COUNTIFS($R$6:$R$505,"Best Fund",$L$6:$L$505,"&gt;"&amp;$L410)+COUNTIFS($R$6:$R410,"Best Fund",$L$6:$L410,$L410))</f>
        <v/>
      </c>
      <c r="V410" s="7" t="str">
        <f aca="false">IF($R410&lt;&gt;"Need to Improve","",COUNTIFS($R$6:$R$505,"Need to Improve",$L$6:$L$505,"&lt;"&amp;$L410)+COUNTIFS($R$6:$R410,"Need to Improve",$L$6:$L410,$L410))</f>
        <v/>
      </c>
      <c r="W410" s="7" t="str">
        <f aca="false">IF($R410&lt;&gt;"Not Performing","",COUNTIFS($R$6:$R$505,"Not Performing",$L$6:$L$505,"&lt;"&amp;$L410)+COUNTIFS($R$6:$R410,"Not Performing",$L$6:$L410,$L410))</f>
        <v/>
      </c>
    </row>
    <row r="411" customFormat="false" ht="15" hidden="false" customHeight="true" outlineLevel="0" collapsed="false">
      <c r="A411" s="26"/>
      <c r="B411" s="26"/>
      <c r="C411" s="26"/>
      <c r="D411" s="27" t="str">
        <f aca="false">IF($C411="","",IFERROR(TRIM(LEFT($C411,FIND("-",$C411)-1)),""))</f>
        <v/>
      </c>
      <c r="E411" s="26"/>
      <c r="F411" s="28"/>
      <c r="G411" s="29"/>
      <c r="H411" s="29"/>
      <c r="I411" s="30" t="str">
        <f aca="false">IF($B411="","",$H411-$G411)</f>
        <v/>
      </c>
      <c r="J411" s="31" t="str">
        <f aca="false">IF(OR($B411="",$G411=0,$G411=""),"",$I411/$G411)</f>
        <v/>
      </c>
      <c r="K411" s="32"/>
      <c r="L411" s="32"/>
      <c r="M411" s="32"/>
      <c r="N411" s="32"/>
      <c r="O411" s="32"/>
      <c r="P411" s="31" t="str">
        <f aca="false">IF(OR($L411="",$N411=""),"",$L411-$N411)</f>
        <v/>
      </c>
      <c r="Q411" s="27" t="str">
        <f aca="false">IF($B411="","",IF(N($H411)&gt;0,"Live","Exited"))</f>
        <v/>
      </c>
      <c r="R411" s="27" t="str">
        <f aca="false">IF($B411="","",IF($L411="","Data Pending",IF($L411&gt;=Instructions!$D$19,"Best Fund",IF($L411&gt;=Instructions!$D$20,"Need to Improve","Not Performing"))))</f>
        <v/>
      </c>
      <c r="S411" s="7" t="str">
        <f aca="false">IF($R411="","",IF($R411="Data Pending","Enter the 3Y return",IF($R411="Best Fund","Hold / consider top-up",IF($R411="Need to Improve","Watch 2 quarters, then decide","Review with client - switch or exit"))))</f>
        <v/>
      </c>
      <c r="T411" s="26"/>
      <c r="U411" s="7" t="str">
        <f aca="false">IF($R411&lt;&gt;"Best Fund","",COUNTIFS($R$6:$R$505,"Best Fund",$L$6:$L$505,"&gt;"&amp;$L411)+COUNTIFS($R$6:$R411,"Best Fund",$L$6:$L411,$L411))</f>
        <v/>
      </c>
      <c r="V411" s="7" t="str">
        <f aca="false">IF($R411&lt;&gt;"Need to Improve","",COUNTIFS($R$6:$R$505,"Need to Improve",$L$6:$L$505,"&lt;"&amp;$L411)+COUNTIFS($R$6:$R411,"Need to Improve",$L$6:$L411,$L411))</f>
        <v/>
      </c>
      <c r="W411" s="7" t="str">
        <f aca="false">IF($R411&lt;&gt;"Not Performing","",COUNTIFS($R$6:$R$505,"Not Performing",$L$6:$L$505,"&lt;"&amp;$L411)+COUNTIFS($R$6:$R411,"Not Performing",$L$6:$L411,$L411))</f>
        <v/>
      </c>
    </row>
    <row r="412" customFormat="false" ht="15" hidden="false" customHeight="true" outlineLevel="0" collapsed="false">
      <c r="A412" s="26"/>
      <c r="B412" s="26"/>
      <c r="C412" s="26"/>
      <c r="D412" s="27" t="str">
        <f aca="false">IF($C412="","",IFERROR(TRIM(LEFT($C412,FIND("-",$C412)-1)),""))</f>
        <v/>
      </c>
      <c r="E412" s="26"/>
      <c r="F412" s="28"/>
      <c r="G412" s="29"/>
      <c r="H412" s="29"/>
      <c r="I412" s="30" t="str">
        <f aca="false">IF($B412="","",$H412-$G412)</f>
        <v/>
      </c>
      <c r="J412" s="31" t="str">
        <f aca="false">IF(OR($B412="",$G412=0,$G412=""),"",$I412/$G412)</f>
        <v/>
      </c>
      <c r="K412" s="32"/>
      <c r="L412" s="32"/>
      <c r="M412" s="32"/>
      <c r="N412" s="32"/>
      <c r="O412" s="32"/>
      <c r="P412" s="31" t="str">
        <f aca="false">IF(OR($L412="",$N412=""),"",$L412-$N412)</f>
        <v/>
      </c>
      <c r="Q412" s="27" t="str">
        <f aca="false">IF($B412="","",IF(N($H412)&gt;0,"Live","Exited"))</f>
        <v/>
      </c>
      <c r="R412" s="27" t="str">
        <f aca="false">IF($B412="","",IF($L412="","Data Pending",IF($L412&gt;=Instructions!$D$19,"Best Fund",IF($L412&gt;=Instructions!$D$20,"Need to Improve","Not Performing"))))</f>
        <v/>
      </c>
      <c r="S412" s="7" t="str">
        <f aca="false">IF($R412="","",IF($R412="Data Pending","Enter the 3Y return",IF($R412="Best Fund","Hold / consider top-up",IF($R412="Need to Improve","Watch 2 quarters, then decide","Review with client - switch or exit"))))</f>
        <v/>
      </c>
      <c r="T412" s="26"/>
      <c r="U412" s="7" t="str">
        <f aca="false">IF($R412&lt;&gt;"Best Fund","",COUNTIFS($R$6:$R$505,"Best Fund",$L$6:$L$505,"&gt;"&amp;$L412)+COUNTIFS($R$6:$R412,"Best Fund",$L$6:$L412,$L412))</f>
        <v/>
      </c>
      <c r="V412" s="7" t="str">
        <f aca="false">IF($R412&lt;&gt;"Need to Improve","",COUNTIFS($R$6:$R$505,"Need to Improve",$L$6:$L$505,"&lt;"&amp;$L412)+COUNTIFS($R$6:$R412,"Need to Improve",$L$6:$L412,$L412))</f>
        <v/>
      </c>
      <c r="W412" s="7" t="str">
        <f aca="false">IF($R412&lt;&gt;"Not Performing","",COUNTIFS($R$6:$R$505,"Not Performing",$L$6:$L$505,"&lt;"&amp;$L412)+COUNTIFS($R$6:$R412,"Not Performing",$L$6:$L412,$L412))</f>
        <v/>
      </c>
    </row>
    <row r="413" customFormat="false" ht="15" hidden="false" customHeight="true" outlineLevel="0" collapsed="false">
      <c r="A413" s="26"/>
      <c r="B413" s="26"/>
      <c r="C413" s="26"/>
      <c r="D413" s="27" t="str">
        <f aca="false">IF($C413="","",IFERROR(TRIM(LEFT($C413,FIND("-",$C413)-1)),""))</f>
        <v/>
      </c>
      <c r="E413" s="26"/>
      <c r="F413" s="28"/>
      <c r="G413" s="29"/>
      <c r="H413" s="29"/>
      <c r="I413" s="30" t="str">
        <f aca="false">IF($B413="","",$H413-$G413)</f>
        <v/>
      </c>
      <c r="J413" s="31" t="str">
        <f aca="false">IF(OR($B413="",$G413=0,$G413=""),"",$I413/$G413)</f>
        <v/>
      </c>
      <c r="K413" s="32"/>
      <c r="L413" s="32"/>
      <c r="M413" s="32"/>
      <c r="N413" s="32"/>
      <c r="O413" s="32"/>
      <c r="P413" s="31" t="str">
        <f aca="false">IF(OR($L413="",$N413=""),"",$L413-$N413)</f>
        <v/>
      </c>
      <c r="Q413" s="27" t="str">
        <f aca="false">IF($B413="","",IF(N($H413)&gt;0,"Live","Exited"))</f>
        <v/>
      </c>
      <c r="R413" s="27" t="str">
        <f aca="false">IF($B413="","",IF($L413="","Data Pending",IF($L413&gt;=Instructions!$D$19,"Best Fund",IF($L413&gt;=Instructions!$D$20,"Need to Improve","Not Performing"))))</f>
        <v/>
      </c>
      <c r="S413" s="7" t="str">
        <f aca="false">IF($R413="","",IF($R413="Data Pending","Enter the 3Y return",IF($R413="Best Fund","Hold / consider top-up",IF($R413="Need to Improve","Watch 2 quarters, then decide","Review with client - switch or exit"))))</f>
        <v/>
      </c>
      <c r="T413" s="26"/>
      <c r="U413" s="7" t="str">
        <f aca="false">IF($R413&lt;&gt;"Best Fund","",COUNTIFS($R$6:$R$505,"Best Fund",$L$6:$L$505,"&gt;"&amp;$L413)+COUNTIFS($R$6:$R413,"Best Fund",$L$6:$L413,$L413))</f>
        <v/>
      </c>
      <c r="V413" s="7" t="str">
        <f aca="false">IF($R413&lt;&gt;"Need to Improve","",COUNTIFS($R$6:$R$505,"Need to Improve",$L$6:$L$505,"&lt;"&amp;$L413)+COUNTIFS($R$6:$R413,"Need to Improve",$L$6:$L413,$L413))</f>
        <v/>
      </c>
      <c r="W413" s="7" t="str">
        <f aca="false">IF($R413&lt;&gt;"Not Performing","",COUNTIFS($R$6:$R$505,"Not Performing",$L$6:$L$505,"&lt;"&amp;$L413)+COUNTIFS($R$6:$R413,"Not Performing",$L$6:$L413,$L413))</f>
        <v/>
      </c>
    </row>
    <row r="414" customFormat="false" ht="15" hidden="false" customHeight="true" outlineLevel="0" collapsed="false">
      <c r="A414" s="26"/>
      <c r="B414" s="26"/>
      <c r="C414" s="26"/>
      <c r="D414" s="27" t="str">
        <f aca="false">IF($C414="","",IFERROR(TRIM(LEFT($C414,FIND("-",$C414)-1)),""))</f>
        <v/>
      </c>
      <c r="E414" s="26"/>
      <c r="F414" s="28"/>
      <c r="G414" s="29"/>
      <c r="H414" s="29"/>
      <c r="I414" s="30" t="str">
        <f aca="false">IF($B414="","",$H414-$G414)</f>
        <v/>
      </c>
      <c r="J414" s="31" t="str">
        <f aca="false">IF(OR($B414="",$G414=0,$G414=""),"",$I414/$G414)</f>
        <v/>
      </c>
      <c r="K414" s="32"/>
      <c r="L414" s="32"/>
      <c r="M414" s="32"/>
      <c r="N414" s="32"/>
      <c r="O414" s="32"/>
      <c r="P414" s="31" t="str">
        <f aca="false">IF(OR($L414="",$N414=""),"",$L414-$N414)</f>
        <v/>
      </c>
      <c r="Q414" s="27" t="str">
        <f aca="false">IF($B414="","",IF(N($H414)&gt;0,"Live","Exited"))</f>
        <v/>
      </c>
      <c r="R414" s="27" t="str">
        <f aca="false">IF($B414="","",IF($L414="","Data Pending",IF($L414&gt;=Instructions!$D$19,"Best Fund",IF($L414&gt;=Instructions!$D$20,"Need to Improve","Not Performing"))))</f>
        <v/>
      </c>
      <c r="S414" s="7" t="str">
        <f aca="false">IF($R414="","",IF($R414="Data Pending","Enter the 3Y return",IF($R414="Best Fund","Hold / consider top-up",IF($R414="Need to Improve","Watch 2 quarters, then decide","Review with client - switch or exit"))))</f>
        <v/>
      </c>
      <c r="T414" s="26"/>
      <c r="U414" s="7" t="str">
        <f aca="false">IF($R414&lt;&gt;"Best Fund","",COUNTIFS($R$6:$R$505,"Best Fund",$L$6:$L$505,"&gt;"&amp;$L414)+COUNTIFS($R$6:$R414,"Best Fund",$L$6:$L414,$L414))</f>
        <v/>
      </c>
      <c r="V414" s="7" t="str">
        <f aca="false">IF($R414&lt;&gt;"Need to Improve","",COUNTIFS($R$6:$R$505,"Need to Improve",$L$6:$L$505,"&lt;"&amp;$L414)+COUNTIFS($R$6:$R414,"Need to Improve",$L$6:$L414,$L414))</f>
        <v/>
      </c>
      <c r="W414" s="7" t="str">
        <f aca="false">IF($R414&lt;&gt;"Not Performing","",COUNTIFS($R$6:$R$505,"Not Performing",$L$6:$L$505,"&lt;"&amp;$L414)+COUNTIFS($R$6:$R414,"Not Performing",$L$6:$L414,$L414))</f>
        <v/>
      </c>
    </row>
    <row r="415" customFormat="false" ht="15" hidden="false" customHeight="true" outlineLevel="0" collapsed="false">
      <c r="A415" s="26"/>
      <c r="B415" s="26"/>
      <c r="C415" s="26"/>
      <c r="D415" s="27" t="str">
        <f aca="false">IF($C415="","",IFERROR(TRIM(LEFT($C415,FIND("-",$C415)-1)),""))</f>
        <v/>
      </c>
      <c r="E415" s="26"/>
      <c r="F415" s="28"/>
      <c r="G415" s="29"/>
      <c r="H415" s="29"/>
      <c r="I415" s="30" t="str">
        <f aca="false">IF($B415="","",$H415-$G415)</f>
        <v/>
      </c>
      <c r="J415" s="31" t="str">
        <f aca="false">IF(OR($B415="",$G415=0,$G415=""),"",$I415/$G415)</f>
        <v/>
      </c>
      <c r="K415" s="32"/>
      <c r="L415" s="32"/>
      <c r="M415" s="32"/>
      <c r="N415" s="32"/>
      <c r="O415" s="32"/>
      <c r="P415" s="31" t="str">
        <f aca="false">IF(OR($L415="",$N415=""),"",$L415-$N415)</f>
        <v/>
      </c>
      <c r="Q415" s="27" t="str">
        <f aca="false">IF($B415="","",IF(N($H415)&gt;0,"Live","Exited"))</f>
        <v/>
      </c>
      <c r="R415" s="27" t="str">
        <f aca="false">IF($B415="","",IF($L415="","Data Pending",IF($L415&gt;=Instructions!$D$19,"Best Fund",IF($L415&gt;=Instructions!$D$20,"Need to Improve","Not Performing"))))</f>
        <v/>
      </c>
      <c r="S415" s="7" t="str">
        <f aca="false">IF($R415="","",IF($R415="Data Pending","Enter the 3Y return",IF($R415="Best Fund","Hold / consider top-up",IF($R415="Need to Improve","Watch 2 quarters, then decide","Review with client - switch or exit"))))</f>
        <v/>
      </c>
      <c r="T415" s="26"/>
      <c r="U415" s="7" t="str">
        <f aca="false">IF($R415&lt;&gt;"Best Fund","",COUNTIFS($R$6:$R$505,"Best Fund",$L$6:$L$505,"&gt;"&amp;$L415)+COUNTIFS($R$6:$R415,"Best Fund",$L$6:$L415,$L415))</f>
        <v/>
      </c>
      <c r="V415" s="7" t="str">
        <f aca="false">IF($R415&lt;&gt;"Need to Improve","",COUNTIFS($R$6:$R$505,"Need to Improve",$L$6:$L$505,"&lt;"&amp;$L415)+COUNTIFS($R$6:$R415,"Need to Improve",$L$6:$L415,$L415))</f>
        <v/>
      </c>
      <c r="W415" s="7" t="str">
        <f aca="false">IF($R415&lt;&gt;"Not Performing","",COUNTIFS($R$6:$R$505,"Not Performing",$L$6:$L$505,"&lt;"&amp;$L415)+COUNTIFS($R$6:$R415,"Not Performing",$L$6:$L415,$L415))</f>
        <v/>
      </c>
    </row>
    <row r="416" customFormat="false" ht="15" hidden="false" customHeight="true" outlineLevel="0" collapsed="false">
      <c r="A416" s="26"/>
      <c r="B416" s="26"/>
      <c r="C416" s="26"/>
      <c r="D416" s="27" t="str">
        <f aca="false">IF($C416="","",IFERROR(TRIM(LEFT($C416,FIND("-",$C416)-1)),""))</f>
        <v/>
      </c>
      <c r="E416" s="26"/>
      <c r="F416" s="28"/>
      <c r="G416" s="29"/>
      <c r="H416" s="29"/>
      <c r="I416" s="30" t="str">
        <f aca="false">IF($B416="","",$H416-$G416)</f>
        <v/>
      </c>
      <c r="J416" s="31" t="str">
        <f aca="false">IF(OR($B416="",$G416=0,$G416=""),"",$I416/$G416)</f>
        <v/>
      </c>
      <c r="K416" s="32"/>
      <c r="L416" s="32"/>
      <c r="M416" s="32"/>
      <c r="N416" s="32"/>
      <c r="O416" s="32"/>
      <c r="P416" s="31" t="str">
        <f aca="false">IF(OR($L416="",$N416=""),"",$L416-$N416)</f>
        <v/>
      </c>
      <c r="Q416" s="27" t="str">
        <f aca="false">IF($B416="","",IF(N($H416)&gt;0,"Live","Exited"))</f>
        <v/>
      </c>
      <c r="R416" s="27" t="str">
        <f aca="false">IF($B416="","",IF($L416="","Data Pending",IF($L416&gt;=Instructions!$D$19,"Best Fund",IF($L416&gt;=Instructions!$D$20,"Need to Improve","Not Performing"))))</f>
        <v/>
      </c>
      <c r="S416" s="7" t="str">
        <f aca="false">IF($R416="","",IF($R416="Data Pending","Enter the 3Y return",IF($R416="Best Fund","Hold / consider top-up",IF($R416="Need to Improve","Watch 2 quarters, then decide","Review with client - switch or exit"))))</f>
        <v/>
      </c>
      <c r="T416" s="26"/>
      <c r="U416" s="7" t="str">
        <f aca="false">IF($R416&lt;&gt;"Best Fund","",COUNTIFS($R$6:$R$505,"Best Fund",$L$6:$L$505,"&gt;"&amp;$L416)+COUNTIFS($R$6:$R416,"Best Fund",$L$6:$L416,$L416))</f>
        <v/>
      </c>
      <c r="V416" s="7" t="str">
        <f aca="false">IF($R416&lt;&gt;"Need to Improve","",COUNTIFS($R$6:$R$505,"Need to Improve",$L$6:$L$505,"&lt;"&amp;$L416)+COUNTIFS($R$6:$R416,"Need to Improve",$L$6:$L416,$L416))</f>
        <v/>
      </c>
      <c r="W416" s="7" t="str">
        <f aca="false">IF($R416&lt;&gt;"Not Performing","",COUNTIFS($R$6:$R$505,"Not Performing",$L$6:$L$505,"&lt;"&amp;$L416)+COUNTIFS($R$6:$R416,"Not Performing",$L$6:$L416,$L416))</f>
        <v/>
      </c>
    </row>
    <row r="417" customFormat="false" ht="15" hidden="false" customHeight="true" outlineLevel="0" collapsed="false">
      <c r="A417" s="26"/>
      <c r="B417" s="26"/>
      <c r="C417" s="26"/>
      <c r="D417" s="27" t="str">
        <f aca="false">IF($C417="","",IFERROR(TRIM(LEFT($C417,FIND("-",$C417)-1)),""))</f>
        <v/>
      </c>
      <c r="E417" s="26"/>
      <c r="F417" s="28"/>
      <c r="G417" s="29"/>
      <c r="H417" s="29"/>
      <c r="I417" s="30" t="str">
        <f aca="false">IF($B417="","",$H417-$G417)</f>
        <v/>
      </c>
      <c r="J417" s="31" t="str">
        <f aca="false">IF(OR($B417="",$G417=0,$G417=""),"",$I417/$G417)</f>
        <v/>
      </c>
      <c r="K417" s="32"/>
      <c r="L417" s="32"/>
      <c r="M417" s="32"/>
      <c r="N417" s="32"/>
      <c r="O417" s="32"/>
      <c r="P417" s="31" t="str">
        <f aca="false">IF(OR($L417="",$N417=""),"",$L417-$N417)</f>
        <v/>
      </c>
      <c r="Q417" s="27" t="str">
        <f aca="false">IF($B417="","",IF(N($H417)&gt;0,"Live","Exited"))</f>
        <v/>
      </c>
      <c r="R417" s="27" t="str">
        <f aca="false">IF($B417="","",IF($L417="","Data Pending",IF($L417&gt;=Instructions!$D$19,"Best Fund",IF($L417&gt;=Instructions!$D$20,"Need to Improve","Not Performing"))))</f>
        <v/>
      </c>
      <c r="S417" s="7" t="str">
        <f aca="false">IF($R417="","",IF($R417="Data Pending","Enter the 3Y return",IF($R417="Best Fund","Hold / consider top-up",IF($R417="Need to Improve","Watch 2 quarters, then decide","Review with client - switch or exit"))))</f>
        <v/>
      </c>
      <c r="T417" s="26"/>
      <c r="U417" s="7" t="str">
        <f aca="false">IF($R417&lt;&gt;"Best Fund","",COUNTIFS($R$6:$R$505,"Best Fund",$L$6:$L$505,"&gt;"&amp;$L417)+COUNTIFS($R$6:$R417,"Best Fund",$L$6:$L417,$L417))</f>
        <v/>
      </c>
      <c r="V417" s="7" t="str">
        <f aca="false">IF($R417&lt;&gt;"Need to Improve","",COUNTIFS($R$6:$R$505,"Need to Improve",$L$6:$L$505,"&lt;"&amp;$L417)+COUNTIFS($R$6:$R417,"Need to Improve",$L$6:$L417,$L417))</f>
        <v/>
      </c>
      <c r="W417" s="7" t="str">
        <f aca="false">IF($R417&lt;&gt;"Not Performing","",COUNTIFS($R$6:$R$505,"Not Performing",$L$6:$L$505,"&lt;"&amp;$L417)+COUNTIFS($R$6:$R417,"Not Performing",$L$6:$L417,$L417))</f>
        <v/>
      </c>
    </row>
    <row r="418" customFormat="false" ht="15" hidden="false" customHeight="true" outlineLevel="0" collapsed="false">
      <c r="A418" s="26"/>
      <c r="B418" s="26"/>
      <c r="C418" s="26"/>
      <c r="D418" s="27" t="str">
        <f aca="false">IF($C418="","",IFERROR(TRIM(LEFT($C418,FIND("-",$C418)-1)),""))</f>
        <v/>
      </c>
      <c r="E418" s="26"/>
      <c r="F418" s="28"/>
      <c r="G418" s="29"/>
      <c r="H418" s="29"/>
      <c r="I418" s="30" t="str">
        <f aca="false">IF($B418="","",$H418-$G418)</f>
        <v/>
      </c>
      <c r="J418" s="31" t="str">
        <f aca="false">IF(OR($B418="",$G418=0,$G418=""),"",$I418/$G418)</f>
        <v/>
      </c>
      <c r="K418" s="32"/>
      <c r="L418" s="32"/>
      <c r="M418" s="32"/>
      <c r="N418" s="32"/>
      <c r="O418" s="32"/>
      <c r="P418" s="31" t="str">
        <f aca="false">IF(OR($L418="",$N418=""),"",$L418-$N418)</f>
        <v/>
      </c>
      <c r="Q418" s="27" t="str">
        <f aca="false">IF($B418="","",IF(N($H418)&gt;0,"Live","Exited"))</f>
        <v/>
      </c>
      <c r="R418" s="27" t="str">
        <f aca="false">IF($B418="","",IF($L418="","Data Pending",IF($L418&gt;=Instructions!$D$19,"Best Fund",IF($L418&gt;=Instructions!$D$20,"Need to Improve","Not Performing"))))</f>
        <v/>
      </c>
      <c r="S418" s="7" t="str">
        <f aca="false">IF($R418="","",IF($R418="Data Pending","Enter the 3Y return",IF($R418="Best Fund","Hold / consider top-up",IF($R418="Need to Improve","Watch 2 quarters, then decide","Review with client - switch or exit"))))</f>
        <v/>
      </c>
      <c r="T418" s="26"/>
      <c r="U418" s="7" t="str">
        <f aca="false">IF($R418&lt;&gt;"Best Fund","",COUNTIFS($R$6:$R$505,"Best Fund",$L$6:$L$505,"&gt;"&amp;$L418)+COUNTIFS($R$6:$R418,"Best Fund",$L$6:$L418,$L418))</f>
        <v/>
      </c>
      <c r="V418" s="7" t="str">
        <f aca="false">IF($R418&lt;&gt;"Need to Improve","",COUNTIFS($R$6:$R$505,"Need to Improve",$L$6:$L$505,"&lt;"&amp;$L418)+COUNTIFS($R$6:$R418,"Need to Improve",$L$6:$L418,$L418))</f>
        <v/>
      </c>
      <c r="W418" s="7" t="str">
        <f aca="false">IF($R418&lt;&gt;"Not Performing","",COUNTIFS($R$6:$R$505,"Not Performing",$L$6:$L$505,"&lt;"&amp;$L418)+COUNTIFS($R$6:$R418,"Not Performing",$L$6:$L418,$L418))</f>
        <v/>
      </c>
    </row>
    <row r="419" customFormat="false" ht="15" hidden="false" customHeight="true" outlineLevel="0" collapsed="false">
      <c r="A419" s="26"/>
      <c r="B419" s="26"/>
      <c r="C419" s="26"/>
      <c r="D419" s="27" t="str">
        <f aca="false">IF($C419="","",IFERROR(TRIM(LEFT($C419,FIND("-",$C419)-1)),""))</f>
        <v/>
      </c>
      <c r="E419" s="26"/>
      <c r="F419" s="28"/>
      <c r="G419" s="29"/>
      <c r="H419" s="29"/>
      <c r="I419" s="30" t="str">
        <f aca="false">IF($B419="","",$H419-$G419)</f>
        <v/>
      </c>
      <c r="J419" s="31" t="str">
        <f aca="false">IF(OR($B419="",$G419=0,$G419=""),"",$I419/$G419)</f>
        <v/>
      </c>
      <c r="K419" s="32"/>
      <c r="L419" s="32"/>
      <c r="M419" s="32"/>
      <c r="N419" s="32"/>
      <c r="O419" s="32"/>
      <c r="P419" s="31" t="str">
        <f aca="false">IF(OR($L419="",$N419=""),"",$L419-$N419)</f>
        <v/>
      </c>
      <c r="Q419" s="27" t="str">
        <f aca="false">IF($B419="","",IF(N($H419)&gt;0,"Live","Exited"))</f>
        <v/>
      </c>
      <c r="R419" s="27" t="str">
        <f aca="false">IF($B419="","",IF($L419="","Data Pending",IF($L419&gt;=Instructions!$D$19,"Best Fund",IF($L419&gt;=Instructions!$D$20,"Need to Improve","Not Performing"))))</f>
        <v/>
      </c>
      <c r="S419" s="7" t="str">
        <f aca="false">IF($R419="","",IF($R419="Data Pending","Enter the 3Y return",IF($R419="Best Fund","Hold / consider top-up",IF($R419="Need to Improve","Watch 2 quarters, then decide","Review with client - switch or exit"))))</f>
        <v/>
      </c>
      <c r="T419" s="26"/>
      <c r="U419" s="7" t="str">
        <f aca="false">IF($R419&lt;&gt;"Best Fund","",COUNTIFS($R$6:$R$505,"Best Fund",$L$6:$L$505,"&gt;"&amp;$L419)+COUNTIFS($R$6:$R419,"Best Fund",$L$6:$L419,$L419))</f>
        <v/>
      </c>
      <c r="V419" s="7" t="str">
        <f aca="false">IF($R419&lt;&gt;"Need to Improve","",COUNTIFS($R$6:$R$505,"Need to Improve",$L$6:$L$505,"&lt;"&amp;$L419)+COUNTIFS($R$6:$R419,"Need to Improve",$L$6:$L419,$L419))</f>
        <v/>
      </c>
      <c r="W419" s="7" t="str">
        <f aca="false">IF($R419&lt;&gt;"Not Performing","",COUNTIFS($R$6:$R$505,"Not Performing",$L$6:$L$505,"&lt;"&amp;$L419)+COUNTIFS($R$6:$R419,"Not Performing",$L$6:$L419,$L419))</f>
        <v/>
      </c>
    </row>
    <row r="420" customFormat="false" ht="15" hidden="false" customHeight="true" outlineLevel="0" collapsed="false">
      <c r="A420" s="26"/>
      <c r="B420" s="26"/>
      <c r="C420" s="26"/>
      <c r="D420" s="27" t="str">
        <f aca="false">IF($C420="","",IFERROR(TRIM(LEFT($C420,FIND("-",$C420)-1)),""))</f>
        <v/>
      </c>
      <c r="E420" s="26"/>
      <c r="F420" s="28"/>
      <c r="G420" s="29"/>
      <c r="H420" s="29"/>
      <c r="I420" s="30" t="str">
        <f aca="false">IF($B420="","",$H420-$G420)</f>
        <v/>
      </c>
      <c r="J420" s="31" t="str">
        <f aca="false">IF(OR($B420="",$G420=0,$G420=""),"",$I420/$G420)</f>
        <v/>
      </c>
      <c r="K420" s="32"/>
      <c r="L420" s="32"/>
      <c r="M420" s="32"/>
      <c r="N420" s="32"/>
      <c r="O420" s="32"/>
      <c r="P420" s="31" t="str">
        <f aca="false">IF(OR($L420="",$N420=""),"",$L420-$N420)</f>
        <v/>
      </c>
      <c r="Q420" s="27" t="str">
        <f aca="false">IF($B420="","",IF(N($H420)&gt;0,"Live","Exited"))</f>
        <v/>
      </c>
      <c r="R420" s="27" t="str">
        <f aca="false">IF($B420="","",IF($L420="","Data Pending",IF($L420&gt;=Instructions!$D$19,"Best Fund",IF($L420&gt;=Instructions!$D$20,"Need to Improve","Not Performing"))))</f>
        <v/>
      </c>
      <c r="S420" s="7" t="str">
        <f aca="false">IF($R420="","",IF($R420="Data Pending","Enter the 3Y return",IF($R420="Best Fund","Hold / consider top-up",IF($R420="Need to Improve","Watch 2 quarters, then decide","Review with client - switch or exit"))))</f>
        <v/>
      </c>
      <c r="T420" s="26"/>
      <c r="U420" s="7" t="str">
        <f aca="false">IF($R420&lt;&gt;"Best Fund","",COUNTIFS($R$6:$R$505,"Best Fund",$L$6:$L$505,"&gt;"&amp;$L420)+COUNTIFS($R$6:$R420,"Best Fund",$L$6:$L420,$L420))</f>
        <v/>
      </c>
      <c r="V420" s="7" t="str">
        <f aca="false">IF($R420&lt;&gt;"Need to Improve","",COUNTIFS($R$6:$R$505,"Need to Improve",$L$6:$L$505,"&lt;"&amp;$L420)+COUNTIFS($R$6:$R420,"Need to Improve",$L$6:$L420,$L420))</f>
        <v/>
      </c>
      <c r="W420" s="7" t="str">
        <f aca="false">IF($R420&lt;&gt;"Not Performing","",COUNTIFS($R$6:$R$505,"Not Performing",$L$6:$L$505,"&lt;"&amp;$L420)+COUNTIFS($R$6:$R420,"Not Performing",$L$6:$L420,$L420))</f>
        <v/>
      </c>
    </row>
    <row r="421" customFormat="false" ht="15" hidden="false" customHeight="true" outlineLevel="0" collapsed="false">
      <c r="A421" s="26"/>
      <c r="B421" s="26"/>
      <c r="C421" s="26"/>
      <c r="D421" s="27" t="str">
        <f aca="false">IF($C421="","",IFERROR(TRIM(LEFT($C421,FIND("-",$C421)-1)),""))</f>
        <v/>
      </c>
      <c r="E421" s="26"/>
      <c r="F421" s="28"/>
      <c r="G421" s="29"/>
      <c r="H421" s="29"/>
      <c r="I421" s="30" t="str">
        <f aca="false">IF($B421="","",$H421-$G421)</f>
        <v/>
      </c>
      <c r="J421" s="31" t="str">
        <f aca="false">IF(OR($B421="",$G421=0,$G421=""),"",$I421/$G421)</f>
        <v/>
      </c>
      <c r="K421" s="32"/>
      <c r="L421" s="32"/>
      <c r="M421" s="32"/>
      <c r="N421" s="32"/>
      <c r="O421" s="32"/>
      <c r="P421" s="31" t="str">
        <f aca="false">IF(OR($L421="",$N421=""),"",$L421-$N421)</f>
        <v/>
      </c>
      <c r="Q421" s="27" t="str">
        <f aca="false">IF($B421="","",IF(N($H421)&gt;0,"Live","Exited"))</f>
        <v/>
      </c>
      <c r="R421" s="27" t="str">
        <f aca="false">IF($B421="","",IF($L421="","Data Pending",IF($L421&gt;=Instructions!$D$19,"Best Fund",IF($L421&gt;=Instructions!$D$20,"Need to Improve","Not Performing"))))</f>
        <v/>
      </c>
      <c r="S421" s="7" t="str">
        <f aca="false">IF($R421="","",IF($R421="Data Pending","Enter the 3Y return",IF($R421="Best Fund","Hold / consider top-up",IF($R421="Need to Improve","Watch 2 quarters, then decide","Review with client - switch or exit"))))</f>
        <v/>
      </c>
      <c r="T421" s="26"/>
      <c r="U421" s="7" t="str">
        <f aca="false">IF($R421&lt;&gt;"Best Fund","",COUNTIFS($R$6:$R$505,"Best Fund",$L$6:$L$505,"&gt;"&amp;$L421)+COUNTIFS($R$6:$R421,"Best Fund",$L$6:$L421,$L421))</f>
        <v/>
      </c>
      <c r="V421" s="7" t="str">
        <f aca="false">IF($R421&lt;&gt;"Need to Improve","",COUNTIFS($R$6:$R$505,"Need to Improve",$L$6:$L$505,"&lt;"&amp;$L421)+COUNTIFS($R$6:$R421,"Need to Improve",$L$6:$L421,$L421))</f>
        <v/>
      </c>
      <c r="W421" s="7" t="str">
        <f aca="false">IF($R421&lt;&gt;"Not Performing","",COUNTIFS($R$6:$R$505,"Not Performing",$L$6:$L$505,"&lt;"&amp;$L421)+COUNTIFS($R$6:$R421,"Not Performing",$L$6:$L421,$L421))</f>
        <v/>
      </c>
    </row>
    <row r="422" customFormat="false" ht="15" hidden="false" customHeight="true" outlineLevel="0" collapsed="false">
      <c r="A422" s="26"/>
      <c r="B422" s="26"/>
      <c r="C422" s="26"/>
      <c r="D422" s="27" t="str">
        <f aca="false">IF($C422="","",IFERROR(TRIM(LEFT($C422,FIND("-",$C422)-1)),""))</f>
        <v/>
      </c>
      <c r="E422" s="26"/>
      <c r="F422" s="28"/>
      <c r="G422" s="29"/>
      <c r="H422" s="29"/>
      <c r="I422" s="30" t="str">
        <f aca="false">IF($B422="","",$H422-$G422)</f>
        <v/>
      </c>
      <c r="J422" s="31" t="str">
        <f aca="false">IF(OR($B422="",$G422=0,$G422=""),"",$I422/$G422)</f>
        <v/>
      </c>
      <c r="K422" s="32"/>
      <c r="L422" s="32"/>
      <c r="M422" s="32"/>
      <c r="N422" s="32"/>
      <c r="O422" s="32"/>
      <c r="P422" s="31" t="str">
        <f aca="false">IF(OR($L422="",$N422=""),"",$L422-$N422)</f>
        <v/>
      </c>
      <c r="Q422" s="27" t="str">
        <f aca="false">IF($B422="","",IF(N($H422)&gt;0,"Live","Exited"))</f>
        <v/>
      </c>
      <c r="R422" s="27" t="str">
        <f aca="false">IF($B422="","",IF($L422="","Data Pending",IF($L422&gt;=Instructions!$D$19,"Best Fund",IF($L422&gt;=Instructions!$D$20,"Need to Improve","Not Performing"))))</f>
        <v/>
      </c>
      <c r="S422" s="7" t="str">
        <f aca="false">IF($R422="","",IF($R422="Data Pending","Enter the 3Y return",IF($R422="Best Fund","Hold / consider top-up",IF($R422="Need to Improve","Watch 2 quarters, then decide","Review with client - switch or exit"))))</f>
        <v/>
      </c>
      <c r="T422" s="26"/>
      <c r="U422" s="7" t="str">
        <f aca="false">IF($R422&lt;&gt;"Best Fund","",COUNTIFS($R$6:$R$505,"Best Fund",$L$6:$L$505,"&gt;"&amp;$L422)+COUNTIFS($R$6:$R422,"Best Fund",$L$6:$L422,$L422))</f>
        <v/>
      </c>
      <c r="V422" s="7" t="str">
        <f aca="false">IF($R422&lt;&gt;"Need to Improve","",COUNTIFS($R$6:$R$505,"Need to Improve",$L$6:$L$505,"&lt;"&amp;$L422)+COUNTIFS($R$6:$R422,"Need to Improve",$L$6:$L422,$L422))</f>
        <v/>
      </c>
      <c r="W422" s="7" t="str">
        <f aca="false">IF($R422&lt;&gt;"Not Performing","",COUNTIFS($R$6:$R$505,"Not Performing",$L$6:$L$505,"&lt;"&amp;$L422)+COUNTIFS($R$6:$R422,"Not Performing",$L$6:$L422,$L422))</f>
        <v/>
      </c>
    </row>
    <row r="423" customFormat="false" ht="15" hidden="false" customHeight="true" outlineLevel="0" collapsed="false">
      <c r="A423" s="26"/>
      <c r="B423" s="26"/>
      <c r="C423" s="26"/>
      <c r="D423" s="27" t="str">
        <f aca="false">IF($C423="","",IFERROR(TRIM(LEFT($C423,FIND("-",$C423)-1)),""))</f>
        <v/>
      </c>
      <c r="E423" s="26"/>
      <c r="F423" s="28"/>
      <c r="G423" s="29"/>
      <c r="H423" s="29"/>
      <c r="I423" s="30" t="str">
        <f aca="false">IF($B423="","",$H423-$G423)</f>
        <v/>
      </c>
      <c r="J423" s="31" t="str">
        <f aca="false">IF(OR($B423="",$G423=0,$G423=""),"",$I423/$G423)</f>
        <v/>
      </c>
      <c r="K423" s="32"/>
      <c r="L423" s="32"/>
      <c r="M423" s="32"/>
      <c r="N423" s="32"/>
      <c r="O423" s="32"/>
      <c r="P423" s="31" t="str">
        <f aca="false">IF(OR($L423="",$N423=""),"",$L423-$N423)</f>
        <v/>
      </c>
      <c r="Q423" s="27" t="str">
        <f aca="false">IF($B423="","",IF(N($H423)&gt;0,"Live","Exited"))</f>
        <v/>
      </c>
      <c r="R423" s="27" t="str">
        <f aca="false">IF($B423="","",IF($L423="","Data Pending",IF($L423&gt;=Instructions!$D$19,"Best Fund",IF($L423&gt;=Instructions!$D$20,"Need to Improve","Not Performing"))))</f>
        <v/>
      </c>
      <c r="S423" s="7" t="str">
        <f aca="false">IF($R423="","",IF($R423="Data Pending","Enter the 3Y return",IF($R423="Best Fund","Hold / consider top-up",IF($R423="Need to Improve","Watch 2 quarters, then decide","Review with client - switch or exit"))))</f>
        <v/>
      </c>
      <c r="T423" s="26"/>
      <c r="U423" s="7" t="str">
        <f aca="false">IF($R423&lt;&gt;"Best Fund","",COUNTIFS($R$6:$R$505,"Best Fund",$L$6:$L$505,"&gt;"&amp;$L423)+COUNTIFS($R$6:$R423,"Best Fund",$L$6:$L423,$L423))</f>
        <v/>
      </c>
      <c r="V423" s="7" t="str">
        <f aca="false">IF($R423&lt;&gt;"Need to Improve","",COUNTIFS($R$6:$R$505,"Need to Improve",$L$6:$L$505,"&lt;"&amp;$L423)+COUNTIFS($R$6:$R423,"Need to Improve",$L$6:$L423,$L423))</f>
        <v/>
      </c>
      <c r="W423" s="7" t="str">
        <f aca="false">IF($R423&lt;&gt;"Not Performing","",COUNTIFS($R$6:$R$505,"Not Performing",$L$6:$L$505,"&lt;"&amp;$L423)+COUNTIFS($R$6:$R423,"Not Performing",$L$6:$L423,$L423))</f>
        <v/>
      </c>
    </row>
    <row r="424" customFormat="false" ht="15" hidden="false" customHeight="true" outlineLevel="0" collapsed="false">
      <c r="A424" s="26"/>
      <c r="B424" s="26"/>
      <c r="C424" s="26"/>
      <c r="D424" s="27" t="str">
        <f aca="false">IF($C424="","",IFERROR(TRIM(LEFT($C424,FIND("-",$C424)-1)),""))</f>
        <v/>
      </c>
      <c r="E424" s="26"/>
      <c r="F424" s="28"/>
      <c r="G424" s="29"/>
      <c r="H424" s="29"/>
      <c r="I424" s="30" t="str">
        <f aca="false">IF($B424="","",$H424-$G424)</f>
        <v/>
      </c>
      <c r="J424" s="31" t="str">
        <f aca="false">IF(OR($B424="",$G424=0,$G424=""),"",$I424/$G424)</f>
        <v/>
      </c>
      <c r="K424" s="32"/>
      <c r="L424" s="32"/>
      <c r="M424" s="32"/>
      <c r="N424" s="32"/>
      <c r="O424" s="32"/>
      <c r="P424" s="31" t="str">
        <f aca="false">IF(OR($L424="",$N424=""),"",$L424-$N424)</f>
        <v/>
      </c>
      <c r="Q424" s="27" t="str">
        <f aca="false">IF($B424="","",IF(N($H424)&gt;0,"Live","Exited"))</f>
        <v/>
      </c>
      <c r="R424" s="27" t="str">
        <f aca="false">IF($B424="","",IF($L424="","Data Pending",IF($L424&gt;=Instructions!$D$19,"Best Fund",IF($L424&gt;=Instructions!$D$20,"Need to Improve","Not Performing"))))</f>
        <v/>
      </c>
      <c r="S424" s="7" t="str">
        <f aca="false">IF($R424="","",IF($R424="Data Pending","Enter the 3Y return",IF($R424="Best Fund","Hold / consider top-up",IF($R424="Need to Improve","Watch 2 quarters, then decide","Review with client - switch or exit"))))</f>
        <v/>
      </c>
      <c r="T424" s="26"/>
      <c r="U424" s="7" t="str">
        <f aca="false">IF($R424&lt;&gt;"Best Fund","",COUNTIFS($R$6:$R$505,"Best Fund",$L$6:$L$505,"&gt;"&amp;$L424)+COUNTIFS($R$6:$R424,"Best Fund",$L$6:$L424,$L424))</f>
        <v/>
      </c>
      <c r="V424" s="7" t="str">
        <f aca="false">IF($R424&lt;&gt;"Need to Improve","",COUNTIFS($R$6:$R$505,"Need to Improve",$L$6:$L$505,"&lt;"&amp;$L424)+COUNTIFS($R$6:$R424,"Need to Improve",$L$6:$L424,$L424))</f>
        <v/>
      </c>
      <c r="W424" s="7" t="str">
        <f aca="false">IF($R424&lt;&gt;"Not Performing","",COUNTIFS($R$6:$R$505,"Not Performing",$L$6:$L$505,"&lt;"&amp;$L424)+COUNTIFS($R$6:$R424,"Not Performing",$L$6:$L424,$L424))</f>
        <v/>
      </c>
    </row>
    <row r="425" customFormat="false" ht="15" hidden="false" customHeight="true" outlineLevel="0" collapsed="false">
      <c r="A425" s="26"/>
      <c r="B425" s="26"/>
      <c r="C425" s="26"/>
      <c r="D425" s="27" t="str">
        <f aca="false">IF($C425="","",IFERROR(TRIM(LEFT($C425,FIND("-",$C425)-1)),""))</f>
        <v/>
      </c>
      <c r="E425" s="26"/>
      <c r="F425" s="28"/>
      <c r="G425" s="29"/>
      <c r="H425" s="29"/>
      <c r="I425" s="30" t="str">
        <f aca="false">IF($B425="","",$H425-$G425)</f>
        <v/>
      </c>
      <c r="J425" s="31" t="str">
        <f aca="false">IF(OR($B425="",$G425=0,$G425=""),"",$I425/$G425)</f>
        <v/>
      </c>
      <c r="K425" s="32"/>
      <c r="L425" s="32"/>
      <c r="M425" s="32"/>
      <c r="N425" s="32"/>
      <c r="O425" s="32"/>
      <c r="P425" s="31" t="str">
        <f aca="false">IF(OR($L425="",$N425=""),"",$L425-$N425)</f>
        <v/>
      </c>
      <c r="Q425" s="27" t="str">
        <f aca="false">IF($B425="","",IF(N($H425)&gt;0,"Live","Exited"))</f>
        <v/>
      </c>
      <c r="R425" s="27" t="str">
        <f aca="false">IF($B425="","",IF($L425="","Data Pending",IF($L425&gt;=Instructions!$D$19,"Best Fund",IF($L425&gt;=Instructions!$D$20,"Need to Improve","Not Performing"))))</f>
        <v/>
      </c>
      <c r="S425" s="7" t="str">
        <f aca="false">IF($R425="","",IF($R425="Data Pending","Enter the 3Y return",IF($R425="Best Fund","Hold / consider top-up",IF($R425="Need to Improve","Watch 2 quarters, then decide","Review with client - switch or exit"))))</f>
        <v/>
      </c>
      <c r="T425" s="26"/>
      <c r="U425" s="7" t="str">
        <f aca="false">IF($R425&lt;&gt;"Best Fund","",COUNTIFS($R$6:$R$505,"Best Fund",$L$6:$L$505,"&gt;"&amp;$L425)+COUNTIFS($R$6:$R425,"Best Fund",$L$6:$L425,$L425))</f>
        <v/>
      </c>
      <c r="V425" s="7" t="str">
        <f aca="false">IF($R425&lt;&gt;"Need to Improve","",COUNTIFS($R$6:$R$505,"Need to Improve",$L$6:$L$505,"&lt;"&amp;$L425)+COUNTIFS($R$6:$R425,"Need to Improve",$L$6:$L425,$L425))</f>
        <v/>
      </c>
      <c r="W425" s="7" t="str">
        <f aca="false">IF($R425&lt;&gt;"Not Performing","",COUNTIFS($R$6:$R$505,"Not Performing",$L$6:$L$505,"&lt;"&amp;$L425)+COUNTIFS($R$6:$R425,"Not Performing",$L$6:$L425,$L425))</f>
        <v/>
      </c>
    </row>
    <row r="426" customFormat="false" ht="15" hidden="false" customHeight="true" outlineLevel="0" collapsed="false">
      <c r="A426" s="26"/>
      <c r="B426" s="26"/>
      <c r="C426" s="26"/>
      <c r="D426" s="27" t="str">
        <f aca="false">IF($C426="","",IFERROR(TRIM(LEFT($C426,FIND("-",$C426)-1)),""))</f>
        <v/>
      </c>
      <c r="E426" s="26"/>
      <c r="F426" s="28"/>
      <c r="G426" s="29"/>
      <c r="H426" s="29"/>
      <c r="I426" s="30" t="str">
        <f aca="false">IF($B426="","",$H426-$G426)</f>
        <v/>
      </c>
      <c r="J426" s="31" t="str">
        <f aca="false">IF(OR($B426="",$G426=0,$G426=""),"",$I426/$G426)</f>
        <v/>
      </c>
      <c r="K426" s="32"/>
      <c r="L426" s="32"/>
      <c r="M426" s="32"/>
      <c r="N426" s="32"/>
      <c r="O426" s="32"/>
      <c r="P426" s="31" t="str">
        <f aca="false">IF(OR($L426="",$N426=""),"",$L426-$N426)</f>
        <v/>
      </c>
      <c r="Q426" s="27" t="str">
        <f aca="false">IF($B426="","",IF(N($H426)&gt;0,"Live","Exited"))</f>
        <v/>
      </c>
      <c r="R426" s="27" t="str">
        <f aca="false">IF($B426="","",IF($L426="","Data Pending",IF($L426&gt;=Instructions!$D$19,"Best Fund",IF($L426&gt;=Instructions!$D$20,"Need to Improve","Not Performing"))))</f>
        <v/>
      </c>
      <c r="S426" s="7" t="str">
        <f aca="false">IF($R426="","",IF($R426="Data Pending","Enter the 3Y return",IF($R426="Best Fund","Hold / consider top-up",IF($R426="Need to Improve","Watch 2 quarters, then decide","Review with client - switch or exit"))))</f>
        <v/>
      </c>
      <c r="T426" s="26"/>
      <c r="U426" s="7" t="str">
        <f aca="false">IF($R426&lt;&gt;"Best Fund","",COUNTIFS($R$6:$R$505,"Best Fund",$L$6:$L$505,"&gt;"&amp;$L426)+COUNTIFS($R$6:$R426,"Best Fund",$L$6:$L426,$L426))</f>
        <v/>
      </c>
      <c r="V426" s="7" t="str">
        <f aca="false">IF($R426&lt;&gt;"Need to Improve","",COUNTIFS($R$6:$R$505,"Need to Improve",$L$6:$L$505,"&lt;"&amp;$L426)+COUNTIFS($R$6:$R426,"Need to Improve",$L$6:$L426,$L426))</f>
        <v/>
      </c>
      <c r="W426" s="7" t="str">
        <f aca="false">IF($R426&lt;&gt;"Not Performing","",COUNTIFS($R$6:$R$505,"Not Performing",$L$6:$L$505,"&lt;"&amp;$L426)+COUNTIFS($R$6:$R426,"Not Performing",$L$6:$L426,$L426))</f>
        <v/>
      </c>
    </row>
    <row r="427" customFormat="false" ht="15" hidden="false" customHeight="true" outlineLevel="0" collapsed="false">
      <c r="A427" s="26"/>
      <c r="B427" s="26"/>
      <c r="C427" s="26"/>
      <c r="D427" s="27" t="str">
        <f aca="false">IF($C427="","",IFERROR(TRIM(LEFT($C427,FIND("-",$C427)-1)),""))</f>
        <v/>
      </c>
      <c r="E427" s="26"/>
      <c r="F427" s="28"/>
      <c r="G427" s="29"/>
      <c r="H427" s="29"/>
      <c r="I427" s="30" t="str">
        <f aca="false">IF($B427="","",$H427-$G427)</f>
        <v/>
      </c>
      <c r="J427" s="31" t="str">
        <f aca="false">IF(OR($B427="",$G427=0,$G427=""),"",$I427/$G427)</f>
        <v/>
      </c>
      <c r="K427" s="32"/>
      <c r="L427" s="32"/>
      <c r="M427" s="32"/>
      <c r="N427" s="32"/>
      <c r="O427" s="32"/>
      <c r="P427" s="31" t="str">
        <f aca="false">IF(OR($L427="",$N427=""),"",$L427-$N427)</f>
        <v/>
      </c>
      <c r="Q427" s="27" t="str">
        <f aca="false">IF($B427="","",IF(N($H427)&gt;0,"Live","Exited"))</f>
        <v/>
      </c>
      <c r="R427" s="27" t="str">
        <f aca="false">IF($B427="","",IF($L427="","Data Pending",IF($L427&gt;=Instructions!$D$19,"Best Fund",IF($L427&gt;=Instructions!$D$20,"Need to Improve","Not Performing"))))</f>
        <v/>
      </c>
      <c r="S427" s="7" t="str">
        <f aca="false">IF($R427="","",IF($R427="Data Pending","Enter the 3Y return",IF($R427="Best Fund","Hold / consider top-up",IF($R427="Need to Improve","Watch 2 quarters, then decide","Review with client - switch or exit"))))</f>
        <v/>
      </c>
      <c r="T427" s="26"/>
      <c r="U427" s="7" t="str">
        <f aca="false">IF($R427&lt;&gt;"Best Fund","",COUNTIFS($R$6:$R$505,"Best Fund",$L$6:$L$505,"&gt;"&amp;$L427)+COUNTIFS($R$6:$R427,"Best Fund",$L$6:$L427,$L427))</f>
        <v/>
      </c>
      <c r="V427" s="7" t="str">
        <f aca="false">IF($R427&lt;&gt;"Need to Improve","",COUNTIFS($R$6:$R$505,"Need to Improve",$L$6:$L$505,"&lt;"&amp;$L427)+COUNTIFS($R$6:$R427,"Need to Improve",$L$6:$L427,$L427))</f>
        <v/>
      </c>
      <c r="W427" s="7" t="str">
        <f aca="false">IF($R427&lt;&gt;"Not Performing","",COUNTIFS($R$6:$R$505,"Not Performing",$L$6:$L$505,"&lt;"&amp;$L427)+COUNTIFS($R$6:$R427,"Not Performing",$L$6:$L427,$L427))</f>
        <v/>
      </c>
    </row>
    <row r="428" customFormat="false" ht="15" hidden="false" customHeight="true" outlineLevel="0" collapsed="false">
      <c r="A428" s="26"/>
      <c r="B428" s="26"/>
      <c r="C428" s="26"/>
      <c r="D428" s="27" t="str">
        <f aca="false">IF($C428="","",IFERROR(TRIM(LEFT($C428,FIND("-",$C428)-1)),""))</f>
        <v/>
      </c>
      <c r="E428" s="26"/>
      <c r="F428" s="28"/>
      <c r="G428" s="29"/>
      <c r="H428" s="29"/>
      <c r="I428" s="30" t="str">
        <f aca="false">IF($B428="","",$H428-$G428)</f>
        <v/>
      </c>
      <c r="J428" s="31" t="str">
        <f aca="false">IF(OR($B428="",$G428=0,$G428=""),"",$I428/$G428)</f>
        <v/>
      </c>
      <c r="K428" s="32"/>
      <c r="L428" s="32"/>
      <c r="M428" s="32"/>
      <c r="N428" s="32"/>
      <c r="O428" s="32"/>
      <c r="P428" s="31" t="str">
        <f aca="false">IF(OR($L428="",$N428=""),"",$L428-$N428)</f>
        <v/>
      </c>
      <c r="Q428" s="27" t="str">
        <f aca="false">IF($B428="","",IF(N($H428)&gt;0,"Live","Exited"))</f>
        <v/>
      </c>
      <c r="R428" s="27" t="str">
        <f aca="false">IF($B428="","",IF($L428="","Data Pending",IF($L428&gt;=Instructions!$D$19,"Best Fund",IF($L428&gt;=Instructions!$D$20,"Need to Improve","Not Performing"))))</f>
        <v/>
      </c>
      <c r="S428" s="7" t="str">
        <f aca="false">IF($R428="","",IF($R428="Data Pending","Enter the 3Y return",IF($R428="Best Fund","Hold / consider top-up",IF($R428="Need to Improve","Watch 2 quarters, then decide","Review with client - switch or exit"))))</f>
        <v/>
      </c>
      <c r="T428" s="26"/>
      <c r="U428" s="7" t="str">
        <f aca="false">IF($R428&lt;&gt;"Best Fund","",COUNTIFS($R$6:$R$505,"Best Fund",$L$6:$L$505,"&gt;"&amp;$L428)+COUNTIFS($R$6:$R428,"Best Fund",$L$6:$L428,$L428))</f>
        <v/>
      </c>
      <c r="V428" s="7" t="str">
        <f aca="false">IF($R428&lt;&gt;"Need to Improve","",COUNTIFS($R$6:$R$505,"Need to Improve",$L$6:$L$505,"&lt;"&amp;$L428)+COUNTIFS($R$6:$R428,"Need to Improve",$L$6:$L428,$L428))</f>
        <v/>
      </c>
      <c r="W428" s="7" t="str">
        <f aca="false">IF($R428&lt;&gt;"Not Performing","",COUNTIFS($R$6:$R$505,"Not Performing",$L$6:$L$505,"&lt;"&amp;$L428)+COUNTIFS($R$6:$R428,"Not Performing",$L$6:$L428,$L428))</f>
        <v/>
      </c>
    </row>
    <row r="429" customFormat="false" ht="15" hidden="false" customHeight="true" outlineLevel="0" collapsed="false">
      <c r="A429" s="26"/>
      <c r="B429" s="26"/>
      <c r="C429" s="26"/>
      <c r="D429" s="27" t="str">
        <f aca="false">IF($C429="","",IFERROR(TRIM(LEFT($C429,FIND("-",$C429)-1)),""))</f>
        <v/>
      </c>
      <c r="E429" s="26"/>
      <c r="F429" s="28"/>
      <c r="G429" s="29"/>
      <c r="H429" s="29"/>
      <c r="I429" s="30" t="str">
        <f aca="false">IF($B429="","",$H429-$G429)</f>
        <v/>
      </c>
      <c r="J429" s="31" t="str">
        <f aca="false">IF(OR($B429="",$G429=0,$G429=""),"",$I429/$G429)</f>
        <v/>
      </c>
      <c r="K429" s="32"/>
      <c r="L429" s="32"/>
      <c r="M429" s="32"/>
      <c r="N429" s="32"/>
      <c r="O429" s="32"/>
      <c r="P429" s="31" t="str">
        <f aca="false">IF(OR($L429="",$N429=""),"",$L429-$N429)</f>
        <v/>
      </c>
      <c r="Q429" s="27" t="str">
        <f aca="false">IF($B429="","",IF(N($H429)&gt;0,"Live","Exited"))</f>
        <v/>
      </c>
      <c r="R429" s="27" t="str">
        <f aca="false">IF($B429="","",IF($L429="","Data Pending",IF($L429&gt;=Instructions!$D$19,"Best Fund",IF($L429&gt;=Instructions!$D$20,"Need to Improve","Not Performing"))))</f>
        <v/>
      </c>
      <c r="S429" s="7" t="str">
        <f aca="false">IF($R429="","",IF($R429="Data Pending","Enter the 3Y return",IF($R429="Best Fund","Hold / consider top-up",IF($R429="Need to Improve","Watch 2 quarters, then decide","Review with client - switch or exit"))))</f>
        <v/>
      </c>
      <c r="T429" s="26"/>
      <c r="U429" s="7" t="str">
        <f aca="false">IF($R429&lt;&gt;"Best Fund","",COUNTIFS($R$6:$R$505,"Best Fund",$L$6:$L$505,"&gt;"&amp;$L429)+COUNTIFS($R$6:$R429,"Best Fund",$L$6:$L429,$L429))</f>
        <v/>
      </c>
      <c r="V429" s="7" t="str">
        <f aca="false">IF($R429&lt;&gt;"Need to Improve","",COUNTIFS($R$6:$R$505,"Need to Improve",$L$6:$L$505,"&lt;"&amp;$L429)+COUNTIFS($R$6:$R429,"Need to Improve",$L$6:$L429,$L429))</f>
        <v/>
      </c>
      <c r="W429" s="7" t="str">
        <f aca="false">IF($R429&lt;&gt;"Not Performing","",COUNTIFS($R$6:$R$505,"Not Performing",$L$6:$L$505,"&lt;"&amp;$L429)+COUNTIFS($R$6:$R429,"Not Performing",$L$6:$L429,$L429))</f>
        <v/>
      </c>
    </row>
    <row r="430" customFormat="false" ht="15" hidden="false" customHeight="true" outlineLevel="0" collapsed="false">
      <c r="A430" s="26"/>
      <c r="B430" s="26"/>
      <c r="C430" s="26"/>
      <c r="D430" s="27" t="str">
        <f aca="false">IF($C430="","",IFERROR(TRIM(LEFT($C430,FIND("-",$C430)-1)),""))</f>
        <v/>
      </c>
      <c r="E430" s="26"/>
      <c r="F430" s="28"/>
      <c r="G430" s="29"/>
      <c r="H430" s="29"/>
      <c r="I430" s="30" t="str">
        <f aca="false">IF($B430="","",$H430-$G430)</f>
        <v/>
      </c>
      <c r="J430" s="31" t="str">
        <f aca="false">IF(OR($B430="",$G430=0,$G430=""),"",$I430/$G430)</f>
        <v/>
      </c>
      <c r="K430" s="32"/>
      <c r="L430" s="32"/>
      <c r="M430" s="32"/>
      <c r="N430" s="32"/>
      <c r="O430" s="32"/>
      <c r="P430" s="31" t="str">
        <f aca="false">IF(OR($L430="",$N430=""),"",$L430-$N430)</f>
        <v/>
      </c>
      <c r="Q430" s="27" t="str">
        <f aca="false">IF($B430="","",IF(N($H430)&gt;0,"Live","Exited"))</f>
        <v/>
      </c>
      <c r="R430" s="27" t="str">
        <f aca="false">IF($B430="","",IF($L430="","Data Pending",IF($L430&gt;=Instructions!$D$19,"Best Fund",IF($L430&gt;=Instructions!$D$20,"Need to Improve","Not Performing"))))</f>
        <v/>
      </c>
      <c r="S430" s="7" t="str">
        <f aca="false">IF($R430="","",IF($R430="Data Pending","Enter the 3Y return",IF($R430="Best Fund","Hold / consider top-up",IF($R430="Need to Improve","Watch 2 quarters, then decide","Review with client - switch or exit"))))</f>
        <v/>
      </c>
      <c r="T430" s="26"/>
      <c r="U430" s="7" t="str">
        <f aca="false">IF($R430&lt;&gt;"Best Fund","",COUNTIFS($R$6:$R$505,"Best Fund",$L$6:$L$505,"&gt;"&amp;$L430)+COUNTIFS($R$6:$R430,"Best Fund",$L$6:$L430,$L430))</f>
        <v/>
      </c>
      <c r="V430" s="7" t="str">
        <f aca="false">IF($R430&lt;&gt;"Need to Improve","",COUNTIFS($R$6:$R$505,"Need to Improve",$L$6:$L$505,"&lt;"&amp;$L430)+COUNTIFS($R$6:$R430,"Need to Improve",$L$6:$L430,$L430))</f>
        <v/>
      </c>
      <c r="W430" s="7" t="str">
        <f aca="false">IF($R430&lt;&gt;"Not Performing","",COUNTIFS($R$6:$R$505,"Not Performing",$L$6:$L$505,"&lt;"&amp;$L430)+COUNTIFS($R$6:$R430,"Not Performing",$L$6:$L430,$L430))</f>
        <v/>
      </c>
    </row>
    <row r="431" customFormat="false" ht="15" hidden="false" customHeight="true" outlineLevel="0" collapsed="false">
      <c r="A431" s="26"/>
      <c r="B431" s="26"/>
      <c r="C431" s="26"/>
      <c r="D431" s="27" t="str">
        <f aca="false">IF($C431="","",IFERROR(TRIM(LEFT($C431,FIND("-",$C431)-1)),""))</f>
        <v/>
      </c>
      <c r="E431" s="26"/>
      <c r="F431" s="28"/>
      <c r="G431" s="29"/>
      <c r="H431" s="29"/>
      <c r="I431" s="30" t="str">
        <f aca="false">IF($B431="","",$H431-$G431)</f>
        <v/>
      </c>
      <c r="J431" s="31" t="str">
        <f aca="false">IF(OR($B431="",$G431=0,$G431=""),"",$I431/$G431)</f>
        <v/>
      </c>
      <c r="K431" s="32"/>
      <c r="L431" s="32"/>
      <c r="M431" s="32"/>
      <c r="N431" s="32"/>
      <c r="O431" s="32"/>
      <c r="P431" s="31" t="str">
        <f aca="false">IF(OR($L431="",$N431=""),"",$L431-$N431)</f>
        <v/>
      </c>
      <c r="Q431" s="27" t="str">
        <f aca="false">IF($B431="","",IF(N($H431)&gt;0,"Live","Exited"))</f>
        <v/>
      </c>
      <c r="R431" s="27" t="str">
        <f aca="false">IF($B431="","",IF($L431="","Data Pending",IF($L431&gt;=Instructions!$D$19,"Best Fund",IF($L431&gt;=Instructions!$D$20,"Need to Improve","Not Performing"))))</f>
        <v/>
      </c>
      <c r="S431" s="7" t="str">
        <f aca="false">IF($R431="","",IF($R431="Data Pending","Enter the 3Y return",IF($R431="Best Fund","Hold / consider top-up",IF($R431="Need to Improve","Watch 2 quarters, then decide","Review with client - switch or exit"))))</f>
        <v/>
      </c>
      <c r="T431" s="26"/>
      <c r="U431" s="7" t="str">
        <f aca="false">IF($R431&lt;&gt;"Best Fund","",COUNTIFS($R$6:$R$505,"Best Fund",$L$6:$L$505,"&gt;"&amp;$L431)+COUNTIFS($R$6:$R431,"Best Fund",$L$6:$L431,$L431))</f>
        <v/>
      </c>
      <c r="V431" s="7" t="str">
        <f aca="false">IF($R431&lt;&gt;"Need to Improve","",COUNTIFS($R$6:$R$505,"Need to Improve",$L$6:$L$505,"&lt;"&amp;$L431)+COUNTIFS($R$6:$R431,"Need to Improve",$L$6:$L431,$L431))</f>
        <v/>
      </c>
      <c r="W431" s="7" t="str">
        <f aca="false">IF($R431&lt;&gt;"Not Performing","",COUNTIFS($R$6:$R$505,"Not Performing",$L$6:$L$505,"&lt;"&amp;$L431)+COUNTIFS($R$6:$R431,"Not Performing",$L$6:$L431,$L431))</f>
        <v/>
      </c>
    </row>
    <row r="432" customFormat="false" ht="15" hidden="false" customHeight="true" outlineLevel="0" collapsed="false">
      <c r="A432" s="26"/>
      <c r="B432" s="26"/>
      <c r="C432" s="26"/>
      <c r="D432" s="27" t="str">
        <f aca="false">IF($C432="","",IFERROR(TRIM(LEFT($C432,FIND("-",$C432)-1)),""))</f>
        <v/>
      </c>
      <c r="E432" s="26"/>
      <c r="F432" s="28"/>
      <c r="G432" s="29"/>
      <c r="H432" s="29"/>
      <c r="I432" s="30" t="str">
        <f aca="false">IF($B432="","",$H432-$G432)</f>
        <v/>
      </c>
      <c r="J432" s="31" t="str">
        <f aca="false">IF(OR($B432="",$G432=0,$G432=""),"",$I432/$G432)</f>
        <v/>
      </c>
      <c r="K432" s="32"/>
      <c r="L432" s="32"/>
      <c r="M432" s="32"/>
      <c r="N432" s="32"/>
      <c r="O432" s="32"/>
      <c r="P432" s="31" t="str">
        <f aca="false">IF(OR($L432="",$N432=""),"",$L432-$N432)</f>
        <v/>
      </c>
      <c r="Q432" s="27" t="str">
        <f aca="false">IF($B432="","",IF(N($H432)&gt;0,"Live","Exited"))</f>
        <v/>
      </c>
      <c r="R432" s="27" t="str">
        <f aca="false">IF($B432="","",IF($L432="","Data Pending",IF($L432&gt;=Instructions!$D$19,"Best Fund",IF($L432&gt;=Instructions!$D$20,"Need to Improve","Not Performing"))))</f>
        <v/>
      </c>
      <c r="S432" s="7" t="str">
        <f aca="false">IF($R432="","",IF($R432="Data Pending","Enter the 3Y return",IF($R432="Best Fund","Hold / consider top-up",IF($R432="Need to Improve","Watch 2 quarters, then decide","Review with client - switch or exit"))))</f>
        <v/>
      </c>
      <c r="T432" s="26"/>
      <c r="U432" s="7" t="str">
        <f aca="false">IF($R432&lt;&gt;"Best Fund","",COUNTIFS($R$6:$R$505,"Best Fund",$L$6:$L$505,"&gt;"&amp;$L432)+COUNTIFS($R$6:$R432,"Best Fund",$L$6:$L432,$L432))</f>
        <v/>
      </c>
      <c r="V432" s="7" t="str">
        <f aca="false">IF($R432&lt;&gt;"Need to Improve","",COUNTIFS($R$6:$R$505,"Need to Improve",$L$6:$L$505,"&lt;"&amp;$L432)+COUNTIFS($R$6:$R432,"Need to Improve",$L$6:$L432,$L432))</f>
        <v/>
      </c>
      <c r="W432" s="7" t="str">
        <f aca="false">IF($R432&lt;&gt;"Not Performing","",COUNTIFS($R$6:$R$505,"Not Performing",$L$6:$L$505,"&lt;"&amp;$L432)+COUNTIFS($R$6:$R432,"Not Performing",$L$6:$L432,$L432))</f>
        <v/>
      </c>
    </row>
    <row r="433" customFormat="false" ht="15" hidden="false" customHeight="true" outlineLevel="0" collapsed="false">
      <c r="A433" s="26"/>
      <c r="B433" s="26"/>
      <c r="C433" s="26"/>
      <c r="D433" s="27" t="str">
        <f aca="false">IF($C433="","",IFERROR(TRIM(LEFT($C433,FIND("-",$C433)-1)),""))</f>
        <v/>
      </c>
      <c r="E433" s="26"/>
      <c r="F433" s="28"/>
      <c r="G433" s="29"/>
      <c r="H433" s="29"/>
      <c r="I433" s="30" t="str">
        <f aca="false">IF($B433="","",$H433-$G433)</f>
        <v/>
      </c>
      <c r="J433" s="31" t="str">
        <f aca="false">IF(OR($B433="",$G433=0,$G433=""),"",$I433/$G433)</f>
        <v/>
      </c>
      <c r="K433" s="32"/>
      <c r="L433" s="32"/>
      <c r="M433" s="32"/>
      <c r="N433" s="32"/>
      <c r="O433" s="32"/>
      <c r="P433" s="31" t="str">
        <f aca="false">IF(OR($L433="",$N433=""),"",$L433-$N433)</f>
        <v/>
      </c>
      <c r="Q433" s="27" t="str">
        <f aca="false">IF($B433="","",IF(N($H433)&gt;0,"Live","Exited"))</f>
        <v/>
      </c>
      <c r="R433" s="27" t="str">
        <f aca="false">IF($B433="","",IF($L433="","Data Pending",IF($L433&gt;=Instructions!$D$19,"Best Fund",IF($L433&gt;=Instructions!$D$20,"Need to Improve","Not Performing"))))</f>
        <v/>
      </c>
      <c r="S433" s="7" t="str">
        <f aca="false">IF($R433="","",IF($R433="Data Pending","Enter the 3Y return",IF($R433="Best Fund","Hold / consider top-up",IF($R433="Need to Improve","Watch 2 quarters, then decide","Review with client - switch or exit"))))</f>
        <v/>
      </c>
      <c r="T433" s="26"/>
      <c r="U433" s="7" t="str">
        <f aca="false">IF($R433&lt;&gt;"Best Fund","",COUNTIFS($R$6:$R$505,"Best Fund",$L$6:$L$505,"&gt;"&amp;$L433)+COUNTIFS($R$6:$R433,"Best Fund",$L$6:$L433,$L433))</f>
        <v/>
      </c>
      <c r="V433" s="7" t="str">
        <f aca="false">IF($R433&lt;&gt;"Need to Improve","",COUNTIFS($R$6:$R$505,"Need to Improve",$L$6:$L$505,"&lt;"&amp;$L433)+COUNTIFS($R$6:$R433,"Need to Improve",$L$6:$L433,$L433))</f>
        <v/>
      </c>
      <c r="W433" s="7" t="str">
        <f aca="false">IF($R433&lt;&gt;"Not Performing","",COUNTIFS($R$6:$R$505,"Not Performing",$L$6:$L$505,"&lt;"&amp;$L433)+COUNTIFS($R$6:$R433,"Not Performing",$L$6:$L433,$L433))</f>
        <v/>
      </c>
    </row>
    <row r="434" customFormat="false" ht="15" hidden="false" customHeight="true" outlineLevel="0" collapsed="false">
      <c r="A434" s="26"/>
      <c r="B434" s="26"/>
      <c r="C434" s="26"/>
      <c r="D434" s="27" t="str">
        <f aca="false">IF($C434="","",IFERROR(TRIM(LEFT($C434,FIND("-",$C434)-1)),""))</f>
        <v/>
      </c>
      <c r="E434" s="26"/>
      <c r="F434" s="28"/>
      <c r="G434" s="29"/>
      <c r="H434" s="29"/>
      <c r="I434" s="30" t="str">
        <f aca="false">IF($B434="","",$H434-$G434)</f>
        <v/>
      </c>
      <c r="J434" s="31" t="str">
        <f aca="false">IF(OR($B434="",$G434=0,$G434=""),"",$I434/$G434)</f>
        <v/>
      </c>
      <c r="K434" s="32"/>
      <c r="L434" s="32"/>
      <c r="M434" s="32"/>
      <c r="N434" s="32"/>
      <c r="O434" s="32"/>
      <c r="P434" s="31" t="str">
        <f aca="false">IF(OR($L434="",$N434=""),"",$L434-$N434)</f>
        <v/>
      </c>
      <c r="Q434" s="27" t="str">
        <f aca="false">IF($B434="","",IF(N($H434)&gt;0,"Live","Exited"))</f>
        <v/>
      </c>
      <c r="R434" s="27" t="str">
        <f aca="false">IF($B434="","",IF($L434="","Data Pending",IF($L434&gt;=Instructions!$D$19,"Best Fund",IF($L434&gt;=Instructions!$D$20,"Need to Improve","Not Performing"))))</f>
        <v/>
      </c>
      <c r="S434" s="7" t="str">
        <f aca="false">IF($R434="","",IF($R434="Data Pending","Enter the 3Y return",IF($R434="Best Fund","Hold / consider top-up",IF($R434="Need to Improve","Watch 2 quarters, then decide","Review with client - switch or exit"))))</f>
        <v/>
      </c>
      <c r="T434" s="26"/>
      <c r="U434" s="7" t="str">
        <f aca="false">IF($R434&lt;&gt;"Best Fund","",COUNTIFS($R$6:$R$505,"Best Fund",$L$6:$L$505,"&gt;"&amp;$L434)+COUNTIFS($R$6:$R434,"Best Fund",$L$6:$L434,$L434))</f>
        <v/>
      </c>
      <c r="V434" s="7" t="str">
        <f aca="false">IF($R434&lt;&gt;"Need to Improve","",COUNTIFS($R$6:$R$505,"Need to Improve",$L$6:$L$505,"&lt;"&amp;$L434)+COUNTIFS($R$6:$R434,"Need to Improve",$L$6:$L434,$L434))</f>
        <v/>
      </c>
      <c r="W434" s="7" t="str">
        <f aca="false">IF($R434&lt;&gt;"Not Performing","",COUNTIFS($R$6:$R$505,"Not Performing",$L$6:$L$505,"&lt;"&amp;$L434)+COUNTIFS($R$6:$R434,"Not Performing",$L$6:$L434,$L434))</f>
        <v/>
      </c>
    </row>
    <row r="435" customFormat="false" ht="15" hidden="false" customHeight="true" outlineLevel="0" collapsed="false">
      <c r="A435" s="26"/>
      <c r="B435" s="26"/>
      <c r="C435" s="26"/>
      <c r="D435" s="27" t="str">
        <f aca="false">IF($C435="","",IFERROR(TRIM(LEFT($C435,FIND("-",$C435)-1)),""))</f>
        <v/>
      </c>
      <c r="E435" s="26"/>
      <c r="F435" s="28"/>
      <c r="G435" s="29"/>
      <c r="H435" s="29"/>
      <c r="I435" s="30" t="str">
        <f aca="false">IF($B435="","",$H435-$G435)</f>
        <v/>
      </c>
      <c r="J435" s="31" t="str">
        <f aca="false">IF(OR($B435="",$G435=0,$G435=""),"",$I435/$G435)</f>
        <v/>
      </c>
      <c r="K435" s="32"/>
      <c r="L435" s="32"/>
      <c r="M435" s="32"/>
      <c r="N435" s="32"/>
      <c r="O435" s="32"/>
      <c r="P435" s="31" t="str">
        <f aca="false">IF(OR($L435="",$N435=""),"",$L435-$N435)</f>
        <v/>
      </c>
      <c r="Q435" s="27" t="str">
        <f aca="false">IF($B435="","",IF(N($H435)&gt;0,"Live","Exited"))</f>
        <v/>
      </c>
      <c r="R435" s="27" t="str">
        <f aca="false">IF($B435="","",IF($L435="","Data Pending",IF($L435&gt;=Instructions!$D$19,"Best Fund",IF($L435&gt;=Instructions!$D$20,"Need to Improve","Not Performing"))))</f>
        <v/>
      </c>
      <c r="S435" s="7" t="str">
        <f aca="false">IF($R435="","",IF($R435="Data Pending","Enter the 3Y return",IF($R435="Best Fund","Hold / consider top-up",IF($R435="Need to Improve","Watch 2 quarters, then decide","Review with client - switch or exit"))))</f>
        <v/>
      </c>
      <c r="T435" s="26"/>
      <c r="U435" s="7" t="str">
        <f aca="false">IF($R435&lt;&gt;"Best Fund","",COUNTIFS($R$6:$R$505,"Best Fund",$L$6:$L$505,"&gt;"&amp;$L435)+COUNTIFS($R$6:$R435,"Best Fund",$L$6:$L435,$L435))</f>
        <v/>
      </c>
      <c r="V435" s="7" t="str">
        <f aca="false">IF($R435&lt;&gt;"Need to Improve","",COUNTIFS($R$6:$R$505,"Need to Improve",$L$6:$L$505,"&lt;"&amp;$L435)+COUNTIFS($R$6:$R435,"Need to Improve",$L$6:$L435,$L435))</f>
        <v/>
      </c>
      <c r="W435" s="7" t="str">
        <f aca="false">IF($R435&lt;&gt;"Not Performing","",COUNTIFS($R$6:$R$505,"Not Performing",$L$6:$L$505,"&lt;"&amp;$L435)+COUNTIFS($R$6:$R435,"Not Performing",$L$6:$L435,$L435))</f>
        <v/>
      </c>
    </row>
    <row r="436" customFormat="false" ht="15" hidden="false" customHeight="true" outlineLevel="0" collapsed="false">
      <c r="A436" s="26"/>
      <c r="B436" s="26"/>
      <c r="C436" s="26"/>
      <c r="D436" s="27" t="str">
        <f aca="false">IF($C436="","",IFERROR(TRIM(LEFT($C436,FIND("-",$C436)-1)),""))</f>
        <v/>
      </c>
      <c r="E436" s="26"/>
      <c r="F436" s="28"/>
      <c r="G436" s="29"/>
      <c r="H436" s="29"/>
      <c r="I436" s="30" t="str">
        <f aca="false">IF($B436="","",$H436-$G436)</f>
        <v/>
      </c>
      <c r="J436" s="31" t="str">
        <f aca="false">IF(OR($B436="",$G436=0,$G436=""),"",$I436/$G436)</f>
        <v/>
      </c>
      <c r="K436" s="32"/>
      <c r="L436" s="32"/>
      <c r="M436" s="32"/>
      <c r="N436" s="32"/>
      <c r="O436" s="32"/>
      <c r="P436" s="31" t="str">
        <f aca="false">IF(OR($L436="",$N436=""),"",$L436-$N436)</f>
        <v/>
      </c>
      <c r="Q436" s="27" t="str">
        <f aca="false">IF($B436="","",IF(N($H436)&gt;0,"Live","Exited"))</f>
        <v/>
      </c>
      <c r="R436" s="27" t="str">
        <f aca="false">IF($B436="","",IF($L436="","Data Pending",IF($L436&gt;=Instructions!$D$19,"Best Fund",IF($L436&gt;=Instructions!$D$20,"Need to Improve","Not Performing"))))</f>
        <v/>
      </c>
      <c r="S436" s="7" t="str">
        <f aca="false">IF($R436="","",IF($R436="Data Pending","Enter the 3Y return",IF($R436="Best Fund","Hold / consider top-up",IF($R436="Need to Improve","Watch 2 quarters, then decide","Review with client - switch or exit"))))</f>
        <v/>
      </c>
      <c r="T436" s="26"/>
      <c r="U436" s="7" t="str">
        <f aca="false">IF($R436&lt;&gt;"Best Fund","",COUNTIFS($R$6:$R$505,"Best Fund",$L$6:$L$505,"&gt;"&amp;$L436)+COUNTIFS($R$6:$R436,"Best Fund",$L$6:$L436,$L436))</f>
        <v/>
      </c>
      <c r="V436" s="7" t="str">
        <f aca="false">IF($R436&lt;&gt;"Need to Improve","",COUNTIFS($R$6:$R$505,"Need to Improve",$L$6:$L$505,"&lt;"&amp;$L436)+COUNTIFS($R$6:$R436,"Need to Improve",$L$6:$L436,$L436))</f>
        <v/>
      </c>
      <c r="W436" s="7" t="str">
        <f aca="false">IF($R436&lt;&gt;"Not Performing","",COUNTIFS($R$6:$R$505,"Not Performing",$L$6:$L$505,"&lt;"&amp;$L436)+COUNTIFS($R$6:$R436,"Not Performing",$L$6:$L436,$L436))</f>
        <v/>
      </c>
    </row>
    <row r="437" customFormat="false" ht="15" hidden="false" customHeight="true" outlineLevel="0" collapsed="false">
      <c r="A437" s="26"/>
      <c r="B437" s="26"/>
      <c r="C437" s="26"/>
      <c r="D437" s="27" t="str">
        <f aca="false">IF($C437="","",IFERROR(TRIM(LEFT($C437,FIND("-",$C437)-1)),""))</f>
        <v/>
      </c>
      <c r="E437" s="26"/>
      <c r="F437" s="28"/>
      <c r="G437" s="29"/>
      <c r="H437" s="29"/>
      <c r="I437" s="30" t="str">
        <f aca="false">IF($B437="","",$H437-$G437)</f>
        <v/>
      </c>
      <c r="J437" s="31" t="str">
        <f aca="false">IF(OR($B437="",$G437=0,$G437=""),"",$I437/$G437)</f>
        <v/>
      </c>
      <c r="K437" s="32"/>
      <c r="L437" s="32"/>
      <c r="M437" s="32"/>
      <c r="N437" s="32"/>
      <c r="O437" s="32"/>
      <c r="P437" s="31" t="str">
        <f aca="false">IF(OR($L437="",$N437=""),"",$L437-$N437)</f>
        <v/>
      </c>
      <c r="Q437" s="27" t="str">
        <f aca="false">IF($B437="","",IF(N($H437)&gt;0,"Live","Exited"))</f>
        <v/>
      </c>
      <c r="R437" s="27" t="str">
        <f aca="false">IF($B437="","",IF($L437="","Data Pending",IF($L437&gt;=Instructions!$D$19,"Best Fund",IF($L437&gt;=Instructions!$D$20,"Need to Improve","Not Performing"))))</f>
        <v/>
      </c>
      <c r="S437" s="7" t="str">
        <f aca="false">IF($R437="","",IF($R437="Data Pending","Enter the 3Y return",IF($R437="Best Fund","Hold / consider top-up",IF($R437="Need to Improve","Watch 2 quarters, then decide","Review with client - switch or exit"))))</f>
        <v/>
      </c>
      <c r="T437" s="26"/>
      <c r="U437" s="7" t="str">
        <f aca="false">IF($R437&lt;&gt;"Best Fund","",COUNTIFS($R$6:$R$505,"Best Fund",$L$6:$L$505,"&gt;"&amp;$L437)+COUNTIFS($R$6:$R437,"Best Fund",$L$6:$L437,$L437))</f>
        <v/>
      </c>
      <c r="V437" s="7" t="str">
        <f aca="false">IF($R437&lt;&gt;"Need to Improve","",COUNTIFS($R$6:$R$505,"Need to Improve",$L$6:$L$505,"&lt;"&amp;$L437)+COUNTIFS($R$6:$R437,"Need to Improve",$L$6:$L437,$L437))</f>
        <v/>
      </c>
      <c r="W437" s="7" t="str">
        <f aca="false">IF($R437&lt;&gt;"Not Performing","",COUNTIFS($R$6:$R$505,"Not Performing",$L$6:$L$505,"&lt;"&amp;$L437)+COUNTIFS($R$6:$R437,"Not Performing",$L$6:$L437,$L437))</f>
        <v/>
      </c>
    </row>
    <row r="438" customFormat="false" ht="15" hidden="false" customHeight="true" outlineLevel="0" collapsed="false">
      <c r="A438" s="26"/>
      <c r="B438" s="26"/>
      <c r="C438" s="26"/>
      <c r="D438" s="27" t="str">
        <f aca="false">IF($C438="","",IFERROR(TRIM(LEFT($C438,FIND("-",$C438)-1)),""))</f>
        <v/>
      </c>
      <c r="E438" s="26"/>
      <c r="F438" s="28"/>
      <c r="G438" s="29"/>
      <c r="H438" s="29"/>
      <c r="I438" s="30" t="str">
        <f aca="false">IF($B438="","",$H438-$G438)</f>
        <v/>
      </c>
      <c r="J438" s="31" t="str">
        <f aca="false">IF(OR($B438="",$G438=0,$G438=""),"",$I438/$G438)</f>
        <v/>
      </c>
      <c r="K438" s="32"/>
      <c r="L438" s="32"/>
      <c r="M438" s="32"/>
      <c r="N438" s="32"/>
      <c r="O438" s="32"/>
      <c r="P438" s="31" t="str">
        <f aca="false">IF(OR($L438="",$N438=""),"",$L438-$N438)</f>
        <v/>
      </c>
      <c r="Q438" s="27" t="str">
        <f aca="false">IF($B438="","",IF(N($H438)&gt;0,"Live","Exited"))</f>
        <v/>
      </c>
      <c r="R438" s="27" t="str">
        <f aca="false">IF($B438="","",IF($L438="","Data Pending",IF($L438&gt;=Instructions!$D$19,"Best Fund",IF($L438&gt;=Instructions!$D$20,"Need to Improve","Not Performing"))))</f>
        <v/>
      </c>
      <c r="S438" s="7" t="str">
        <f aca="false">IF($R438="","",IF($R438="Data Pending","Enter the 3Y return",IF($R438="Best Fund","Hold / consider top-up",IF($R438="Need to Improve","Watch 2 quarters, then decide","Review with client - switch or exit"))))</f>
        <v/>
      </c>
      <c r="T438" s="26"/>
      <c r="U438" s="7" t="str">
        <f aca="false">IF($R438&lt;&gt;"Best Fund","",COUNTIFS($R$6:$R$505,"Best Fund",$L$6:$L$505,"&gt;"&amp;$L438)+COUNTIFS($R$6:$R438,"Best Fund",$L$6:$L438,$L438))</f>
        <v/>
      </c>
      <c r="V438" s="7" t="str">
        <f aca="false">IF($R438&lt;&gt;"Need to Improve","",COUNTIFS($R$6:$R$505,"Need to Improve",$L$6:$L$505,"&lt;"&amp;$L438)+COUNTIFS($R$6:$R438,"Need to Improve",$L$6:$L438,$L438))</f>
        <v/>
      </c>
      <c r="W438" s="7" t="str">
        <f aca="false">IF($R438&lt;&gt;"Not Performing","",COUNTIFS($R$6:$R$505,"Not Performing",$L$6:$L$505,"&lt;"&amp;$L438)+COUNTIFS($R$6:$R438,"Not Performing",$L$6:$L438,$L438))</f>
        <v/>
      </c>
    </row>
    <row r="439" customFormat="false" ht="15" hidden="false" customHeight="true" outlineLevel="0" collapsed="false">
      <c r="A439" s="26"/>
      <c r="B439" s="26"/>
      <c r="C439" s="26"/>
      <c r="D439" s="27" t="str">
        <f aca="false">IF($C439="","",IFERROR(TRIM(LEFT($C439,FIND("-",$C439)-1)),""))</f>
        <v/>
      </c>
      <c r="E439" s="26"/>
      <c r="F439" s="28"/>
      <c r="G439" s="29"/>
      <c r="H439" s="29"/>
      <c r="I439" s="30" t="str">
        <f aca="false">IF($B439="","",$H439-$G439)</f>
        <v/>
      </c>
      <c r="J439" s="31" t="str">
        <f aca="false">IF(OR($B439="",$G439=0,$G439=""),"",$I439/$G439)</f>
        <v/>
      </c>
      <c r="K439" s="32"/>
      <c r="L439" s="32"/>
      <c r="M439" s="32"/>
      <c r="N439" s="32"/>
      <c r="O439" s="32"/>
      <c r="P439" s="31" t="str">
        <f aca="false">IF(OR($L439="",$N439=""),"",$L439-$N439)</f>
        <v/>
      </c>
      <c r="Q439" s="27" t="str">
        <f aca="false">IF($B439="","",IF(N($H439)&gt;0,"Live","Exited"))</f>
        <v/>
      </c>
      <c r="R439" s="27" t="str">
        <f aca="false">IF($B439="","",IF($L439="","Data Pending",IF($L439&gt;=Instructions!$D$19,"Best Fund",IF($L439&gt;=Instructions!$D$20,"Need to Improve","Not Performing"))))</f>
        <v/>
      </c>
      <c r="S439" s="7" t="str">
        <f aca="false">IF($R439="","",IF($R439="Data Pending","Enter the 3Y return",IF($R439="Best Fund","Hold / consider top-up",IF($R439="Need to Improve","Watch 2 quarters, then decide","Review with client - switch or exit"))))</f>
        <v/>
      </c>
      <c r="T439" s="26"/>
      <c r="U439" s="7" t="str">
        <f aca="false">IF($R439&lt;&gt;"Best Fund","",COUNTIFS($R$6:$R$505,"Best Fund",$L$6:$L$505,"&gt;"&amp;$L439)+COUNTIFS($R$6:$R439,"Best Fund",$L$6:$L439,$L439))</f>
        <v/>
      </c>
      <c r="V439" s="7" t="str">
        <f aca="false">IF($R439&lt;&gt;"Need to Improve","",COUNTIFS($R$6:$R$505,"Need to Improve",$L$6:$L$505,"&lt;"&amp;$L439)+COUNTIFS($R$6:$R439,"Need to Improve",$L$6:$L439,$L439))</f>
        <v/>
      </c>
      <c r="W439" s="7" t="str">
        <f aca="false">IF($R439&lt;&gt;"Not Performing","",COUNTIFS($R$6:$R$505,"Not Performing",$L$6:$L$505,"&lt;"&amp;$L439)+COUNTIFS($R$6:$R439,"Not Performing",$L$6:$L439,$L439))</f>
        <v/>
      </c>
    </row>
    <row r="440" customFormat="false" ht="15" hidden="false" customHeight="true" outlineLevel="0" collapsed="false">
      <c r="A440" s="26"/>
      <c r="B440" s="26"/>
      <c r="C440" s="26"/>
      <c r="D440" s="27" t="str">
        <f aca="false">IF($C440="","",IFERROR(TRIM(LEFT($C440,FIND("-",$C440)-1)),""))</f>
        <v/>
      </c>
      <c r="E440" s="26"/>
      <c r="F440" s="28"/>
      <c r="G440" s="29"/>
      <c r="H440" s="29"/>
      <c r="I440" s="30" t="str">
        <f aca="false">IF($B440="","",$H440-$G440)</f>
        <v/>
      </c>
      <c r="J440" s="31" t="str">
        <f aca="false">IF(OR($B440="",$G440=0,$G440=""),"",$I440/$G440)</f>
        <v/>
      </c>
      <c r="K440" s="32"/>
      <c r="L440" s="32"/>
      <c r="M440" s="32"/>
      <c r="N440" s="32"/>
      <c r="O440" s="32"/>
      <c r="P440" s="31" t="str">
        <f aca="false">IF(OR($L440="",$N440=""),"",$L440-$N440)</f>
        <v/>
      </c>
      <c r="Q440" s="27" t="str">
        <f aca="false">IF($B440="","",IF(N($H440)&gt;0,"Live","Exited"))</f>
        <v/>
      </c>
      <c r="R440" s="27" t="str">
        <f aca="false">IF($B440="","",IF($L440="","Data Pending",IF($L440&gt;=Instructions!$D$19,"Best Fund",IF($L440&gt;=Instructions!$D$20,"Need to Improve","Not Performing"))))</f>
        <v/>
      </c>
      <c r="S440" s="7" t="str">
        <f aca="false">IF($R440="","",IF($R440="Data Pending","Enter the 3Y return",IF($R440="Best Fund","Hold / consider top-up",IF($R440="Need to Improve","Watch 2 quarters, then decide","Review with client - switch or exit"))))</f>
        <v/>
      </c>
      <c r="T440" s="26"/>
      <c r="U440" s="7" t="str">
        <f aca="false">IF($R440&lt;&gt;"Best Fund","",COUNTIFS($R$6:$R$505,"Best Fund",$L$6:$L$505,"&gt;"&amp;$L440)+COUNTIFS($R$6:$R440,"Best Fund",$L$6:$L440,$L440))</f>
        <v/>
      </c>
      <c r="V440" s="7" t="str">
        <f aca="false">IF($R440&lt;&gt;"Need to Improve","",COUNTIFS($R$6:$R$505,"Need to Improve",$L$6:$L$505,"&lt;"&amp;$L440)+COUNTIFS($R$6:$R440,"Need to Improve",$L$6:$L440,$L440))</f>
        <v/>
      </c>
      <c r="W440" s="7" t="str">
        <f aca="false">IF($R440&lt;&gt;"Not Performing","",COUNTIFS($R$6:$R$505,"Not Performing",$L$6:$L$505,"&lt;"&amp;$L440)+COUNTIFS($R$6:$R440,"Not Performing",$L$6:$L440,$L440))</f>
        <v/>
      </c>
    </row>
    <row r="441" customFormat="false" ht="15" hidden="false" customHeight="true" outlineLevel="0" collapsed="false">
      <c r="A441" s="26"/>
      <c r="B441" s="26"/>
      <c r="C441" s="26"/>
      <c r="D441" s="27" t="str">
        <f aca="false">IF($C441="","",IFERROR(TRIM(LEFT($C441,FIND("-",$C441)-1)),""))</f>
        <v/>
      </c>
      <c r="E441" s="26"/>
      <c r="F441" s="28"/>
      <c r="G441" s="29"/>
      <c r="H441" s="29"/>
      <c r="I441" s="30" t="str">
        <f aca="false">IF($B441="","",$H441-$G441)</f>
        <v/>
      </c>
      <c r="J441" s="31" t="str">
        <f aca="false">IF(OR($B441="",$G441=0,$G441=""),"",$I441/$G441)</f>
        <v/>
      </c>
      <c r="K441" s="32"/>
      <c r="L441" s="32"/>
      <c r="M441" s="32"/>
      <c r="N441" s="32"/>
      <c r="O441" s="32"/>
      <c r="P441" s="31" t="str">
        <f aca="false">IF(OR($L441="",$N441=""),"",$L441-$N441)</f>
        <v/>
      </c>
      <c r="Q441" s="27" t="str">
        <f aca="false">IF($B441="","",IF(N($H441)&gt;0,"Live","Exited"))</f>
        <v/>
      </c>
      <c r="R441" s="27" t="str">
        <f aca="false">IF($B441="","",IF($L441="","Data Pending",IF($L441&gt;=Instructions!$D$19,"Best Fund",IF($L441&gt;=Instructions!$D$20,"Need to Improve","Not Performing"))))</f>
        <v/>
      </c>
      <c r="S441" s="7" t="str">
        <f aca="false">IF($R441="","",IF($R441="Data Pending","Enter the 3Y return",IF($R441="Best Fund","Hold / consider top-up",IF($R441="Need to Improve","Watch 2 quarters, then decide","Review with client - switch or exit"))))</f>
        <v/>
      </c>
      <c r="T441" s="26"/>
      <c r="U441" s="7" t="str">
        <f aca="false">IF($R441&lt;&gt;"Best Fund","",COUNTIFS($R$6:$R$505,"Best Fund",$L$6:$L$505,"&gt;"&amp;$L441)+COUNTIFS($R$6:$R441,"Best Fund",$L$6:$L441,$L441))</f>
        <v/>
      </c>
      <c r="V441" s="7" t="str">
        <f aca="false">IF($R441&lt;&gt;"Need to Improve","",COUNTIFS($R$6:$R$505,"Need to Improve",$L$6:$L$505,"&lt;"&amp;$L441)+COUNTIFS($R$6:$R441,"Need to Improve",$L$6:$L441,$L441))</f>
        <v/>
      </c>
      <c r="W441" s="7" t="str">
        <f aca="false">IF($R441&lt;&gt;"Not Performing","",COUNTIFS($R$6:$R$505,"Not Performing",$L$6:$L$505,"&lt;"&amp;$L441)+COUNTIFS($R$6:$R441,"Not Performing",$L$6:$L441,$L441))</f>
        <v/>
      </c>
    </row>
    <row r="442" customFormat="false" ht="15" hidden="false" customHeight="true" outlineLevel="0" collapsed="false">
      <c r="A442" s="26"/>
      <c r="B442" s="26"/>
      <c r="C442" s="26"/>
      <c r="D442" s="27" t="str">
        <f aca="false">IF($C442="","",IFERROR(TRIM(LEFT($C442,FIND("-",$C442)-1)),""))</f>
        <v/>
      </c>
      <c r="E442" s="26"/>
      <c r="F442" s="28"/>
      <c r="G442" s="29"/>
      <c r="H442" s="29"/>
      <c r="I442" s="30" t="str">
        <f aca="false">IF($B442="","",$H442-$G442)</f>
        <v/>
      </c>
      <c r="J442" s="31" t="str">
        <f aca="false">IF(OR($B442="",$G442=0,$G442=""),"",$I442/$G442)</f>
        <v/>
      </c>
      <c r="K442" s="32"/>
      <c r="L442" s="32"/>
      <c r="M442" s="32"/>
      <c r="N442" s="32"/>
      <c r="O442" s="32"/>
      <c r="P442" s="31" t="str">
        <f aca="false">IF(OR($L442="",$N442=""),"",$L442-$N442)</f>
        <v/>
      </c>
      <c r="Q442" s="27" t="str">
        <f aca="false">IF($B442="","",IF(N($H442)&gt;0,"Live","Exited"))</f>
        <v/>
      </c>
      <c r="R442" s="27" t="str">
        <f aca="false">IF($B442="","",IF($L442="","Data Pending",IF($L442&gt;=Instructions!$D$19,"Best Fund",IF($L442&gt;=Instructions!$D$20,"Need to Improve","Not Performing"))))</f>
        <v/>
      </c>
      <c r="S442" s="7" t="str">
        <f aca="false">IF($R442="","",IF($R442="Data Pending","Enter the 3Y return",IF($R442="Best Fund","Hold / consider top-up",IF($R442="Need to Improve","Watch 2 quarters, then decide","Review with client - switch or exit"))))</f>
        <v/>
      </c>
      <c r="T442" s="26"/>
      <c r="U442" s="7" t="str">
        <f aca="false">IF($R442&lt;&gt;"Best Fund","",COUNTIFS($R$6:$R$505,"Best Fund",$L$6:$L$505,"&gt;"&amp;$L442)+COUNTIFS($R$6:$R442,"Best Fund",$L$6:$L442,$L442))</f>
        <v/>
      </c>
      <c r="V442" s="7" t="str">
        <f aca="false">IF($R442&lt;&gt;"Need to Improve","",COUNTIFS($R$6:$R$505,"Need to Improve",$L$6:$L$505,"&lt;"&amp;$L442)+COUNTIFS($R$6:$R442,"Need to Improve",$L$6:$L442,$L442))</f>
        <v/>
      </c>
      <c r="W442" s="7" t="str">
        <f aca="false">IF($R442&lt;&gt;"Not Performing","",COUNTIFS($R$6:$R$505,"Not Performing",$L$6:$L$505,"&lt;"&amp;$L442)+COUNTIFS($R$6:$R442,"Not Performing",$L$6:$L442,$L442))</f>
        <v/>
      </c>
    </row>
    <row r="443" customFormat="false" ht="15" hidden="false" customHeight="true" outlineLevel="0" collapsed="false">
      <c r="A443" s="26"/>
      <c r="B443" s="26"/>
      <c r="C443" s="26"/>
      <c r="D443" s="27" t="str">
        <f aca="false">IF($C443="","",IFERROR(TRIM(LEFT($C443,FIND("-",$C443)-1)),""))</f>
        <v/>
      </c>
      <c r="E443" s="26"/>
      <c r="F443" s="28"/>
      <c r="G443" s="29"/>
      <c r="H443" s="29"/>
      <c r="I443" s="30" t="str">
        <f aca="false">IF($B443="","",$H443-$G443)</f>
        <v/>
      </c>
      <c r="J443" s="31" t="str">
        <f aca="false">IF(OR($B443="",$G443=0,$G443=""),"",$I443/$G443)</f>
        <v/>
      </c>
      <c r="K443" s="32"/>
      <c r="L443" s="32"/>
      <c r="M443" s="32"/>
      <c r="N443" s="32"/>
      <c r="O443" s="32"/>
      <c r="P443" s="31" t="str">
        <f aca="false">IF(OR($L443="",$N443=""),"",$L443-$N443)</f>
        <v/>
      </c>
      <c r="Q443" s="27" t="str">
        <f aca="false">IF($B443="","",IF(N($H443)&gt;0,"Live","Exited"))</f>
        <v/>
      </c>
      <c r="R443" s="27" t="str">
        <f aca="false">IF($B443="","",IF($L443="","Data Pending",IF($L443&gt;=Instructions!$D$19,"Best Fund",IF($L443&gt;=Instructions!$D$20,"Need to Improve","Not Performing"))))</f>
        <v/>
      </c>
      <c r="S443" s="7" t="str">
        <f aca="false">IF($R443="","",IF($R443="Data Pending","Enter the 3Y return",IF($R443="Best Fund","Hold / consider top-up",IF($R443="Need to Improve","Watch 2 quarters, then decide","Review with client - switch or exit"))))</f>
        <v/>
      </c>
      <c r="T443" s="26"/>
      <c r="U443" s="7" t="str">
        <f aca="false">IF($R443&lt;&gt;"Best Fund","",COUNTIFS($R$6:$R$505,"Best Fund",$L$6:$L$505,"&gt;"&amp;$L443)+COUNTIFS($R$6:$R443,"Best Fund",$L$6:$L443,$L443))</f>
        <v/>
      </c>
      <c r="V443" s="7" t="str">
        <f aca="false">IF($R443&lt;&gt;"Need to Improve","",COUNTIFS($R$6:$R$505,"Need to Improve",$L$6:$L$505,"&lt;"&amp;$L443)+COUNTIFS($R$6:$R443,"Need to Improve",$L$6:$L443,$L443))</f>
        <v/>
      </c>
      <c r="W443" s="7" t="str">
        <f aca="false">IF($R443&lt;&gt;"Not Performing","",COUNTIFS($R$6:$R$505,"Not Performing",$L$6:$L$505,"&lt;"&amp;$L443)+COUNTIFS($R$6:$R443,"Not Performing",$L$6:$L443,$L443))</f>
        <v/>
      </c>
    </row>
    <row r="444" customFormat="false" ht="15" hidden="false" customHeight="true" outlineLevel="0" collapsed="false">
      <c r="A444" s="26"/>
      <c r="B444" s="26"/>
      <c r="C444" s="26"/>
      <c r="D444" s="27" t="str">
        <f aca="false">IF($C444="","",IFERROR(TRIM(LEFT($C444,FIND("-",$C444)-1)),""))</f>
        <v/>
      </c>
      <c r="E444" s="26"/>
      <c r="F444" s="28"/>
      <c r="G444" s="29"/>
      <c r="H444" s="29"/>
      <c r="I444" s="30" t="str">
        <f aca="false">IF($B444="","",$H444-$G444)</f>
        <v/>
      </c>
      <c r="J444" s="31" t="str">
        <f aca="false">IF(OR($B444="",$G444=0,$G444=""),"",$I444/$G444)</f>
        <v/>
      </c>
      <c r="K444" s="32"/>
      <c r="L444" s="32"/>
      <c r="M444" s="32"/>
      <c r="N444" s="32"/>
      <c r="O444" s="32"/>
      <c r="P444" s="31" t="str">
        <f aca="false">IF(OR($L444="",$N444=""),"",$L444-$N444)</f>
        <v/>
      </c>
      <c r="Q444" s="27" t="str">
        <f aca="false">IF($B444="","",IF(N($H444)&gt;0,"Live","Exited"))</f>
        <v/>
      </c>
      <c r="R444" s="27" t="str">
        <f aca="false">IF($B444="","",IF($L444="","Data Pending",IF($L444&gt;=Instructions!$D$19,"Best Fund",IF($L444&gt;=Instructions!$D$20,"Need to Improve","Not Performing"))))</f>
        <v/>
      </c>
      <c r="S444" s="7" t="str">
        <f aca="false">IF($R444="","",IF($R444="Data Pending","Enter the 3Y return",IF($R444="Best Fund","Hold / consider top-up",IF($R444="Need to Improve","Watch 2 quarters, then decide","Review with client - switch or exit"))))</f>
        <v/>
      </c>
      <c r="T444" s="26"/>
      <c r="U444" s="7" t="str">
        <f aca="false">IF($R444&lt;&gt;"Best Fund","",COUNTIFS($R$6:$R$505,"Best Fund",$L$6:$L$505,"&gt;"&amp;$L444)+COUNTIFS($R$6:$R444,"Best Fund",$L$6:$L444,$L444))</f>
        <v/>
      </c>
      <c r="V444" s="7" t="str">
        <f aca="false">IF($R444&lt;&gt;"Need to Improve","",COUNTIFS($R$6:$R$505,"Need to Improve",$L$6:$L$505,"&lt;"&amp;$L444)+COUNTIFS($R$6:$R444,"Need to Improve",$L$6:$L444,$L444))</f>
        <v/>
      </c>
      <c r="W444" s="7" t="str">
        <f aca="false">IF($R444&lt;&gt;"Not Performing","",COUNTIFS($R$6:$R$505,"Not Performing",$L$6:$L$505,"&lt;"&amp;$L444)+COUNTIFS($R$6:$R444,"Not Performing",$L$6:$L444,$L444))</f>
        <v/>
      </c>
    </row>
    <row r="445" customFormat="false" ht="15" hidden="false" customHeight="true" outlineLevel="0" collapsed="false">
      <c r="A445" s="26"/>
      <c r="B445" s="26"/>
      <c r="C445" s="26"/>
      <c r="D445" s="27" t="str">
        <f aca="false">IF($C445="","",IFERROR(TRIM(LEFT($C445,FIND("-",$C445)-1)),""))</f>
        <v/>
      </c>
      <c r="E445" s="26"/>
      <c r="F445" s="28"/>
      <c r="G445" s="29"/>
      <c r="H445" s="29"/>
      <c r="I445" s="30" t="str">
        <f aca="false">IF($B445="","",$H445-$G445)</f>
        <v/>
      </c>
      <c r="J445" s="31" t="str">
        <f aca="false">IF(OR($B445="",$G445=0,$G445=""),"",$I445/$G445)</f>
        <v/>
      </c>
      <c r="K445" s="32"/>
      <c r="L445" s="32"/>
      <c r="M445" s="32"/>
      <c r="N445" s="32"/>
      <c r="O445" s="32"/>
      <c r="P445" s="31" t="str">
        <f aca="false">IF(OR($L445="",$N445=""),"",$L445-$N445)</f>
        <v/>
      </c>
      <c r="Q445" s="27" t="str">
        <f aca="false">IF($B445="","",IF(N($H445)&gt;0,"Live","Exited"))</f>
        <v/>
      </c>
      <c r="R445" s="27" t="str">
        <f aca="false">IF($B445="","",IF($L445="","Data Pending",IF($L445&gt;=Instructions!$D$19,"Best Fund",IF($L445&gt;=Instructions!$D$20,"Need to Improve","Not Performing"))))</f>
        <v/>
      </c>
      <c r="S445" s="7" t="str">
        <f aca="false">IF($R445="","",IF($R445="Data Pending","Enter the 3Y return",IF($R445="Best Fund","Hold / consider top-up",IF($R445="Need to Improve","Watch 2 quarters, then decide","Review with client - switch or exit"))))</f>
        <v/>
      </c>
      <c r="T445" s="26"/>
      <c r="U445" s="7" t="str">
        <f aca="false">IF($R445&lt;&gt;"Best Fund","",COUNTIFS($R$6:$R$505,"Best Fund",$L$6:$L$505,"&gt;"&amp;$L445)+COUNTIFS($R$6:$R445,"Best Fund",$L$6:$L445,$L445))</f>
        <v/>
      </c>
      <c r="V445" s="7" t="str">
        <f aca="false">IF($R445&lt;&gt;"Need to Improve","",COUNTIFS($R$6:$R$505,"Need to Improve",$L$6:$L$505,"&lt;"&amp;$L445)+COUNTIFS($R$6:$R445,"Need to Improve",$L$6:$L445,$L445))</f>
        <v/>
      </c>
      <c r="W445" s="7" t="str">
        <f aca="false">IF($R445&lt;&gt;"Not Performing","",COUNTIFS($R$6:$R$505,"Not Performing",$L$6:$L$505,"&lt;"&amp;$L445)+COUNTIFS($R$6:$R445,"Not Performing",$L$6:$L445,$L445))</f>
        <v/>
      </c>
    </row>
    <row r="446" customFormat="false" ht="15" hidden="false" customHeight="true" outlineLevel="0" collapsed="false">
      <c r="A446" s="26"/>
      <c r="B446" s="26"/>
      <c r="C446" s="26"/>
      <c r="D446" s="27" t="str">
        <f aca="false">IF($C446="","",IFERROR(TRIM(LEFT($C446,FIND("-",$C446)-1)),""))</f>
        <v/>
      </c>
      <c r="E446" s="26"/>
      <c r="F446" s="28"/>
      <c r="G446" s="29"/>
      <c r="H446" s="29"/>
      <c r="I446" s="30" t="str">
        <f aca="false">IF($B446="","",$H446-$G446)</f>
        <v/>
      </c>
      <c r="J446" s="31" t="str">
        <f aca="false">IF(OR($B446="",$G446=0,$G446=""),"",$I446/$G446)</f>
        <v/>
      </c>
      <c r="K446" s="32"/>
      <c r="L446" s="32"/>
      <c r="M446" s="32"/>
      <c r="N446" s="32"/>
      <c r="O446" s="32"/>
      <c r="P446" s="31" t="str">
        <f aca="false">IF(OR($L446="",$N446=""),"",$L446-$N446)</f>
        <v/>
      </c>
      <c r="Q446" s="27" t="str">
        <f aca="false">IF($B446="","",IF(N($H446)&gt;0,"Live","Exited"))</f>
        <v/>
      </c>
      <c r="R446" s="27" t="str">
        <f aca="false">IF($B446="","",IF($L446="","Data Pending",IF($L446&gt;=Instructions!$D$19,"Best Fund",IF($L446&gt;=Instructions!$D$20,"Need to Improve","Not Performing"))))</f>
        <v/>
      </c>
      <c r="S446" s="7" t="str">
        <f aca="false">IF($R446="","",IF($R446="Data Pending","Enter the 3Y return",IF($R446="Best Fund","Hold / consider top-up",IF($R446="Need to Improve","Watch 2 quarters, then decide","Review with client - switch or exit"))))</f>
        <v/>
      </c>
      <c r="T446" s="26"/>
      <c r="U446" s="7" t="str">
        <f aca="false">IF($R446&lt;&gt;"Best Fund","",COUNTIFS($R$6:$R$505,"Best Fund",$L$6:$L$505,"&gt;"&amp;$L446)+COUNTIFS($R$6:$R446,"Best Fund",$L$6:$L446,$L446))</f>
        <v/>
      </c>
      <c r="V446" s="7" t="str">
        <f aca="false">IF($R446&lt;&gt;"Need to Improve","",COUNTIFS($R$6:$R$505,"Need to Improve",$L$6:$L$505,"&lt;"&amp;$L446)+COUNTIFS($R$6:$R446,"Need to Improve",$L$6:$L446,$L446))</f>
        <v/>
      </c>
      <c r="W446" s="7" t="str">
        <f aca="false">IF($R446&lt;&gt;"Not Performing","",COUNTIFS($R$6:$R$505,"Not Performing",$L$6:$L$505,"&lt;"&amp;$L446)+COUNTIFS($R$6:$R446,"Not Performing",$L$6:$L446,$L446))</f>
        <v/>
      </c>
    </row>
    <row r="447" customFormat="false" ht="15" hidden="false" customHeight="true" outlineLevel="0" collapsed="false">
      <c r="A447" s="26"/>
      <c r="B447" s="26"/>
      <c r="C447" s="26"/>
      <c r="D447" s="27" t="str">
        <f aca="false">IF($C447="","",IFERROR(TRIM(LEFT($C447,FIND("-",$C447)-1)),""))</f>
        <v/>
      </c>
      <c r="E447" s="26"/>
      <c r="F447" s="28"/>
      <c r="G447" s="29"/>
      <c r="H447" s="29"/>
      <c r="I447" s="30" t="str">
        <f aca="false">IF($B447="","",$H447-$G447)</f>
        <v/>
      </c>
      <c r="J447" s="31" t="str">
        <f aca="false">IF(OR($B447="",$G447=0,$G447=""),"",$I447/$G447)</f>
        <v/>
      </c>
      <c r="K447" s="32"/>
      <c r="L447" s="32"/>
      <c r="M447" s="32"/>
      <c r="N447" s="32"/>
      <c r="O447" s="32"/>
      <c r="P447" s="31" t="str">
        <f aca="false">IF(OR($L447="",$N447=""),"",$L447-$N447)</f>
        <v/>
      </c>
      <c r="Q447" s="27" t="str">
        <f aca="false">IF($B447="","",IF(N($H447)&gt;0,"Live","Exited"))</f>
        <v/>
      </c>
      <c r="R447" s="27" t="str">
        <f aca="false">IF($B447="","",IF($L447="","Data Pending",IF($L447&gt;=Instructions!$D$19,"Best Fund",IF($L447&gt;=Instructions!$D$20,"Need to Improve","Not Performing"))))</f>
        <v/>
      </c>
      <c r="S447" s="7" t="str">
        <f aca="false">IF($R447="","",IF($R447="Data Pending","Enter the 3Y return",IF($R447="Best Fund","Hold / consider top-up",IF($R447="Need to Improve","Watch 2 quarters, then decide","Review with client - switch or exit"))))</f>
        <v/>
      </c>
      <c r="T447" s="26"/>
      <c r="U447" s="7" t="str">
        <f aca="false">IF($R447&lt;&gt;"Best Fund","",COUNTIFS($R$6:$R$505,"Best Fund",$L$6:$L$505,"&gt;"&amp;$L447)+COUNTIFS($R$6:$R447,"Best Fund",$L$6:$L447,$L447))</f>
        <v/>
      </c>
      <c r="V447" s="7" t="str">
        <f aca="false">IF($R447&lt;&gt;"Need to Improve","",COUNTIFS($R$6:$R$505,"Need to Improve",$L$6:$L$505,"&lt;"&amp;$L447)+COUNTIFS($R$6:$R447,"Need to Improve",$L$6:$L447,$L447))</f>
        <v/>
      </c>
      <c r="W447" s="7" t="str">
        <f aca="false">IF($R447&lt;&gt;"Not Performing","",COUNTIFS($R$6:$R$505,"Not Performing",$L$6:$L$505,"&lt;"&amp;$L447)+COUNTIFS($R$6:$R447,"Not Performing",$L$6:$L447,$L447))</f>
        <v/>
      </c>
    </row>
    <row r="448" customFormat="false" ht="15" hidden="false" customHeight="true" outlineLevel="0" collapsed="false">
      <c r="A448" s="26"/>
      <c r="B448" s="26"/>
      <c r="C448" s="26"/>
      <c r="D448" s="27" t="str">
        <f aca="false">IF($C448="","",IFERROR(TRIM(LEFT($C448,FIND("-",$C448)-1)),""))</f>
        <v/>
      </c>
      <c r="E448" s="26"/>
      <c r="F448" s="28"/>
      <c r="G448" s="29"/>
      <c r="H448" s="29"/>
      <c r="I448" s="30" t="str">
        <f aca="false">IF($B448="","",$H448-$G448)</f>
        <v/>
      </c>
      <c r="J448" s="31" t="str">
        <f aca="false">IF(OR($B448="",$G448=0,$G448=""),"",$I448/$G448)</f>
        <v/>
      </c>
      <c r="K448" s="32"/>
      <c r="L448" s="32"/>
      <c r="M448" s="32"/>
      <c r="N448" s="32"/>
      <c r="O448" s="32"/>
      <c r="P448" s="31" t="str">
        <f aca="false">IF(OR($L448="",$N448=""),"",$L448-$N448)</f>
        <v/>
      </c>
      <c r="Q448" s="27" t="str">
        <f aca="false">IF($B448="","",IF(N($H448)&gt;0,"Live","Exited"))</f>
        <v/>
      </c>
      <c r="R448" s="27" t="str">
        <f aca="false">IF($B448="","",IF($L448="","Data Pending",IF($L448&gt;=Instructions!$D$19,"Best Fund",IF($L448&gt;=Instructions!$D$20,"Need to Improve","Not Performing"))))</f>
        <v/>
      </c>
      <c r="S448" s="7" t="str">
        <f aca="false">IF($R448="","",IF($R448="Data Pending","Enter the 3Y return",IF($R448="Best Fund","Hold / consider top-up",IF($R448="Need to Improve","Watch 2 quarters, then decide","Review with client - switch or exit"))))</f>
        <v/>
      </c>
      <c r="T448" s="26"/>
      <c r="U448" s="7" t="str">
        <f aca="false">IF($R448&lt;&gt;"Best Fund","",COUNTIFS($R$6:$R$505,"Best Fund",$L$6:$L$505,"&gt;"&amp;$L448)+COUNTIFS($R$6:$R448,"Best Fund",$L$6:$L448,$L448))</f>
        <v/>
      </c>
      <c r="V448" s="7" t="str">
        <f aca="false">IF($R448&lt;&gt;"Need to Improve","",COUNTIFS($R$6:$R$505,"Need to Improve",$L$6:$L$505,"&lt;"&amp;$L448)+COUNTIFS($R$6:$R448,"Need to Improve",$L$6:$L448,$L448))</f>
        <v/>
      </c>
      <c r="W448" s="7" t="str">
        <f aca="false">IF($R448&lt;&gt;"Not Performing","",COUNTIFS($R$6:$R$505,"Not Performing",$L$6:$L$505,"&lt;"&amp;$L448)+COUNTIFS($R$6:$R448,"Not Performing",$L$6:$L448,$L448))</f>
        <v/>
      </c>
    </row>
    <row r="449" customFormat="false" ht="15" hidden="false" customHeight="true" outlineLevel="0" collapsed="false">
      <c r="A449" s="26"/>
      <c r="B449" s="26"/>
      <c r="C449" s="26"/>
      <c r="D449" s="27" t="str">
        <f aca="false">IF($C449="","",IFERROR(TRIM(LEFT($C449,FIND("-",$C449)-1)),""))</f>
        <v/>
      </c>
      <c r="E449" s="26"/>
      <c r="F449" s="28"/>
      <c r="G449" s="29"/>
      <c r="H449" s="29"/>
      <c r="I449" s="30" t="str">
        <f aca="false">IF($B449="","",$H449-$G449)</f>
        <v/>
      </c>
      <c r="J449" s="31" t="str">
        <f aca="false">IF(OR($B449="",$G449=0,$G449=""),"",$I449/$G449)</f>
        <v/>
      </c>
      <c r="K449" s="32"/>
      <c r="L449" s="32"/>
      <c r="M449" s="32"/>
      <c r="N449" s="32"/>
      <c r="O449" s="32"/>
      <c r="P449" s="31" t="str">
        <f aca="false">IF(OR($L449="",$N449=""),"",$L449-$N449)</f>
        <v/>
      </c>
      <c r="Q449" s="27" t="str">
        <f aca="false">IF($B449="","",IF(N($H449)&gt;0,"Live","Exited"))</f>
        <v/>
      </c>
      <c r="R449" s="27" t="str">
        <f aca="false">IF($B449="","",IF($L449="","Data Pending",IF($L449&gt;=Instructions!$D$19,"Best Fund",IF($L449&gt;=Instructions!$D$20,"Need to Improve","Not Performing"))))</f>
        <v/>
      </c>
      <c r="S449" s="7" t="str">
        <f aca="false">IF($R449="","",IF($R449="Data Pending","Enter the 3Y return",IF($R449="Best Fund","Hold / consider top-up",IF($R449="Need to Improve","Watch 2 quarters, then decide","Review with client - switch or exit"))))</f>
        <v/>
      </c>
      <c r="T449" s="26"/>
      <c r="U449" s="7" t="str">
        <f aca="false">IF($R449&lt;&gt;"Best Fund","",COUNTIFS($R$6:$R$505,"Best Fund",$L$6:$L$505,"&gt;"&amp;$L449)+COUNTIFS($R$6:$R449,"Best Fund",$L$6:$L449,$L449))</f>
        <v/>
      </c>
      <c r="V449" s="7" t="str">
        <f aca="false">IF($R449&lt;&gt;"Need to Improve","",COUNTIFS($R$6:$R$505,"Need to Improve",$L$6:$L$505,"&lt;"&amp;$L449)+COUNTIFS($R$6:$R449,"Need to Improve",$L$6:$L449,$L449))</f>
        <v/>
      </c>
      <c r="W449" s="7" t="str">
        <f aca="false">IF($R449&lt;&gt;"Not Performing","",COUNTIFS($R$6:$R$505,"Not Performing",$L$6:$L$505,"&lt;"&amp;$L449)+COUNTIFS($R$6:$R449,"Not Performing",$L$6:$L449,$L449))</f>
        <v/>
      </c>
    </row>
    <row r="450" customFormat="false" ht="15" hidden="false" customHeight="true" outlineLevel="0" collapsed="false">
      <c r="A450" s="26"/>
      <c r="B450" s="26"/>
      <c r="C450" s="26"/>
      <c r="D450" s="27" t="str">
        <f aca="false">IF($C450="","",IFERROR(TRIM(LEFT($C450,FIND("-",$C450)-1)),""))</f>
        <v/>
      </c>
      <c r="E450" s="26"/>
      <c r="F450" s="28"/>
      <c r="G450" s="29"/>
      <c r="H450" s="29"/>
      <c r="I450" s="30" t="str">
        <f aca="false">IF($B450="","",$H450-$G450)</f>
        <v/>
      </c>
      <c r="J450" s="31" t="str">
        <f aca="false">IF(OR($B450="",$G450=0,$G450=""),"",$I450/$G450)</f>
        <v/>
      </c>
      <c r="K450" s="32"/>
      <c r="L450" s="32"/>
      <c r="M450" s="32"/>
      <c r="N450" s="32"/>
      <c r="O450" s="32"/>
      <c r="P450" s="31" t="str">
        <f aca="false">IF(OR($L450="",$N450=""),"",$L450-$N450)</f>
        <v/>
      </c>
      <c r="Q450" s="27" t="str">
        <f aca="false">IF($B450="","",IF(N($H450)&gt;0,"Live","Exited"))</f>
        <v/>
      </c>
      <c r="R450" s="27" t="str">
        <f aca="false">IF($B450="","",IF($L450="","Data Pending",IF($L450&gt;=Instructions!$D$19,"Best Fund",IF($L450&gt;=Instructions!$D$20,"Need to Improve","Not Performing"))))</f>
        <v/>
      </c>
      <c r="S450" s="7" t="str">
        <f aca="false">IF($R450="","",IF($R450="Data Pending","Enter the 3Y return",IF($R450="Best Fund","Hold / consider top-up",IF($R450="Need to Improve","Watch 2 quarters, then decide","Review with client - switch or exit"))))</f>
        <v/>
      </c>
      <c r="T450" s="26"/>
      <c r="U450" s="7" t="str">
        <f aca="false">IF($R450&lt;&gt;"Best Fund","",COUNTIFS($R$6:$R$505,"Best Fund",$L$6:$L$505,"&gt;"&amp;$L450)+COUNTIFS($R$6:$R450,"Best Fund",$L$6:$L450,$L450))</f>
        <v/>
      </c>
      <c r="V450" s="7" t="str">
        <f aca="false">IF($R450&lt;&gt;"Need to Improve","",COUNTIFS($R$6:$R$505,"Need to Improve",$L$6:$L$505,"&lt;"&amp;$L450)+COUNTIFS($R$6:$R450,"Need to Improve",$L$6:$L450,$L450))</f>
        <v/>
      </c>
      <c r="W450" s="7" t="str">
        <f aca="false">IF($R450&lt;&gt;"Not Performing","",COUNTIFS($R$6:$R$505,"Not Performing",$L$6:$L$505,"&lt;"&amp;$L450)+COUNTIFS($R$6:$R450,"Not Performing",$L$6:$L450,$L450))</f>
        <v/>
      </c>
    </row>
    <row r="451" customFormat="false" ht="15" hidden="false" customHeight="true" outlineLevel="0" collapsed="false">
      <c r="A451" s="26"/>
      <c r="B451" s="26"/>
      <c r="C451" s="26"/>
      <c r="D451" s="27" t="str">
        <f aca="false">IF($C451="","",IFERROR(TRIM(LEFT($C451,FIND("-",$C451)-1)),""))</f>
        <v/>
      </c>
      <c r="E451" s="26"/>
      <c r="F451" s="28"/>
      <c r="G451" s="29"/>
      <c r="H451" s="29"/>
      <c r="I451" s="30" t="str">
        <f aca="false">IF($B451="","",$H451-$G451)</f>
        <v/>
      </c>
      <c r="J451" s="31" t="str">
        <f aca="false">IF(OR($B451="",$G451=0,$G451=""),"",$I451/$G451)</f>
        <v/>
      </c>
      <c r="K451" s="32"/>
      <c r="L451" s="32"/>
      <c r="M451" s="32"/>
      <c r="N451" s="32"/>
      <c r="O451" s="32"/>
      <c r="P451" s="31" t="str">
        <f aca="false">IF(OR($L451="",$N451=""),"",$L451-$N451)</f>
        <v/>
      </c>
      <c r="Q451" s="27" t="str">
        <f aca="false">IF($B451="","",IF(N($H451)&gt;0,"Live","Exited"))</f>
        <v/>
      </c>
      <c r="R451" s="27" t="str">
        <f aca="false">IF($B451="","",IF($L451="","Data Pending",IF($L451&gt;=Instructions!$D$19,"Best Fund",IF($L451&gt;=Instructions!$D$20,"Need to Improve","Not Performing"))))</f>
        <v/>
      </c>
      <c r="S451" s="7" t="str">
        <f aca="false">IF($R451="","",IF($R451="Data Pending","Enter the 3Y return",IF($R451="Best Fund","Hold / consider top-up",IF($R451="Need to Improve","Watch 2 quarters, then decide","Review with client - switch or exit"))))</f>
        <v/>
      </c>
      <c r="T451" s="26"/>
      <c r="U451" s="7" t="str">
        <f aca="false">IF($R451&lt;&gt;"Best Fund","",COUNTIFS($R$6:$R$505,"Best Fund",$L$6:$L$505,"&gt;"&amp;$L451)+COUNTIFS($R$6:$R451,"Best Fund",$L$6:$L451,$L451))</f>
        <v/>
      </c>
      <c r="V451" s="7" t="str">
        <f aca="false">IF($R451&lt;&gt;"Need to Improve","",COUNTIFS($R$6:$R$505,"Need to Improve",$L$6:$L$505,"&lt;"&amp;$L451)+COUNTIFS($R$6:$R451,"Need to Improve",$L$6:$L451,$L451))</f>
        <v/>
      </c>
      <c r="W451" s="7" t="str">
        <f aca="false">IF($R451&lt;&gt;"Not Performing","",COUNTIFS($R$6:$R$505,"Not Performing",$L$6:$L$505,"&lt;"&amp;$L451)+COUNTIFS($R$6:$R451,"Not Performing",$L$6:$L451,$L451))</f>
        <v/>
      </c>
    </row>
    <row r="452" customFormat="false" ht="15" hidden="false" customHeight="true" outlineLevel="0" collapsed="false">
      <c r="A452" s="26"/>
      <c r="B452" s="26"/>
      <c r="C452" s="26"/>
      <c r="D452" s="27" t="str">
        <f aca="false">IF($C452="","",IFERROR(TRIM(LEFT($C452,FIND("-",$C452)-1)),""))</f>
        <v/>
      </c>
      <c r="E452" s="26"/>
      <c r="F452" s="28"/>
      <c r="G452" s="29"/>
      <c r="H452" s="29"/>
      <c r="I452" s="30" t="str">
        <f aca="false">IF($B452="","",$H452-$G452)</f>
        <v/>
      </c>
      <c r="J452" s="31" t="str">
        <f aca="false">IF(OR($B452="",$G452=0,$G452=""),"",$I452/$G452)</f>
        <v/>
      </c>
      <c r="K452" s="32"/>
      <c r="L452" s="32"/>
      <c r="M452" s="32"/>
      <c r="N452" s="32"/>
      <c r="O452" s="32"/>
      <c r="P452" s="31" t="str">
        <f aca="false">IF(OR($L452="",$N452=""),"",$L452-$N452)</f>
        <v/>
      </c>
      <c r="Q452" s="27" t="str">
        <f aca="false">IF($B452="","",IF(N($H452)&gt;0,"Live","Exited"))</f>
        <v/>
      </c>
      <c r="R452" s="27" t="str">
        <f aca="false">IF($B452="","",IF($L452="","Data Pending",IF($L452&gt;=Instructions!$D$19,"Best Fund",IF($L452&gt;=Instructions!$D$20,"Need to Improve","Not Performing"))))</f>
        <v/>
      </c>
      <c r="S452" s="7" t="str">
        <f aca="false">IF($R452="","",IF($R452="Data Pending","Enter the 3Y return",IF($R452="Best Fund","Hold / consider top-up",IF($R452="Need to Improve","Watch 2 quarters, then decide","Review with client - switch or exit"))))</f>
        <v/>
      </c>
      <c r="T452" s="26"/>
      <c r="U452" s="7" t="str">
        <f aca="false">IF($R452&lt;&gt;"Best Fund","",COUNTIFS($R$6:$R$505,"Best Fund",$L$6:$L$505,"&gt;"&amp;$L452)+COUNTIFS($R$6:$R452,"Best Fund",$L$6:$L452,$L452))</f>
        <v/>
      </c>
      <c r="V452" s="7" t="str">
        <f aca="false">IF($R452&lt;&gt;"Need to Improve","",COUNTIFS($R$6:$R$505,"Need to Improve",$L$6:$L$505,"&lt;"&amp;$L452)+COUNTIFS($R$6:$R452,"Need to Improve",$L$6:$L452,$L452))</f>
        <v/>
      </c>
      <c r="W452" s="7" t="str">
        <f aca="false">IF($R452&lt;&gt;"Not Performing","",COUNTIFS($R$6:$R$505,"Not Performing",$L$6:$L$505,"&lt;"&amp;$L452)+COUNTIFS($R$6:$R452,"Not Performing",$L$6:$L452,$L452))</f>
        <v/>
      </c>
    </row>
    <row r="453" customFormat="false" ht="15" hidden="false" customHeight="true" outlineLevel="0" collapsed="false">
      <c r="A453" s="26"/>
      <c r="B453" s="26"/>
      <c r="C453" s="26"/>
      <c r="D453" s="27" t="str">
        <f aca="false">IF($C453="","",IFERROR(TRIM(LEFT($C453,FIND("-",$C453)-1)),""))</f>
        <v/>
      </c>
      <c r="E453" s="26"/>
      <c r="F453" s="28"/>
      <c r="G453" s="29"/>
      <c r="H453" s="29"/>
      <c r="I453" s="30" t="str">
        <f aca="false">IF($B453="","",$H453-$G453)</f>
        <v/>
      </c>
      <c r="J453" s="31" t="str">
        <f aca="false">IF(OR($B453="",$G453=0,$G453=""),"",$I453/$G453)</f>
        <v/>
      </c>
      <c r="K453" s="32"/>
      <c r="L453" s="32"/>
      <c r="M453" s="32"/>
      <c r="N453" s="32"/>
      <c r="O453" s="32"/>
      <c r="P453" s="31" t="str">
        <f aca="false">IF(OR($L453="",$N453=""),"",$L453-$N453)</f>
        <v/>
      </c>
      <c r="Q453" s="27" t="str">
        <f aca="false">IF($B453="","",IF(N($H453)&gt;0,"Live","Exited"))</f>
        <v/>
      </c>
      <c r="R453" s="27" t="str">
        <f aca="false">IF($B453="","",IF($L453="","Data Pending",IF($L453&gt;=Instructions!$D$19,"Best Fund",IF($L453&gt;=Instructions!$D$20,"Need to Improve","Not Performing"))))</f>
        <v/>
      </c>
      <c r="S453" s="7" t="str">
        <f aca="false">IF($R453="","",IF($R453="Data Pending","Enter the 3Y return",IF($R453="Best Fund","Hold / consider top-up",IF($R453="Need to Improve","Watch 2 quarters, then decide","Review with client - switch or exit"))))</f>
        <v/>
      </c>
      <c r="T453" s="26"/>
      <c r="U453" s="7" t="str">
        <f aca="false">IF($R453&lt;&gt;"Best Fund","",COUNTIFS($R$6:$R$505,"Best Fund",$L$6:$L$505,"&gt;"&amp;$L453)+COUNTIFS($R$6:$R453,"Best Fund",$L$6:$L453,$L453))</f>
        <v/>
      </c>
      <c r="V453" s="7" t="str">
        <f aca="false">IF($R453&lt;&gt;"Need to Improve","",COUNTIFS($R$6:$R$505,"Need to Improve",$L$6:$L$505,"&lt;"&amp;$L453)+COUNTIFS($R$6:$R453,"Need to Improve",$L$6:$L453,$L453))</f>
        <v/>
      </c>
      <c r="W453" s="7" t="str">
        <f aca="false">IF($R453&lt;&gt;"Not Performing","",COUNTIFS($R$6:$R$505,"Not Performing",$L$6:$L$505,"&lt;"&amp;$L453)+COUNTIFS($R$6:$R453,"Not Performing",$L$6:$L453,$L453))</f>
        <v/>
      </c>
    </row>
    <row r="454" customFormat="false" ht="15" hidden="false" customHeight="true" outlineLevel="0" collapsed="false">
      <c r="A454" s="26"/>
      <c r="B454" s="26"/>
      <c r="C454" s="26"/>
      <c r="D454" s="27" t="str">
        <f aca="false">IF($C454="","",IFERROR(TRIM(LEFT($C454,FIND("-",$C454)-1)),""))</f>
        <v/>
      </c>
      <c r="E454" s="26"/>
      <c r="F454" s="28"/>
      <c r="G454" s="29"/>
      <c r="H454" s="29"/>
      <c r="I454" s="30" t="str">
        <f aca="false">IF($B454="","",$H454-$G454)</f>
        <v/>
      </c>
      <c r="J454" s="31" t="str">
        <f aca="false">IF(OR($B454="",$G454=0,$G454=""),"",$I454/$G454)</f>
        <v/>
      </c>
      <c r="K454" s="32"/>
      <c r="L454" s="32"/>
      <c r="M454" s="32"/>
      <c r="N454" s="32"/>
      <c r="O454" s="32"/>
      <c r="P454" s="31" t="str">
        <f aca="false">IF(OR($L454="",$N454=""),"",$L454-$N454)</f>
        <v/>
      </c>
      <c r="Q454" s="27" t="str">
        <f aca="false">IF($B454="","",IF(N($H454)&gt;0,"Live","Exited"))</f>
        <v/>
      </c>
      <c r="R454" s="27" t="str">
        <f aca="false">IF($B454="","",IF($L454="","Data Pending",IF($L454&gt;=Instructions!$D$19,"Best Fund",IF($L454&gt;=Instructions!$D$20,"Need to Improve","Not Performing"))))</f>
        <v/>
      </c>
      <c r="S454" s="7" t="str">
        <f aca="false">IF($R454="","",IF($R454="Data Pending","Enter the 3Y return",IF($R454="Best Fund","Hold / consider top-up",IF($R454="Need to Improve","Watch 2 quarters, then decide","Review with client - switch or exit"))))</f>
        <v/>
      </c>
      <c r="T454" s="26"/>
      <c r="U454" s="7" t="str">
        <f aca="false">IF($R454&lt;&gt;"Best Fund","",COUNTIFS($R$6:$R$505,"Best Fund",$L$6:$L$505,"&gt;"&amp;$L454)+COUNTIFS($R$6:$R454,"Best Fund",$L$6:$L454,$L454))</f>
        <v/>
      </c>
      <c r="V454" s="7" t="str">
        <f aca="false">IF($R454&lt;&gt;"Need to Improve","",COUNTIFS($R$6:$R$505,"Need to Improve",$L$6:$L$505,"&lt;"&amp;$L454)+COUNTIFS($R$6:$R454,"Need to Improve",$L$6:$L454,$L454))</f>
        <v/>
      </c>
      <c r="W454" s="7" t="str">
        <f aca="false">IF($R454&lt;&gt;"Not Performing","",COUNTIFS($R$6:$R$505,"Not Performing",$L$6:$L$505,"&lt;"&amp;$L454)+COUNTIFS($R$6:$R454,"Not Performing",$L$6:$L454,$L454))</f>
        <v/>
      </c>
    </row>
    <row r="455" customFormat="false" ht="15" hidden="false" customHeight="true" outlineLevel="0" collapsed="false">
      <c r="A455" s="26"/>
      <c r="B455" s="26"/>
      <c r="C455" s="26"/>
      <c r="D455" s="27" t="str">
        <f aca="false">IF($C455="","",IFERROR(TRIM(LEFT($C455,FIND("-",$C455)-1)),""))</f>
        <v/>
      </c>
      <c r="E455" s="26"/>
      <c r="F455" s="28"/>
      <c r="G455" s="29"/>
      <c r="H455" s="29"/>
      <c r="I455" s="30" t="str">
        <f aca="false">IF($B455="","",$H455-$G455)</f>
        <v/>
      </c>
      <c r="J455" s="31" t="str">
        <f aca="false">IF(OR($B455="",$G455=0,$G455=""),"",$I455/$G455)</f>
        <v/>
      </c>
      <c r="K455" s="32"/>
      <c r="L455" s="32"/>
      <c r="M455" s="32"/>
      <c r="N455" s="32"/>
      <c r="O455" s="32"/>
      <c r="P455" s="31" t="str">
        <f aca="false">IF(OR($L455="",$N455=""),"",$L455-$N455)</f>
        <v/>
      </c>
      <c r="Q455" s="27" t="str">
        <f aca="false">IF($B455="","",IF(N($H455)&gt;0,"Live","Exited"))</f>
        <v/>
      </c>
      <c r="R455" s="27" t="str">
        <f aca="false">IF($B455="","",IF($L455="","Data Pending",IF($L455&gt;=Instructions!$D$19,"Best Fund",IF($L455&gt;=Instructions!$D$20,"Need to Improve","Not Performing"))))</f>
        <v/>
      </c>
      <c r="S455" s="7" t="str">
        <f aca="false">IF($R455="","",IF($R455="Data Pending","Enter the 3Y return",IF($R455="Best Fund","Hold / consider top-up",IF($R455="Need to Improve","Watch 2 quarters, then decide","Review with client - switch or exit"))))</f>
        <v/>
      </c>
      <c r="T455" s="26"/>
      <c r="U455" s="7" t="str">
        <f aca="false">IF($R455&lt;&gt;"Best Fund","",COUNTIFS($R$6:$R$505,"Best Fund",$L$6:$L$505,"&gt;"&amp;$L455)+COUNTIFS($R$6:$R455,"Best Fund",$L$6:$L455,$L455))</f>
        <v/>
      </c>
      <c r="V455" s="7" t="str">
        <f aca="false">IF($R455&lt;&gt;"Need to Improve","",COUNTIFS($R$6:$R$505,"Need to Improve",$L$6:$L$505,"&lt;"&amp;$L455)+COUNTIFS($R$6:$R455,"Need to Improve",$L$6:$L455,$L455))</f>
        <v/>
      </c>
      <c r="W455" s="7" t="str">
        <f aca="false">IF($R455&lt;&gt;"Not Performing","",COUNTIFS($R$6:$R$505,"Not Performing",$L$6:$L$505,"&lt;"&amp;$L455)+COUNTIFS($R$6:$R455,"Not Performing",$L$6:$L455,$L455))</f>
        <v/>
      </c>
    </row>
    <row r="456" customFormat="false" ht="15" hidden="false" customHeight="true" outlineLevel="0" collapsed="false">
      <c r="A456" s="26"/>
      <c r="B456" s="26"/>
      <c r="C456" s="26"/>
      <c r="D456" s="27" t="str">
        <f aca="false">IF($C456="","",IFERROR(TRIM(LEFT($C456,FIND("-",$C456)-1)),""))</f>
        <v/>
      </c>
      <c r="E456" s="26"/>
      <c r="F456" s="28"/>
      <c r="G456" s="29"/>
      <c r="H456" s="29"/>
      <c r="I456" s="30" t="str">
        <f aca="false">IF($B456="","",$H456-$G456)</f>
        <v/>
      </c>
      <c r="J456" s="31" t="str">
        <f aca="false">IF(OR($B456="",$G456=0,$G456=""),"",$I456/$G456)</f>
        <v/>
      </c>
      <c r="K456" s="32"/>
      <c r="L456" s="32"/>
      <c r="M456" s="32"/>
      <c r="N456" s="32"/>
      <c r="O456" s="32"/>
      <c r="P456" s="31" t="str">
        <f aca="false">IF(OR($L456="",$N456=""),"",$L456-$N456)</f>
        <v/>
      </c>
      <c r="Q456" s="27" t="str">
        <f aca="false">IF($B456="","",IF(N($H456)&gt;0,"Live","Exited"))</f>
        <v/>
      </c>
      <c r="R456" s="27" t="str">
        <f aca="false">IF($B456="","",IF($L456="","Data Pending",IF($L456&gt;=Instructions!$D$19,"Best Fund",IF($L456&gt;=Instructions!$D$20,"Need to Improve","Not Performing"))))</f>
        <v/>
      </c>
      <c r="S456" s="7" t="str">
        <f aca="false">IF($R456="","",IF($R456="Data Pending","Enter the 3Y return",IF($R456="Best Fund","Hold / consider top-up",IF($R456="Need to Improve","Watch 2 quarters, then decide","Review with client - switch or exit"))))</f>
        <v/>
      </c>
      <c r="T456" s="26"/>
      <c r="U456" s="7" t="str">
        <f aca="false">IF($R456&lt;&gt;"Best Fund","",COUNTIFS($R$6:$R$505,"Best Fund",$L$6:$L$505,"&gt;"&amp;$L456)+COUNTIFS($R$6:$R456,"Best Fund",$L$6:$L456,$L456))</f>
        <v/>
      </c>
      <c r="V456" s="7" t="str">
        <f aca="false">IF($R456&lt;&gt;"Need to Improve","",COUNTIFS($R$6:$R$505,"Need to Improve",$L$6:$L$505,"&lt;"&amp;$L456)+COUNTIFS($R$6:$R456,"Need to Improve",$L$6:$L456,$L456))</f>
        <v/>
      </c>
      <c r="W456" s="7" t="str">
        <f aca="false">IF($R456&lt;&gt;"Not Performing","",COUNTIFS($R$6:$R$505,"Not Performing",$L$6:$L$505,"&lt;"&amp;$L456)+COUNTIFS($R$6:$R456,"Not Performing",$L$6:$L456,$L456))</f>
        <v/>
      </c>
    </row>
    <row r="457" customFormat="false" ht="15" hidden="false" customHeight="true" outlineLevel="0" collapsed="false">
      <c r="A457" s="26"/>
      <c r="B457" s="26"/>
      <c r="C457" s="26"/>
      <c r="D457" s="27" t="str">
        <f aca="false">IF($C457="","",IFERROR(TRIM(LEFT($C457,FIND("-",$C457)-1)),""))</f>
        <v/>
      </c>
      <c r="E457" s="26"/>
      <c r="F457" s="28"/>
      <c r="G457" s="29"/>
      <c r="H457" s="29"/>
      <c r="I457" s="30" t="str">
        <f aca="false">IF($B457="","",$H457-$G457)</f>
        <v/>
      </c>
      <c r="J457" s="31" t="str">
        <f aca="false">IF(OR($B457="",$G457=0,$G457=""),"",$I457/$G457)</f>
        <v/>
      </c>
      <c r="K457" s="32"/>
      <c r="L457" s="32"/>
      <c r="M457" s="32"/>
      <c r="N457" s="32"/>
      <c r="O457" s="32"/>
      <c r="P457" s="31" t="str">
        <f aca="false">IF(OR($L457="",$N457=""),"",$L457-$N457)</f>
        <v/>
      </c>
      <c r="Q457" s="27" t="str">
        <f aca="false">IF($B457="","",IF(N($H457)&gt;0,"Live","Exited"))</f>
        <v/>
      </c>
      <c r="R457" s="27" t="str">
        <f aca="false">IF($B457="","",IF($L457="","Data Pending",IF($L457&gt;=Instructions!$D$19,"Best Fund",IF($L457&gt;=Instructions!$D$20,"Need to Improve","Not Performing"))))</f>
        <v/>
      </c>
      <c r="S457" s="7" t="str">
        <f aca="false">IF($R457="","",IF($R457="Data Pending","Enter the 3Y return",IF($R457="Best Fund","Hold / consider top-up",IF($R457="Need to Improve","Watch 2 quarters, then decide","Review with client - switch or exit"))))</f>
        <v/>
      </c>
      <c r="T457" s="26"/>
      <c r="U457" s="7" t="str">
        <f aca="false">IF($R457&lt;&gt;"Best Fund","",COUNTIFS($R$6:$R$505,"Best Fund",$L$6:$L$505,"&gt;"&amp;$L457)+COUNTIFS($R$6:$R457,"Best Fund",$L$6:$L457,$L457))</f>
        <v/>
      </c>
      <c r="V457" s="7" t="str">
        <f aca="false">IF($R457&lt;&gt;"Need to Improve","",COUNTIFS($R$6:$R$505,"Need to Improve",$L$6:$L$505,"&lt;"&amp;$L457)+COUNTIFS($R$6:$R457,"Need to Improve",$L$6:$L457,$L457))</f>
        <v/>
      </c>
      <c r="W457" s="7" t="str">
        <f aca="false">IF($R457&lt;&gt;"Not Performing","",COUNTIFS($R$6:$R$505,"Not Performing",$L$6:$L$505,"&lt;"&amp;$L457)+COUNTIFS($R$6:$R457,"Not Performing",$L$6:$L457,$L457))</f>
        <v/>
      </c>
    </row>
    <row r="458" customFormat="false" ht="15" hidden="false" customHeight="true" outlineLevel="0" collapsed="false">
      <c r="A458" s="26"/>
      <c r="B458" s="26"/>
      <c r="C458" s="26"/>
      <c r="D458" s="27" t="str">
        <f aca="false">IF($C458="","",IFERROR(TRIM(LEFT($C458,FIND("-",$C458)-1)),""))</f>
        <v/>
      </c>
      <c r="E458" s="26"/>
      <c r="F458" s="28"/>
      <c r="G458" s="29"/>
      <c r="H458" s="29"/>
      <c r="I458" s="30" t="str">
        <f aca="false">IF($B458="","",$H458-$G458)</f>
        <v/>
      </c>
      <c r="J458" s="31" t="str">
        <f aca="false">IF(OR($B458="",$G458=0,$G458=""),"",$I458/$G458)</f>
        <v/>
      </c>
      <c r="K458" s="32"/>
      <c r="L458" s="32"/>
      <c r="M458" s="32"/>
      <c r="N458" s="32"/>
      <c r="O458" s="32"/>
      <c r="P458" s="31" t="str">
        <f aca="false">IF(OR($L458="",$N458=""),"",$L458-$N458)</f>
        <v/>
      </c>
      <c r="Q458" s="27" t="str">
        <f aca="false">IF($B458="","",IF(N($H458)&gt;0,"Live","Exited"))</f>
        <v/>
      </c>
      <c r="R458" s="27" t="str">
        <f aca="false">IF($B458="","",IF($L458="","Data Pending",IF($L458&gt;=Instructions!$D$19,"Best Fund",IF($L458&gt;=Instructions!$D$20,"Need to Improve","Not Performing"))))</f>
        <v/>
      </c>
      <c r="S458" s="7" t="str">
        <f aca="false">IF($R458="","",IF($R458="Data Pending","Enter the 3Y return",IF($R458="Best Fund","Hold / consider top-up",IF($R458="Need to Improve","Watch 2 quarters, then decide","Review with client - switch or exit"))))</f>
        <v/>
      </c>
      <c r="T458" s="26"/>
      <c r="U458" s="7" t="str">
        <f aca="false">IF($R458&lt;&gt;"Best Fund","",COUNTIFS($R$6:$R$505,"Best Fund",$L$6:$L$505,"&gt;"&amp;$L458)+COUNTIFS($R$6:$R458,"Best Fund",$L$6:$L458,$L458))</f>
        <v/>
      </c>
      <c r="V458" s="7" t="str">
        <f aca="false">IF($R458&lt;&gt;"Need to Improve","",COUNTIFS($R$6:$R$505,"Need to Improve",$L$6:$L$505,"&lt;"&amp;$L458)+COUNTIFS($R$6:$R458,"Need to Improve",$L$6:$L458,$L458))</f>
        <v/>
      </c>
      <c r="W458" s="7" t="str">
        <f aca="false">IF($R458&lt;&gt;"Not Performing","",COUNTIFS($R$6:$R$505,"Not Performing",$L$6:$L$505,"&lt;"&amp;$L458)+COUNTIFS($R$6:$R458,"Not Performing",$L$6:$L458,$L458))</f>
        <v/>
      </c>
    </row>
    <row r="459" customFormat="false" ht="15" hidden="false" customHeight="true" outlineLevel="0" collapsed="false">
      <c r="A459" s="26"/>
      <c r="B459" s="26"/>
      <c r="C459" s="26"/>
      <c r="D459" s="27" t="str">
        <f aca="false">IF($C459="","",IFERROR(TRIM(LEFT($C459,FIND("-",$C459)-1)),""))</f>
        <v/>
      </c>
      <c r="E459" s="26"/>
      <c r="F459" s="28"/>
      <c r="G459" s="29"/>
      <c r="H459" s="29"/>
      <c r="I459" s="30" t="str">
        <f aca="false">IF($B459="","",$H459-$G459)</f>
        <v/>
      </c>
      <c r="J459" s="31" t="str">
        <f aca="false">IF(OR($B459="",$G459=0,$G459=""),"",$I459/$G459)</f>
        <v/>
      </c>
      <c r="K459" s="32"/>
      <c r="L459" s="32"/>
      <c r="M459" s="32"/>
      <c r="N459" s="32"/>
      <c r="O459" s="32"/>
      <c r="P459" s="31" t="str">
        <f aca="false">IF(OR($L459="",$N459=""),"",$L459-$N459)</f>
        <v/>
      </c>
      <c r="Q459" s="27" t="str">
        <f aca="false">IF($B459="","",IF(N($H459)&gt;0,"Live","Exited"))</f>
        <v/>
      </c>
      <c r="R459" s="27" t="str">
        <f aca="false">IF($B459="","",IF($L459="","Data Pending",IF($L459&gt;=Instructions!$D$19,"Best Fund",IF($L459&gt;=Instructions!$D$20,"Need to Improve","Not Performing"))))</f>
        <v/>
      </c>
      <c r="S459" s="7" t="str">
        <f aca="false">IF($R459="","",IF($R459="Data Pending","Enter the 3Y return",IF($R459="Best Fund","Hold / consider top-up",IF($R459="Need to Improve","Watch 2 quarters, then decide","Review with client - switch or exit"))))</f>
        <v/>
      </c>
      <c r="T459" s="26"/>
      <c r="U459" s="7" t="str">
        <f aca="false">IF($R459&lt;&gt;"Best Fund","",COUNTIFS($R$6:$R$505,"Best Fund",$L$6:$L$505,"&gt;"&amp;$L459)+COUNTIFS($R$6:$R459,"Best Fund",$L$6:$L459,$L459))</f>
        <v/>
      </c>
      <c r="V459" s="7" t="str">
        <f aca="false">IF($R459&lt;&gt;"Need to Improve","",COUNTIFS($R$6:$R$505,"Need to Improve",$L$6:$L$505,"&lt;"&amp;$L459)+COUNTIFS($R$6:$R459,"Need to Improve",$L$6:$L459,$L459))</f>
        <v/>
      </c>
      <c r="W459" s="7" t="str">
        <f aca="false">IF($R459&lt;&gt;"Not Performing","",COUNTIFS($R$6:$R$505,"Not Performing",$L$6:$L$505,"&lt;"&amp;$L459)+COUNTIFS($R$6:$R459,"Not Performing",$L$6:$L459,$L459))</f>
        <v/>
      </c>
    </row>
    <row r="460" customFormat="false" ht="15" hidden="false" customHeight="true" outlineLevel="0" collapsed="false">
      <c r="A460" s="26"/>
      <c r="B460" s="26"/>
      <c r="C460" s="26"/>
      <c r="D460" s="27" t="str">
        <f aca="false">IF($C460="","",IFERROR(TRIM(LEFT($C460,FIND("-",$C460)-1)),""))</f>
        <v/>
      </c>
      <c r="E460" s="26"/>
      <c r="F460" s="28"/>
      <c r="G460" s="29"/>
      <c r="H460" s="29"/>
      <c r="I460" s="30" t="str">
        <f aca="false">IF($B460="","",$H460-$G460)</f>
        <v/>
      </c>
      <c r="J460" s="31" t="str">
        <f aca="false">IF(OR($B460="",$G460=0,$G460=""),"",$I460/$G460)</f>
        <v/>
      </c>
      <c r="K460" s="32"/>
      <c r="L460" s="32"/>
      <c r="M460" s="32"/>
      <c r="N460" s="32"/>
      <c r="O460" s="32"/>
      <c r="P460" s="31" t="str">
        <f aca="false">IF(OR($L460="",$N460=""),"",$L460-$N460)</f>
        <v/>
      </c>
      <c r="Q460" s="27" t="str">
        <f aca="false">IF($B460="","",IF(N($H460)&gt;0,"Live","Exited"))</f>
        <v/>
      </c>
      <c r="R460" s="27" t="str">
        <f aca="false">IF($B460="","",IF($L460="","Data Pending",IF($L460&gt;=Instructions!$D$19,"Best Fund",IF($L460&gt;=Instructions!$D$20,"Need to Improve","Not Performing"))))</f>
        <v/>
      </c>
      <c r="S460" s="7" t="str">
        <f aca="false">IF($R460="","",IF($R460="Data Pending","Enter the 3Y return",IF($R460="Best Fund","Hold / consider top-up",IF($R460="Need to Improve","Watch 2 quarters, then decide","Review with client - switch or exit"))))</f>
        <v/>
      </c>
      <c r="T460" s="26"/>
      <c r="U460" s="7" t="str">
        <f aca="false">IF($R460&lt;&gt;"Best Fund","",COUNTIFS($R$6:$R$505,"Best Fund",$L$6:$L$505,"&gt;"&amp;$L460)+COUNTIFS($R$6:$R460,"Best Fund",$L$6:$L460,$L460))</f>
        <v/>
      </c>
      <c r="V460" s="7" t="str">
        <f aca="false">IF($R460&lt;&gt;"Need to Improve","",COUNTIFS($R$6:$R$505,"Need to Improve",$L$6:$L$505,"&lt;"&amp;$L460)+COUNTIFS($R$6:$R460,"Need to Improve",$L$6:$L460,$L460))</f>
        <v/>
      </c>
      <c r="W460" s="7" t="str">
        <f aca="false">IF($R460&lt;&gt;"Not Performing","",COUNTIFS($R$6:$R$505,"Not Performing",$L$6:$L$505,"&lt;"&amp;$L460)+COUNTIFS($R$6:$R460,"Not Performing",$L$6:$L460,$L460))</f>
        <v/>
      </c>
    </row>
    <row r="461" customFormat="false" ht="15" hidden="false" customHeight="true" outlineLevel="0" collapsed="false">
      <c r="A461" s="26"/>
      <c r="B461" s="26"/>
      <c r="C461" s="26"/>
      <c r="D461" s="27" t="str">
        <f aca="false">IF($C461="","",IFERROR(TRIM(LEFT($C461,FIND("-",$C461)-1)),""))</f>
        <v/>
      </c>
      <c r="E461" s="26"/>
      <c r="F461" s="28"/>
      <c r="G461" s="29"/>
      <c r="H461" s="29"/>
      <c r="I461" s="30" t="str">
        <f aca="false">IF($B461="","",$H461-$G461)</f>
        <v/>
      </c>
      <c r="J461" s="31" t="str">
        <f aca="false">IF(OR($B461="",$G461=0,$G461=""),"",$I461/$G461)</f>
        <v/>
      </c>
      <c r="K461" s="32"/>
      <c r="L461" s="32"/>
      <c r="M461" s="32"/>
      <c r="N461" s="32"/>
      <c r="O461" s="32"/>
      <c r="P461" s="31" t="str">
        <f aca="false">IF(OR($L461="",$N461=""),"",$L461-$N461)</f>
        <v/>
      </c>
      <c r="Q461" s="27" t="str">
        <f aca="false">IF($B461="","",IF(N($H461)&gt;0,"Live","Exited"))</f>
        <v/>
      </c>
      <c r="R461" s="27" t="str">
        <f aca="false">IF($B461="","",IF($L461="","Data Pending",IF($L461&gt;=Instructions!$D$19,"Best Fund",IF($L461&gt;=Instructions!$D$20,"Need to Improve","Not Performing"))))</f>
        <v/>
      </c>
      <c r="S461" s="7" t="str">
        <f aca="false">IF($R461="","",IF($R461="Data Pending","Enter the 3Y return",IF($R461="Best Fund","Hold / consider top-up",IF($R461="Need to Improve","Watch 2 quarters, then decide","Review with client - switch or exit"))))</f>
        <v/>
      </c>
      <c r="T461" s="26"/>
      <c r="U461" s="7" t="str">
        <f aca="false">IF($R461&lt;&gt;"Best Fund","",COUNTIFS($R$6:$R$505,"Best Fund",$L$6:$L$505,"&gt;"&amp;$L461)+COUNTIFS($R$6:$R461,"Best Fund",$L$6:$L461,$L461))</f>
        <v/>
      </c>
      <c r="V461" s="7" t="str">
        <f aca="false">IF($R461&lt;&gt;"Need to Improve","",COUNTIFS($R$6:$R$505,"Need to Improve",$L$6:$L$505,"&lt;"&amp;$L461)+COUNTIFS($R$6:$R461,"Need to Improve",$L$6:$L461,$L461))</f>
        <v/>
      </c>
      <c r="W461" s="7" t="str">
        <f aca="false">IF($R461&lt;&gt;"Not Performing","",COUNTIFS($R$6:$R$505,"Not Performing",$L$6:$L$505,"&lt;"&amp;$L461)+COUNTIFS($R$6:$R461,"Not Performing",$L$6:$L461,$L461))</f>
        <v/>
      </c>
    </row>
    <row r="462" customFormat="false" ht="15" hidden="false" customHeight="true" outlineLevel="0" collapsed="false">
      <c r="A462" s="26"/>
      <c r="B462" s="26"/>
      <c r="C462" s="26"/>
      <c r="D462" s="27" t="str">
        <f aca="false">IF($C462="","",IFERROR(TRIM(LEFT($C462,FIND("-",$C462)-1)),""))</f>
        <v/>
      </c>
      <c r="E462" s="26"/>
      <c r="F462" s="28"/>
      <c r="G462" s="29"/>
      <c r="H462" s="29"/>
      <c r="I462" s="30" t="str">
        <f aca="false">IF($B462="","",$H462-$G462)</f>
        <v/>
      </c>
      <c r="J462" s="31" t="str">
        <f aca="false">IF(OR($B462="",$G462=0,$G462=""),"",$I462/$G462)</f>
        <v/>
      </c>
      <c r="K462" s="32"/>
      <c r="L462" s="32"/>
      <c r="M462" s="32"/>
      <c r="N462" s="32"/>
      <c r="O462" s="32"/>
      <c r="P462" s="31" t="str">
        <f aca="false">IF(OR($L462="",$N462=""),"",$L462-$N462)</f>
        <v/>
      </c>
      <c r="Q462" s="27" t="str">
        <f aca="false">IF($B462="","",IF(N($H462)&gt;0,"Live","Exited"))</f>
        <v/>
      </c>
      <c r="R462" s="27" t="str">
        <f aca="false">IF($B462="","",IF($L462="","Data Pending",IF($L462&gt;=Instructions!$D$19,"Best Fund",IF($L462&gt;=Instructions!$D$20,"Need to Improve","Not Performing"))))</f>
        <v/>
      </c>
      <c r="S462" s="7" t="str">
        <f aca="false">IF($R462="","",IF($R462="Data Pending","Enter the 3Y return",IF($R462="Best Fund","Hold / consider top-up",IF($R462="Need to Improve","Watch 2 quarters, then decide","Review with client - switch or exit"))))</f>
        <v/>
      </c>
      <c r="T462" s="26"/>
      <c r="U462" s="7" t="str">
        <f aca="false">IF($R462&lt;&gt;"Best Fund","",COUNTIFS($R$6:$R$505,"Best Fund",$L$6:$L$505,"&gt;"&amp;$L462)+COUNTIFS($R$6:$R462,"Best Fund",$L$6:$L462,$L462))</f>
        <v/>
      </c>
      <c r="V462" s="7" t="str">
        <f aca="false">IF($R462&lt;&gt;"Need to Improve","",COUNTIFS($R$6:$R$505,"Need to Improve",$L$6:$L$505,"&lt;"&amp;$L462)+COUNTIFS($R$6:$R462,"Need to Improve",$L$6:$L462,$L462))</f>
        <v/>
      </c>
      <c r="W462" s="7" t="str">
        <f aca="false">IF($R462&lt;&gt;"Not Performing","",COUNTIFS($R$6:$R$505,"Not Performing",$L$6:$L$505,"&lt;"&amp;$L462)+COUNTIFS($R$6:$R462,"Not Performing",$L$6:$L462,$L462))</f>
        <v/>
      </c>
    </row>
    <row r="463" customFormat="false" ht="15" hidden="false" customHeight="true" outlineLevel="0" collapsed="false">
      <c r="A463" s="26"/>
      <c r="B463" s="26"/>
      <c r="C463" s="26"/>
      <c r="D463" s="27" t="str">
        <f aca="false">IF($C463="","",IFERROR(TRIM(LEFT($C463,FIND("-",$C463)-1)),""))</f>
        <v/>
      </c>
      <c r="E463" s="26"/>
      <c r="F463" s="28"/>
      <c r="G463" s="29"/>
      <c r="H463" s="29"/>
      <c r="I463" s="30" t="str">
        <f aca="false">IF($B463="","",$H463-$G463)</f>
        <v/>
      </c>
      <c r="J463" s="31" t="str">
        <f aca="false">IF(OR($B463="",$G463=0,$G463=""),"",$I463/$G463)</f>
        <v/>
      </c>
      <c r="K463" s="32"/>
      <c r="L463" s="32"/>
      <c r="M463" s="32"/>
      <c r="N463" s="32"/>
      <c r="O463" s="32"/>
      <c r="P463" s="31" t="str">
        <f aca="false">IF(OR($L463="",$N463=""),"",$L463-$N463)</f>
        <v/>
      </c>
      <c r="Q463" s="27" t="str">
        <f aca="false">IF($B463="","",IF(N($H463)&gt;0,"Live","Exited"))</f>
        <v/>
      </c>
      <c r="R463" s="27" t="str">
        <f aca="false">IF($B463="","",IF($L463="","Data Pending",IF($L463&gt;=Instructions!$D$19,"Best Fund",IF($L463&gt;=Instructions!$D$20,"Need to Improve","Not Performing"))))</f>
        <v/>
      </c>
      <c r="S463" s="7" t="str">
        <f aca="false">IF($R463="","",IF($R463="Data Pending","Enter the 3Y return",IF($R463="Best Fund","Hold / consider top-up",IF($R463="Need to Improve","Watch 2 quarters, then decide","Review with client - switch or exit"))))</f>
        <v/>
      </c>
      <c r="T463" s="26"/>
      <c r="U463" s="7" t="str">
        <f aca="false">IF($R463&lt;&gt;"Best Fund","",COUNTIFS($R$6:$R$505,"Best Fund",$L$6:$L$505,"&gt;"&amp;$L463)+COUNTIFS($R$6:$R463,"Best Fund",$L$6:$L463,$L463))</f>
        <v/>
      </c>
      <c r="V463" s="7" t="str">
        <f aca="false">IF($R463&lt;&gt;"Need to Improve","",COUNTIFS($R$6:$R$505,"Need to Improve",$L$6:$L$505,"&lt;"&amp;$L463)+COUNTIFS($R$6:$R463,"Need to Improve",$L$6:$L463,$L463))</f>
        <v/>
      </c>
      <c r="W463" s="7" t="str">
        <f aca="false">IF($R463&lt;&gt;"Not Performing","",COUNTIFS($R$6:$R$505,"Not Performing",$L$6:$L$505,"&lt;"&amp;$L463)+COUNTIFS($R$6:$R463,"Not Performing",$L$6:$L463,$L463))</f>
        <v/>
      </c>
    </row>
    <row r="464" customFormat="false" ht="15" hidden="false" customHeight="true" outlineLevel="0" collapsed="false">
      <c r="A464" s="26"/>
      <c r="B464" s="26"/>
      <c r="C464" s="26"/>
      <c r="D464" s="27" t="str">
        <f aca="false">IF($C464="","",IFERROR(TRIM(LEFT($C464,FIND("-",$C464)-1)),""))</f>
        <v/>
      </c>
      <c r="E464" s="26"/>
      <c r="F464" s="28"/>
      <c r="G464" s="29"/>
      <c r="H464" s="29"/>
      <c r="I464" s="30" t="str">
        <f aca="false">IF($B464="","",$H464-$G464)</f>
        <v/>
      </c>
      <c r="J464" s="31" t="str">
        <f aca="false">IF(OR($B464="",$G464=0,$G464=""),"",$I464/$G464)</f>
        <v/>
      </c>
      <c r="K464" s="32"/>
      <c r="L464" s="32"/>
      <c r="M464" s="32"/>
      <c r="N464" s="32"/>
      <c r="O464" s="32"/>
      <c r="P464" s="31" t="str">
        <f aca="false">IF(OR($L464="",$N464=""),"",$L464-$N464)</f>
        <v/>
      </c>
      <c r="Q464" s="27" t="str">
        <f aca="false">IF($B464="","",IF(N($H464)&gt;0,"Live","Exited"))</f>
        <v/>
      </c>
      <c r="R464" s="27" t="str">
        <f aca="false">IF($B464="","",IF($L464="","Data Pending",IF($L464&gt;=Instructions!$D$19,"Best Fund",IF($L464&gt;=Instructions!$D$20,"Need to Improve","Not Performing"))))</f>
        <v/>
      </c>
      <c r="S464" s="7" t="str">
        <f aca="false">IF($R464="","",IF($R464="Data Pending","Enter the 3Y return",IF($R464="Best Fund","Hold / consider top-up",IF($R464="Need to Improve","Watch 2 quarters, then decide","Review with client - switch or exit"))))</f>
        <v/>
      </c>
      <c r="T464" s="26"/>
      <c r="U464" s="7" t="str">
        <f aca="false">IF($R464&lt;&gt;"Best Fund","",COUNTIFS($R$6:$R$505,"Best Fund",$L$6:$L$505,"&gt;"&amp;$L464)+COUNTIFS($R$6:$R464,"Best Fund",$L$6:$L464,$L464))</f>
        <v/>
      </c>
      <c r="V464" s="7" t="str">
        <f aca="false">IF($R464&lt;&gt;"Need to Improve","",COUNTIFS($R$6:$R$505,"Need to Improve",$L$6:$L$505,"&lt;"&amp;$L464)+COUNTIFS($R$6:$R464,"Need to Improve",$L$6:$L464,$L464))</f>
        <v/>
      </c>
      <c r="W464" s="7" t="str">
        <f aca="false">IF($R464&lt;&gt;"Not Performing","",COUNTIFS($R$6:$R$505,"Not Performing",$L$6:$L$505,"&lt;"&amp;$L464)+COUNTIFS($R$6:$R464,"Not Performing",$L$6:$L464,$L464))</f>
        <v/>
      </c>
    </row>
    <row r="465" customFormat="false" ht="15" hidden="false" customHeight="true" outlineLevel="0" collapsed="false">
      <c r="A465" s="26"/>
      <c r="B465" s="26"/>
      <c r="C465" s="26"/>
      <c r="D465" s="27" t="str">
        <f aca="false">IF($C465="","",IFERROR(TRIM(LEFT($C465,FIND("-",$C465)-1)),""))</f>
        <v/>
      </c>
      <c r="E465" s="26"/>
      <c r="F465" s="28"/>
      <c r="G465" s="29"/>
      <c r="H465" s="29"/>
      <c r="I465" s="30" t="str">
        <f aca="false">IF($B465="","",$H465-$G465)</f>
        <v/>
      </c>
      <c r="J465" s="31" t="str">
        <f aca="false">IF(OR($B465="",$G465=0,$G465=""),"",$I465/$G465)</f>
        <v/>
      </c>
      <c r="K465" s="32"/>
      <c r="L465" s="32"/>
      <c r="M465" s="32"/>
      <c r="N465" s="32"/>
      <c r="O465" s="32"/>
      <c r="P465" s="31" t="str">
        <f aca="false">IF(OR($L465="",$N465=""),"",$L465-$N465)</f>
        <v/>
      </c>
      <c r="Q465" s="27" t="str">
        <f aca="false">IF($B465="","",IF(N($H465)&gt;0,"Live","Exited"))</f>
        <v/>
      </c>
      <c r="R465" s="27" t="str">
        <f aca="false">IF($B465="","",IF($L465="","Data Pending",IF($L465&gt;=Instructions!$D$19,"Best Fund",IF($L465&gt;=Instructions!$D$20,"Need to Improve","Not Performing"))))</f>
        <v/>
      </c>
      <c r="S465" s="7" t="str">
        <f aca="false">IF($R465="","",IF($R465="Data Pending","Enter the 3Y return",IF($R465="Best Fund","Hold / consider top-up",IF($R465="Need to Improve","Watch 2 quarters, then decide","Review with client - switch or exit"))))</f>
        <v/>
      </c>
      <c r="T465" s="26"/>
      <c r="U465" s="7" t="str">
        <f aca="false">IF($R465&lt;&gt;"Best Fund","",COUNTIFS($R$6:$R$505,"Best Fund",$L$6:$L$505,"&gt;"&amp;$L465)+COUNTIFS($R$6:$R465,"Best Fund",$L$6:$L465,$L465))</f>
        <v/>
      </c>
      <c r="V465" s="7" t="str">
        <f aca="false">IF($R465&lt;&gt;"Need to Improve","",COUNTIFS($R$6:$R$505,"Need to Improve",$L$6:$L$505,"&lt;"&amp;$L465)+COUNTIFS($R$6:$R465,"Need to Improve",$L$6:$L465,$L465))</f>
        <v/>
      </c>
      <c r="W465" s="7" t="str">
        <f aca="false">IF($R465&lt;&gt;"Not Performing","",COUNTIFS($R$6:$R$505,"Not Performing",$L$6:$L$505,"&lt;"&amp;$L465)+COUNTIFS($R$6:$R465,"Not Performing",$L$6:$L465,$L465))</f>
        <v/>
      </c>
    </row>
    <row r="466" customFormat="false" ht="15" hidden="false" customHeight="true" outlineLevel="0" collapsed="false">
      <c r="A466" s="26"/>
      <c r="B466" s="26"/>
      <c r="C466" s="26"/>
      <c r="D466" s="27" t="str">
        <f aca="false">IF($C466="","",IFERROR(TRIM(LEFT($C466,FIND("-",$C466)-1)),""))</f>
        <v/>
      </c>
      <c r="E466" s="26"/>
      <c r="F466" s="28"/>
      <c r="G466" s="29"/>
      <c r="H466" s="29"/>
      <c r="I466" s="30" t="str">
        <f aca="false">IF($B466="","",$H466-$G466)</f>
        <v/>
      </c>
      <c r="J466" s="31" t="str">
        <f aca="false">IF(OR($B466="",$G466=0,$G466=""),"",$I466/$G466)</f>
        <v/>
      </c>
      <c r="K466" s="32"/>
      <c r="L466" s="32"/>
      <c r="M466" s="32"/>
      <c r="N466" s="32"/>
      <c r="O466" s="32"/>
      <c r="P466" s="31" t="str">
        <f aca="false">IF(OR($L466="",$N466=""),"",$L466-$N466)</f>
        <v/>
      </c>
      <c r="Q466" s="27" t="str">
        <f aca="false">IF($B466="","",IF(N($H466)&gt;0,"Live","Exited"))</f>
        <v/>
      </c>
      <c r="R466" s="27" t="str">
        <f aca="false">IF($B466="","",IF($L466="","Data Pending",IF($L466&gt;=Instructions!$D$19,"Best Fund",IF($L466&gt;=Instructions!$D$20,"Need to Improve","Not Performing"))))</f>
        <v/>
      </c>
      <c r="S466" s="7" t="str">
        <f aca="false">IF($R466="","",IF($R466="Data Pending","Enter the 3Y return",IF($R466="Best Fund","Hold / consider top-up",IF($R466="Need to Improve","Watch 2 quarters, then decide","Review with client - switch or exit"))))</f>
        <v/>
      </c>
      <c r="T466" s="26"/>
      <c r="U466" s="7" t="str">
        <f aca="false">IF($R466&lt;&gt;"Best Fund","",COUNTIFS($R$6:$R$505,"Best Fund",$L$6:$L$505,"&gt;"&amp;$L466)+COUNTIFS($R$6:$R466,"Best Fund",$L$6:$L466,$L466))</f>
        <v/>
      </c>
      <c r="V466" s="7" t="str">
        <f aca="false">IF($R466&lt;&gt;"Need to Improve","",COUNTIFS($R$6:$R$505,"Need to Improve",$L$6:$L$505,"&lt;"&amp;$L466)+COUNTIFS($R$6:$R466,"Need to Improve",$L$6:$L466,$L466))</f>
        <v/>
      </c>
      <c r="W466" s="7" t="str">
        <f aca="false">IF($R466&lt;&gt;"Not Performing","",COUNTIFS($R$6:$R$505,"Not Performing",$L$6:$L$505,"&lt;"&amp;$L466)+COUNTIFS($R$6:$R466,"Not Performing",$L$6:$L466,$L466))</f>
        <v/>
      </c>
    </row>
    <row r="467" customFormat="false" ht="15" hidden="false" customHeight="true" outlineLevel="0" collapsed="false">
      <c r="A467" s="26"/>
      <c r="B467" s="26"/>
      <c r="C467" s="26"/>
      <c r="D467" s="27" t="str">
        <f aca="false">IF($C467="","",IFERROR(TRIM(LEFT($C467,FIND("-",$C467)-1)),""))</f>
        <v/>
      </c>
      <c r="E467" s="26"/>
      <c r="F467" s="28"/>
      <c r="G467" s="29"/>
      <c r="H467" s="29"/>
      <c r="I467" s="30" t="str">
        <f aca="false">IF($B467="","",$H467-$G467)</f>
        <v/>
      </c>
      <c r="J467" s="31" t="str">
        <f aca="false">IF(OR($B467="",$G467=0,$G467=""),"",$I467/$G467)</f>
        <v/>
      </c>
      <c r="K467" s="32"/>
      <c r="L467" s="32"/>
      <c r="M467" s="32"/>
      <c r="N467" s="32"/>
      <c r="O467" s="32"/>
      <c r="P467" s="31" t="str">
        <f aca="false">IF(OR($L467="",$N467=""),"",$L467-$N467)</f>
        <v/>
      </c>
      <c r="Q467" s="27" t="str">
        <f aca="false">IF($B467="","",IF(N($H467)&gt;0,"Live","Exited"))</f>
        <v/>
      </c>
      <c r="R467" s="27" t="str">
        <f aca="false">IF($B467="","",IF($L467="","Data Pending",IF($L467&gt;=Instructions!$D$19,"Best Fund",IF($L467&gt;=Instructions!$D$20,"Need to Improve","Not Performing"))))</f>
        <v/>
      </c>
      <c r="S467" s="7" t="str">
        <f aca="false">IF($R467="","",IF($R467="Data Pending","Enter the 3Y return",IF($R467="Best Fund","Hold / consider top-up",IF($R467="Need to Improve","Watch 2 quarters, then decide","Review with client - switch or exit"))))</f>
        <v/>
      </c>
      <c r="T467" s="26"/>
      <c r="U467" s="7" t="str">
        <f aca="false">IF($R467&lt;&gt;"Best Fund","",COUNTIFS($R$6:$R$505,"Best Fund",$L$6:$L$505,"&gt;"&amp;$L467)+COUNTIFS($R$6:$R467,"Best Fund",$L$6:$L467,$L467))</f>
        <v/>
      </c>
      <c r="V467" s="7" t="str">
        <f aca="false">IF($R467&lt;&gt;"Need to Improve","",COUNTIFS($R$6:$R$505,"Need to Improve",$L$6:$L$505,"&lt;"&amp;$L467)+COUNTIFS($R$6:$R467,"Need to Improve",$L$6:$L467,$L467))</f>
        <v/>
      </c>
      <c r="W467" s="7" t="str">
        <f aca="false">IF($R467&lt;&gt;"Not Performing","",COUNTIFS($R$6:$R$505,"Not Performing",$L$6:$L$505,"&lt;"&amp;$L467)+COUNTIFS($R$6:$R467,"Not Performing",$L$6:$L467,$L467))</f>
        <v/>
      </c>
    </row>
    <row r="468" customFormat="false" ht="15" hidden="false" customHeight="true" outlineLevel="0" collapsed="false">
      <c r="A468" s="26"/>
      <c r="B468" s="26"/>
      <c r="C468" s="26"/>
      <c r="D468" s="27" t="str">
        <f aca="false">IF($C468="","",IFERROR(TRIM(LEFT($C468,FIND("-",$C468)-1)),""))</f>
        <v/>
      </c>
      <c r="E468" s="26"/>
      <c r="F468" s="28"/>
      <c r="G468" s="29"/>
      <c r="H468" s="29"/>
      <c r="I468" s="30" t="str">
        <f aca="false">IF($B468="","",$H468-$G468)</f>
        <v/>
      </c>
      <c r="J468" s="31" t="str">
        <f aca="false">IF(OR($B468="",$G468=0,$G468=""),"",$I468/$G468)</f>
        <v/>
      </c>
      <c r="K468" s="32"/>
      <c r="L468" s="32"/>
      <c r="M468" s="32"/>
      <c r="N468" s="32"/>
      <c r="O468" s="32"/>
      <c r="P468" s="31" t="str">
        <f aca="false">IF(OR($L468="",$N468=""),"",$L468-$N468)</f>
        <v/>
      </c>
      <c r="Q468" s="27" t="str">
        <f aca="false">IF($B468="","",IF(N($H468)&gt;0,"Live","Exited"))</f>
        <v/>
      </c>
      <c r="R468" s="27" t="str">
        <f aca="false">IF($B468="","",IF($L468="","Data Pending",IF($L468&gt;=Instructions!$D$19,"Best Fund",IF($L468&gt;=Instructions!$D$20,"Need to Improve","Not Performing"))))</f>
        <v/>
      </c>
      <c r="S468" s="7" t="str">
        <f aca="false">IF($R468="","",IF($R468="Data Pending","Enter the 3Y return",IF($R468="Best Fund","Hold / consider top-up",IF($R468="Need to Improve","Watch 2 quarters, then decide","Review with client - switch or exit"))))</f>
        <v/>
      </c>
      <c r="T468" s="26"/>
      <c r="U468" s="7" t="str">
        <f aca="false">IF($R468&lt;&gt;"Best Fund","",COUNTIFS($R$6:$R$505,"Best Fund",$L$6:$L$505,"&gt;"&amp;$L468)+COUNTIFS($R$6:$R468,"Best Fund",$L$6:$L468,$L468))</f>
        <v/>
      </c>
      <c r="V468" s="7" t="str">
        <f aca="false">IF($R468&lt;&gt;"Need to Improve","",COUNTIFS($R$6:$R$505,"Need to Improve",$L$6:$L$505,"&lt;"&amp;$L468)+COUNTIFS($R$6:$R468,"Need to Improve",$L$6:$L468,$L468))</f>
        <v/>
      </c>
      <c r="W468" s="7" t="str">
        <f aca="false">IF($R468&lt;&gt;"Not Performing","",COUNTIFS($R$6:$R$505,"Not Performing",$L$6:$L$505,"&lt;"&amp;$L468)+COUNTIFS($R$6:$R468,"Not Performing",$L$6:$L468,$L468))</f>
        <v/>
      </c>
    </row>
    <row r="469" customFormat="false" ht="15" hidden="false" customHeight="true" outlineLevel="0" collapsed="false">
      <c r="A469" s="26"/>
      <c r="B469" s="26"/>
      <c r="C469" s="26"/>
      <c r="D469" s="27" t="str">
        <f aca="false">IF($C469="","",IFERROR(TRIM(LEFT($C469,FIND("-",$C469)-1)),""))</f>
        <v/>
      </c>
      <c r="E469" s="26"/>
      <c r="F469" s="28"/>
      <c r="G469" s="29"/>
      <c r="H469" s="29"/>
      <c r="I469" s="30" t="str">
        <f aca="false">IF($B469="","",$H469-$G469)</f>
        <v/>
      </c>
      <c r="J469" s="31" t="str">
        <f aca="false">IF(OR($B469="",$G469=0,$G469=""),"",$I469/$G469)</f>
        <v/>
      </c>
      <c r="K469" s="32"/>
      <c r="L469" s="32"/>
      <c r="M469" s="32"/>
      <c r="N469" s="32"/>
      <c r="O469" s="32"/>
      <c r="P469" s="31" t="str">
        <f aca="false">IF(OR($L469="",$N469=""),"",$L469-$N469)</f>
        <v/>
      </c>
      <c r="Q469" s="27" t="str">
        <f aca="false">IF($B469="","",IF(N($H469)&gt;0,"Live","Exited"))</f>
        <v/>
      </c>
      <c r="R469" s="27" t="str">
        <f aca="false">IF($B469="","",IF($L469="","Data Pending",IF($L469&gt;=Instructions!$D$19,"Best Fund",IF($L469&gt;=Instructions!$D$20,"Need to Improve","Not Performing"))))</f>
        <v/>
      </c>
      <c r="S469" s="7" t="str">
        <f aca="false">IF($R469="","",IF($R469="Data Pending","Enter the 3Y return",IF($R469="Best Fund","Hold / consider top-up",IF($R469="Need to Improve","Watch 2 quarters, then decide","Review with client - switch or exit"))))</f>
        <v/>
      </c>
      <c r="T469" s="26"/>
      <c r="U469" s="7" t="str">
        <f aca="false">IF($R469&lt;&gt;"Best Fund","",COUNTIFS($R$6:$R$505,"Best Fund",$L$6:$L$505,"&gt;"&amp;$L469)+COUNTIFS($R$6:$R469,"Best Fund",$L$6:$L469,$L469))</f>
        <v/>
      </c>
      <c r="V469" s="7" t="str">
        <f aca="false">IF($R469&lt;&gt;"Need to Improve","",COUNTIFS($R$6:$R$505,"Need to Improve",$L$6:$L$505,"&lt;"&amp;$L469)+COUNTIFS($R$6:$R469,"Need to Improve",$L$6:$L469,$L469))</f>
        <v/>
      </c>
      <c r="W469" s="7" t="str">
        <f aca="false">IF($R469&lt;&gt;"Not Performing","",COUNTIFS($R$6:$R$505,"Not Performing",$L$6:$L$505,"&lt;"&amp;$L469)+COUNTIFS($R$6:$R469,"Not Performing",$L$6:$L469,$L469))</f>
        <v/>
      </c>
    </row>
    <row r="470" customFormat="false" ht="15" hidden="false" customHeight="true" outlineLevel="0" collapsed="false">
      <c r="A470" s="26"/>
      <c r="B470" s="26"/>
      <c r="C470" s="26"/>
      <c r="D470" s="27" t="str">
        <f aca="false">IF($C470="","",IFERROR(TRIM(LEFT($C470,FIND("-",$C470)-1)),""))</f>
        <v/>
      </c>
      <c r="E470" s="26"/>
      <c r="F470" s="28"/>
      <c r="G470" s="29"/>
      <c r="H470" s="29"/>
      <c r="I470" s="30" t="str">
        <f aca="false">IF($B470="","",$H470-$G470)</f>
        <v/>
      </c>
      <c r="J470" s="31" t="str">
        <f aca="false">IF(OR($B470="",$G470=0,$G470=""),"",$I470/$G470)</f>
        <v/>
      </c>
      <c r="K470" s="32"/>
      <c r="L470" s="32"/>
      <c r="M470" s="32"/>
      <c r="N470" s="32"/>
      <c r="O470" s="32"/>
      <c r="P470" s="31" t="str">
        <f aca="false">IF(OR($L470="",$N470=""),"",$L470-$N470)</f>
        <v/>
      </c>
      <c r="Q470" s="27" t="str">
        <f aca="false">IF($B470="","",IF(N($H470)&gt;0,"Live","Exited"))</f>
        <v/>
      </c>
      <c r="R470" s="27" t="str">
        <f aca="false">IF($B470="","",IF($L470="","Data Pending",IF($L470&gt;=Instructions!$D$19,"Best Fund",IF($L470&gt;=Instructions!$D$20,"Need to Improve","Not Performing"))))</f>
        <v/>
      </c>
      <c r="S470" s="7" t="str">
        <f aca="false">IF($R470="","",IF($R470="Data Pending","Enter the 3Y return",IF($R470="Best Fund","Hold / consider top-up",IF($R470="Need to Improve","Watch 2 quarters, then decide","Review with client - switch or exit"))))</f>
        <v/>
      </c>
      <c r="T470" s="26"/>
      <c r="U470" s="7" t="str">
        <f aca="false">IF($R470&lt;&gt;"Best Fund","",COUNTIFS($R$6:$R$505,"Best Fund",$L$6:$L$505,"&gt;"&amp;$L470)+COUNTIFS($R$6:$R470,"Best Fund",$L$6:$L470,$L470))</f>
        <v/>
      </c>
      <c r="V470" s="7" t="str">
        <f aca="false">IF($R470&lt;&gt;"Need to Improve","",COUNTIFS($R$6:$R$505,"Need to Improve",$L$6:$L$505,"&lt;"&amp;$L470)+COUNTIFS($R$6:$R470,"Need to Improve",$L$6:$L470,$L470))</f>
        <v/>
      </c>
      <c r="W470" s="7" t="str">
        <f aca="false">IF($R470&lt;&gt;"Not Performing","",COUNTIFS($R$6:$R$505,"Not Performing",$L$6:$L$505,"&lt;"&amp;$L470)+COUNTIFS($R$6:$R470,"Not Performing",$L$6:$L470,$L470))</f>
        <v/>
      </c>
    </row>
    <row r="471" customFormat="false" ht="15" hidden="false" customHeight="true" outlineLevel="0" collapsed="false">
      <c r="A471" s="26"/>
      <c r="B471" s="26"/>
      <c r="C471" s="26"/>
      <c r="D471" s="27" t="str">
        <f aca="false">IF($C471="","",IFERROR(TRIM(LEFT($C471,FIND("-",$C471)-1)),""))</f>
        <v/>
      </c>
      <c r="E471" s="26"/>
      <c r="F471" s="28"/>
      <c r="G471" s="29"/>
      <c r="H471" s="29"/>
      <c r="I471" s="30" t="str">
        <f aca="false">IF($B471="","",$H471-$G471)</f>
        <v/>
      </c>
      <c r="J471" s="31" t="str">
        <f aca="false">IF(OR($B471="",$G471=0,$G471=""),"",$I471/$G471)</f>
        <v/>
      </c>
      <c r="K471" s="32"/>
      <c r="L471" s="32"/>
      <c r="M471" s="32"/>
      <c r="N471" s="32"/>
      <c r="O471" s="32"/>
      <c r="P471" s="31" t="str">
        <f aca="false">IF(OR($L471="",$N471=""),"",$L471-$N471)</f>
        <v/>
      </c>
      <c r="Q471" s="27" t="str">
        <f aca="false">IF($B471="","",IF(N($H471)&gt;0,"Live","Exited"))</f>
        <v/>
      </c>
      <c r="R471" s="27" t="str">
        <f aca="false">IF($B471="","",IF($L471="","Data Pending",IF($L471&gt;=Instructions!$D$19,"Best Fund",IF($L471&gt;=Instructions!$D$20,"Need to Improve","Not Performing"))))</f>
        <v/>
      </c>
      <c r="S471" s="7" t="str">
        <f aca="false">IF($R471="","",IF($R471="Data Pending","Enter the 3Y return",IF($R471="Best Fund","Hold / consider top-up",IF($R471="Need to Improve","Watch 2 quarters, then decide","Review with client - switch or exit"))))</f>
        <v/>
      </c>
      <c r="T471" s="26"/>
      <c r="U471" s="7" t="str">
        <f aca="false">IF($R471&lt;&gt;"Best Fund","",COUNTIFS($R$6:$R$505,"Best Fund",$L$6:$L$505,"&gt;"&amp;$L471)+COUNTIFS($R$6:$R471,"Best Fund",$L$6:$L471,$L471))</f>
        <v/>
      </c>
      <c r="V471" s="7" t="str">
        <f aca="false">IF($R471&lt;&gt;"Need to Improve","",COUNTIFS($R$6:$R$505,"Need to Improve",$L$6:$L$505,"&lt;"&amp;$L471)+COUNTIFS($R$6:$R471,"Need to Improve",$L$6:$L471,$L471))</f>
        <v/>
      </c>
      <c r="W471" s="7" t="str">
        <f aca="false">IF($R471&lt;&gt;"Not Performing","",COUNTIFS($R$6:$R$505,"Not Performing",$L$6:$L$505,"&lt;"&amp;$L471)+COUNTIFS($R$6:$R471,"Not Performing",$L$6:$L471,$L471))</f>
        <v/>
      </c>
    </row>
    <row r="472" customFormat="false" ht="15" hidden="false" customHeight="true" outlineLevel="0" collapsed="false">
      <c r="A472" s="26"/>
      <c r="B472" s="26"/>
      <c r="C472" s="26"/>
      <c r="D472" s="27" t="str">
        <f aca="false">IF($C472="","",IFERROR(TRIM(LEFT($C472,FIND("-",$C472)-1)),""))</f>
        <v/>
      </c>
      <c r="E472" s="26"/>
      <c r="F472" s="28"/>
      <c r="G472" s="29"/>
      <c r="H472" s="29"/>
      <c r="I472" s="30" t="str">
        <f aca="false">IF($B472="","",$H472-$G472)</f>
        <v/>
      </c>
      <c r="J472" s="31" t="str">
        <f aca="false">IF(OR($B472="",$G472=0,$G472=""),"",$I472/$G472)</f>
        <v/>
      </c>
      <c r="K472" s="32"/>
      <c r="L472" s="32"/>
      <c r="M472" s="32"/>
      <c r="N472" s="32"/>
      <c r="O472" s="32"/>
      <c r="P472" s="31" t="str">
        <f aca="false">IF(OR($L472="",$N472=""),"",$L472-$N472)</f>
        <v/>
      </c>
      <c r="Q472" s="27" t="str">
        <f aca="false">IF($B472="","",IF(N($H472)&gt;0,"Live","Exited"))</f>
        <v/>
      </c>
      <c r="R472" s="27" t="str">
        <f aca="false">IF($B472="","",IF($L472="","Data Pending",IF($L472&gt;=Instructions!$D$19,"Best Fund",IF($L472&gt;=Instructions!$D$20,"Need to Improve","Not Performing"))))</f>
        <v/>
      </c>
      <c r="S472" s="7" t="str">
        <f aca="false">IF($R472="","",IF($R472="Data Pending","Enter the 3Y return",IF($R472="Best Fund","Hold / consider top-up",IF($R472="Need to Improve","Watch 2 quarters, then decide","Review with client - switch or exit"))))</f>
        <v/>
      </c>
      <c r="T472" s="26"/>
      <c r="U472" s="7" t="str">
        <f aca="false">IF($R472&lt;&gt;"Best Fund","",COUNTIFS($R$6:$R$505,"Best Fund",$L$6:$L$505,"&gt;"&amp;$L472)+COUNTIFS($R$6:$R472,"Best Fund",$L$6:$L472,$L472))</f>
        <v/>
      </c>
      <c r="V472" s="7" t="str">
        <f aca="false">IF($R472&lt;&gt;"Need to Improve","",COUNTIFS($R$6:$R$505,"Need to Improve",$L$6:$L$505,"&lt;"&amp;$L472)+COUNTIFS($R$6:$R472,"Need to Improve",$L$6:$L472,$L472))</f>
        <v/>
      </c>
      <c r="W472" s="7" t="str">
        <f aca="false">IF($R472&lt;&gt;"Not Performing","",COUNTIFS($R$6:$R$505,"Not Performing",$L$6:$L$505,"&lt;"&amp;$L472)+COUNTIFS($R$6:$R472,"Not Performing",$L$6:$L472,$L472))</f>
        <v/>
      </c>
    </row>
    <row r="473" customFormat="false" ht="15" hidden="false" customHeight="true" outlineLevel="0" collapsed="false">
      <c r="A473" s="26"/>
      <c r="B473" s="26"/>
      <c r="C473" s="26"/>
      <c r="D473" s="27" t="str">
        <f aca="false">IF($C473="","",IFERROR(TRIM(LEFT($C473,FIND("-",$C473)-1)),""))</f>
        <v/>
      </c>
      <c r="E473" s="26"/>
      <c r="F473" s="28"/>
      <c r="G473" s="29"/>
      <c r="H473" s="29"/>
      <c r="I473" s="30" t="str">
        <f aca="false">IF($B473="","",$H473-$G473)</f>
        <v/>
      </c>
      <c r="J473" s="31" t="str">
        <f aca="false">IF(OR($B473="",$G473=0,$G473=""),"",$I473/$G473)</f>
        <v/>
      </c>
      <c r="K473" s="32"/>
      <c r="L473" s="32"/>
      <c r="M473" s="32"/>
      <c r="N473" s="32"/>
      <c r="O473" s="32"/>
      <c r="P473" s="31" t="str">
        <f aca="false">IF(OR($L473="",$N473=""),"",$L473-$N473)</f>
        <v/>
      </c>
      <c r="Q473" s="27" t="str">
        <f aca="false">IF($B473="","",IF(N($H473)&gt;0,"Live","Exited"))</f>
        <v/>
      </c>
      <c r="R473" s="27" t="str">
        <f aca="false">IF($B473="","",IF($L473="","Data Pending",IF($L473&gt;=Instructions!$D$19,"Best Fund",IF($L473&gt;=Instructions!$D$20,"Need to Improve","Not Performing"))))</f>
        <v/>
      </c>
      <c r="S473" s="7" t="str">
        <f aca="false">IF($R473="","",IF($R473="Data Pending","Enter the 3Y return",IF($R473="Best Fund","Hold / consider top-up",IF($R473="Need to Improve","Watch 2 quarters, then decide","Review with client - switch or exit"))))</f>
        <v/>
      </c>
      <c r="T473" s="26"/>
      <c r="U473" s="7" t="str">
        <f aca="false">IF($R473&lt;&gt;"Best Fund","",COUNTIFS($R$6:$R$505,"Best Fund",$L$6:$L$505,"&gt;"&amp;$L473)+COUNTIFS($R$6:$R473,"Best Fund",$L$6:$L473,$L473))</f>
        <v/>
      </c>
      <c r="V473" s="7" t="str">
        <f aca="false">IF($R473&lt;&gt;"Need to Improve","",COUNTIFS($R$6:$R$505,"Need to Improve",$L$6:$L$505,"&lt;"&amp;$L473)+COUNTIFS($R$6:$R473,"Need to Improve",$L$6:$L473,$L473))</f>
        <v/>
      </c>
      <c r="W473" s="7" t="str">
        <f aca="false">IF($R473&lt;&gt;"Not Performing","",COUNTIFS($R$6:$R$505,"Not Performing",$L$6:$L$505,"&lt;"&amp;$L473)+COUNTIFS($R$6:$R473,"Not Performing",$L$6:$L473,$L473))</f>
        <v/>
      </c>
    </row>
    <row r="474" customFormat="false" ht="15" hidden="false" customHeight="true" outlineLevel="0" collapsed="false">
      <c r="A474" s="26"/>
      <c r="B474" s="26"/>
      <c r="C474" s="26"/>
      <c r="D474" s="27" t="str">
        <f aca="false">IF($C474="","",IFERROR(TRIM(LEFT($C474,FIND("-",$C474)-1)),""))</f>
        <v/>
      </c>
      <c r="E474" s="26"/>
      <c r="F474" s="28"/>
      <c r="G474" s="29"/>
      <c r="H474" s="29"/>
      <c r="I474" s="30" t="str">
        <f aca="false">IF($B474="","",$H474-$G474)</f>
        <v/>
      </c>
      <c r="J474" s="31" t="str">
        <f aca="false">IF(OR($B474="",$G474=0,$G474=""),"",$I474/$G474)</f>
        <v/>
      </c>
      <c r="K474" s="32"/>
      <c r="L474" s="32"/>
      <c r="M474" s="32"/>
      <c r="N474" s="32"/>
      <c r="O474" s="32"/>
      <c r="P474" s="31" t="str">
        <f aca="false">IF(OR($L474="",$N474=""),"",$L474-$N474)</f>
        <v/>
      </c>
      <c r="Q474" s="27" t="str">
        <f aca="false">IF($B474="","",IF(N($H474)&gt;0,"Live","Exited"))</f>
        <v/>
      </c>
      <c r="R474" s="27" t="str">
        <f aca="false">IF($B474="","",IF($L474="","Data Pending",IF($L474&gt;=Instructions!$D$19,"Best Fund",IF($L474&gt;=Instructions!$D$20,"Need to Improve","Not Performing"))))</f>
        <v/>
      </c>
      <c r="S474" s="7" t="str">
        <f aca="false">IF($R474="","",IF($R474="Data Pending","Enter the 3Y return",IF($R474="Best Fund","Hold / consider top-up",IF($R474="Need to Improve","Watch 2 quarters, then decide","Review with client - switch or exit"))))</f>
        <v/>
      </c>
      <c r="T474" s="26"/>
      <c r="U474" s="7" t="str">
        <f aca="false">IF($R474&lt;&gt;"Best Fund","",COUNTIFS($R$6:$R$505,"Best Fund",$L$6:$L$505,"&gt;"&amp;$L474)+COUNTIFS($R$6:$R474,"Best Fund",$L$6:$L474,$L474))</f>
        <v/>
      </c>
      <c r="V474" s="7" t="str">
        <f aca="false">IF($R474&lt;&gt;"Need to Improve","",COUNTIFS($R$6:$R$505,"Need to Improve",$L$6:$L$505,"&lt;"&amp;$L474)+COUNTIFS($R$6:$R474,"Need to Improve",$L$6:$L474,$L474))</f>
        <v/>
      </c>
      <c r="W474" s="7" t="str">
        <f aca="false">IF($R474&lt;&gt;"Not Performing","",COUNTIFS($R$6:$R$505,"Not Performing",$L$6:$L$505,"&lt;"&amp;$L474)+COUNTIFS($R$6:$R474,"Not Performing",$L$6:$L474,$L474))</f>
        <v/>
      </c>
    </row>
    <row r="475" customFormat="false" ht="15" hidden="false" customHeight="true" outlineLevel="0" collapsed="false">
      <c r="A475" s="26"/>
      <c r="B475" s="26"/>
      <c r="C475" s="26"/>
      <c r="D475" s="27" t="str">
        <f aca="false">IF($C475="","",IFERROR(TRIM(LEFT($C475,FIND("-",$C475)-1)),""))</f>
        <v/>
      </c>
      <c r="E475" s="26"/>
      <c r="F475" s="28"/>
      <c r="G475" s="29"/>
      <c r="H475" s="29"/>
      <c r="I475" s="30" t="str">
        <f aca="false">IF($B475="","",$H475-$G475)</f>
        <v/>
      </c>
      <c r="J475" s="31" t="str">
        <f aca="false">IF(OR($B475="",$G475=0,$G475=""),"",$I475/$G475)</f>
        <v/>
      </c>
      <c r="K475" s="32"/>
      <c r="L475" s="32"/>
      <c r="M475" s="32"/>
      <c r="N475" s="32"/>
      <c r="O475" s="32"/>
      <c r="P475" s="31" t="str">
        <f aca="false">IF(OR($L475="",$N475=""),"",$L475-$N475)</f>
        <v/>
      </c>
      <c r="Q475" s="27" t="str">
        <f aca="false">IF($B475="","",IF(N($H475)&gt;0,"Live","Exited"))</f>
        <v/>
      </c>
      <c r="R475" s="27" t="str">
        <f aca="false">IF($B475="","",IF($L475="","Data Pending",IF($L475&gt;=Instructions!$D$19,"Best Fund",IF($L475&gt;=Instructions!$D$20,"Need to Improve","Not Performing"))))</f>
        <v/>
      </c>
      <c r="S475" s="7" t="str">
        <f aca="false">IF($R475="","",IF($R475="Data Pending","Enter the 3Y return",IF($R475="Best Fund","Hold / consider top-up",IF($R475="Need to Improve","Watch 2 quarters, then decide","Review with client - switch or exit"))))</f>
        <v/>
      </c>
      <c r="T475" s="26"/>
      <c r="U475" s="7" t="str">
        <f aca="false">IF($R475&lt;&gt;"Best Fund","",COUNTIFS($R$6:$R$505,"Best Fund",$L$6:$L$505,"&gt;"&amp;$L475)+COUNTIFS($R$6:$R475,"Best Fund",$L$6:$L475,$L475))</f>
        <v/>
      </c>
      <c r="V475" s="7" t="str">
        <f aca="false">IF($R475&lt;&gt;"Need to Improve","",COUNTIFS($R$6:$R$505,"Need to Improve",$L$6:$L$505,"&lt;"&amp;$L475)+COUNTIFS($R$6:$R475,"Need to Improve",$L$6:$L475,$L475))</f>
        <v/>
      </c>
      <c r="W475" s="7" t="str">
        <f aca="false">IF($R475&lt;&gt;"Not Performing","",COUNTIFS($R$6:$R$505,"Not Performing",$L$6:$L$505,"&lt;"&amp;$L475)+COUNTIFS($R$6:$R475,"Not Performing",$L$6:$L475,$L475))</f>
        <v/>
      </c>
    </row>
    <row r="476" customFormat="false" ht="15" hidden="false" customHeight="true" outlineLevel="0" collapsed="false">
      <c r="A476" s="26"/>
      <c r="B476" s="26"/>
      <c r="C476" s="26"/>
      <c r="D476" s="27" t="str">
        <f aca="false">IF($C476="","",IFERROR(TRIM(LEFT($C476,FIND("-",$C476)-1)),""))</f>
        <v/>
      </c>
      <c r="E476" s="26"/>
      <c r="F476" s="28"/>
      <c r="G476" s="29"/>
      <c r="H476" s="29"/>
      <c r="I476" s="30" t="str">
        <f aca="false">IF($B476="","",$H476-$G476)</f>
        <v/>
      </c>
      <c r="J476" s="31" t="str">
        <f aca="false">IF(OR($B476="",$G476=0,$G476=""),"",$I476/$G476)</f>
        <v/>
      </c>
      <c r="K476" s="32"/>
      <c r="L476" s="32"/>
      <c r="M476" s="32"/>
      <c r="N476" s="32"/>
      <c r="O476" s="32"/>
      <c r="P476" s="31" t="str">
        <f aca="false">IF(OR($L476="",$N476=""),"",$L476-$N476)</f>
        <v/>
      </c>
      <c r="Q476" s="27" t="str">
        <f aca="false">IF($B476="","",IF(N($H476)&gt;0,"Live","Exited"))</f>
        <v/>
      </c>
      <c r="R476" s="27" t="str">
        <f aca="false">IF($B476="","",IF($L476="","Data Pending",IF($L476&gt;=Instructions!$D$19,"Best Fund",IF($L476&gt;=Instructions!$D$20,"Need to Improve","Not Performing"))))</f>
        <v/>
      </c>
      <c r="S476" s="7" t="str">
        <f aca="false">IF($R476="","",IF($R476="Data Pending","Enter the 3Y return",IF($R476="Best Fund","Hold / consider top-up",IF($R476="Need to Improve","Watch 2 quarters, then decide","Review with client - switch or exit"))))</f>
        <v/>
      </c>
      <c r="T476" s="26"/>
      <c r="U476" s="7" t="str">
        <f aca="false">IF($R476&lt;&gt;"Best Fund","",COUNTIFS($R$6:$R$505,"Best Fund",$L$6:$L$505,"&gt;"&amp;$L476)+COUNTIFS($R$6:$R476,"Best Fund",$L$6:$L476,$L476))</f>
        <v/>
      </c>
      <c r="V476" s="7" t="str">
        <f aca="false">IF($R476&lt;&gt;"Need to Improve","",COUNTIFS($R$6:$R$505,"Need to Improve",$L$6:$L$505,"&lt;"&amp;$L476)+COUNTIFS($R$6:$R476,"Need to Improve",$L$6:$L476,$L476))</f>
        <v/>
      </c>
      <c r="W476" s="7" t="str">
        <f aca="false">IF($R476&lt;&gt;"Not Performing","",COUNTIFS($R$6:$R$505,"Not Performing",$L$6:$L$505,"&lt;"&amp;$L476)+COUNTIFS($R$6:$R476,"Not Performing",$L$6:$L476,$L476))</f>
        <v/>
      </c>
    </row>
    <row r="477" customFormat="false" ht="15" hidden="false" customHeight="true" outlineLevel="0" collapsed="false">
      <c r="A477" s="26"/>
      <c r="B477" s="26"/>
      <c r="C477" s="26"/>
      <c r="D477" s="27" t="str">
        <f aca="false">IF($C477="","",IFERROR(TRIM(LEFT($C477,FIND("-",$C477)-1)),""))</f>
        <v/>
      </c>
      <c r="E477" s="26"/>
      <c r="F477" s="28"/>
      <c r="G477" s="29"/>
      <c r="H477" s="29"/>
      <c r="I477" s="30" t="str">
        <f aca="false">IF($B477="","",$H477-$G477)</f>
        <v/>
      </c>
      <c r="J477" s="31" t="str">
        <f aca="false">IF(OR($B477="",$G477=0,$G477=""),"",$I477/$G477)</f>
        <v/>
      </c>
      <c r="K477" s="32"/>
      <c r="L477" s="32"/>
      <c r="M477" s="32"/>
      <c r="N477" s="32"/>
      <c r="O477" s="32"/>
      <c r="P477" s="31" t="str">
        <f aca="false">IF(OR($L477="",$N477=""),"",$L477-$N477)</f>
        <v/>
      </c>
      <c r="Q477" s="27" t="str">
        <f aca="false">IF($B477="","",IF(N($H477)&gt;0,"Live","Exited"))</f>
        <v/>
      </c>
      <c r="R477" s="27" t="str">
        <f aca="false">IF($B477="","",IF($L477="","Data Pending",IF($L477&gt;=Instructions!$D$19,"Best Fund",IF($L477&gt;=Instructions!$D$20,"Need to Improve","Not Performing"))))</f>
        <v/>
      </c>
      <c r="S477" s="7" t="str">
        <f aca="false">IF($R477="","",IF($R477="Data Pending","Enter the 3Y return",IF($R477="Best Fund","Hold / consider top-up",IF($R477="Need to Improve","Watch 2 quarters, then decide","Review with client - switch or exit"))))</f>
        <v/>
      </c>
      <c r="T477" s="26"/>
      <c r="U477" s="7" t="str">
        <f aca="false">IF($R477&lt;&gt;"Best Fund","",COUNTIFS($R$6:$R$505,"Best Fund",$L$6:$L$505,"&gt;"&amp;$L477)+COUNTIFS($R$6:$R477,"Best Fund",$L$6:$L477,$L477))</f>
        <v/>
      </c>
      <c r="V477" s="7" t="str">
        <f aca="false">IF($R477&lt;&gt;"Need to Improve","",COUNTIFS($R$6:$R$505,"Need to Improve",$L$6:$L$505,"&lt;"&amp;$L477)+COUNTIFS($R$6:$R477,"Need to Improve",$L$6:$L477,$L477))</f>
        <v/>
      </c>
      <c r="W477" s="7" t="str">
        <f aca="false">IF($R477&lt;&gt;"Not Performing","",COUNTIFS($R$6:$R$505,"Not Performing",$L$6:$L$505,"&lt;"&amp;$L477)+COUNTIFS($R$6:$R477,"Not Performing",$L$6:$L477,$L477))</f>
        <v/>
      </c>
    </row>
    <row r="478" customFormat="false" ht="15" hidden="false" customHeight="true" outlineLevel="0" collapsed="false">
      <c r="A478" s="26"/>
      <c r="B478" s="26"/>
      <c r="C478" s="26"/>
      <c r="D478" s="27" t="str">
        <f aca="false">IF($C478="","",IFERROR(TRIM(LEFT($C478,FIND("-",$C478)-1)),""))</f>
        <v/>
      </c>
      <c r="E478" s="26"/>
      <c r="F478" s="28"/>
      <c r="G478" s="29"/>
      <c r="H478" s="29"/>
      <c r="I478" s="30" t="str">
        <f aca="false">IF($B478="","",$H478-$G478)</f>
        <v/>
      </c>
      <c r="J478" s="31" t="str">
        <f aca="false">IF(OR($B478="",$G478=0,$G478=""),"",$I478/$G478)</f>
        <v/>
      </c>
      <c r="K478" s="32"/>
      <c r="L478" s="32"/>
      <c r="M478" s="32"/>
      <c r="N478" s="32"/>
      <c r="O478" s="32"/>
      <c r="P478" s="31" t="str">
        <f aca="false">IF(OR($L478="",$N478=""),"",$L478-$N478)</f>
        <v/>
      </c>
      <c r="Q478" s="27" t="str">
        <f aca="false">IF($B478="","",IF(N($H478)&gt;0,"Live","Exited"))</f>
        <v/>
      </c>
      <c r="R478" s="27" t="str">
        <f aca="false">IF($B478="","",IF($L478="","Data Pending",IF($L478&gt;=Instructions!$D$19,"Best Fund",IF($L478&gt;=Instructions!$D$20,"Need to Improve","Not Performing"))))</f>
        <v/>
      </c>
      <c r="S478" s="7" t="str">
        <f aca="false">IF($R478="","",IF($R478="Data Pending","Enter the 3Y return",IF($R478="Best Fund","Hold / consider top-up",IF($R478="Need to Improve","Watch 2 quarters, then decide","Review with client - switch or exit"))))</f>
        <v/>
      </c>
      <c r="T478" s="26"/>
      <c r="U478" s="7" t="str">
        <f aca="false">IF($R478&lt;&gt;"Best Fund","",COUNTIFS($R$6:$R$505,"Best Fund",$L$6:$L$505,"&gt;"&amp;$L478)+COUNTIFS($R$6:$R478,"Best Fund",$L$6:$L478,$L478))</f>
        <v/>
      </c>
      <c r="V478" s="7" t="str">
        <f aca="false">IF($R478&lt;&gt;"Need to Improve","",COUNTIFS($R$6:$R$505,"Need to Improve",$L$6:$L$505,"&lt;"&amp;$L478)+COUNTIFS($R$6:$R478,"Need to Improve",$L$6:$L478,$L478))</f>
        <v/>
      </c>
      <c r="W478" s="7" t="str">
        <f aca="false">IF($R478&lt;&gt;"Not Performing","",COUNTIFS($R$6:$R$505,"Not Performing",$L$6:$L$505,"&lt;"&amp;$L478)+COUNTIFS($R$6:$R478,"Not Performing",$L$6:$L478,$L478))</f>
        <v/>
      </c>
    </row>
    <row r="479" customFormat="false" ht="15" hidden="false" customHeight="true" outlineLevel="0" collapsed="false">
      <c r="A479" s="26"/>
      <c r="B479" s="26"/>
      <c r="C479" s="26"/>
      <c r="D479" s="27" t="str">
        <f aca="false">IF($C479="","",IFERROR(TRIM(LEFT($C479,FIND("-",$C479)-1)),""))</f>
        <v/>
      </c>
      <c r="E479" s="26"/>
      <c r="F479" s="28"/>
      <c r="G479" s="29"/>
      <c r="H479" s="29"/>
      <c r="I479" s="30" t="str">
        <f aca="false">IF($B479="","",$H479-$G479)</f>
        <v/>
      </c>
      <c r="J479" s="31" t="str">
        <f aca="false">IF(OR($B479="",$G479=0,$G479=""),"",$I479/$G479)</f>
        <v/>
      </c>
      <c r="K479" s="32"/>
      <c r="L479" s="32"/>
      <c r="M479" s="32"/>
      <c r="N479" s="32"/>
      <c r="O479" s="32"/>
      <c r="P479" s="31" t="str">
        <f aca="false">IF(OR($L479="",$N479=""),"",$L479-$N479)</f>
        <v/>
      </c>
      <c r="Q479" s="27" t="str">
        <f aca="false">IF($B479="","",IF(N($H479)&gt;0,"Live","Exited"))</f>
        <v/>
      </c>
      <c r="R479" s="27" t="str">
        <f aca="false">IF($B479="","",IF($L479="","Data Pending",IF($L479&gt;=Instructions!$D$19,"Best Fund",IF($L479&gt;=Instructions!$D$20,"Need to Improve","Not Performing"))))</f>
        <v/>
      </c>
      <c r="S479" s="7" t="str">
        <f aca="false">IF($R479="","",IF($R479="Data Pending","Enter the 3Y return",IF($R479="Best Fund","Hold / consider top-up",IF($R479="Need to Improve","Watch 2 quarters, then decide","Review with client - switch or exit"))))</f>
        <v/>
      </c>
      <c r="T479" s="26"/>
      <c r="U479" s="7" t="str">
        <f aca="false">IF($R479&lt;&gt;"Best Fund","",COUNTIFS($R$6:$R$505,"Best Fund",$L$6:$L$505,"&gt;"&amp;$L479)+COUNTIFS($R$6:$R479,"Best Fund",$L$6:$L479,$L479))</f>
        <v/>
      </c>
      <c r="V479" s="7" t="str">
        <f aca="false">IF($R479&lt;&gt;"Need to Improve","",COUNTIFS($R$6:$R$505,"Need to Improve",$L$6:$L$505,"&lt;"&amp;$L479)+COUNTIFS($R$6:$R479,"Need to Improve",$L$6:$L479,$L479))</f>
        <v/>
      </c>
      <c r="W479" s="7" t="str">
        <f aca="false">IF($R479&lt;&gt;"Not Performing","",COUNTIFS($R$6:$R$505,"Not Performing",$L$6:$L$505,"&lt;"&amp;$L479)+COUNTIFS($R$6:$R479,"Not Performing",$L$6:$L479,$L479))</f>
        <v/>
      </c>
    </row>
    <row r="480" customFormat="false" ht="15" hidden="false" customHeight="true" outlineLevel="0" collapsed="false">
      <c r="A480" s="26"/>
      <c r="B480" s="26"/>
      <c r="C480" s="26"/>
      <c r="D480" s="27" t="str">
        <f aca="false">IF($C480="","",IFERROR(TRIM(LEFT($C480,FIND("-",$C480)-1)),""))</f>
        <v/>
      </c>
      <c r="E480" s="26"/>
      <c r="F480" s="28"/>
      <c r="G480" s="29"/>
      <c r="H480" s="29"/>
      <c r="I480" s="30" t="str">
        <f aca="false">IF($B480="","",$H480-$G480)</f>
        <v/>
      </c>
      <c r="J480" s="31" t="str">
        <f aca="false">IF(OR($B480="",$G480=0,$G480=""),"",$I480/$G480)</f>
        <v/>
      </c>
      <c r="K480" s="32"/>
      <c r="L480" s="32"/>
      <c r="M480" s="32"/>
      <c r="N480" s="32"/>
      <c r="O480" s="32"/>
      <c r="P480" s="31" t="str">
        <f aca="false">IF(OR($L480="",$N480=""),"",$L480-$N480)</f>
        <v/>
      </c>
      <c r="Q480" s="27" t="str">
        <f aca="false">IF($B480="","",IF(N($H480)&gt;0,"Live","Exited"))</f>
        <v/>
      </c>
      <c r="R480" s="27" t="str">
        <f aca="false">IF($B480="","",IF($L480="","Data Pending",IF($L480&gt;=Instructions!$D$19,"Best Fund",IF($L480&gt;=Instructions!$D$20,"Need to Improve","Not Performing"))))</f>
        <v/>
      </c>
      <c r="S480" s="7" t="str">
        <f aca="false">IF($R480="","",IF($R480="Data Pending","Enter the 3Y return",IF($R480="Best Fund","Hold / consider top-up",IF($R480="Need to Improve","Watch 2 quarters, then decide","Review with client - switch or exit"))))</f>
        <v/>
      </c>
      <c r="T480" s="26"/>
      <c r="U480" s="7" t="str">
        <f aca="false">IF($R480&lt;&gt;"Best Fund","",COUNTIFS($R$6:$R$505,"Best Fund",$L$6:$L$505,"&gt;"&amp;$L480)+COUNTIFS($R$6:$R480,"Best Fund",$L$6:$L480,$L480))</f>
        <v/>
      </c>
      <c r="V480" s="7" t="str">
        <f aca="false">IF($R480&lt;&gt;"Need to Improve","",COUNTIFS($R$6:$R$505,"Need to Improve",$L$6:$L$505,"&lt;"&amp;$L480)+COUNTIFS($R$6:$R480,"Need to Improve",$L$6:$L480,$L480))</f>
        <v/>
      </c>
      <c r="W480" s="7" t="str">
        <f aca="false">IF($R480&lt;&gt;"Not Performing","",COUNTIFS($R$6:$R$505,"Not Performing",$L$6:$L$505,"&lt;"&amp;$L480)+COUNTIFS($R$6:$R480,"Not Performing",$L$6:$L480,$L480))</f>
        <v/>
      </c>
    </row>
    <row r="481" customFormat="false" ht="15" hidden="false" customHeight="true" outlineLevel="0" collapsed="false">
      <c r="A481" s="26"/>
      <c r="B481" s="26"/>
      <c r="C481" s="26"/>
      <c r="D481" s="27" t="str">
        <f aca="false">IF($C481="","",IFERROR(TRIM(LEFT($C481,FIND("-",$C481)-1)),""))</f>
        <v/>
      </c>
      <c r="E481" s="26"/>
      <c r="F481" s="28"/>
      <c r="G481" s="29"/>
      <c r="H481" s="29"/>
      <c r="I481" s="30" t="str">
        <f aca="false">IF($B481="","",$H481-$G481)</f>
        <v/>
      </c>
      <c r="J481" s="31" t="str">
        <f aca="false">IF(OR($B481="",$G481=0,$G481=""),"",$I481/$G481)</f>
        <v/>
      </c>
      <c r="K481" s="32"/>
      <c r="L481" s="32"/>
      <c r="M481" s="32"/>
      <c r="N481" s="32"/>
      <c r="O481" s="32"/>
      <c r="P481" s="31" t="str">
        <f aca="false">IF(OR($L481="",$N481=""),"",$L481-$N481)</f>
        <v/>
      </c>
      <c r="Q481" s="27" t="str">
        <f aca="false">IF($B481="","",IF(N($H481)&gt;0,"Live","Exited"))</f>
        <v/>
      </c>
      <c r="R481" s="27" t="str">
        <f aca="false">IF($B481="","",IF($L481="","Data Pending",IF($L481&gt;=Instructions!$D$19,"Best Fund",IF($L481&gt;=Instructions!$D$20,"Need to Improve","Not Performing"))))</f>
        <v/>
      </c>
      <c r="S481" s="7" t="str">
        <f aca="false">IF($R481="","",IF($R481="Data Pending","Enter the 3Y return",IF($R481="Best Fund","Hold / consider top-up",IF($R481="Need to Improve","Watch 2 quarters, then decide","Review with client - switch or exit"))))</f>
        <v/>
      </c>
      <c r="T481" s="26"/>
      <c r="U481" s="7" t="str">
        <f aca="false">IF($R481&lt;&gt;"Best Fund","",COUNTIFS($R$6:$R$505,"Best Fund",$L$6:$L$505,"&gt;"&amp;$L481)+COUNTIFS($R$6:$R481,"Best Fund",$L$6:$L481,$L481))</f>
        <v/>
      </c>
      <c r="V481" s="7" t="str">
        <f aca="false">IF($R481&lt;&gt;"Need to Improve","",COUNTIFS($R$6:$R$505,"Need to Improve",$L$6:$L$505,"&lt;"&amp;$L481)+COUNTIFS($R$6:$R481,"Need to Improve",$L$6:$L481,$L481))</f>
        <v/>
      </c>
      <c r="W481" s="7" t="str">
        <f aca="false">IF($R481&lt;&gt;"Not Performing","",COUNTIFS($R$6:$R$505,"Not Performing",$L$6:$L$505,"&lt;"&amp;$L481)+COUNTIFS($R$6:$R481,"Not Performing",$L$6:$L481,$L481))</f>
        <v/>
      </c>
    </row>
    <row r="482" customFormat="false" ht="15" hidden="false" customHeight="true" outlineLevel="0" collapsed="false">
      <c r="A482" s="26"/>
      <c r="B482" s="26"/>
      <c r="C482" s="26"/>
      <c r="D482" s="27" t="str">
        <f aca="false">IF($C482="","",IFERROR(TRIM(LEFT($C482,FIND("-",$C482)-1)),""))</f>
        <v/>
      </c>
      <c r="E482" s="26"/>
      <c r="F482" s="28"/>
      <c r="G482" s="29"/>
      <c r="H482" s="29"/>
      <c r="I482" s="30" t="str">
        <f aca="false">IF($B482="","",$H482-$G482)</f>
        <v/>
      </c>
      <c r="J482" s="31" t="str">
        <f aca="false">IF(OR($B482="",$G482=0,$G482=""),"",$I482/$G482)</f>
        <v/>
      </c>
      <c r="K482" s="32"/>
      <c r="L482" s="32"/>
      <c r="M482" s="32"/>
      <c r="N482" s="32"/>
      <c r="O482" s="32"/>
      <c r="P482" s="31" t="str">
        <f aca="false">IF(OR($L482="",$N482=""),"",$L482-$N482)</f>
        <v/>
      </c>
      <c r="Q482" s="27" t="str">
        <f aca="false">IF($B482="","",IF(N($H482)&gt;0,"Live","Exited"))</f>
        <v/>
      </c>
      <c r="R482" s="27" t="str">
        <f aca="false">IF($B482="","",IF($L482="","Data Pending",IF($L482&gt;=Instructions!$D$19,"Best Fund",IF($L482&gt;=Instructions!$D$20,"Need to Improve","Not Performing"))))</f>
        <v/>
      </c>
      <c r="S482" s="7" t="str">
        <f aca="false">IF($R482="","",IF($R482="Data Pending","Enter the 3Y return",IF($R482="Best Fund","Hold / consider top-up",IF($R482="Need to Improve","Watch 2 quarters, then decide","Review with client - switch or exit"))))</f>
        <v/>
      </c>
      <c r="T482" s="26"/>
      <c r="U482" s="7" t="str">
        <f aca="false">IF($R482&lt;&gt;"Best Fund","",COUNTIFS($R$6:$R$505,"Best Fund",$L$6:$L$505,"&gt;"&amp;$L482)+COUNTIFS($R$6:$R482,"Best Fund",$L$6:$L482,$L482))</f>
        <v/>
      </c>
      <c r="V482" s="7" t="str">
        <f aca="false">IF($R482&lt;&gt;"Need to Improve","",COUNTIFS($R$6:$R$505,"Need to Improve",$L$6:$L$505,"&lt;"&amp;$L482)+COUNTIFS($R$6:$R482,"Need to Improve",$L$6:$L482,$L482))</f>
        <v/>
      </c>
      <c r="W482" s="7" t="str">
        <f aca="false">IF($R482&lt;&gt;"Not Performing","",COUNTIFS($R$6:$R$505,"Not Performing",$L$6:$L$505,"&lt;"&amp;$L482)+COUNTIFS($R$6:$R482,"Not Performing",$L$6:$L482,$L482))</f>
        <v/>
      </c>
    </row>
    <row r="483" customFormat="false" ht="15" hidden="false" customHeight="true" outlineLevel="0" collapsed="false">
      <c r="A483" s="26"/>
      <c r="B483" s="26"/>
      <c r="C483" s="26"/>
      <c r="D483" s="27" t="str">
        <f aca="false">IF($C483="","",IFERROR(TRIM(LEFT($C483,FIND("-",$C483)-1)),""))</f>
        <v/>
      </c>
      <c r="E483" s="26"/>
      <c r="F483" s="28"/>
      <c r="G483" s="29"/>
      <c r="H483" s="29"/>
      <c r="I483" s="30" t="str">
        <f aca="false">IF($B483="","",$H483-$G483)</f>
        <v/>
      </c>
      <c r="J483" s="31" t="str">
        <f aca="false">IF(OR($B483="",$G483=0,$G483=""),"",$I483/$G483)</f>
        <v/>
      </c>
      <c r="K483" s="32"/>
      <c r="L483" s="32"/>
      <c r="M483" s="32"/>
      <c r="N483" s="32"/>
      <c r="O483" s="32"/>
      <c r="P483" s="31" t="str">
        <f aca="false">IF(OR($L483="",$N483=""),"",$L483-$N483)</f>
        <v/>
      </c>
      <c r="Q483" s="27" t="str">
        <f aca="false">IF($B483="","",IF(N($H483)&gt;0,"Live","Exited"))</f>
        <v/>
      </c>
      <c r="R483" s="27" t="str">
        <f aca="false">IF($B483="","",IF($L483="","Data Pending",IF($L483&gt;=Instructions!$D$19,"Best Fund",IF($L483&gt;=Instructions!$D$20,"Need to Improve","Not Performing"))))</f>
        <v/>
      </c>
      <c r="S483" s="7" t="str">
        <f aca="false">IF($R483="","",IF($R483="Data Pending","Enter the 3Y return",IF($R483="Best Fund","Hold / consider top-up",IF($R483="Need to Improve","Watch 2 quarters, then decide","Review with client - switch or exit"))))</f>
        <v/>
      </c>
      <c r="T483" s="26"/>
      <c r="U483" s="7" t="str">
        <f aca="false">IF($R483&lt;&gt;"Best Fund","",COUNTIFS($R$6:$R$505,"Best Fund",$L$6:$L$505,"&gt;"&amp;$L483)+COUNTIFS($R$6:$R483,"Best Fund",$L$6:$L483,$L483))</f>
        <v/>
      </c>
      <c r="V483" s="7" t="str">
        <f aca="false">IF($R483&lt;&gt;"Need to Improve","",COUNTIFS($R$6:$R$505,"Need to Improve",$L$6:$L$505,"&lt;"&amp;$L483)+COUNTIFS($R$6:$R483,"Need to Improve",$L$6:$L483,$L483))</f>
        <v/>
      </c>
      <c r="W483" s="7" t="str">
        <f aca="false">IF($R483&lt;&gt;"Not Performing","",COUNTIFS($R$6:$R$505,"Not Performing",$L$6:$L$505,"&lt;"&amp;$L483)+COUNTIFS($R$6:$R483,"Not Performing",$L$6:$L483,$L483))</f>
        <v/>
      </c>
    </row>
    <row r="484" customFormat="false" ht="15" hidden="false" customHeight="true" outlineLevel="0" collapsed="false">
      <c r="A484" s="26"/>
      <c r="B484" s="26"/>
      <c r="C484" s="26"/>
      <c r="D484" s="27" t="str">
        <f aca="false">IF($C484="","",IFERROR(TRIM(LEFT($C484,FIND("-",$C484)-1)),""))</f>
        <v/>
      </c>
      <c r="E484" s="26"/>
      <c r="F484" s="28"/>
      <c r="G484" s="29"/>
      <c r="H484" s="29"/>
      <c r="I484" s="30" t="str">
        <f aca="false">IF($B484="","",$H484-$G484)</f>
        <v/>
      </c>
      <c r="J484" s="31" t="str">
        <f aca="false">IF(OR($B484="",$G484=0,$G484=""),"",$I484/$G484)</f>
        <v/>
      </c>
      <c r="K484" s="32"/>
      <c r="L484" s="32"/>
      <c r="M484" s="32"/>
      <c r="N484" s="32"/>
      <c r="O484" s="32"/>
      <c r="P484" s="31" t="str">
        <f aca="false">IF(OR($L484="",$N484=""),"",$L484-$N484)</f>
        <v/>
      </c>
      <c r="Q484" s="27" t="str">
        <f aca="false">IF($B484="","",IF(N($H484)&gt;0,"Live","Exited"))</f>
        <v/>
      </c>
      <c r="R484" s="27" t="str">
        <f aca="false">IF($B484="","",IF($L484="","Data Pending",IF($L484&gt;=Instructions!$D$19,"Best Fund",IF($L484&gt;=Instructions!$D$20,"Need to Improve","Not Performing"))))</f>
        <v/>
      </c>
      <c r="S484" s="7" t="str">
        <f aca="false">IF($R484="","",IF($R484="Data Pending","Enter the 3Y return",IF($R484="Best Fund","Hold / consider top-up",IF($R484="Need to Improve","Watch 2 quarters, then decide","Review with client - switch or exit"))))</f>
        <v/>
      </c>
      <c r="T484" s="26"/>
      <c r="U484" s="7" t="str">
        <f aca="false">IF($R484&lt;&gt;"Best Fund","",COUNTIFS($R$6:$R$505,"Best Fund",$L$6:$L$505,"&gt;"&amp;$L484)+COUNTIFS($R$6:$R484,"Best Fund",$L$6:$L484,$L484))</f>
        <v/>
      </c>
      <c r="V484" s="7" t="str">
        <f aca="false">IF($R484&lt;&gt;"Need to Improve","",COUNTIFS($R$6:$R$505,"Need to Improve",$L$6:$L$505,"&lt;"&amp;$L484)+COUNTIFS($R$6:$R484,"Need to Improve",$L$6:$L484,$L484))</f>
        <v/>
      </c>
      <c r="W484" s="7" t="str">
        <f aca="false">IF($R484&lt;&gt;"Not Performing","",COUNTIFS($R$6:$R$505,"Not Performing",$L$6:$L$505,"&lt;"&amp;$L484)+COUNTIFS($R$6:$R484,"Not Performing",$L$6:$L484,$L484))</f>
        <v/>
      </c>
    </row>
    <row r="485" customFormat="false" ht="15" hidden="false" customHeight="true" outlineLevel="0" collapsed="false">
      <c r="A485" s="26"/>
      <c r="B485" s="26"/>
      <c r="C485" s="26"/>
      <c r="D485" s="27" t="str">
        <f aca="false">IF($C485="","",IFERROR(TRIM(LEFT($C485,FIND("-",$C485)-1)),""))</f>
        <v/>
      </c>
      <c r="E485" s="26"/>
      <c r="F485" s="28"/>
      <c r="G485" s="29"/>
      <c r="H485" s="29"/>
      <c r="I485" s="30" t="str">
        <f aca="false">IF($B485="","",$H485-$G485)</f>
        <v/>
      </c>
      <c r="J485" s="31" t="str">
        <f aca="false">IF(OR($B485="",$G485=0,$G485=""),"",$I485/$G485)</f>
        <v/>
      </c>
      <c r="K485" s="32"/>
      <c r="L485" s="32"/>
      <c r="M485" s="32"/>
      <c r="N485" s="32"/>
      <c r="O485" s="32"/>
      <c r="P485" s="31" t="str">
        <f aca="false">IF(OR($L485="",$N485=""),"",$L485-$N485)</f>
        <v/>
      </c>
      <c r="Q485" s="27" t="str">
        <f aca="false">IF($B485="","",IF(N($H485)&gt;0,"Live","Exited"))</f>
        <v/>
      </c>
      <c r="R485" s="27" t="str">
        <f aca="false">IF($B485="","",IF($L485="","Data Pending",IF($L485&gt;=Instructions!$D$19,"Best Fund",IF($L485&gt;=Instructions!$D$20,"Need to Improve","Not Performing"))))</f>
        <v/>
      </c>
      <c r="S485" s="7" t="str">
        <f aca="false">IF($R485="","",IF($R485="Data Pending","Enter the 3Y return",IF($R485="Best Fund","Hold / consider top-up",IF($R485="Need to Improve","Watch 2 quarters, then decide","Review with client - switch or exit"))))</f>
        <v/>
      </c>
      <c r="T485" s="26"/>
      <c r="U485" s="7" t="str">
        <f aca="false">IF($R485&lt;&gt;"Best Fund","",COUNTIFS($R$6:$R$505,"Best Fund",$L$6:$L$505,"&gt;"&amp;$L485)+COUNTIFS($R$6:$R485,"Best Fund",$L$6:$L485,$L485))</f>
        <v/>
      </c>
      <c r="V485" s="7" t="str">
        <f aca="false">IF($R485&lt;&gt;"Need to Improve","",COUNTIFS($R$6:$R$505,"Need to Improve",$L$6:$L$505,"&lt;"&amp;$L485)+COUNTIFS($R$6:$R485,"Need to Improve",$L$6:$L485,$L485))</f>
        <v/>
      </c>
      <c r="W485" s="7" t="str">
        <f aca="false">IF($R485&lt;&gt;"Not Performing","",COUNTIFS($R$6:$R$505,"Not Performing",$L$6:$L$505,"&lt;"&amp;$L485)+COUNTIFS($R$6:$R485,"Not Performing",$L$6:$L485,$L485))</f>
        <v/>
      </c>
    </row>
    <row r="486" customFormat="false" ht="15" hidden="false" customHeight="true" outlineLevel="0" collapsed="false">
      <c r="A486" s="26"/>
      <c r="B486" s="26"/>
      <c r="C486" s="26"/>
      <c r="D486" s="27" t="str">
        <f aca="false">IF($C486="","",IFERROR(TRIM(LEFT($C486,FIND("-",$C486)-1)),""))</f>
        <v/>
      </c>
      <c r="E486" s="26"/>
      <c r="F486" s="28"/>
      <c r="G486" s="29"/>
      <c r="H486" s="29"/>
      <c r="I486" s="30" t="str">
        <f aca="false">IF($B486="","",$H486-$G486)</f>
        <v/>
      </c>
      <c r="J486" s="31" t="str">
        <f aca="false">IF(OR($B486="",$G486=0,$G486=""),"",$I486/$G486)</f>
        <v/>
      </c>
      <c r="K486" s="32"/>
      <c r="L486" s="32"/>
      <c r="M486" s="32"/>
      <c r="N486" s="32"/>
      <c r="O486" s="32"/>
      <c r="P486" s="31" t="str">
        <f aca="false">IF(OR($L486="",$N486=""),"",$L486-$N486)</f>
        <v/>
      </c>
      <c r="Q486" s="27" t="str">
        <f aca="false">IF($B486="","",IF(N($H486)&gt;0,"Live","Exited"))</f>
        <v/>
      </c>
      <c r="R486" s="27" t="str">
        <f aca="false">IF($B486="","",IF($L486="","Data Pending",IF($L486&gt;=Instructions!$D$19,"Best Fund",IF($L486&gt;=Instructions!$D$20,"Need to Improve","Not Performing"))))</f>
        <v/>
      </c>
      <c r="S486" s="7" t="str">
        <f aca="false">IF($R486="","",IF($R486="Data Pending","Enter the 3Y return",IF($R486="Best Fund","Hold / consider top-up",IF($R486="Need to Improve","Watch 2 quarters, then decide","Review with client - switch or exit"))))</f>
        <v/>
      </c>
      <c r="T486" s="26"/>
      <c r="U486" s="7" t="str">
        <f aca="false">IF($R486&lt;&gt;"Best Fund","",COUNTIFS($R$6:$R$505,"Best Fund",$L$6:$L$505,"&gt;"&amp;$L486)+COUNTIFS($R$6:$R486,"Best Fund",$L$6:$L486,$L486))</f>
        <v/>
      </c>
      <c r="V486" s="7" t="str">
        <f aca="false">IF($R486&lt;&gt;"Need to Improve","",COUNTIFS($R$6:$R$505,"Need to Improve",$L$6:$L$505,"&lt;"&amp;$L486)+COUNTIFS($R$6:$R486,"Need to Improve",$L$6:$L486,$L486))</f>
        <v/>
      </c>
      <c r="W486" s="7" t="str">
        <f aca="false">IF($R486&lt;&gt;"Not Performing","",COUNTIFS($R$6:$R$505,"Not Performing",$L$6:$L$505,"&lt;"&amp;$L486)+COUNTIFS($R$6:$R486,"Not Performing",$L$6:$L486,$L486))</f>
        <v/>
      </c>
    </row>
    <row r="487" customFormat="false" ht="15" hidden="false" customHeight="true" outlineLevel="0" collapsed="false">
      <c r="A487" s="26"/>
      <c r="B487" s="26"/>
      <c r="C487" s="26"/>
      <c r="D487" s="27" t="str">
        <f aca="false">IF($C487="","",IFERROR(TRIM(LEFT($C487,FIND("-",$C487)-1)),""))</f>
        <v/>
      </c>
      <c r="E487" s="26"/>
      <c r="F487" s="28"/>
      <c r="G487" s="29"/>
      <c r="H487" s="29"/>
      <c r="I487" s="30" t="str">
        <f aca="false">IF($B487="","",$H487-$G487)</f>
        <v/>
      </c>
      <c r="J487" s="31" t="str">
        <f aca="false">IF(OR($B487="",$G487=0,$G487=""),"",$I487/$G487)</f>
        <v/>
      </c>
      <c r="K487" s="32"/>
      <c r="L487" s="32"/>
      <c r="M487" s="32"/>
      <c r="N487" s="32"/>
      <c r="O487" s="32"/>
      <c r="P487" s="31" t="str">
        <f aca="false">IF(OR($L487="",$N487=""),"",$L487-$N487)</f>
        <v/>
      </c>
      <c r="Q487" s="27" t="str">
        <f aca="false">IF($B487="","",IF(N($H487)&gt;0,"Live","Exited"))</f>
        <v/>
      </c>
      <c r="R487" s="27" t="str">
        <f aca="false">IF($B487="","",IF($L487="","Data Pending",IF($L487&gt;=Instructions!$D$19,"Best Fund",IF($L487&gt;=Instructions!$D$20,"Need to Improve","Not Performing"))))</f>
        <v/>
      </c>
      <c r="S487" s="7" t="str">
        <f aca="false">IF($R487="","",IF($R487="Data Pending","Enter the 3Y return",IF($R487="Best Fund","Hold / consider top-up",IF($R487="Need to Improve","Watch 2 quarters, then decide","Review with client - switch or exit"))))</f>
        <v/>
      </c>
      <c r="T487" s="26"/>
      <c r="U487" s="7" t="str">
        <f aca="false">IF($R487&lt;&gt;"Best Fund","",COUNTIFS($R$6:$R$505,"Best Fund",$L$6:$L$505,"&gt;"&amp;$L487)+COUNTIFS($R$6:$R487,"Best Fund",$L$6:$L487,$L487))</f>
        <v/>
      </c>
      <c r="V487" s="7" t="str">
        <f aca="false">IF($R487&lt;&gt;"Need to Improve","",COUNTIFS($R$6:$R$505,"Need to Improve",$L$6:$L$505,"&lt;"&amp;$L487)+COUNTIFS($R$6:$R487,"Need to Improve",$L$6:$L487,$L487))</f>
        <v/>
      </c>
      <c r="W487" s="7" t="str">
        <f aca="false">IF($R487&lt;&gt;"Not Performing","",COUNTIFS($R$6:$R$505,"Not Performing",$L$6:$L$505,"&lt;"&amp;$L487)+COUNTIFS($R$6:$R487,"Not Performing",$L$6:$L487,$L487))</f>
        <v/>
      </c>
    </row>
    <row r="488" customFormat="false" ht="15" hidden="false" customHeight="true" outlineLevel="0" collapsed="false">
      <c r="A488" s="26"/>
      <c r="B488" s="26"/>
      <c r="C488" s="26"/>
      <c r="D488" s="27" t="str">
        <f aca="false">IF($C488="","",IFERROR(TRIM(LEFT($C488,FIND("-",$C488)-1)),""))</f>
        <v/>
      </c>
      <c r="E488" s="26"/>
      <c r="F488" s="28"/>
      <c r="G488" s="29"/>
      <c r="H488" s="29"/>
      <c r="I488" s="30" t="str">
        <f aca="false">IF($B488="","",$H488-$G488)</f>
        <v/>
      </c>
      <c r="J488" s="31" t="str">
        <f aca="false">IF(OR($B488="",$G488=0,$G488=""),"",$I488/$G488)</f>
        <v/>
      </c>
      <c r="K488" s="32"/>
      <c r="L488" s="32"/>
      <c r="M488" s="32"/>
      <c r="N488" s="32"/>
      <c r="O488" s="32"/>
      <c r="P488" s="31" t="str">
        <f aca="false">IF(OR($L488="",$N488=""),"",$L488-$N488)</f>
        <v/>
      </c>
      <c r="Q488" s="27" t="str">
        <f aca="false">IF($B488="","",IF(N($H488)&gt;0,"Live","Exited"))</f>
        <v/>
      </c>
      <c r="R488" s="27" t="str">
        <f aca="false">IF($B488="","",IF($L488="","Data Pending",IF($L488&gt;=Instructions!$D$19,"Best Fund",IF($L488&gt;=Instructions!$D$20,"Need to Improve","Not Performing"))))</f>
        <v/>
      </c>
      <c r="S488" s="7" t="str">
        <f aca="false">IF($R488="","",IF($R488="Data Pending","Enter the 3Y return",IF($R488="Best Fund","Hold / consider top-up",IF($R488="Need to Improve","Watch 2 quarters, then decide","Review with client - switch or exit"))))</f>
        <v/>
      </c>
      <c r="T488" s="26"/>
      <c r="U488" s="7" t="str">
        <f aca="false">IF($R488&lt;&gt;"Best Fund","",COUNTIFS($R$6:$R$505,"Best Fund",$L$6:$L$505,"&gt;"&amp;$L488)+COUNTIFS($R$6:$R488,"Best Fund",$L$6:$L488,$L488))</f>
        <v/>
      </c>
      <c r="V488" s="7" t="str">
        <f aca="false">IF($R488&lt;&gt;"Need to Improve","",COUNTIFS($R$6:$R$505,"Need to Improve",$L$6:$L$505,"&lt;"&amp;$L488)+COUNTIFS($R$6:$R488,"Need to Improve",$L$6:$L488,$L488))</f>
        <v/>
      </c>
      <c r="W488" s="7" t="str">
        <f aca="false">IF($R488&lt;&gt;"Not Performing","",COUNTIFS($R$6:$R$505,"Not Performing",$L$6:$L$505,"&lt;"&amp;$L488)+COUNTIFS($R$6:$R488,"Not Performing",$L$6:$L488,$L488))</f>
        <v/>
      </c>
    </row>
    <row r="489" customFormat="false" ht="15" hidden="false" customHeight="true" outlineLevel="0" collapsed="false">
      <c r="A489" s="26"/>
      <c r="B489" s="26"/>
      <c r="C489" s="26"/>
      <c r="D489" s="27" t="str">
        <f aca="false">IF($C489="","",IFERROR(TRIM(LEFT($C489,FIND("-",$C489)-1)),""))</f>
        <v/>
      </c>
      <c r="E489" s="26"/>
      <c r="F489" s="28"/>
      <c r="G489" s="29"/>
      <c r="H489" s="29"/>
      <c r="I489" s="30" t="str">
        <f aca="false">IF($B489="","",$H489-$G489)</f>
        <v/>
      </c>
      <c r="J489" s="31" t="str">
        <f aca="false">IF(OR($B489="",$G489=0,$G489=""),"",$I489/$G489)</f>
        <v/>
      </c>
      <c r="K489" s="32"/>
      <c r="L489" s="32"/>
      <c r="M489" s="32"/>
      <c r="N489" s="32"/>
      <c r="O489" s="32"/>
      <c r="P489" s="31" t="str">
        <f aca="false">IF(OR($L489="",$N489=""),"",$L489-$N489)</f>
        <v/>
      </c>
      <c r="Q489" s="27" t="str">
        <f aca="false">IF($B489="","",IF(N($H489)&gt;0,"Live","Exited"))</f>
        <v/>
      </c>
      <c r="R489" s="27" t="str">
        <f aca="false">IF($B489="","",IF($L489="","Data Pending",IF($L489&gt;=Instructions!$D$19,"Best Fund",IF($L489&gt;=Instructions!$D$20,"Need to Improve","Not Performing"))))</f>
        <v/>
      </c>
      <c r="S489" s="7" t="str">
        <f aca="false">IF($R489="","",IF($R489="Data Pending","Enter the 3Y return",IF($R489="Best Fund","Hold / consider top-up",IF($R489="Need to Improve","Watch 2 quarters, then decide","Review with client - switch or exit"))))</f>
        <v/>
      </c>
      <c r="T489" s="26"/>
      <c r="U489" s="7" t="str">
        <f aca="false">IF($R489&lt;&gt;"Best Fund","",COUNTIFS($R$6:$R$505,"Best Fund",$L$6:$L$505,"&gt;"&amp;$L489)+COUNTIFS($R$6:$R489,"Best Fund",$L$6:$L489,$L489))</f>
        <v/>
      </c>
      <c r="V489" s="7" t="str">
        <f aca="false">IF($R489&lt;&gt;"Need to Improve","",COUNTIFS($R$6:$R$505,"Need to Improve",$L$6:$L$505,"&lt;"&amp;$L489)+COUNTIFS($R$6:$R489,"Need to Improve",$L$6:$L489,$L489))</f>
        <v/>
      </c>
      <c r="W489" s="7" t="str">
        <f aca="false">IF($R489&lt;&gt;"Not Performing","",COUNTIFS($R$6:$R$505,"Not Performing",$L$6:$L$505,"&lt;"&amp;$L489)+COUNTIFS($R$6:$R489,"Not Performing",$L$6:$L489,$L489))</f>
        <v/>
      </c>
    </row>
    <row r="490" customFormat="false" ht="15" hidden="false" customHeight="true" outlineLevel="0" collapsed="false">
      <c r="A490" s="26"/>
      <c r="B490" s="26"/>
      <c r="C490" s="26"/>
      <c r="D490" s="27" t="str">
        <f aca="false">IF($C490="","",IFERROR(TRIM(LEFT($C490,FIND("-",$C490)-1)),""))</f>
        <v/>
      </c>
      <c r="E490" s="26"/>
      <c r="F490" s="28"/>
      <c r="G490" s="29"/>
      <c r="H490" s="29"/>
      <c r="I490" s="30" t="str">
        <f aca="false">IF($B490="","",$H490-$G490)</f>
        <v/>
      </c>
      <c r="J490" s="31" t="str">
        <f aca="false">IF(OR($B490="",$G490=0,$G490=""),"",$I490/$G490)</f>
        <v/>
      </c>
      <c r="K490" s="32"/>
      <c r="L490" s="32"/>
      <c r="M490" s="32"/>
      <c r="N490" s="32"/>
      <c r="O490" s="32"/>
      <c r="P490" s="31" t="str">
        <f aca="false">IF(OR($L490="",$N490=""),"",$L490-$N490)</f>
        <v/>
      </c>
      <c r="Q490" s="27" t="str">
        <f aca="false">IF($B490="","",IF(N($H490)&gt;0,"Live","Exited"))</f>
        <v/>
      </c>
      <c r="R490" s="27" t="str">
        <f aca="false">IF($B490="","",IF($L490="","Data Pending",IF($L490&gt;=Instructions!$D$19,"Best Fund",IF($L490&gt;=Instructions!$D$20,"Need to Improve","Not Performing"))))</f>
        <v/>
      </c>
      <c r="S490" s="7" t="str">
        <f aca="false">IF($R490="","",IF($R490="Data Pending","Enter the 3Y return",IF($R490="Best Fund","Hold / consider top-up",IF($R490="Need to Improve","Watch 2 quarters, then decide","Review with client - switch or exit"))))</f>
        <v/>
      </c>
      <c r="T490" s="26"/>
      <c r="U490" s="7" t="str">
        <f aca="false">IF($R490&lt;&gt;"Best Fund","",COUNTIFS($R$6:$R$505,"Best Fund",$L$6:$L$505,"&gt;"&amp;$L490)+COUNTIFS($R$6:$R490,"Best Fund",$L$6:$L490,$L490))</f>
        <v/>
      </c>
      <c r="V490" s="7" t="str">
        <f aca="false">IF($R490&lt;&gt;"Need to Improve","",COUNTIFS($R$6:$R$505,"Need to Improve",$L$6:$L$505,"&lt;"&amp;$L490)+COUNTIFS($R$6:$R490,"Need to Improve",$L$6:$L490,$L490))</f>
        <v/>
      </c>
      <c r="W490" s="7" t="str">
        <f aca="false">IF($R490&lt;&gt;"Not Performing","",COUNTIFS($R$6:$R$505,"Not Performing",$L$6:$L$505,"&lt;"&amp;$L490)+COUNTIFS($R$6:$R490,"Not Performing",$L$6:$L490,$L490))</f>
        <v/>
      </c>
    </row>
    <row r="491" customFormat="false" ht="15" hidden="false" customHeight="true" outlineLevel="0" collapsed="false">
      <c r="A491" s="26"/>
      <c r="B491" s="26"/>
      <c r="C491" s="26"/>
      <c r="D491" s="27" t="str">
        <f aca="false">IF($C491="","",IFERROR(TRIM(LEFT($C491,FIND("-",$C491)-1)),""))</f>
        <v/>
      </c>
      <c r="E491" s="26"/>
      <c r="F491" s="28"/>
      <c r="G491" s="29"/>
      <c r="H491" s="29"/>
      <c r="I491" s="30" t="str">
        <f aca="false">IF($B491="","",$H491-$G491)</f>
        <v/>
      </c>
      <c r="J491" s="31" t="str">
        <f aca="false">IF(OR($B491="",$G491=0,$G491=""),"",$I491/$G491)</f>
        <v/>
      </c>
      <c r="K491" s="32"/>
      <c r="L491" s="32"/>
      <c r="M491" s="32"/>
      <c r="N491" s="32"/>
      <c r="O491" s="32"/>
      <c r="P491" s="31" t="str">
        <f aca="false">IF(OR($L491="",$N491=""),"",$L491-$N491)</f>
        <v/>
      </c>
      <c r="Q491" s="27" t="str">
        <f aca="false">IF($B491="","",IF(N($H491)&gt;0,"Live","Exited"))</f>
        <v/>
      </c>
      <c r="R491" s="27" t="str">
        <f aca="false">IF($B491="","",IF($L491="","Data Pending",IF($L491&gt;=Instructions!$D$19,"Best Fund",IF($L491&gt;=Instructions!$D$20,"Need to Improve","Not Performing"))))</f>
        <v/>
      </c>
      <c r="S491" s="7" t="str">
        <f aca="false">IF($R491="","",IF($R491="Data Pending","Enter the 3Y return",IF($R491="Best Fund","Hold / consider top-up",IF($R491="Need to Improve","Watch 2 quarters, then decide","Review with client - switch or exit"))))</f>
        <v/>
      </c>
      <c r="T491" s="26"/>
      <c r="U491" s="7" t="str">
        <f aca="false">IF($R491&lt;&gt;"Best Fund","",COUNTIFS($R$6:$R$505,"Best Fund",$L$6:$L$505,"&gt;"&amp;$L491)+COUNTIFS($R$6:$R491,"Best Fund",$L$6:$L491,$L491))</f>
        <v/>
      </c>
      <c r="V491" s="7" t="str">
        <f aca="false">IF($R491&lt;&gt;"Need to Improve","",COUNTIFS($R$6:$R$505,"Need to Improve",$L$6:$L$505,"&lt;"&amp;$L491)+COUNTIFS($R$6:$R491,"Need to Improve",$L$6:$L491,$L491))</f>
        <v/>
      </c>
      <c r="W491" s="7" t="str">
        <f aca="false">IF($R491&lt;&gt;"Not Performing","",COUNTIFS($R$6:$R$505,"Not Performing",$L$6:$L$505,"&lt;"&amp;$L491)+COUNTIFS($R$6:$R491,"Not Performing",$L$6:$L491,$L491))</f>
        <v/>
      </c>
    </row>
    <row r="492" customFormat="false" ht="15" hidden="false" customHeight="true" outlineLevel="0" collapsed="false">
      <c r="A492" s="26"/>
      <c r="B492" s="26"/>
      <c r="C492" s="26"/>
      <c r="D492" s="27" t="str">
        <f aca="false">IF($C492="","",IFERROR(TRIM(LEFT($C492,FIND("-",$C492)-1)),""))</f>
        <v/>
      </c>
      <c r="E492" s="26"/>
      <c r="F492" s="28"/>
      <c r="G492" s="29"/>
      <c r="H492" s="29"/>
      <c r="I492" s="30" t="str">
        <f aca="false">IF($B492="","",$H492-$G492)</f>
        <v/>
      </c>
      <c r="J492" s="31" t="str">
        <f aca="false">IF(OR($B492="",$G492=0,$G492=""),"",$I492/$G492)</f>
        <v/>
      </c>
      <c r="K492" s="32"/>
      <c r="L492" s="32"/>
      <c r="M492" s="32"/>
      <c r="N492" s="32"/>
      <c r="O492" s="32"/>
      <c r="P492" s="31" t="str">
        <f aca="false">IF(OR($L492="",$N492=""),"",$L492-$N492)</f>
        <v/>
      </c>
      <c r="Q492" s="27" t="str">
        <f aca="false">IF($B492="","",IF(N($H492)&gt;0,"Live","Exited"))</f>
        <v/>
      </c>
      <c r="R492" s="27" t="str">
        <f aca="false">IF($B492="","",IF($L492="","Data Pending",IF($L492&gt;=Instructions!$D$19,"Best Fund",IF($L492&gt;=Instructions!$D$20,"Need to Improve","Not Performing"))))</f>
        <v/>
      </c>
      <c r="S492" s="7" t="str">
        <f aca="false">IF($R492="","",IF($R492="Data Pending","Enter the 3Y return",IF($R492="Best Fund","Hold / consider top-up",IF($R492="Need to Improve","Watch 2 quarters, then decide","Review with client - switch or exit"))))</f>
        <v/>
      </c>
      <c r="T492" s="26"/>
      <c r="U492" s="7" t="str">
        <f aca="false">IF($R492&lt;&gt;"Best Fund","",COUNTIFS($R$6:$R$505,"Best Fund",$L$6:$L$505,"&gt;"&amp;$L492)+COUNTIFS($R$6:$R492,"Best Fund",$L$6:$L492,$L492))</f>
        <v/>
      </c>
      <c r="V492" s="7" t="str">
        <f aca="false">IF($R492&lt;&gt;"Need to Improve","",COUNTIFS($R$6:$R$505,"Need to Improve",$L$6:$L$505,"&lt;"&amp;$L492)+COUNTIFS($R$6:$R492,"Need to Improve",$L$6:$L492,$L492))</f>
        <v/>
      </c>
      <c r="W492" s="7" t="str">
        <f aca="false">IF($R492&lt;&gt;"Not Performing","",COUNTIFS($R$6:$R$505,"Not Performing",$L$6:$L$505,"&lt;"&amp;$L492)+COUNTIFS($R$6:$R492,"Not Performing",$L$6:$L492,$L492))</f>
        <v/>
      </c>
    </row>
    <row r="493" customFormat="false" ht="15" hidden="false" customHeight="true" outlineLevel="0" collapsed="false">
      <c r="A493" s="26"/>
      <c r="B493" s="26"/>
      <c r="C493" s="26"/>
      <c r="D493" s="27" t="str">
        <f aca="false">IF($C493="","",IFERROR(TRIM(LEFT($C493,FIND("-",$C493)-1)),""))</f>
        <v/>
      </c>
      <c r="E493" s="26"/>
      <c r="F493" s="28"/>
      <c r="G493" s="29"/>
      <c r="H493" s="29"/>
      <c r="I493" s="30" t="str">
        <f aca="false">IF($B493="","",$H493-$G493)</f>
        <v/>
      </c>
      <c r="J493" s="31" t="str">
        <f aca="false">IF(OR($B493="",$G493=0,$G493=""),"",$I493/$G493)</f>
        <v/>
      </c>
      <c r="K493" s="32"/>
      <c r="L493" s="32"/>
      <c r="M493" s="32"/>
      <c r="N493" s="32"/>
      <c r="O493" s="32"/>
      <c r="P493" s="31" t="str">
        <f aca="false">IF(OR($L493="",$N493=""),"",$L493-$N493)</f>
        <v/>
      </c>
      <c r="Q493" s="27" t="str">
        <f aca="false">IF($B493="","",IF(N($H493)&gt;0,"Live","Exited"))</f>
        <v/>
      </c>
      <c r="R493" s="27" t="str">
        <f aca="false">IF($B493="","",IF($L493="","Data Pending",IF($L493&gt;=Instructions!$D$19,"Best Fund",IF($L493&gt;=Instructions!$D$20,"Need to Improve","Not Performing"))))</f>
        <v/>
      </c>
      <c r="S493" s="7" t="str">
        <f aca="false">IF($R493="","",IF($R493="Data Pending","Enter the 3Y return",IF($R493="Best Fund","Hold / consider top-up",IF($R493="Need to Improve","Watch 2 quarters, then decide","Review with client - switch or exit"))))</f>
        <v/>
      </c>
      <c r="T493" s="26"/>
      <c r="U493" s="7" t="str">
        <f aca="false">IF($R493&lt;&gt;"Best Fund","",COUNTIFS($R$6:$R$505,"Best Fund",$L$6:$L$505,"&gt;"&amp;$L493)+COUNTIFS($R$6:$R493,"Best Fund",$L$6:$L493,$L493))</f>
        <v/>
      </c>
      <c r="V493" s="7" t="str">
        <f aca="false">IF($R493&lt;&gt;"Need to Improve","",COUNTIFS($R$6:$R$505,"Need to Improve",$L$6:$L$505,"&lt;"&amp;$L493)+COUNTIFS($R$6:$R493,"Need to Improve",$L$6:$L493,$L493))</f>
        <v/>
      </c>
      <c r="W493" s="7" t="str">
        <f aca="false">IF($R493&lt;&gt;"Not Performing","",COUNTIFS($R$6:$R$505,"Not Performing",$L$6:$L$505,"&lt;"&amp;$L493)+COUNTIFS($R$6:$R493,"Not Performing",$L$6:$L493,$L493))</f>
        <v/>
      </c>
    </row>
    <row r="494" customFormat="false" ht="15" hidden="false" customHeight="true" outlineLevel="0" collapsed="false">
      <c r="A494" s="26"/>
      <c r="B494" s="26"/>
      <c r="C494" s="26"/>
      <c r="D494" s="27" t="str">
        <f aca="false">IF($C494="","",IFERROR(TRIM(LEFT($C494,FIND("-",$C494)-1)),""))</f>
        <v/>
      </c>
      <c r="E494" s="26"/>
      <c r="F494" s="28"/>
      <c r="G494" s="29"/>
      <c r="H494" s="29"/>
      <c r="I494" s="30" t="str">
        <f aca="false">IF($B494="","",$H494-$G494)</f>
        <v/>
      </c>
      <c r="J494" s="31" t="str">
        <f aca="false">IF(OR($B494="",$G494=0,$G494=""),"",$I494/$G494)</f>
        <v/>
      </c>
      <c r="K494" s="32"/>
      <c r="L494" s="32"/>
      <c r="M494" s="32"/>
      <c r="N494" s="32"/>
      <c r="O494" s="32"/>
      <c r="P494" s="31" t="str">
        <f aca="false">IF(OR($L494="",$N494=""),"",$L494-$N494)</f>
        <v/>
      </c>
      <c r="Q494" s="27" t="str">
        <f aca="false">IF($B494="","",IF(N($H494)&gt;0,"Live","Exited"))</f>
        <v/>
      </c>
      <c r="R494" s="27" t="str">
        <f aca="false">IF($B494="","",IF($L494="","Data Pending",IF($L494&gt;=Instructions!$D$19,"Best Fund",IF($L494&gt;=Instructions!$D$20,"Need to Improve","Not Performing"))))</f>
        <v/>
      </c>
      <c r="S494" s="7" t="str">
        <f aca="false">IF($R494="","",IF($R494="Data Pending","Enter the 3Y return",IF($R494="Best Fund","Hold / consider top-up",IF($R494="Need to Improve","Watch 2 quarters, then decide","Review with client - switch or exit"))))</f>
        <v/>
      </c>
      <c r="T494" s="26"/>
      <c r="U494" s="7" t="str">
        <f aca="false">IF($R494&lt;&gt;"Best Fund","",COUNTIFS($R$6:$R$505,"Best Fund",$L$6:$L$505,"&gt;"&amp;$L494)+COUNTIFS($R$6:$R494,"Best Fund",$L$6:$L494,$L494))</f>
        <v/>
      </c>
      <c r="V494" s="7" t="str">
        <f aca="false">IF($R494&lt;&gt;"Need to Improve","",COUNTIFS($R$6:$R$505,"Need to Improve",$L$6:$L$505,"&lt;"&amp;$L494)+COUNTIFS($R$6:$R494,"Need to Improve",$L$6:$L494,$L494))</f>
        <v/>
      </c>
      <c r="W494" s="7" t="str">
        <f aca="false">IF($R494&lt;&gt;"Not Performing","",COUNTIFS($R$6:$R$505,"Not Performing",$L$6:$L$505,"&lt;"&amp;$L494)+COUNTIFS($R$6:$R494,"Not Performing",$L$6:$L494,$L494))</f>
        <v/>
      </c>
    </row>
    <row r="495" customFormat="false" ht="15" hidden="false" customHeight="true" outlineLevel="0" collapsed="false">
      <c r="A495" s="26"/>
      <c r="B495" s="26"/>
      <c r="C495" s="26"/>
      <c r="D495" s="27" t="str">
        <f aca="false">IF($C495="","",IFERROR(TRIM(LEFT($C495,FIND("-",$C495)-1)),""))</f>
        <v/>
      </c>
      <c r="E495" s="26"/>
      <c r="F495" s="28"/>
      <c r="G495" s="29"/>
      <c r="H495" s="29"/>
      <c r="I495" s="30" t="str">
        <f aca="false">IF($B495="","",$H495-$G495)</f>
        <v/>
      </c>
      <c r="J495" s="31" t="str">
        <f aca="false">IF(OR($B495="",$G495=0,$G495=""),"",$I495/$G495)</f>
        <v/>
      </c>
      <c r="K495" s="32"/>
      <c r="L495" s="32"/>
      <c r="M495" s="32"/>
      <c r="N495" s="32"/>
      <c r="O495" s="32"/>
      <c r="P495" s="31" t="str">
        <f aca="false">IF(OR($L495="",$N495=""),"",$L495-$N495)</f>
        <v/>
      </c>
      <c r="Q495" s="27" t="str">
        <f aca="false">IF($B495="","",IF(N($H495)&gt;0,"Live","Exited"))</f>
        <v/>
      </c>
      <c r="R495" s="27" t="str">
        <f aca="false">IF($B495="","",IF($L495="","Data Pending",IF($L495&gt;=Instructions!$D$19,"Best Fund",IF($L495&gt;=Instructions!$D$20,"Need to Improve","Not Performing"))))</f>
        <v/>
      </c>
      <c r="S495" s="7" t="str">
        <f aca="false">IF($R495="","",IF($R495="Data Pending","Enter the 3Y return",IF($R495="Best Fund","Hold / consider top-up",IF($R495="Need to Improve","Watch 2 quarters, then decide","Review with client - switch or exit"))))</f>
        <v/>
      </c>
      <c r="T495" s="26"/>
      <c r="U495" s="7" t="str">
        <f aca="false">IF($R495&lt;&gt;"Best Fund","",COUNTIFS($R$6:$R$505,"Best Fund",$L$6:$L$505,"&gt;"&amp;$L495)+COUNTIFS($R$6:$R495,"Best Fund",$L$6:$L495,$L495))</f>
        <v/>
      </c>
      <c r="V495" s="7" t="str">
        <f aca="false">IF($R495&lt;&gt;"Need to Improve","",COUNTIFS($R$6:$R$505,"Need to Improve",$L$6:$L$505,"&lt;"&amp;$L495)+COUNTIFS($R$6:$R495,"Need to Improve",$L$6:$L495,$L495))</f>
        <v/>
      </c>
      <c r="W495" s="7" t="str">
        <f aca="false">IF($R495&lt;&gt;"Not Performing","",COUNTIFS($R$6:$R$505,"Not Performing",$L$6:$L$505,"&lt;"&amp;$L495)+COUNTIFS($R$6:$R495,"Not Performing",$L$6:$L495,$L495))</f>
        <v/>
      </c>
    </row>
    <row r="496" customFormat="false" ht="15" hidden="false" customHeight="true" outlineLevel="0" collapsed="false">
      <c r="A496" s="26"/>
      <c r="B496" s="26"/>
      <c r="C496" s="26"/>
      <c r="D496" s="27" t="str">
        <f aca="false">IF($C496="","",IFERROR(TRIM(LEFT($C496,FIND("-",$C496)-1)),""))</f>
        <v/>
      </c>
      <c r="E496" s="26"/>
      <c r="F496" s="28"/>
      <c r="G496" s="29"/>
      <c r="H496" s="29"/>
      <c r="I496" s="30" t="str">
        <f aca="false">IF($B496="","",$H496-$G496)</f>
        <v/>
      </c>
      <c r="J496" s="31" t="str">
        <f aca="false">IF(OR($B496="",$G496=0,$G496=""),"",$I496/$G496)</f>
        <v/>
      </c>
      <c r="K496" s="32"/>
      <c r="L496" s="32"/>
      <c r="M496" s="32"/>
      <c r="N496" s="32"/>
      <c r="O496" s="32"/>
      <c r="P496" s="31" t="str">
        <f aca="false">IF(OR($L496="",$N496=""),"",$L496-$N496)</f>
        <v/>
      </c>
      <c r="Q496" s="27" t="str">
        <f aca="false">IF($B496="","",IF(N($H496)&gt;0,"Live","Exited"))</f>
        <v/>
      </c>
      <c r="R496" s="27" t="str">
        <f aca="false">IF($B496="","",IF($L496="","Data Pending",IF($L496&gt;=Instructions!$D$19,"Best Fund",IF($L496&gt;=Instructions!$D$20,"Need to Improve","Not Performing"))))</f>
        <v/>
      </c>
      <c r="S496" s="7" t="str">
        <f aca="false">IF($R496="","",IF($R496="Data Pending","Enter the 3Y return",IF($R496="Best Fund","Hold / consider top-up",IF($R496="Need to Improve","Watch 2 quarters, then decide","Review with client - switch or exit"))))</f>
        <v/>
      </c>
      <c r="T496" s="26"/>
      <c r="U496" s="7" t="str">
        <f aca="false">IF($R496&lt;&gt;"Best Fund","",COUNTIFS($R$6:$R$505,"Best Fund",$L$6:$L$505,"&gt;"&amp;$L496)+COUNTIFS($R$6:$R496,"Best Fund",$L$6:$L496,$L496))</f>
        <v/>
      </c>
      <c r="V496" s="7" t="str">
        <f aca="false">IF($R496&lt;&gt;"Need to Improve","",COUNTIFS($R$6:$R$505,"Need to Improve",$L$6:$L$505,"&lt;"&amp;$L496)+COUNTIFS($R$6:$R496,"Need to Improve",$L$6:$L496,$L496))</f>
        <v/>
      </c>
      <c r="W496" s="7" t="str">
        <f aca="false">IF($R496&lt;&gt;"Not Performing","",COUNTIFS($R$6:$R$505,"Not Performing",$L$6:$L$505,"&lt;"&amp;$L496)+COUNTIFS($R$6:$R496,"Not Performing",$L$6:$L496,$L496))</f>
        <v/>
      </c>
    </row>
    <row r="497" customFormat="false" ht="15" hidden="false" customHeight="true" outlineLevel="0" collapsed="false">
      <c r="A497" s="26"/>
      <c r="B497" s="26"/>
      <c r="C497" s="26"/>
      <c r="D497" s="27" t="str">
        <f aca="false">IF($C497="","",IFERROR(TRIM(LEFT($C497,FIND("-",$C497)-1)),""))</f>
        <v/>
      </c>
      <c r="E497" s="26"/>
      <c r="F497" s="28"/>
      <c r="G497" s="29"/>
      <c r="H497" s="29"/>
      <c r="I497" s="30" t="str">
        <f aca="false">IF($B497="","",$H497-$G497)</f>
        <v/>
      </c>
      <c r="J497" s="31" t="str">
        <f aca="false">IF(OR($B497="",$G497=0,$G497=""),"",$I497/$G497)</f>
        <v/>
      </c>
      <c r="K497" s="32"/>
      <c r="L497" s="32"/>
      <c r="M497" s="32"/>
      <c r="N497" s="32"/>
      <c r="O497" s="32"/>
      <c r="P497" s="31" t="str">
        <f aca="false">IF(OR($L497="",$N497=""),"",$L497-$N497)</f>
        <v/>
      </c>
      <c r="Q497" s="27" t="str">
        <f aca="false">IF($B497="","",IF(N($H497)&gt;0,"Live","Exited"))</f>
        <v/>
      </c>
      <c r="R497" s="27" t="str">
        <f aca="false">IF($B497="","",IF($L497="","Data Pending",IF($L497&gt;=Instructions!$D$19,"Best Fund",IF($L497&gt;=Instructions!$D$20,"Need to Improve","Not Performing"))))</f>
        <v/>
      </c>
      <c r="S497" s="7" t="str">
        <f aca="false">IF($R497="","",IF($R497="Data Pending","Enter the 3Y return",IF($R497="Best Fund","Hold / consider top-up",IF($R497="Need to Improve","Watch 2 quarters, then decide","Review with client - switch or exit"))))</f>
        <v/>
      </c>
      <c r="T497" s="26"/>
      <c r="U497" s="7" t="str">
        <f aca="false">IF($R497&lt;&gt;"Best Fund","",COUNTIFS($R$6:$R$505,"Best Fund",$L$6:$L$505,"&gt;"&amp;$L497)+COUNTIFS($R$6:$R497,"Best Fund",$L$6:$L497,$L497))</f>
        <v/>
      </c>
      <c r="V497" s="7" t="str">
        <f aca="false">IF($R497&lt;&gt;"Need to Improve","",COUNTIFS($R$6:$R$505,"Need to Improve",$L$6:$L$505,"&lt;"&amp;$L497)+COUNTIFS($R$6:$R497,"Need to Improve",$L$6:$L497,$L497))</f>
        <v/>
      </c>
      <c r="W497" s="7" t="str">
        <f aca="false">IF($R497&lt;&gt;"Not Performing","",COUNTIFS($R$6:$R$505,"Not Performing",$L$6:$L$505,"&lt;"&amp;$L497)+COUNTIFS($R$6:$R497,"Not Performing",$L$6:$L497,$L497))</f>
        <v/>
      </c>
    </row>
    <row r="498" customFormat="false" ht="15" hidden="false" customHeight="true" outlineLevel="0" collapsed="false">
      <c r="A498" s="26"/>
      <c r="B498" s="26"/>
      <c r="C498" s="26"/>
      <c r="D498" s="27" t="str">
        <f aca="false">IF($C498="","",IFERROR(TRIM(LEFT($C498,FIND("-",$C498)-1)),""))</f>
        <v/>
      </c>
      <c r="E498" s="26"/>
      <c r="F498" s="28"/>
      <c r="G498" s="29"/>
      <c r="H498" s="29"/>
      <c r="I498" s="30" t="str">
        <f aca="false">IF($B498="","",$H498-$G498)</f>
        <v/>
      </c>
      <c r="J498" s="31" t="str">
        <f aca="false">IF(OR($B498="",$G498=0,$G498=""),"",$I498/$G498)</f>
        <v/>
      </c>
      <c r="K498" s="32"/>
      <c r="L498" s="32"/>
      <c r="M498" s="32"/>
      <c r="N498" s="32"/>
      <c r="O498" s="32"/>
      <c r="P498" s="31" t="str">
        <f aca="false">IF(OR($L498="",$N498=""),"",$L498-$N498)</f>
        <v/>
      </c>
      <c r="Q498" s="27" t="str">
        <f aca="false">IF($B498="","",IF(N($H498)&gt;0,"Live","Exited"))</f>
        <v/>
      </c>
      <c r="R498" s="27" t="str">
        <f aca="false">IF($B498="","",IF($L498="","Data Pending",IF($L498&gt;=Instructions!$D$19,"Best Fund",IF($L498&gt;=Instructions!$D$20,"Need to Improve","Not Performing"))))</f>
        <v/>
      </c>
      <c r="S498" s="7" t="str">
        <f aca="false">IF($R498="","",IF($R498="Data Pending","Enter the 3Y return",IF($R498="Best Fund","Hold / consider top-up",IF($R498="Need to Improve","Watch 2 quarters, then decide","Review with client - switch or exit"))))</f>
        <v/>
      </c>
      <c r="T498" s="26"/>
      <c r="U498" s="7" t="str">
        <f aca="false">IF($R498&lt;&gt;"Best Fund","",COUNTIFS($R$6:$R$505,"Best Fund",$L$6:$L$505,"&gt;"&amp;$L498)+COUNTIFS($R$6:$R498,"Best Fund",$L$6:$L498,$L498))</f>
        <v/>
      </c>
      <c r="V498" s="7" t="str">
        <f aca="false">IF($R498&lt;&gt;"Need to Improve","",COUNTIFS($R$6:$R$505,"Need to Improve",$L$6:$L$505,"&lt;"&amp;$L498)+COUNTIFS($R$6:$R498,"Need to Improve",$L$6:$L498,$L498))</f>
        <v/>
      </c>
      <c r="W498" s="7" t="str">
        <f aca="false">IF($R498&lt;&gt;"Not Performing","",COUNTIFS($R$6:$R$505,"Not Performing",$L$6:$L$505,"&lt;"&amp;$L498)+COUNTIFS($R$6:$R498,"Not Performing",$L$6:$L498,$L498))</f>
        <v/>
      </c>
    </row>
    <row r="499" customFormat="false" ht="15" hidden="false" customHeight="true" outlineLevel="0" collapsed="false">
      <c r="A499" s="26"/>
      <c r="B499" s="26"/>
      <c r="C499" s="26"/>
      <c r="D499" s="27" t="str">
        <f aca="false">IF($C499="","",IFERROR(TRIM(LEFT($C499,FIND("-",$C499)-1)),""))</f>
        <v/>
      </c>
      <c r="E499" s="26"/>
      <c r="F499" s="28"/>
      <c r="G499" s="29"/>
      <c r="H499" s="29"/>
      <c r="I499" s="30" t="str">
        <f aca="false">IF($B499="","",$H499-$G499)</f>
        <v/>
      </c>
      <c r="J499" s="31" t="str">
        <f aca="false">IF(OR($B499="",$G499=0,$G499=""),"",$I499/$G499)</f>
        <v/>
      </c>
      <c r="K499" s="32"/>
      <c r="L499" s="32"/>
      <c r="M499" s="32"/>
      <c r="N499" s="32"/>
      <c r="O499" s="32"/>
      <c r="P499" s="31" t="str">
        <f aca="false">IF(OR($L499="",$N499=""),"",$L499-$N499)</f>
        <v/>
      </c>
      <c r="Q499" s="27" t="str">
        <f aca="false">IF($B499="","",IF(N($H499)&gt;0,"Live","Exited"))</f>
        <v/>
      </c>
      <c r="R499" s="27" t="str">
        <f aca="false">IF($B499="","",IF($L499="","Data Pending",IF($L499&gt;=Instructions!$D$19,"Best Fund",IF($L499&gt;=Instructions!$D$20,"Need to Improve","Not Performing"))))</f>
        <v/>
      </c>
      <c r="S499" s="7" t="str">
        <f aca="false">IF($R499="","",IF($R499="Data Pending","Enter the 3Y return",IF($R499="Best Fund","Hold / consider top-up",IF($R499="Need to Improve","Watch 2 quarters, then decide","Review with client - switch or exit"))))</f>
        <v/>
      </c>
      <c r="T499" s="26"/>
      <c r="U499" s="7" t="str">
        <f aca="false">IF($R499&lt;&gt;"Best Fund","",COUNTIFS($R$6:$R$505,"Best Fund",$L$6:$L$505,"&gt;"&amp;$L499)+COUNTIFS($R$6:$R499,"Best Fund",$L$6:$L499,$L499))</f>
        <v/>
      </c>
      <c r="V499" s="7" t="str">
        <f aca="false">IF($R499&lt;&gt;"Need to Improve","",COUNTIFS($R$6:$R$505,"Need to Improve",$L$6:$L$505,"&lt;"&amp;$L499)+COUNTIFS($R$6:$R499,"Need to Improve",$L$6:$L499,$L499))</f>
        <v/>
      </c>
      <c r="W499" s="7" t="str">
        <f aca="false">IF($R499&lt;&gt;"Not Performing","",COUNTIFS($R$6:$R$505,"Not Performing",$L$6:$L$505,"&lt;"&amp;$L499)+COUNTIFS($R$6:$R499,"Not Performing",$L$6:$L499,$L499))</f>
        <v/>
      </c>
    </row>
    <row r="500" customFormat="false" ht="15" hidden="false" customHeight="true" outlineLevel="0" collapsed="false">
      <c r="A500" s="26"/>
      <c r="B500" s="26"/>
      <c r="C500" s="26"/>
      <c r="D500" s="27" t="str">
        <f aca="false">IF($C500="","",IFERROR(TRIM(LEFT($C500,FIND("-",$C500)-1)),""))</f>
        <v/>
      </c>
      <c r="E500" s="26"/>
      <c r="F500" s="28"/>
      <c r="G500" s="29"/>
      <c r="H500" s="29"/>
      <c r="I500" s="30" t="str">
        <f aca="false">IF($B500="","",$H500-$G500)</f>
        <v/>
      </c>
      <c r="J500" s="31" t="str">
        <f aca="false">IF(OR($B500="",$G500=0,$G500=""),"",$I500/$G500)</f>
        <v/>
      </c>
      <c r="K500" s="32"/>
      <c r="L500" s="32"/>
      <c r="M500" s="32"/>
      <c r="N500" s="32"/>
      <c r="O500" s="32"/>
      <c r="P500" s="31" t="str">
        <f aca="false">IF(OR($L500="",$N500=""),"",$L500-$N500)</f>
        <v/>
      </c>
      <c r="Q500" s="27" t="str">
        <f aca="false">IF($B500="","",IF(N($H500)&gt;0,"Live","Exited"))</f>
        <v/>
      </c>
      <c r="R500" s="27" t="str">
        <f aca="false">IF($B500="","",IF($L500="","Data Pending",IF($L500&gt;=Instructions!$D$19,"Best Fund",IF($L500&gt;=Instructions!$D$20,"Need to Improve","Not Performing"))))</f>
        <v/>
      </c>
      <c r="S500" s="7" t="str">
        <f aca="false">IF($R500="","",IF($R500="Data Pending","Enter the 3Y return",IF($R500="Best Fund","Hold / consider top-up",IF($R500="Need to Improve","Watch 2 quarters, then decide","Review with client - switch or exit"))))</f>
        <v/>
      </c>
      <c r="T500" s="26"/>
      <c r="U500" s="7" t="str">
        <f aca="false">IF($R500&lt;&gt;"Best Fund","",COUNTIFS($R$6:$R$505,"Best Fund",$L$6:$L$505,"&gt;"&amp;$L500)+COUNTIFS($R$6:$R500,"Best Fund",$L$6:$L500,$L500))</f>
        <v/>
      </c>
      <c r="V500" s="7" t="str">
        <f aca="false">IF($R500&lt;&gt;"Need to Improve","",COUNTIFS($R$6:$R$505,"Need to Improve",$L$6:$L$505,"&lt;"&amp;$L500)+COUNTIFS($R$6:$R500,"Need to Improve",$L$6:$L500,$L500))</f>
        <v/>
      </c>
      <c r="W500" s="7" t="str">
        <f aca="false">IF($R500&lt;&gt;"Not Performing","",COUNTIFS($R$6:$R$505,"Not Performing",$L$6:$L$505,"&lt;"&amp;$L500)+COUNTIFS($R$6:$R500,"Not Performing",$L$6:$L500,$L500))</f>
        <v/>
      </c>
    </row>
    <row r="501" customFormat="false" ht="15" hidden="false" customHeight="true" outlineLevel="0" collapsed="false">
      <c r="A501" s="26"/>
      <c r="B501" s="26"/>
      <c r="C501" s="26"/>
      <c r="D501" s="27" t="str">
        <f aca="false">IF($C501="","",IFERROR(TRIM(LEFT($C501,FIND("-",$C501)-1)),""))</f>
        <v/>
      </c>
      <c r="E501" s="26"/>
      <c r="F501" s="28"/>
      <c r="G501" s="29"/>
      <c r="H501" s="29"/>
      <c r="I501" s="30" t="str">
        <f aca="false">IF($B501="","",$H501-$G501)</f>
        <v/>
      </c>
      <c r="J501" s="31" t="str">
        <f aca="false">IF(OR($B501="",$G501=0,$G501=""),"",$I501/$G501)</f>
        <v/>
      </c>
      <c r="K501" s="32"/>
      <c r="L501" s="32"/>
      <c r="M501" s="32"/>
      <c r="N501" s="32"/>
      <c r="O501" s="32"/>
      <c r="P501" s="31" t="str">
        <f aca="false">IF(OR($L501="",$N501=""),"",$L501-$N501)</f>
        <v/>
      </c>
      <c r="Q501" s="27" t="str">
        <f aca="false">IF($B501="","",IF(N($H501)&gt;0,"Live","Exited"))</f>
        <v/>
      </c>
      <c r="R501" s="27" t="str">
        <f aca="false">IF($B501="","",IF($L501="","Data Pending",IF($L501&gt;=Instructions!$D$19,"Best Fund",IF($L501&gt;=Instructions!$D$20,"Need to Improve","Not Performing"))))</f>
        <v/>
      </c>
      <c r="S501" s="7" t="str">
        <f aca="false">IF($R501="","",IF($R501="Data Pending","Enter the 3Y return",IF($R501="Best Fund","Hold / consider top-up",IF($R501="Need to Improve","Watch 2 quarters, then decide","Review with client - switch or exit"))))</f>
        <v/>
      </c>
      <c r="T501" s="26"/>
      <c r="U501" s="7" t="str">
        <f aca="false">IF($R501&lt;&gt;"Best Fund","",COUNTIFS($R$6:$R$505,"Best Fund",$L$6:$L$505,"&gt;"&amp;$L501)+COUNTIFS($R$6:$R501,"Best Fund",$L$6:$L501,$L501))</f>
        <v/>
      </c>
      <c r="V501" s="7" t="str">
        <f aca="false">IF($R501&lt;&gt;"Need to Improve","",COUNTIFS($R$6:$R$505,"Need to Improve",$L$6:$L$505,"&lt;"&amp;$L501)+COUNTIFS($R$6:$R501,"Need to Improve",$L$6:$L501,$L501))</f>
        <v/>
      </c>
      <c r="W501" s="7" t="str">
        <f aca="false">IF($R501&lt;&gt;"Not Performing","",COUNTIFS($R$6:$R$505,"Not Performing",$L$6:$L$505,"&lt;"&amp;$L501)+COUNTIFS($R$6:$R501,"Not Performing",$L$6:$L501,$L501))</f>
        <v/>
      </c>
    </row>
    <row r="502" customFormat="false" ht="15" hidden="false" customHeight="true" outlineLevel="0" collapsed="false">
      <c r="A502" s="26"/>
      <c r="B502" s="26"/>
      <c r="C502" s="26"/>
      <c r="D502" s="27" t="str">
        <f aca="false">IF($C502="","",IFERROR(TRIM(LEFT($C502,FIND("-",$C502)-1)),""))</f>
        <v/>
      </c>
      <c r="E502" s="26"/>
      <c r="F502" s="28"/>
      <c r="G502" s="29"/>
      <c r="H502" s="29"/>
      <c r="I502" s="30" t="str">
        <f aca="false">IF($B502="","",$H502-$G502)</f>
        <v/>
      </c>
      <c r="J502" s="31" t="str">
        <f aca="false">IF(OR($B502="",$G502=0,$G502=""),"",$I502/$G502)</f>
        <v/>
      </c>
      <c r="K502" s="32"/>
      <c r="L502" s="32"/>
      <c r="M502" s="32"/>
      <c r="N502" s="32"/>
      <c r="O502" s="32"/>
      <c r="P502" s="31" t="str">
        <f aca="false">IF(OR($L502="",$N502=""),"",$L502-$N502)</f>
        <v/>
      </c>
      <c r="Q502" s="27" t="str">
        <f aca="false">IF($B502="","",IF(N($H502)&gt;0,"Live","Exited"))</f>
        <v/>
      </c>
      <c r="R502" s="27" t="str">
        <f aca="false">IF($B502="","",IF($L502="","Data Pending",IF($L502&gt;=Instructions!$D$19,"Best Fund",IF($L502&gt;=Instructions!$D$20,"Need to Improve","Not Performing"))))</f>
        <v/>
      </c>
      <c r="S502" s="7" t="str">
        <f aca="false">IF($R502="","",IF($R502="Data Pending","Enter the 3Y return",IF($R502="Best Fund","Hold / consider top-up",IF($R502="Need to Improve","Watch 2 quarters, then decide","Review with client - switch or exit"))))</f>
        <v/>
      </c>
      <c r="T502" s="26"/>
      <c r="U502" s="7" t="str">
        <f aca="false">IF($R502&lt;&gt;"Best Fund","",COUNTIFS($R$6:$R$505,"Best Fund",$L$6:$L$505,"&gt;"&amp;$L502)+COUNTIFS($R$6:$R502,"Best Fund",$L$6:$L502,$L502))</f>
        <v/>
      </c>
      <c r="V502" s="7" t="str">
        <f aca="false">IF($R502&lt;&gt;"Need to Improve","",COUNTIFS($R$6:$R$505,"Need to Improve",$L$6:$L$505,"&lt;"&amp;$L502)+COUNTIFS($R$6:$R502,"Need to Improve",$L$6:$L502,$L502))</f>
        <v/>
      </c>
      <c r="W502" s="7" t="str">
        <f aca="false">IF($R502&lt;&gt;"Not Performing","",COUNTIFS($R$6:$R$505,"Not Performing",$L$6:$L$505,"&lt;"&amp;$L502)+COUNTIFS($R$6:$R502,"Not Performing",$L$6:$L502,$L502))</f>
        <v/>
      </c>
    </row>
    <row r="503" customFormat="false" ht="15" hidden="false" customHeight="true" outlineLevel="0" collapsed="false">
      <c r="A503" s="26"/>
      <c r="B503" s="26"/>
      <c r="C503" s="26"/>
      <c r="D503" s="27" t="str">
        <f aca="false">IF($C503="","",IFERROR(TRIM(LEFT($C503,FIND("-",$C503)-1)),""))</f>
        <v/>
      </c>
      <c r="E503" s="26"/>
      <c r="F503" s="28"/>
      <c r="G503" s="29"/>
      <c r="H503" s="29"/>
      <c r="I503" s="30" t="str">
        <f aca="false">IF($B503="","",$H503-$G503)</f>
        <v/>
      </c>
      <c r="J503" s="31" t="str">
        <f aca="false">IF(OR($B503="",$G503=0,$G503=""),"",$I503/$G503)</f>
        <v/>
      </c>
      <c r="K503" s="32"/>
      <c r="L503" s="32"/>
      <c r="M503" s="32"/>
      <c r="N503" s="32"/>
      <c r="O503" s="32"/>
      <c r="P503" s="31" t="str">
        <f aca="false">IF(OR($L503="",$N503=""),"",$L503-$N503)</f>
        <v/>
      </c>
      <c r="Q503" s="27" t="str">
        <f aca="false">IF($B503="","",IF(N($H503)&gt;0,"Live","Exited"))</f>
        <v/>
      </c>
      <c r="R503" s="27" t="str">
        <f aca="false">IF($B503="","",IF($L503="","Data Pending",IF($L503&gt;=Instructions!$D$19,"Best Fund",IF($L503&gt;=Instructions!$D$20,"Need to Improve","Not Performing"))))</f>
        <v/>
      </c>
      <c r="S503" s="7" t="str">
        <f aca="false">IF($R503="","",IF($R503="Data Pending","Enter the 3Y return",IF($R503="Best Fund","Hold / consider top-up",IF($R503="Need to Improve","Watch 2 quarters, then decide","Review with client - switch or exit"))))</f>
        <v/>
      </c>
      <c r="T503" s="26"/>
      <c r="U503" s="7" t="str">
        <f aca="false">IF($R503&lt;&gt;"Best Fund","",COUNTIFS($R$6:$R$505,"Best Fund",$L$6:$L$505,"&gt;"&amp;$L503)+COUNTIFS($R$6:$R503,"Best Fund",$L$6:$L503,$L503))</f>
        <v/>
      </c>
      <c r="V503" s="7" t="str">
        <f aca="false">IF($R503&lt;&gt;"Need to Improve","",COUNTIFS($R$6:$R$505,"Need to Improve",$L$6:$L$505,"&lt;"&amp;$L503)+COUNTIFS($R$6:$R503,"Need to Improve",$L$6:$L503,$L503))</f>
        <v/>
      </c>
      <c r="W503" s="7" t="str">
        <f aca="false">IF($R503&lt;&gt;"Not Performing","",COUNTIFS($R$6:$R$505,"Not Performing",$L$6:$L$505,"&lt;"&amp;$L503)+COUNTIFS($R$6:$R503,"Not Performing",$L$6:$L503,$L503))</f>
        <v/>
      </c>
    </row>
    <row r="504" customFormat="false" ht="15" hidden="false" customHeight="true" outlineLevel="0" collapsed="false">
      <c r="A504" s="26"/>
      <c r="B504" s="26"/>
      <c r="C504" s="26"/>
      <c r="D504" s="27" t="str">
        <f aca="false">IF($C504="","",IFERROR(TRIM(LEFT($C504,FIND("-",$C504)-1)),""))</f>
        <v/>
      </c>
      <c r="E504" s="26"/>
      <c r="F504" s="28"/>
      <c r="G504" s="29"/>
      <c r="H504" s="29"/>
      <c r="I504" s="30" t="str">
        <f aca="false">IF($B504="","",$H504-$G504)</f>
        <v/>
      </c>
      <c r="J504" s="31" t="str">
        <f aca="false">IF(OR($B504="",$G504=0,$G504=""),"",$I504/$G504)</f>
        <v/>
      </c>
      <c r="K504" s="32"/>
      <c r="L504" s="32"/>
      <c r="M504" s="32"/>
      <c r="N504" s="32"/>
      <c r="O504" s="32"/>
      <c r="P504" s="31" t="str">
        <f aca="false">IF(OR($L504="",$N504=""),"",$L504-$N504)</f>
        <v/>
      </c>
      <c r="Q504" s="27" t="str">
        <f aca="false">IF($B504="","",IF(N($H504)&gt;0,"Live","Exited"))</f>
        <v/>
      </c>
      <c r="R504" s="27" t="str">
        <f aca="false">IF($B504="","",IF($L504="","Data Pending",IF($L504&gt;=Instructions!$D$19,"Best Fund",IF($L504&gt;=Instructions!$D$20,"Need to Improve","Not Performing"))))</f>
        <v/>
      </c>
      <c r="S504" s="7" t="str">
        <f aca="false">IF($R504="","",IF($R504="Data Pending","Enter the 3Y return",IF($R504="Best Fund","Hold / consider top-up",IF($R504="Need to Improve","Watch 2 quarters, then decide","Review with client - switch or exit"))))</f>
        <v/>
      </c>
      <c r="T504" s="26"/>
      <c r="U504" s="7" t="str">
        <f aca="false">IF($R504&lt;&gt;"Best Fund","",COUNTIFS($R$6:$R$505,"Best Fund",$L$6:$L$505,"&gt;"&amp;$L504)+COUNTIFS($R$6:$R504,"Best Fund",$L$6:$L504,$L504))</f>
        <v/>
      </c>
      <c r="V504" s="7" t="str">
        <f aca="false">IF($R504&lt;&gt;"Need to Improve","",COUNTIFS($R$6:$R$505,"Need to Improve",$L$6:$L$505,"&lt;"&amp;$L504)+COUNTIFS($R$6:$R504,"Need to Improve",$L$6:$L504,$L504))</f>
        <v/>
      </c>
      <c r="W504" s="7" t="str">
        <f aca="false">IF($R504&lt;&gt;"Not Performing","",COUNTIFS($R$6:$R$505,"Not Performing",$L$6:$L$505,"&lt;"&amp;$L504)+COUNTIFS($R$6:$R504,"Not Performing",$L$6:$L504,$L504))</f>
        <v/>
      </c>
    </row>
    <row r="505" customFormat="false" ht="15" hidden="false" customHeight="true" outlineLevel="0" collapsed="false">
      <c r="A505" s="26"/>
      <c r="B505" s="26"/>
      <c r="C505" s="26"/>
      <c r="D505" s="27" t="str">
        <f aca="false">IF($C505="","",IFERROR(TRIM(LEFT($C505,FIND("-",$C505)-1)),""))</f>
        <v/>
      </c>
      <c r="E505" s="26"/>
      <c r="F505" s="28"/>
      <c r="G505" s="29"/>
      <c r="H505" s="29"/>
      <c r="I505" s="30" t="str">
        <f aca="false">IF($B505="","",$H505-$G505)</f>
        <v/>
      </c>
      <c r="J505" s="31" t="str">
        <f aca="false">IF(OR($B505="",$G505=0,$G505=""),"",$I505/$G505)</f>
        <v/>
      </c>
      <c r="K505" s="32"/>
      <c r="L505" s="32"/>
      <c r="M505" s="32"/>
      <c r="N505" s="32"/>
      <c r="O505" s="32"/>
      <c r="P505" s="31" t="str">
        <f aca="false">IF(OR($L505="",$N505=""),"",$L505-$N505)</f>
        <v/>
      </c>
      <c r="Q505" s="27" t="str">
        <f aca="false">IF($B505="","",IF(N($H505)&gt;0,"Live","Exited"))</f>
        <v/>
      </c>
      <c r="R505" s="27" t="str">
        <f aca="false">IF($B505="","",IF($L505="","Data Pending",IF($L505&gt;=Instructions!$D$19,"Best Fund",IF($L505&gt;=Instructions!$D$20,"Need to Improve","Not Performing"))))</f>
        <v/>
      </c>
      <c r="S505" s="7" t="str">
        <f aca="false">IF($R505="","",IF($R505="Data Pending","Enter the 3Y return",IF($R505="Best Fund","Hold / consider top-up",IF($R505="Need to Improve","Watch 2 quarters, then decide","Review with client - switch or exit"))))</f>
        <v/>
      </c>
      <c r="T505" s="26"/>
      <c r="U505" s="7" t="str">
        <f aca="false">IF($R505&lt;&gt;"Best Fund","",COUNTIFS($R$6:$R$505,"Best Fund",$L$6:$L$505,"&gt;"&amp;$L505)+COUNTIFS($R$6:$R505,"Best Fund",$L$6:$L505,$L505))</f>
        <v/>
      </c>
      <c r="V505" s="7" t="str">
        <f aca="false">IF($R505&lt;&gt;"Need to Improve","",COUNTIFS($R$6:$R$505,"Need to Improve",$L$6:$L$505,"&lt;"&amp;$L505)+COUNTIFS($R$6:$R505,"Need to Improve",$L$6:$L505,$L505))</f>
        <v/>
      </c>
      <c r="W505" s="7" t="str">
        <f aca="false">IF($R505&lt;&gt;"Not Performing","",COUNTIFS($R$6:$R$505,"Not Performing",$L$6:$L$505,"&lt;"&amp;$L505)+COUNTIFS($R$6:$R505,"Not Performing",$L$6:$L505,$L505))</f>
        <v/>
      </c>
    </row>
  </sheetData>
  <autoFilter ref="A5:T505"/>
  <mergeCells count="4">
    <mergeCell ref="A1:T1"/>
    <mergeCell ref="A2:T2"/>
    <mergeCell ref="D3:G3"/>
    <mergeCell ref="A4:T4"/>
  </mergeCells>
  <conditionalFormatting sqref="A6:T505">
    <cfRule type="expression" priority="2" aboveAverage="0" equalAverage="0" bottom="0" percent="0" rank="0" text="" dxfId="8">
      <formula>$R6="Best Fund"</formula>
    </cfRule>
    <cfRule type="expression" priority="3" aboveAverage="0" equalAverage="0" bottom="0" percent="0" rank="0" text="" dxfId="9">
      <formula>$R6="Need to Improve"</formula>
    </cfRule>
    <cfRule type="expression" priority="4" aboveAverage="0" equalAverage="0" bottom="0" percent="0" rank="0" text="" dxfId="10">
      <formula>$R6="Not Performing"</formula>
    </cfRule>
  </conditionalFormatting>
  <dataValidations count="1">
    <dataValidation allowBlank="true" errorStyle="stop" operator="between" showDropDown="false" showErrorMessage="false" showInputMessage="false" sqref="C6:C505" type="list">
      <formula1>Lists!$A$2:$A$36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44"/>
    <col collapsed="false" customWidth="true" hidden="false" outlineLevel="0" max="4" min="4" style="0" width="30"/>
    <col collapsed="false" customWidth="true" hidden="false" outlineLevel="0" max="6" min="5" style="0" width="16"/>
    <col collapsed="false" customWidth="true" hidden="false" outlineLevel="0" max="7" min="7" style="0" width="15"/>
    <col collapsed="false" customWidth="true" hidden="false" outlineLevel="0" max="8" min="8" style="0" width="11"/>
    <col collapsed="false" customWidth="true" hidden="false" outlineLevel="0" max="9" min="9" style="0" width="12"/>
    <col collapsed="false" customWidth="true" hidden="false" outlineLevel="0" max="10" min="10" style="0" width="13"/>
    <col collapsed="false" customWidth="true" hidden="false" outlineLevel="0" max="11" min="11" style="0" width="12"/>
    <col collapsed="false" customWidth="true" hidden="false" outlineLevel="0" max="12" min="12" style="0" width="26"/>
    <col collapsed="false" customWidth="true" hidden="false" outlineLevel="0" max="13" min="13" style="0" width="46"/>
  </cols>
  <sheetData>
    <row r="1" customFormat="false" ht="25.5" hidden="false" customHeight="true" outlineLevel="0" collapsed="false">
      <c r="A1" s="1" t="s">
        <v>72</v>
      </c>
      <c r="B1" s="1"/>
      <c r="C1" s="1"/>
      <c r="D1" s="1"/>
      <c r="E1" s="1"/>
      <c r="F1" s="1"/>
      <c r="G1" s="1"/>
      <c r="H1" s="1"/>
      <c r="I1" s="1"/>
      <c r="J1" s="1"/>
      <c r="K1" s="1"/>
      <c r="L1" s="1"/>
      <c r="M1" s="1"/>
    </row>
    <row r="2" customFormat="false" ht="15.75" hidden="false" customHeight="true" outlineLevel="0" collapsed="false">
      <c r="A2" s="2" t="s">
        <v>73</v>
      </c>
      <c r="B2" s="2"/>
      <c r="C2" s="2"/>
      <c r="D2" s="2"/>
      <c r="E2" s="2"/>
      <c r="F2" s="2"/>
      <c r="G2" s="2"/>
      <c r="H2" s="2"/>
      <c r="I2" s="2"/>
      <c r="J2" s="2"/>
      <c r="K2" s="2"/>
      <c r="L2" s="2"/>
      <c r="M2" s="2"/>
    </row>
    <row r="3" customFormat="false" ht="15" hidden="false" customHeight="false" outlineLevel="0" collapsed="false">
      <c r="A3" s="4" t="s">
        <v>74</v>
      </c>
      <c r="B3" s="21" t="n">
        <f aca="false">COUNTIF('Fund Research'!$R$6:$R$505,"Best Fund")</f>
        <v>1</v>
      </c>
      <c r="C3" s="20" t="s">
        <v>75</v>
      </c>
      <c r="D3" s="30" t="n">
        <f aca="false">SUMIF('Fund Research'!$R$6:$R$505,"Best Fund",'Fund Research'!$H$6:$H$505)</f>
        <v>265430</v>
      </c>
      <c r="E3" s="20" t="s">
        <v>76</v>
      </c>
      <c r="F3" s="30" t="n">
        <f aca="false">SUMIF('Fund Research'!$R$6:$R$505,"Best Fund",'Fund Research'!$G$6:$G$505)</f>
        <v>190000</v>
      </c>
      <c r="G3" s="20" t="s">
        <v>77</v>
      </c>
      <c r="H3" s="17" t="n">
        <f aca="false">IFERROR(AVERAGEIF('Fund Research'!$R$6:$R$505,"Best Fund",'Fund Research'!$L$6:$L$505),"")</f>
        <v>0.1512</v>
      </c>
    </row>
    <row r="4" customFormat="false" ht="15" hidden="false" customHeight="false" outlineLevel="0" collapsed="false">
      <c r="A4" s="24" t="s">
        <v>78</v>
      </c>
      <c r="B4" s="24"/>
      <c r="C4" s="24"/>
      <c r="D4" s="24"/>
      <c r="E4" s="24"/>
      <c r="F4" s="24"/>
      <c r="G4" s="24"/>
      <c r="H4" s="24"/>
      <c r="I4" s="24"/>
      <c r="J4" s="24"/>
      <c r="K4" s="24"/>
      <c r="L4" s="24"/>
      <c r="M4" s="24"/>
    </row>
    <row r="5" customFormat="false" ht="31.5" hidden="false" customHeight="true" outlineLevel="0" collapsed="false">
      <c r="A5" s="25" t="s">
        <v>79</v>
      </c>
      <c r="B5" s="25" t="s">
        <v>45</v>
      </c>
      <c r="C5" s="25" t="s">
        <v>46</v>
      </c>
      <c r="D5" s="25" t="s">
        <v>47</v>
      </c>
      <c r="E5" s="25" t="s">
        <v>51</v>
      </c>
      <c r="F5" s="25" t="s">
        <v>52</v>
      </c>
      <c r="G5" s="25" t="s">
        <v>53</v>
      </c>
      <c r="H5" s="25" t="s">
        <v>54</v>
      </c>
      <c r="I5" s="25" t="s">
        <v>56</v>
      </c>
      <c r="J5" s="25" t="s">
        <v>58</v>
      </c>
      <c r="K5" s="25" t="s">
        <v>60</v>
      </c>
      <c r="L5" s="25" t="s">
        <v>62</v>
      </c>
      <c r="M5" s="25" t="s">
        <v>63</v>
      </c>
    </row>
    <row r="6" customFormat="false" ht="15" hidden="false" customHeight="true" outlineLevel="0" collapsed="false">
      <c r="A6" s="33" t="n">
        <f aca="false">IFERROR(IF(INDEX('Fund Research'!$B$6:$B$505,MATCH(1,'Fund Research'!$U$6:$U$505,0))="","",1),"")</f>
        <v>1</v>
      </c>
      <c r="B6" s="34" t="str">
        <f aca="false">IFERROR(INDEX('Fund Research'!$A$6:$A$505,MATCH(1,'Fund Research'!$U$6:$U$505,0)),"")</f>
        <v>Sample Client (EXAMPLE)</v>
      </c>
      <c r="C6" s="34" t="str">
        <f aca="false">IFERROR(INDEX('Fund Research'!$B$6:$B$505,MATCH(1,'Fund Research'!$U$6:$U$505,0)),"")</f>
        <v>Bluechip Flexi Cap Fund - Growth</v>
      </c>
      <c r="D6" s="34" t="str">
        <f aca="false">IFERROR(INDEX('Fund Research'!$C$6:$C$505,MATCH(1,'Fund Research'!$U$6:$U$505,0)),"")</f>
        <v>Equity - Flexi Cap Fund</v>
      </c>
      <c r="E6" s="35" t="n">
        <f aca="false">IFERROR(INDEX('Fund Research'!$G$6:$G$505,MATCH(1,'Fund Research'!$U$6:$U$505,0)),"")</f>
        <v>190000</v>
      </c>
      <c r="F6" s="35" t="n">
        <f aca="false">IFERROR(INDEX('Fund Research'!$H$6:$H$505,MATCH(1,'Fund Research'!$U$6:$U$505,0)),"")</f>
        <v>265430</v>
      </c>
      <c r="G6" s="35" t="n">
        <f aca="false">IFERROR(INDEX('Fund Research'!$I$6:$I$505,MATCH(1,'Fund Research'!$U$6:$U$505,0)),"")</f>
        <v>75430</v>
      </c>
      <c r="H6" s="36" t="n">
        <f aca="false">IFERROR(INDEX('Fund Research'!$J$6:$J$505,MATCH(1,'Fund Research'!$U$6:$U$505,0)),"")</f>
        <v>0.397</v>
      </c>
      <c r="I6" s="37" t="n">
        <f aca="false">IFERROR(INDEX('Fund Research'!$L$6:$L$505,MATCH(1,'Fund Research'!$U$6:$U$505,0)),"")</f>
        <v>0.1512</v>
      </c>
      <c r="J6" s="36" t="n">
        <f aca="false">IFERROR(INDEX('Fund Research'!$N$6:$N$505,MATCH(1,'Fund Research'!$U$6:$U$505,0)),"")</f>
        <v>0.141</v>
      </c>
      <c r="K6" s="36" t="n">
        <f aca="false">IFERROR(INDEX('Fund Research'!$P$6:$P$505,MATCH(1,'Fund Research'!$U$6:$U$505,0)),"")</f>
        <v>0.0102</v>
      </c>
      <c r="L6" s="34" t="str">
        <f aca="false">IFERROR(INDEX('Fund Research'!$S$6:$S$505,MATCH(1,'Fund Research'!$U$6:$U$505,0)),"")</f>
        <v>Hold / consider top-up</v>
      </c>
      <c r="M6" s="34" t="str">
        <f aca="false">IFERROR(INDEX('Fund Research'!$T$6:$T$505,MATCH(1,'Fund Research'!$U$6:$U$505,0)),"")</f>
        <v>EXAMPLE ROW - delete it before you start. Returns are the scheme's published CAGR, not this holding's XIRR.</v>
      </c>
    </row>
    <row r="7" customFormat="false" ht="15" hidden="false" customHeight="true" outlineLevel="0" collapsed="false">
      <c r="A7" s="33" t="str">
        <f aca="false">IFERROR(IF(INDEX('Fund Research'!$B$6:$B$505,MATCH(2,'Fund Research'!$U$6:$U$505,0))="","",2),"")</f>
        <v/>
      </c>
      <c r="B7" s="34" t="str">
        <f aca="false">IFERROR(INDEX('Fund Research'!$A$6:$A$505,MATCH(2,'Fund Research'!$U$6:$U$505,0)),"")</f>
        <v/>
      </c>
      <c r="C7" s="34" t="str">
        <f aca="false">IFERROR(INDEX('Fund Research'!$B$6:$B$505,MATCH(2,'Fund Research'!$U$6:$U$505,0)),"")</f>
        <v/>
      </c>
      <c r="D7" s="34" t="str">
        <f aca="false">IFERROR(INDEX('Fund Research'!$C$6:$C$505,MATCH(2,'Fund Research'!$U$6:$U$505,0)),"")</f>
        <v/>
      </c>
      <c r="E7" s="35" t="str">
        <f aca="false">IFERROR(INDEX('Fund Research'!$G$6:$G$505,MATCH(2,'Fund Research'!$U$6:$U$505,0)),"")</f>
        <v/>
      </c>
      <c r="F7" s="35" t="str">
        <f aca="false">IFERROR(INDEX('Fund Research'!$H$6:$H$505,MATCH(2,'Fund Research'!$U$6:$U$505,0)),"")</f>
        <v/>
      </c>
      <c r="G7" s="35" t="str">
        <f aca="false">IFERROR(INDEX('Fund Research'!$I$6:$I$505,MATCH(2,'Fund Research'!$U$6:$U$505,0)),"")</f>
        <v/>
      </c>
      <c r="H7" s="36" t="str">
        <f aca="false">IFERROR(INDEX('Fund Research'!$J$6:$J$505,MATCH(2,'Fund Research'!$U$6:$U$505,0)),"")</f>
        <v/>
      </c>
      <c r="I7" s="37" t="str">
        <f aca="false">IFERROR(INDEX('Fund Research'!$L$6:$L$505,MATCH(2,'Fund Research'!$U$6:$U$505,0)),"")</f>
        <v/>
      </c>
      <c r="J7" s="36" t="str">
        <f aca="false">IFERROR(INDEX('Fund Research'!$N$6:$N$505,MATCH(2,'Fund Research'!$U$6:$U$505,0)),"")</f>
        <v/>
      </c>
      <c r="K7" s="36" t="str">
        <f aca="false">IFERROR(INDEX('Fund Research'!$P$6:$P$505,MATCH(2,'Fund Research'!$U$6:$U$505,0)),"")</f>
        <v/>
      </c>
      <c r="L7" s="34" t="str">
        <f aca="false">IFERROR(INDEX('Fund Research'!$S$6:$S$505,MATCH(2,'Fund Research'!$U$6:$U$505,0)),"")</f>
        <v/>
      </c>
      <c r="M7" s="34" t="str">
        <f aca="false">IFERROR(INDEX('Fund Research'!$T$6:$T$505,MATCH(2,'Fund Research'!$U$6:$U$505,0)),"")</f>
        <v/>
      </c>
    </row>
    <row r="8" customFormat="false" ht="15" hidden="false" customHeight="true" outlineLevel="0" collapsed="false">
      <c r="A8" s="33" t="str">
        <f aca="false">IFERROR(IF(INDEX('Fund Research'!$B$6:$B$505,MATCH(3,'Fund Research'!$U$6:$U$505,0))="","",3),"")</f>
        <v/>
      </c>
      <c r="B8" s="34" t="str">
        <f aca="false">IFERROR(INDEX('Fund Research'!$A$6:$A$505,MATCH(3,'Fund Research'!$U$6:$U$505,0)),"")</f>
        <v/>
      </c>
      <c r="C8" s="34" t="str">
        <f aca="false">IFERROR(INDEX('Fund Research'!$B$6:$B$505,MATCH(3,'Fund Research'!$U$6:$U$505,0)),"")</f>
        <v/>
      </c>
      <c r="D8" s="34" t="str">
        <f aca="false">IFERROR(INDEX('Fund Research'!$C$6:$C$505,MATCH(3,'Fund Research'!$U$6:$U$505,0)),"")</f>
        <v/>
      </c>
      <c r="E8" s="35" t="str">
        <f aca="false">IFERROR(INDEX('Fund Research'!$G$6:$G$505,MATCH(3,'Fund Research'!$U$6:$U$505,0)),"")</f>
        <v/>
      </c>
      <c r="F8" s="35" t="str">
        <f aca="false">IFERROR(INDEX('Fund Research'!$H$6:$H$505,MATCH(3,'Fund Research'!$U$6:$U$505,0)),"")</f>
        <v/>
      </c>
      <c r="G8" s="35" t="str">
        <f aca="false">IFERROR(INDEX('Fund Research'!$I$6:$I$505,MATCH(3,'Fund Research'!$U$6:$U$505,0)),"")</f>
        <v/>
      </c>
      <c r="H8" s="36" t="str">
        <f aca="false">IFERROR(INDEX('Fund Research'!$J$6:$J$505,MATCH(3,'Fund Research'!$U$6:$U$505,0)),"")</f>
        <v/>
      </c>
      <c r="I8" s="37" t="str">
        <f aca="false">IFERROR(INDEX('Fund Research'!$L$6:$L$505,MATCH(3,'Fund Research'!$U$6:$U$505,0)),"")</f>
        <v/>
      </c>
      <c r="J8" s="36" t="str">
        <f aca="false">IFERROR(INDEX('Fund Research'!$N$6:$N$505,MATCH(3,'Fund Research'!$U$6:$U$505,0)),"")</f>
        <v/>
      </c>
      <c r="K8" s="36" t="str">
        <f aca="false">IFERROR(INDEX('Fund Research'!$P$6:$P$505,MATCH(3,'Fund Research'!$U$6:$U$505,0)),"")</f>
        <v/>
      </c>
      <c r="L8" s="34" t="str">
        <f aca="false">IFERROR(INDEX('Fund Research'!$S$6:$S$505,MATCH(3,'Fund Research'!$U$6:$U$505,0)),"")</f>
        <v/>
      </c>
      <c r="M8" s="34" t="str">
        <f aca="false">IFERROR(INDEX('Fund Research'!$T$6:$T$505,MATCH(3,'Fund Research'!$U$6:$U$505,0)),"")</f>
        <v/>
      </c>
    </row>
    <row r="9" customFormat="false" ht="15" hidden="false" customHeight="true" outlineLevel="0" collapsed="false">
      <c r="A9" s="33" t="str">
        <f aca="false">IFERROR(IF(INDEX('Fund Research'!$B$6:$B$505,MATCH(4,'Fund Research'!$U$6:$U$505,0))="","",4),"")</f>
        <v/>
      </c>
      <c r="B9" s="34" t="str">
        <f aca="false">IFERROR(INDEX('Fund Research'!$A$6:$A$505,MATCH(4,'Fund Research'!$U$6:$U$505,0)),"")</f>
        <v/>
      </c>
      <c r="C9" s="34" t="str">
        <f aca="false">IFERROR(INDEX('Fund Research'!$B$6:$B$505,MATCH(4,'Fund Research'!$U$6:$U$505,0)),"")</f>
        <v/>
      </c>
      <c r="D9" s="34" t="str">
        <f aca="false">IFERROR(INDEX('Fund Research'!$C$6:$C$505,MATCH(4,'Fund Research'!$U$6:$U$505,0)),"")</f>
        <v/>
      </c>
      <c r="E9" s="35" t="str">
        <f aca="false">IFERROR(INDEX('Fund Research'!$G$6:$G$505,MATCH(4,'Fund Research'!$U$6:$U$505,0)),"")</f>
        <v/>
      </c>
      <c r="F9" s="35" t="str">
        <f aca="false">IFERROR(INDEX('Fund Research'!$H$6:$H$505,MATCH(4,'Fund Research'!$U$6:$U$505,0)),"")</f>
        <v/>
      </c>
      <c r="G9" s="35" t="str">
        <f aca="false">IFERROR(INDEX('Fund Research'!$I$6:$I$505,MATCH(4,'Fund Research'!$U$6:$U$505,0)),"")</f>
        <v/>
      </c>
      <c r="H9" s="36" t="str">
        <f aca="false">IFERROR(INDEX('Fund Research'!$J$6:$J$505,MATCH(4,'Fund Research'!$U$6:$U$505,0)),"")</f>
        <v/>
      </c>
      <c r="I9" s="37" t="str">
        <f aca="false">IFERROR(INDEX('Fund Research'!$L$6:$L$505,MATCH(4,'Fund Research'!$U$6:$U$505,0)),"")</f>
        <v/>
      </c>
      <c r="J9" s="36" t="str">
        <f aca="false">IFERROR(INDEX('Fund Research'!$N$6:$N$505,MATCH(4,'Fund Research'!$U$6:$U$505,0)),"")</f>
        <v/>
      </c>
      <c r="K9" s="36" t="str">
        <f aca="false">IFERROR(INDEX('Fund Research'!$P$6:$P$505,MATCH(4,'Fund Research'!$U$6:$U$505,0)),"")</f>
        <v/>
      </c>
      <c r="L9" s="34" t="str">
        <f aca="false">IFERROR(INDEX('Fund Research'!$S$6:$S$505,MATCH(4,'Fund Research'!$U$6:$U$505,0)),"")</f>
        <v/>
      </c>
      <c r="M9" s="34" t="str">
        <f aca="false">IFERROR(INDEX('Fund Research'!$T$6:$T$505,MATCH(4,'Fund Research'!$U$6:$U$505,0)),"")</f>
        <v/>
      </c>
    </row>
    <row r="10" customFormat="false" ht="15" hidden="false" customHeight="true" outlineLevel="0" collapsed="false">
      <c r="A10" s="33" t="str">
        <f aca="false">IFERROR(IF(INDEX('Fund Research'!$B$6:$B$505,MATCH(5,'Fund Research'!$U$6:$U$505,0))="","",5),"")</f>
        <v/>
      </c>
      <c r="B10" s="34" t="str">
        <f aca="false">IFERROR(INDEX('Fund Research'!$A$6:$A$505,MATCH(5,'Fund Research'!$U$6:$U$505,0)),"")</f>
        <v/>
      </c>
      <c r="C10" s="34" t="str">
        <f aca="false">IFERROR(INDEX('Fund Research'!$B$6:$B$505,MATCH(5,'Fund Research'!$U$6:$U$505,0)),"")</f>
        <v/>
      </c>
      <c r="D10" s="34" t="str">
        <f aca="false">IFERROR(INDEX('Fund Research'!$C$6:$C$505,MATCH(5,'Fund Research'!$U$6:$U$505,0)),"")</f>
        <v/>
      </c>
      <c r="E10" s="35" t="str">
        <f aca="false">IFERROR(INDEX('Fund Research'!$G$6:$G$505,MATCH(5,'Fund Research'!$U$6:$U$505,0)),"")</f>
        <v/>
      </c>
      <c r="F10" s="35" t="str">
        <f aca="false">IFERROR(INDEX('Fund Research'!$H$6:$H$505,MATCH(5,'Fund Research'!$U$6:$U$505,0)),"")</f>
        <v/>
      </c>
      <c r="G10" s="35" t="str">
        <f aca="false">IFERROR(INDEX('Fund Research'!$I$6:$I$505,MATCH(5,'Fund Research'!$U$6:$U$505,0)),"")</f>
        <v/>
      </c>
      <c r="H10" s="36" t="str">
        <f aca="false">IFERROR(INDEX('Fund Research'!$J$6:$J$505,MATCH(5,'Fund Research'!$U$6:$U$505,0)),"")</f>
        <v/>
      </c>
      <c r="I10" s="37" t="str">
        <f aca="false">IFERROR(INDEX('Fund Research'!$L$6:$L$505,MATCH(5,'Fund Research'!$U$6:$U$505,0)),"")</f>
        <v/>
      </c>
      <c r="J10" s="36" t="str">
        <f aca="false">IFERROR(INDEX('Fund Research'!$N$6:$N$505,MATCH(5,'Fund Research'!$U$6:$U$505,0)),"")</f>
        <v/>
      </c>
      <c r="K10" s="36" t="str">
        <f aca="false">IFERROR(INDEX('Fund Research'!$P$6:$P$505,MATCH(5,'Fund Research'!$U$6:$U$505,0)),"")</f>
        <v/>
      </c>
      <c r="L10" s="34" t="str">
        <f aca="false">IFERROR(INDEX('Fund Research'!$S$6:$S$505,MATCH(5,'Fund Research'!$U$6:$U$505,0)),"")</f>
        <v/>
      </c>
      <c r="M10" s="34" t="str">
        <f aca="false">IFERROR(INDEX('Fund Research'!$T$6:$T$505,MATCH(5,'Fund Research'!$U$6:$U$505,0)),"")</f>
        <v/>
      </c>
    </row>
    <row r="11" customFormat="false" ht="15" hidden="false" customHeight="true" outlineLevel="0" collapsed="false">
      <c r="A11" s="33" t="str">
        <f aca="false">IFERROR(IF(INDEX('Fund Research'!$B$6:$B$505,MATCH(6,'Fund Research'!$U$6:$U$505,0))="","",6),"")</f>
        <v/>
      </c>
      <c r="B11" s="34" t="str">
        <f aca="false">IFERROR(INDEX('Fund Research'!$A$6:$A$505,MATCH(6,'Fund Research'!$U$6:$U$505,0)),"")</f>
        <v/>
      </c>
      <c r="C11" s="34" t="str">
        <f aca="false">IFERROR(INDEX('Fund Research'!$B$6:$B$505,MATCH(6,'Fund Research'!$U$6:$U$505,0)),"")</f>
        <v/>
      </c>
      <c r="D11" s="34" t="str">
        <f aca="false">IFERROR(INDEX('Fund Research'!$C$6:$C$505,MATCH(6,'Fund Research'!$U$6:$U$505,0)),"")</f>
        <v/>
      </c>
      <c r="E11" s="35" t="str">
        <f aca="false">IFERROR(INDEX('Fund Research'!$G$6:$G$505,MATCH(6,'Fund Research'!$U$6:$U$505,0)),"")</f>
        <v/>
      </c>
      <c r="F11" s="35" t="str">
        <f aca="false">IFERROR(INDEX('Fund Research'!$H$6:$H$505,MATCH(6,'Fund Research'!$U$6:$U$505,0)),"")</f>
        <v/>
      </c>
      <c r="G11" s="35" t="str">
        <f aca="false">IFERROR(INDEX('Fund Research'!$I$6:$I$505,MATCH(6,'Fund Research'!$U$6:$U$505,0)),"")</f>
        <v/>
      </c>
      <c r="H11" s="36" t="str">
        <f aca="false">IFERROR(INDEX('Fund Research'!$J$6:$J$505,MATCH(6,'Fund Research'!$U$6:$U$505,0)),"")</f>
        <v/>
      </c>
      <c r="I11" s="37" t="str">
        <f aca="false">IFERROR(INDEX('Fund Research'!$L$6:$L$505,MATCH(6,'Fund Research'!$U$6:$U$505,0)),"")</f>
        <v/>
      </c>
      <c r="J11" s="36" t="str">
        <f aca="false">IFERROR(INDEX('Fund Research'!$N$6:$N$505,MATCH(6,'Fund Research'!$U$6:$U$505,0)),"")</f>
        <v/>
      </c>
      <c r="K11" s="36" t="str">
        <f aca="false">IFERROR(INDEX('Fund Research'!$P$6:$P$505,MATCH(6,'Fund Research'!$U$6:$U$505,0)),"")</f>
        <v/>
      </c>
      <c r="L11" s="34" t="str">
        <f aca="false">IFERROR(INDEX('Fund Research'!$S$6:$S$505,MATCH(6,'Fund Research'!$U$6:$U$505,0)),"")</f>
        <v/>
      </c>
      <c r="M11" s="34" t="str">
        <f aca="false">IFERROR(INDEX('Fund Research'!$T$6:$T$505,MATCH(6,'Fund Research'!$U$6:$U$505,0)),"")</f>
        <v/>
      </c>
    </row>
    <row r="12" customFormat="false" ht="15" hidden="false" customHeight="true" outlineLevel="0" collapsed="false">
      <c r="A12" s="33" t="str">
        <f aca="false">IFERROR(IF(INDEX('Fund Research'!$B$6:$B$505,MATCH(7,'Fund Research'!$U$6:$U$505,0))="","",7),"")</f>
        <v/>
      </c>
      <c r="B12" s="34" t="str">
        <f aca="false">IFERROR(INDEX('Fund Research'!$A$6:$A$505,MATCH(7,'Fund Research'!$U$6:$U$505,0)),"")</f>
        <v/>
      </c>
      <c r="C12" s="34" t="str">
        <f aca="false">IFERROR(INDEX('Fund Research'!$B$6:$B$505,MATCH(7,'Fund Research'!$U$6:$U$505,0)),"")</f>
        <v/>
      </c>
      <c r="D12" s="34" t="str">
        <f aca="false">IFERROR(INDEX('Fund Research'!$C$6:$C$505,MATCH(7,'Fund Research'!$U$6:$U$505,0)),"")</f>
        <v/>
      </c>
      <c r="E12" s="35" t="str">
        <f aca="false">IFERROR(INDEX('Fund Research'!$G$6:$G$505,MATCH(7,'Fund Research'!$U$6:$U$505,0)),"")</f>
        <v/>
      </c>
      <c r="F12" s="35" t="str">
        <f aca="false">IFERROR(INDEX('Fund Research'!$H$6:$H$505,MATCH(7,'Fund Research'!$U$6:$U$505,0)),"")</f>
        <v/>
      </c>
      <c r="G12" s="35" t="str">
        <f aca="false">IFERROR(INDEX('Fund Research'!$I$6:$I$505,MATCH(7,'Fund Research'!$U$6:$U$505,0)),"")</f>
        <v/>
      </c>
      <c r="H12" s="36" t="str">
        <f aca="false">IFERROR(INDEX('Fund Research'!$J$6:$J$505,MATCH(7,'Fund Research'!$U$6:$U$505,0)),"")</f>
        <v/>
      </c>
      <c r="I12" s="37" t="str">
        <f aca="false">IFERROR(INDEX('Fund Research'!$L$6:$L$505,MATCH(7,'Fund Research'!$U$6:$U$505,0)),"")</f>
        <v/>
      </c>
      <c r="J12" s="36" t="str">
        <f aca="false">IFERROR(INDEX('Fund Research'!$N$6:$N$505,MATCH(7,'Fund Research'!$U$6:$U$505,0)),"")</f>
        <v/>
      </c>
      <c r="K12" s="36" t="str">
        <f aca="false">IFERROR(INDEX('Fund Research'!$P$6:$P$505,MATCH(7,'Fund Research'!$U$6:$U$505,0)),"")</f>
        <v/>
      </c>
      <c r="L12" s="34" t="str">
        <f aca="false">IFERROR(INDEX('Fund Research'!$S$6:$S$505,MATCH(7,'Fund Research'!$U$6:$U$505,0)),"")</f>
        <v/>
      </c>
      <c r="M12" s="34" t="str">
        <f aca="false">IFERROR(INDEX('Fund Research'!$T$6:$T$505,MATCH(7,'Fund Research'!$U$6:$U$505,0)),"")</f>
        <v/>
      </c>
    </row>
    <row r="13" customFormat="false" ht="15" hidden="false" customHeight="true" outlineLevel="0" collapsed="false">
      <c r="A13" s="33" t="str">
        <f aca="false">IFERROR(IF(INDEX('Fund Research'!$B$6:$B$505,MATCH(8,'Fund Research'!$U$6:$U$505,0))="","",8),"")</f>
        <v/>
      </c>
      <c r="B13" s="34" t="str">
        <f aca="false">IFERROR(INDEX('Fund Research'!$A$6:$A$505,MATCH(8,'Fund Research'!$U$6:$U$505,0)),"")</f>
        <v/>
      </c>
      <c r="C13" s="34" t="str">
        <f aca="false">IFERROR(INDEX('Fund Research'!$B$6:$B$505,MATCH(8,'Fund Research'!$U$6:$U$505,0)),"")</f>
        <v/>
      </c>
      <c r="D13" s="34" t="str">
        <f aca="false">IFERROR(INDEX('Fund Research'!$C$6:$C$505,MATCH(8,'Fund Research'!$U$6:$U$505,0)),"")</f>
        <v/>
      </c>
      <c r="E13" s="35" t="str">
        <f aca="false">IFERROR(INDEX('Fund Research'!$G$6:$G$505,MATCH(8,'Fund Research'!$U$6:$U$505,0)),"")</f>
        <v/>
      </c>
      <c r="F13" s="35" t="str">
        <f aca="false">IFERROR(INDEX('Fund Research'!$H$6:$H$505,MATCH(8,'Fund Research'!$U$6:$U$505,0)),"")</f>
        <v/>
      </c>
      <c r="G13" s="35" t="str">
        <f aca="false">IFERROR(INDEX('Fund Research'!$I$6:$I$505,MATCH(8,'Fund Research'!$U$6:$U$505,0)),"")</f>
        <v/>
      </c>
      <c r="H13" s="36" t="str">
        <f aca="false">IFERROR(INDEX('Fund Research'!$J$6:$J$505,MATCH(8,'Fund Research'!$U$6:$U$505,0)),"")</f>
        <v/>
      </c>
      <c r="I13" s="37" t="str">
        <f aca="false">IFERROR(INDEX('Fund Research'!$L$6:$L$505,MATCH(8,'Fund Research'!$U$6:$U$505,0)),"")</f>
        <v/>
      </c>
      <c r="J13" s="36" t="str">
        <f aca="false">IFERROR(INDEX('Fund Research'!$N$6:$N$505,MATCH(8,'Fund Research'!$U$6:$U$505,0)),"")</f>
        <v/>
      </c>
      <c r="K13" s="36" t="str">
        <f aca="false">IFERROR(INDEX('Fund Research'!$P$6:$P$505,MATCH(8,'Fund Research'!$U$6:$U$505,0)),"")</f>
        <v/>
      </c>
      <c r="L13" s="34" t="str">
        <f aca="false">IFERROR(INDEX('Fund Research'!$S$6:$S$505,MATCH(8,'Fund Research'!$U$6:$U$505,0)),"")</f>
        <v/>
      </c>
      <c r="M13" s="34" t="str">
        <f aca="false">IFERROR(INDEX('Fund Research'!$T$6:$T$505,MATCH(8,'Fund Research'!$U$6:$U$505,0)),"")</f>
        <v/>
      </c>
    </row>
    <row r="14" customFormat="false" ht="15" hidden="false" customHeight="true" outlineLevel="0" collapsed="false">
      <c r="A14" s="33" t="str">
        <f aca="false">IFERROR(IF(INDEX('Fund Research'!$B$6:$B$505,MATCH(9,'Fund Research'!$U$6:$U$505,0))="","",9),"")</f>
        <v/>
      </c>
      <c r="B14" s="34" t="str">
        <f aca="false">IFERROR(INDEX('Fund Research'!$A$6:$A$505,MATCH(9,'Fund Research'!$U$6:$U$505,0)),"")</f>
        <v/>
      </c>
      <c r="C14" s="34" t="str">
        <f aca="false">IFERROR(INDEX('Fund Research'!$B$6:$B$505,MATCH(9,'Fund Research'!$U$6:$U$505,0)),"")</f>
        <v/>
      </c>
      <c r="D14" s="34" t="str">
        <f aca="false">IFERROR(INDEX('Fund Research'!$C$6:$C$505,MATCH(9,'Fund Research'!$U$6:$U$505,0)),"")</f>
        <v/>
      </c>
      <c r="E14" s="35" t="str">
        <f aca="false">IFERROR(INDEX('Fund Research'!$G$6:$G$505,MATCH(9,'Fund Research'!$U$6:$U$505,0)),"")</f>
        <v/>
      </c>
      <c r="F14" s="35" t="str">
        <f aca="false">IFERROR(INDEX('Fund Research'!$H$6:$H$505,MATCH(9,'Fund Research'!$U$6:$U$505,0)),"")</f>
        <v/>
      </c>
      <c r="G14" s="35" t="str">
        <f aca="false">IFERROR(INDEX('Fund Research'!$I$6:$I$505,MATCH(9,'Fund Research'!$U$6:$U$505,0)),"")</f>
        <v/>
      </c>
      <c r="H14" s="36" t="str">
        <f aca="false">IFERROR(INDEX('Fund Research'!$J$6:$J$505,MATCH(9,'Fund Research'!$U$6:$U$505,0)),"")</f>
        <v/>
      </c>
      <c r="I14" s="37" t="str">
        <f aca="false">IFERROR(INDEX('Fund Research'!$L$6:$L$505,MATCH(9,'Fund Research'!$U$6:$U$505,0)),"")</f>
        <v/>
      </c>
      <c r="J14" s="36" t="str">
        <f aca="false">IFERROR(INDEX('Fund Research'!$N$6:$N$505,MATCH(9,'Fund Research'!$U$6:$U$505,0)),"")</f>
        <v/>
      </c>
      <c r="K14" s="36" t="str">
        <f aca="false">IFERROR(INDEX('Fund Research'!$P$6:$P$505,MATCH(9,'Fund Research'!$U$6:$U$505,0)),"")</f>
        <v/>
      </c>
      <c r="L14" s="34" t="str">
        <f aca="false">IFERROR(INDEX('Fund Research'!$S$6:$S$505,MATCH(9,'Fund Research'!$U$6:$U$505,0)),"")</f>
        <v/>
      </c>
      <c r="M14" s="34" t="str">
        <f aca="false">IFERROR(INDEX('Fund Research'!$T$6:$T$505,MATCH(9,'Fund Research'!$U$6:$U$505,0)),"")</f>
        <v/>
      </c>
    </row>
    <row r="15" customFormat="false" ht="15" hidden="false" customHeight="true" outlineLevel="0" collapsed="false">
      <c r="A15" s="33" t="str">
        <f aca="false">IFERROR(IF(INDEX('Fund Research'!$B$6:$B$505,MATCH(10,'Fund Research'!$U$6:$U$505,0))="","",10),"")</f>
        <v/>
      </c>
      <c r="B15" s="34" t="str">
        <f aca="false">IFERROR(INDEX('Fund Research'!$A$6:$A$505,MATCH(10,'Fund Research'!$U$6:$U$505,0)),"")</f>
        <v/>
      </c>
      <c r="C15" s="34" t="str">
        <f aca="false">IFERROR(INDEX('Fund Research'!$B$6:$B$505,MATCH(10,'Fund Research'!$U$6:$U$505,0)),"")</f>
        <v/>
      </c>
      <c r="D15" s="34" t="str">
        <f aca="false">IFERROR(INDEX('Fund Research'!$C$6:$C$505,MATCH(10,'Fund Research'!$U$6:$U$505,0)),"")</f>
        <v/>
      </c>
      <c r="E15" s="35" t="str">
        <f aca="false">IFERROR(INDEX('Fund Research'!$G$6:$G$505,MATCH(10,'Fund Research'!$U$6:$U$505,0)),"")</f>
        <v/>
      </c>
      <c r="F15" s="35" t="str">
        <f aca="false">IFERROR(INDEX('Fund Research'!$H$6:$H$505,MATCH(10,'Fund Research'!$U$6:$U$505,0)),"")</f>
        <v/>
      </c>
      <c r="G15" s="35" t="str">
        <f aca="false">IFERROR(INDEX('Fund Research'!$I$6:$I$505,MATCH(10,'Fund Research'!$U$6:$U$505,0)),"")</f>
        <v/>
      </c>
      <c r="H15" s="36" t="str">
        <f aca="false">IFERROR(INDEX('Fund Research'!$J$6:$J$505,MATCH(10,'Fund Research'!$U$6:$U$505,0)),"")</f>
        <v/>
      </c>
      <c r="I15" s="37" t="str">
        <f aca="false">IFERROR(INDEX('Fund Research'!$L$6:$L$505,MATCH(10,'Fund Research'!$U$6:$U$505,0)),"")</f>
        <v/>
      </c>
      <c r="J15" s="36" t="str">
        <f aca="false">IFERROR(INDEX('Fund Research'!$N$6:$N$505,MATCH(10,'Fund Research'!$U$6:$U$505,0)),"")</f>
        <v/>
      </c>
      <c r="K15" s="36" t="str">
        <f aca="false">IFERROR(INDEX('Fund Research'!$P$6:$P$505,MATCH(10,'Fund Research'!$U$6:$U$505,0)),"")</f>
        <v/>
      </c>
      <c r="L15" s="34" t="str">
        <f aca="false">IFERROR(INDEX('Fund Research'!$S$6:$S$505,MATCH(10,'Fund Research'!$U$6:$U$505,0)),"")</f>
        <v/>
      </c>
      <c r="M15" s="34" t="str">
        <f aca="false">IFERROR(INDEX('Fund Research'!$T$6:$T$505,MATCH(10,'Fund Research'!$U$6:$U$505,0)),"")</f>
        <v/>
      </c>
    </row>
    <row r="16" customFormat="false" ht="15" hidden="false" customHeight="true" outlineLevel="0" collapsed="false">
      <c r="A16" s="33" t="str">
        <f aca="false">IFERROR(IF(INDEX('Fund Research'!$B$6:$B$505,MATCH(11,'Fund Research'!$U$6:$U$505,0))="","",11),"")</f>
        <v/>
      </c>
      <c r="B16" s="34" t="str">
        <f aca="false">IFERROR(INDEX('Fund Research'!$A$6:$A$505,MATCH(11,'Fund Research'!$U$6:$U$505,0)),"")</f>
        <v/>
      </c>
      <c r="C16" s="34" t="str">
        <f aca="false">IFERROR(INDEX('Fund Research'!$B$6:$B$505,MATCH(11,'Fund Research'!$U$6:$U$505,0)),"")</f>
        <v/>
      </c>
      <c r="D16" s="34" t="str">
        <f aca="false">IFERROR(INDEX('Fund Research'!$C$6:$C$505,MATCH(11,'Fund Research'!$U$6:$U$505,0)),"")</f>
        <v/>
      </c>
      <c r="E16" s="35" t="str">
        <f aca="false">IFERROR(INDEX('Fund Research'!$G$6:$G$505,MATCH(11,'Fund Research'!$U$6:$U$505,0)),"")</f>
        <v/>
      </c>
      <c r="F16" s="35" t="str">
        <f aca="false">IFERROR(INDEX('Fund Research'!$H$6:$H$505,MATCH(11,'Fund Research'!$U$6:$U$505,0)),"")</f>
        <v/>
      </c>
      <c r="G16" s="35" t="str">
        <f aca="false">IFERROR(INDEX('Fund Research'!$I$6:$I$505,MATCH(11,'Fund Research'!$U$6:$U$505,0)),"")</f>
        <v/>
      </c>
      <c r="H16" s="36" t="str">
        <f aca="false">IFERROR(INDEX('Fund Research'!$J$6:$J$505,MATCH(11,'Fund Research'!$U$6:$U$505,0)),"")</f>
        <v/>
      </c>
      <c r="I16" s="37" t="str">
        <f aca="false">IFERROR(INDEX('Fund Research'!$L$6:$L$505,MATCH(11,'Fund Research'!$U$6:$U$505,0)),"")</f>
        <v/>
      </c>
      <c r="J16" s="36" t="str">
        <f aca="false">IFERROR(INDEX('Fund Research'!$N$6:$N$505,MATCH(11,'Fund Research'!$U$6:$U$505,0)),"")</f>
        <v/>
      </c>
      <c r="K16" s="36" t="str">
        <f aca="false">IFERROR(INDEX('Fund Research'!$P$6:$P$505,MATCH(11,'Fund Research'!$U$6:$U$505,0)),"")</f>
        <v/>
      </c>
      <c r="L16" s="34" t="str">
        <f aca="false">IFERROR(INDEX('Fund Research'!$S$6:$S$505,MATCH(11,'Fund Research'!$U$6:$U$505,0)),"")</f>
        <v/>
      </c>
      <c r="M16" s="34" t="str">
        <f aca="false">IFERROR(INDEX('Fund Research'!$T$6:$T$505,MATCH(11,'Fund Research'!$U$6:$U$505,0)),"")</f>
        <v/>
      </c>
    </row>
    <row r="17" customFormat="false" ht="15" hidden="false" customHeight="true" outlineLevel="0" collapsed="false">
      <c r="A17" s="33" t="str">
        <f aca="false">IFERROR(IF(INDEX('Fund Research'!$B$6:$B$505,MATCH(12,'Fund Research'!$U$6:$U$505,0))="","",12),"")</f>
        <v/>
      </c>
      <c r="B17" s="34" t="str">
        <f aca="false">IFERROR(INDEX('Fund Research'!$A$6:$A$505,MATCH(12,'Fund Research'!$U$6:$U$505,0)),"")</f>
        <v/>
      </c>
      <c r="C17" s="34" t="str">
        <f aca="false">IFERROR(INDEX('Fund Research'!$B$6:$B$505,MATCH(12,'Fund Research'!$U$6:$U$505,0)),"")</f>
        <v/>
      </c>
      <c r="D17" s="34" t="str">
        <f aca="false">IFERROR(INDEX('Fund Research'!$C$6:$C$505,MATCH(12,'Fund Research'!$U$6:$U$505,0)),"")</f>
        <v/>
      </c>
      <c r="E17" s="35" t="str">
        <f aca="false">IFERROR(INDEX('Fund Research'!$G$6:$G$505,MATCH(12,'Fund Research'!$U$6:$U$505,0)),"")</f>
        <v/>
      </c>
      <c r="F17" s="35" t="str">
        <f aca="false">IFERROR(INDEX('Fund Research'!$H$6:$H$505,MATCH(12,'Fund Research'!$U$6:$U$505,0)),"")</f>
        <v/>
      </c>
      <c r="G17" s="35" t="str">
        <f aca="false">IFERROR(INDEX('Fund Research'!$I$6:$I$505,MATCH(12,'Fund Research'!$U$6:$U$505,0)),"")</f>
        <v/>
      </c>
      <c r="H17" s="36" t="str">
        <f aca="false">IFERROR(INDEX('Fund Research'!$J$6:$J$505,MATCH(12,'Fund Research'!$U$6:$U$505,0)),"")</f>
        <v/>
      </c>
      <c r="I17" s="37" t="str">
        <f aca="false">IFERROR(INDEX('Fund Research'!$L$6:$L$505,MATCH(12,'Fund Research'!$U$6:$U$505,0)),"")</f>
        <v/>
      </c>
      <c r="J17" s="36" t="str">
        <f aca="false">IFERROR(INDEX('Fund Research'!$N$6:$N$505,MATCH(12,'Fund Research'!$U$6:$U$505,0)),"")</f>
        <v/>
      </c>
      <c r="K17" s="36" t="str">
        <f aca="false">IFERROR(INDEX('Fund Research'!$P$6:$P$505,MATCH(12,'Fund Research'!$U$6:$U$505,0)),"")</f>
        <v/>
      </c>
      <c r="L17" s="34" t="str">
        <f aca="false">IFERROR(INDEX('Fund Research'!$S$6:$S$505,MATCH(12,'Fund Research'!$U$6:$U$505,0)),"")</f>
        <v/>
      </c>
      <c r="M17" s="34" t="str">
        <f aca="false">IFERROR(INDEX('Fund Research'!$T$6:$T$505,MATCH(12,'Fund Research'!$U$6:$U$505,0)),"")</f>
        <v/>
      </c>
    </row>
    <row r="18" customFormat="false" ht="15" hidden="false" customHeight="true" outlineLevel="0" collapsed="false">
      <c r="A18" s="33" t="str">
        <f aca="false">IFERROR(IF(INDEX('Fund Research'!$B$6:$B$505,MATCH(13,'Fund Research'!$U$6:$U$505,0))="","",13),"")</f>
        <v/>
      </c>
      <c r="B18" s="34" t="str">
        <f aca="false">IFERROR(INDEX('Fund Research'!$A$6:$A$505,MATCH(13,'Fund Research'!$U$6:$U$505,0)),"")</f>
        <v/>
      </c>
      <c r="C18" s="34" t="str">
        <f aca="false">IFERROR(INDEX('Fund Research'!$B$6:$B$505,MATCH(13,'Fund Research'!$U$6:$U$505,0)),"")</f>
        <v/>
      </c>
      <c r="D18" s="34" t="str">
        <f aca="false">IFERROR(INDEX('Fund Research'!$C$6:$C$505,MATCH(13,'Fund Research'!$U$6:$U$505,0)),"")</f>
        <v/>
      </c>
      <c r="E18" s="35" t="str">
        <f aca="false">IFERROR(INDEX('Fund Research'!$G$6:$G$505,MATCH(13,'Fund Research'!$U$6:$U$505,0)),"")</f>
        <v/>
      </c>
      <c r="F18" s="35" t="str">
        <f aca="false">IFERROR(INDEX('Fund Research'!$H$6:$H$505,MATCH(13,'Fund Research'!$U$6:$U$505,0)),"")</f>
        <v/>
      </c>
      <c r="G18" s="35" t="str">
        <f aca="false">IFERROR(INDEX('Fund Research'!$I$6:$I$505,MATCH(13,'Fund Research'!$U$6:$U$505,0)),"")</f>
        <v/>
      </c>
      <c r="H18" s="36" t="str">
        <f aca="false">IFERROR(INDEX('Fund Research'!$J$6:$J$505,MATCH(13,'Fund Research'!$U$6:$U$505,0)),"")</f>
        <v/>
      </c>
      <c r="I18" s="37" t="str">
        <f aca="false">IFERROR(INDEX('Fund Research'!$L$6:$L$505,MATCH(13,'Fund Research'!$U$6:$U$505,0)),"")</f>
        <v/>
      </c>
      <c r="J18" s="36" t="str">
        <f aca="false">IFERROR(INDEX('Fund Research'!$N$6:$N$505,MATCH(13,'Fund Research'!$U$6:$U$505,0)),"")</f>
        <v/>
      </c>
      <c r="K18" s="36" t="str">
        <f aca="false">IFERROR(INDEX('Fund Research'!$P$6:$P$505,MATCH(13,'Fund Research'!$U$6:$U$505,0)),"")</f>
        <v/>
      </c>
      <c r="L18" s="34" t="str">
        <f aca="false">IFERROR(INDEX('Fund Research'!$S$6:$S$505,MATCH(13,'Fund Research'!$U$6:$U$505,0)),"")</f>
        <v/>
      </c>
      <c r="M18" s="34" t="str">
        <f aca="false">IFERROR(INDEX('Fund Research'!$T$6:$T$505,MATCH(13,'Fund Research'!$U$6:$U$505,0)),"")</f>
        <v/>
      </c>
    </row>
    <row r="19" customFormat="false" ht="15" hidden="false" customHeight="true" outlineLevel="0" collapsed="false">
      <c r="A19" s="33" t="str">
        <f aca="false">IFERROR(IF(INDEX('Fund Research'!$B$6:$B$505,MATCH(14,'Fund Research'!$U$6:$U$505,0))="","",14),"")</f>
        <v/>
      </c>
      <c r="B19" s="34" t="str">
        <f aca="false">IFERROR(INDEX('Fund Research'!$A$6:$A$505,MATCH(14,'Fund Research'!$U$6:$U$505,0)),"")</f>
        <v/>
      </c>
      <c r="C19" s="34" t="str">
        <f aca="false">IFERROR(INDEX('Fund Research'!$B$6:$B$505,MATCH(14,'Fund Research'!$U$6:$U$505,0)),"")</f>
        <v/>
      </c>
      <c r="D19" s="34" t="str">
        <f aca="false">IFERROR(INDEX('Fund Research'!$C$6:$C$505,MATCH(14,'Fund Research'!$U$6:$U$505,0)),"")</f>
        <v/>
      </c>
      <c r="E19" s="35" t="str">
        <f aca="false">IFERROR(INDEX('Fund Research'!$G$6:$G$505,MATCH(14,'Fund Research'!$U$6:$U$505,0)),"")</f>
        <v/>
      </c>
      <c r="F19" s="35" t="str">
        <f aca="false">IFERROR(INDEX('Fund Research'!$H$6:$H$505,MATCH(14,'Fund Research'!$U$6:$U$505,0)),"")</f>
        <v/>
      </c>
      <c r="G19" s="35" t="str">
        <f aca="false">IFERROR(INDEX('Fund Research'!$I$6:$I$505,MATCH(14,'Fund Research'!$U$6:$U$505,0)),"")</f>
        <v/>
      </c>
      <c r="H19" s="36" t="str">
        <f aca="false">IFERROR(INDEX('Fund Research'!$J$6:$J$505,MATCH(14,'Fund Research'!$U$6:$U$505,0)),"")</f>
        <v/>
      </c>
      <c r="I19" s="37" t="str">
        <f aca="false">IFERROR(INDEX('Fund Research'!$L$6:$L$505,MATCH(14,'Fund Research'!$U$6:$U$505,0)),"")</f>
        <v/>
      </c>
      <c r="J19" s="36" t="str">
        <f aca="false">IFERROR(INDEX('Fund Research'!$N$6:$N$505,MATCH(14,'Fund Research'!$U$6:$U$505,0)),"")</f>
        <v/>
      </c>
      <c r="K19" s="36" t="str">
        <f aca="false">IFERROR(INDEX('Fund Research'!$P$6:$P$505,MATCH(14,'Fund Research'!$U$6:$U$505,0)),"")</f>
        <v/>
      </c>
      <c r="L19" s="34" t="str">
        <f aca="false">IFERROR(INDEX('Fund Research'!$S$6:$S$505,MATCH(14,'Fund Research'!$U$6:$U$505,0)),"")</f>
        <v/>
      </c>
      <c r="M19" s="34" t="str">
        <f aca="false">IFERROR(INDEX('Fund Research'!$T$6:$T$505,MATCH(14,'Fund Research'!$U$6:$U$505,0)),"")</f>
        <v/>
      </c>
    </row>
    <row r="20" customFormat="false" ht="15" hidden="false" customHeight="true" outlineLevel="0" collapsed="false">
      <c r="A20" s="33" t="str">
        <f aca="false">IFERROR(IF(INDEX('Fund Research'!$B$6:$B$505,MATCH(15,'Fund Research'!$U$6:$U$505,0))="","",15),"")</f>
        <v/>
      </c>
      <c r="B20" s="34" t="str">
        <f aca="false">IFERROR(INDEX('Fund Research'!$A$6:$A$505,MATCH(15,'Fund Research'!$U$6:$U$505,0)),"")</f>
        <v/>
      </c>
      <c r="C20" s="34" t="str">
        <f aca="false">IFERROR(INDEX('Fund Research'!$B$6:$B$505,MATCH(15,'Fund Research'!$U$6:$U$505,0)),"")</f>
        <v/>
      </c>
      <c r="D20" s="34" t="str">
        <f aca="false">IFERROR(INDEX('Fund Research'!$C$6:$C$505,MATCH(15,'Fund Research'!$U$6:$U$505,0)),"")</f>
        <v/>
      </c>
      <c r="E20" s="35" t="str">
        <f aca="false">IFERROR(INDEX('Fund Research'!$G$6:$G$505,MATCH(15,'Fund Research'!$U$6:$U$505,0)),"")</f>
        <v/>
      </c>
      <c r="F20" s="35" t="str">
        <f aca="false">IFERROR(INDEX('Fund Research'!$H$6:$H$505,MATCH(15,'Fund Research'!$U$6:$U$505,0)),"")</f>
        <v/>
      </c>
      <c r="G20" s="35" t="str">
        <f aca="false">IFERROR(INDEX('Fund Research'!$I$6:$I$505,MATCH(15,'Fund Research'!$U$6:$U$505,0)),"")</f>
        <v/>
      </c>
      <c r="H20" s="36" t="str">
        <f aca="false">IFERROR(INDEX('Fund Research'!$J$6:$J$505,MATCH(15,'Fund Research'!$U$6:$U$505,0)),"")</f>
        <v/>
      </c>
      <c r="I20" s="37" t="str">
        <f aca="false">IFERROR(INDEX('Fund Research'!$L$6:$L$505,MATCH(15,'Fund Research'!$U$6:$U$505,0)),"")</f>
        <v/>
      </c>
      <c r="J20" s="36" t="str">
        <f aca="false">IFERROR(INDEX('Fund Research'!$N$6:$N$505,MATCH(15,'Fund Research'!$U$6:$U$505,0)),"")</f>
        <v/>
      </c>
      <c r="K20" s="36" t="str">
        <f aca="false">IFERROR(INDEX('Fund Research'!$P$6:$P$505,MATCH(15,'Fund Research'!$U$6:$U$505,0)),"")</f>
        <v/>
      </c>
      <c r="L20" s="34" t="str">
        <f aca="false">IFERROR(INDEX('Fund Research'!$S$6:$S$505,MATCH(15,'Fund Research'!$U$6:$U$505,0)),"")</f>
        <v/>
      </c>
      <c r="M20" s="34" t="str">
        <f aca="false">IFERROR(INDEX('Fund Research'!$T$6:$T$505,MATCH(15,'Fund Research'!$U$6:$U$505,0)),"")</f>
        <v/>
      </c>
    </row>
    <row r="21" customFormat="false" ht="15" hidden="false" customHeight="true" outlineLevel="0" collapsed="false">
      <c r="A21" s="33" t="str">
        <f aca="false">IFERROR(IF(INDEX('Fund Research'!$B$6:$B$505,MATCH(16,'Fund Research'!$U$6:$U$505,0))="","",16),"")</f>
        <v/>
      </c>
      <c r="B21" s="34" t="str">
        <f aca="false">IFERROR(INDEX('Fund Research'!$A$6:$A$505,MATCH(16,'Fund Research'!$U$6:$U$505,0)),"")</f>
        <v/>
      </c>
      <c r="C21" s="34" t="str">
        <f aca="false">IFERROR(INDEX('Fund Research'!$B$6:$B$505,MATCH(16,'Fund Research'!$U$6:$U$505,0)),"")</f>
        <v/>
      </c>
      <c r="D21" s="34" t="str">
        <f aca="false">IFERROR(INDEX('Fund Research'!$C$6:$C$505,MATCH(16,'Fund Research'!$U$6:$U$505,0)),"")</f>
        <v/>
      </c>
      <c r="E21" s="35" t="str">
        <f aca="false">IFERROR(INDEX('Fund Research'!$G$6:$G$505,MATCH(16,'Fund Research'!$U$6:$U$505,0)),"")</f>
        <v/>
      </c>
      <c r="F21" s="35" t="str">
        <f aca="false">IFERROR(INDEX('Fund Research'!$H$6:$H$505,MATCH(16,'Fund Research'!$U$6:$U$505,0)),"")</f>
        <v/>
      </c>
      <c r="G21" s="35" t="str">
        <f aca="false">IFERROR(INDEX('Fund Research'!$I$6:$I$505,MATCH(16,'Fund Research'!$U$6:$U$505,0)),"")</f>
        <v/>
      </c>
      <c r="H21" s="36" t="str">
        <f aca="false">IFERROR(INDEX('Fund Research'!$J$6:$J$505,MATCH(16,'Fund Research'!$U$6:$U$505,0)),"")</f>
        <v/>
      </c>
      <c r="I21" s="37" t="str">
        <f aca="false">IFERROR(INDEX('Fund Research'!$L$6:$L$505,MATCH(16,'Fund Research'!$U$6:$U$505,0)),"")</f>
        <v/>
      </c>
      <c r="J21" s="36" t="str">
        <f aca="false">IFERROR(INDEX('Fund Research'!$N$6:$N$505,MATCH(16,'Fund Research'!$U$6:$U$505,0)),"")</f>
        <v/>
      </c>
      <c r="K21" s="36" t="str">
        <f aca="false">IFERROR(INDEX('Fund Research'!$P$6:$P$505,MATCH(16,'Fund Research'!$U$6:$U$505,0)),"")</f>
        <v/>
      </c>
      <c r="L21" s="34" t="str">
        <f aca="false">IFERROR(INDEX('Fund Research'!$S$6:$S$505,MATCH(16,'Fund Research'!$U$6:$U$505,0)),"")</f>
        <v/>
      </c>
      <c r="M21" s="34" t="str">
        <f aca="false">IFERROR(INDEX('Fund Research'!$T$6:$T$505,MATCH(16,'Fund Research'!$U$6:$U$505,0)),"")</f>
        <v/>
      </c>
    </row>
    <row r="22" customFormat="false" ht="15" hidden="false" customHeight="true" outlineLevel="0" collapsed="false">
      <c r="A22" s="33" t="str">
        <f aca="false">IFERROR(IF(INDEX('Fund Research'!$B$6:$B$505,MATCH(17,'Fund Research'!$U$6:$U$505,0))="","",17),"")</f>
        <v/>
      </c>
      <c r="B22" s="34" t="str">
        <f aca="false">IFERROR(INDEX('Fund Research'!$A$6:$A$505,MATCH(17,'Fund Research'!$U$6:$U$505,0)),"")</f>
        <v/>
      </c>
      <c r="C22" s="34" t="str">
        <f aca="false">IFERROR(INDEX('Fund Research'!$B$6:$B$505,MATCH(17,'Fund Research'!$U$6:$U$505,0)),"")</f>
        <v/>
      </c>
      <c r="D22" s="34" t="str">
        <f aca="false">IFERROR(INDEX('Fund Research'!$C$6:$C$505,MATCH(17,'Fund Research'!$U$6:$U$505,0)),"")</f>
        <v/>
      </c>
      <c r="E22" s="35" t="str">
        <f aca="false">IFERROR(INDEX('Fund Research'!$G$6:$G$505,MATCH(17,'Fund Research'!$U$6:$U$505,0)),"")</f>
        <v/>
      </c>
      <c r="F22" s="35" t="str">
        <f aca="false">IFERROR(INDEX('Fund Research'!$H$6:$H$505,MATCH(17,'Fund Research'!$U$6:$U$505,0)),"")</f>
        <v/>
      </c>
      <c r="G22" s="35" t="str">
        <f aca="false">IFERROR(INDEX('Fund Research'!$I$6:$I$505,MATCH(17,'Fund Research'!$U$6:$U$505,0)),"")</f>
        <v/>
      </c>
      <c r="H22" s="36" t="str">
        <f aca="false">IFERROR(INDEX('Fund Research'!$J$6:$J$505,MATCH(17,'Fund Research'!$U$6:$U$505,0)),"")</f>
        <v/>
      </c>
      <c r="I22" s="37" t="str">
        <f aca="false">IFERROR(INDEX('Fund Research'!$L$6:$L$505,MATCH(17,'Fund Research'!$U$6:$U$505,0)),"")</f>
        <v/>
      </c>
      <c r="J22" s="36" t="str">
        <f aca="false">IFERROR(INDEX('Fund Research'!$N$6:$N$505,MATCH(17,'Fund Research'!$U$6:$U$505,0)),"")</f>
        <v/>
      </c>
      <c r="K22" s="36" t="str">
        <f aca="false">IFERROR(INDEX('Fund Research'!$P$6:$P$505,MATCH(17,'Fund Research'!$U$6:$U$505,0)),"")</f>
        <v/>
      </c>
      <c r="L22" s="34" t="str">
        <f aca="false">IFERROR(INDEX('Fund Research'!$S$6:$S$505,MATCH(17,'Fund Research'!$U$6:$U$505,0)),"")</f>
        <v/>
      </c>
      <c r="M22" s="34" t="str">
        <f aca="false">IFERROR(INDEX('Fund Research'!$T$6:$T$505,MATCH(17,'Fund Research'!$U$6:$U$505,0)),"")</f>
        <v/>
      </c>
    </row>
    <row r="23" customFormat="false" ht="15" hidden="false" customHeight="true" outlineLevel="0" collapsed="false">
      <c r="A23" s="33" t="str">
        <f aca="false">IFERROR(IF(INDEX('Fund Research'!$B$6:$B$505,MATCH(18,'Fund Research'!$U$6:$U$505,0))="","",18),"")</f>
        <v/>
      </c>
      <c r="B23" s="34" t="str">
        <f aca="false">IFERROR(INDEX('Fund Research'!$A$6:$A$505,MATCH(18,'Fund Research'!$U$6:$U$505,0)),"")</f>
        <v/>
      </c>
      <c r="C23" s="34" t="str">
        <f aca="false">IFERROR(INDEX('Fund Research'!$B$6:$B$505,MATCH(18,'Fund Research'!$U$6:$U$505,0)),"")</f>
        <v/>
      </c>
      <c r="D23" s="34" t="str">
        <f aca="false">IFERROR(INDEX('Fund Research'!$C$6:$C$505,MATCH(18,'Fund Research'!$U$6:$U$505,0)),"")</f>
        <v/>
      </c>
      <c r="E23" s="35" t="str">
        <f aca="false">IFERROR(INDEX('Fund Research'!$G$6:$G$505,MATCH(18,'Fund Research'!$U$6:$U$505,0)),"")</f>
        <v/>
      </c>
      <c r="F23" s="35" t="str">
        <f aca="false">IFERROR(INDEX('Fund Research'!$H$6:$H$505,MATCH(18,'Fund Research'!$U$6:$U$505,0)),"")</f>
        <v/>
      </c>
      <c r="G23" s="35" t="str">
        <f aca="false">IFERROR(INDEX('Fund Research'!$I$6:$I$505,MATCH(18,'Fund Research'!$U$6:$U$505,0)),"")</f>
        <v/>
      </c>
      <c r="H23" s="36" t="str">
        <f aca="false">IFERROR(INDEX('Fund Research'!$J$6:$J$505,MATCH(18,'Fund Research'!$U$6:$U$505,0)),"")</f>
        <v/>
      </c>
      <c r="I23" s="37" t="str">
        <f aca="false">IFERROR(INDEX('Fund Research'!$L$6:$L$505,MATCH(18,'Fund Research'!$U$6:$U$505,0)),"")</f>
        <v/>
      </c>
      <c r="J23" s="36" t="str">
        <f aca="false">IFERROR(INDEX('Fund Research'!$N$6:$N$505,MATCH(18,'Fund Research'!$U$6:$U$505,0)),"")</f>
        <v/>
      </c>
      <c r="K23" s="36" t="str">
        <f aca="false">IFERROR(INDEX('Fund Research'!$P$6:$P$505,MATCH(18,'Fund Research'!$U$6:$U$505,0)),"")</f>
        <v/>
      </c>
      <c r="L23" s="34" t="str">
        <f aca="false">IFERROR(INDEX('Fund Research'!$S$6:$S$505,MATCH(18,'Fund Research'!$U$6:$U$505,0)),"")</f>
        <v/>
      </c>
      <c r="M23" s="34" t="str">
        <f aca="false">IFERROR(INDEX('Fund Research'!$T$6:$T$505,MATCH(18,'Fund Research'!$U$6:$U$505,0)),"")</f>
        <v/>
      </c>
    </row>
    <row r="24" customFormat="false" ht="15" hidden="false" customHeight="true" outlineLevel="0" collapsed="false">
      <c r="A24" s="33" t="str">
        <f aca="false">IFERROR(IF(INDEX('Fund Research'!$B$6:$B$505,MATCH(19,'Fund Research'!$U$6:$U$505,0))="","",19),"")</f>
        <v/>
      </c>
      <c r="B24" s="34" t="str">
        <f aca="false">IFERROR(INDEX('Fund Research'!$A$6:$A$505,MATCH(19,'Fund Research'!$U$6:$U$505,0)),"")</f>
        <v/>
      </c>
      <c r="C24" s="34" t="str">
        <f aca="false">IFERROR(INDEX('Fund Research'!$B$6:$B$505,MATCH(19,'Fund Research'!$U$6:$U$505,0)),"")</f>
        <v/>
      </c>
      <c r="D24" s="34" t="str">
        <f aca="false">IFERROR(INDEX('Fund Research'!$C$6:$C$505,MATCH(19,'Fund Research'!$U$6:$U$505,0)),"")</f>
        <v/>
      </c>
      <c r="E24" s="35" t="str">
        <f aca="false">IFERROR(INDEX('Fund Research'!$G$6:$G$505,MATCH(19,'Fund Research'!$U$6:$U$505,0)),"")</f>
        <v/>
      </c>
      <c r="F24" s="35" t="str">
        <f aca="false">IFERROR(INDEX('Fund Research'!$H$6:$H$505,MATCH(19,'Fund Research'!$U$6:$U$505,0)),"")</f>
        <v/>
      </c>
      <c r="G24" s="35" t="str">
        <f aca="false">IFERROR(INDEX('Fund Research'!$I$6:$I$505,MATCH(19,'Fund Research'!$U$6:$U$505,0)),"")</f>
        <v/>
      </c>
      <c r="H24" s="36" t="str">
        <f aca="false">IFERROR(INDEX('Fund Research'!$J$6:$J$505,MATCH(19,'Fund Research'!$U$6:$U$505,0)),"")</f>
        <v/>
      </c>
      <c r="I24" s="37" t="str">
        <f aca="false">IFERROR(INDEX('Fund Research'!$L$6:$L$505,MATCH(19,'Fund Research'!$U$6:$U$505,0)),"")</f>
        <v/>
      </c>
      <c r="J24" s="36" t="str">
        <f aca="false">IFERROR(INDEX('Fund Research'!$N$6:$N$505,MATCH(19,'Fund Research'!$U$6:$U$505,0)),"")</f>
        <v/>
      </c>
      <c r="K24" s="36" t="str">
        <f aca="false">IFERROR(INDEX('Fund Research'!$P$6:$P$505,MATCH(19,'Fund Research'!$U$6:$U$505,0)),"")</f>
        <v/>
      </c>
      <c r="L24" s="34" t="str">
        <f aca="false">IFERROR(INDEX('Fund Research'!$S$6:$S$505,MATCH(19,'Fund Research'!$U$6:$U$505,0)),"")</f>
        <v/>
      </c>
      <c r="M24" s="34" t="str">
        <f aca="false">IFERROR(INDEX('Fund Research'!$T$6:$T$505,MATCH(19,'Fund Research'!$U$6:$U$505,0)),"")</f>
        <v/>
      </c>
    </row>
    <row r="25" customFormat="false" ht="15" hidden="false" customHeight="true" outlineLevel="0" collapsed="false">
      <c r="A25" s="33" t="str">
        <f aca="false">IFERROR(IF(INDEX('Fund Research'!$B$6:$B$505,MATCH(20,'Fund Research'!$U$6:$U$505,0))="","",20),"")</f>
        <v/>
      </c>
      <c r="B25" s="34" t="str">
        <f aca="false">IFERROR(INDEX('Fund Research'!$A$6:$A$505,MATCH(20,'Fund Research'!$U$6:$U$505,0)),"")</f>
        <v/>
      </c>
      <c r="C25" s="34" t="str">
        <f aca="false">IFERROR(INDEX('Fund Research'!$B$6:$B$505,MATCH(20,'Fund Research'!$U$6:$U$505,0)),"")</f>
        <v/>
      </c>
      <c r="D25" s="34" t="str">
        <f aca="false">IFERROR(INDEX('Fund Research'!$C$6:$C$505,MATCH(20,'Fund Research'!$U$6:$U$505,0)),"")</f>
        <v/>
      </c>
      <c r="E25" s="35" t="str">
        <f aca="false">IFERROR(INDEX('Fund Research'!$G$6:$G$505,MATCH(20,'Fund Research'!$U$6:$U$505,0)),"")</f>
        <v/>
      </c>
      <c r="F25" s="35" t="str">
        <f aca="false">IFERROR(INDEX('Fund Research'!$H$6:$H$505,MATCH(20,'Fund Research'!$U$6:$U$505,0)),"")</f>
        <v/>
      </c>
      <c r="G25" s="35" t="str">
        <f aca="false">IFERROR(INDEX('Fund Research'!$I$6:$I$505,MATCH(20,'Fund Research'!$U$6:$U$505,0)),"")</f>
        <v/>
      </c>
      <c r="H25" s="36" t="str">
        <f aca="false">IFERROR(INDEX('Fund Research'!$J$6:$J$505,MATCH(20,'Fund Research'!$U$6:$U$505,0)),"")</f>
        <v/>
      </c>
      <c r="I25" s="37" t="str">
        <f aca="false">IFERROR(INDEX('Fund Research'!$L$6:$L$505,MATCH(20,'Fund Research'!$U$6:$U$505,0)),"")</f>
        <v/>
      </c>
      <c r="J25" s="36" t="str">
        <f aca="false">IFERROR(INDEX('Fund Research'!$N$6:$N$505,MATCH(20,'Fund Research'!$U$6:$U$505,0)),"")</f>
        <v/>
      </c>
      <c r="K25" s="36" t="str">
        <f aca="false">IFERROR(INDEX('Fund Research'!$P$6:$P$505,MATCH(20,'Fund Research'!$U$6:$U$505,0)),"")</f>
        <v/>
      </c>
      <c r="L25" s="34" t="str">
        <f aca="false">IFERROR(INDEX('Fund Research'!$S$6:$S$505,MATCH(20,'Fund Research'!$U$6:$U$505,0)),"")</f>
        <v/>
      </c>
      <c r="M25" s="34" t="str">
        <f aca="false">IFERROR(INDEX('Fund Research'!$T$6:$T$505,MATCH(20,'Fund Research'!$U$6:$U$505,0)),"")</f>
        <v/>
      </c>
    </row>
    <row r="26" customFormat="false" ht="15" hidden="false" customHeight="true" outlineLevel="0" collapsed="false">
      <c r="A26" s="33" t="str">
        <f aca="false">IFERROR(IF(INDEX('Fund Research'!$B$6:$B$505,MATCH(21,'Fund Research'!$U$6:$U$505,0))="","",21),"")</f>
        <v/>
      </c>
      <c r="B26" s="34" t="str">
        <f aca="false">IFERROR(INDEX('Fund Research'!$A$6:$A$505,MATCH(21,'Fund Research'!$U$6:$U$505,0)),"")</f>
        <v/>
      </c>
      <c r="C26" s="34" t="str">
        <f aca="false">IFERROR(INDEX('Fund Research'!$B$6:$B$505,MATCH(21,'Fund Research'!$U$6:$U$505,0)),"")</f>
        <v/>
      </c>
      <c r="D26" s="34" t="str">
        <f aca="false">IFERROR(INDEX('Fund Research'!$C$6:$C$505,MATCH(21,'Fund Research'!$U$6:$U$505,0)),"")</f>
        <v/>
      </c>
      <c r="E26" s="35" t="str">
        <f aca="false">IFERROR(INDEX('Fund Research'!$G$6:$G$505,MATCH(21,'Fund Research'!$U$6:$U$505,0)),"")</f>
        <v/>
      </c>
      <c r="F26" s="35" t="str">
        <f aca="false">IFERROR(INDEX('Fund Research'!$H$6:$H$505,MATCH(21,'Fund Research'!$U$6:$U$505,0)),"")</f>
        <v/>
      </c>
      <c r="G26" s="35" t="str">
        <f aca="false">IFERROR(INDEX('Fund Research'!$I$6:$I$505,MATCH(21,'Fund Research'!$U$6:$U$505,0)),"")</f>
        <v/>
      </c>
      <c r="H26" s="36" t="str">
        <f aca="false">IFERROR(INDEX('Fund Research'!$J$6:$J$505,MATCH(21,'Fund Research'!$U$6:$U$505,0)),"")</f>
        <v/>
      </c>
      <c r="I26" s="37" t="str">
        <f aca="false">IFERROR(INDEX('Fund Research'!$L$6:$L$505,MATCH(21,'Fund Research'!$U$6:$U$505,0)),"")</f>
        <v/>
      </c>
      <c r="J26" s="36" t="str">
        <f aca="false">IFERROR(INDEX('Fund Research'!$N$6:$N$505,MATCH(21,'Fund Research'!$U$6:$U$505,0)),"")</f>
        <v/>
      </c>
      <c r="K26" s="36" t="str">
        <f aca="false">IFERROR(INDEX('Fund Research'!$P$6:$P$505,MATCH(21,'Fund Research'!$U$6:$U$505,0)),"")</f>
        <v/>
      </c>
      <c r="L26" s="34" t="str">
        <f aca="false">IFERROR(INDEX('Fund Research'!$S$6:$S$505,MATCH(21,'Fund Research'!$U$6:$U$505,0)),"")</f>
        <v/>
      </c>
      <c r="M26" s="34" t="str">
        <f aca="false">IFERROR(INDEX('Fund Research'!$T$6:$T$505,MATCH(21,'Fund Research'!$U$6:$U$505,0)),"")</f>
        <v/>
      </c>
    </row>
    <row r="27" customFormat="false" ht="15" hidden="false" customHeight="true" outlineLevel="0" collapsed="false">
      <c r="A27" s="33" t="str">
        <f aca="false">IFERROR(IF(INDEX('Fund Research'!$B$6:$B$505,MATCH(22,'Fund Research'!$U$6:$U$505,0))="","",22),"")</f>
        <v/>
      </c>
      <c r="B27" s="34" t="str">
        <f aca="false">IFERROR(INDEX('Fund Research'!$A$6:$A$505,MATCH(22,'Fund Research'!$U$6:$U$505,0)),"")</f>
        <v/>
      </c>
      <c r="C27" s="34" t="str">
        <f aca="false">IFERROR(INDEX('Fund Research'!$B$6:$B$505,MATCH(22,'Fund Research'!$U$6:$U$505,0)),"")</f>
        <v/>
      </c>
      <c r="D27" s="34" t="str">
        <f aca="false">IFERROR(INDEX('Fund Research'!$C$6:$C$505,MATCH(22,'Fund Research'!$U$6:$U$505,0)),"")</f>
        <v/>
      </c>
      <c r="E27" s="35" t="str">
        <f aca="false">IFERROR(INDEX('Fund Research'!$G$6:$G$505,MATCH(22,'Fund Research'!$U$6:$U$505,0)),"")</f>
        <v/>
      </c>
      <c r="F27" s="35" t="str">
        <f aca="false">IFERROR(INDEX('Fund Research'!$H$6:$H$505,MATCH(22,'Fund Research'!$U$6:$U$505,0)),"")</f>
        <v/>
      </c>
      <c r="G27" s="35" t="str">
        <f aca="false">IFERROR(INDEX('Fund Research'!$I$6:$I$505,MATCH(22,'Fund Research'!$U$6:$U$505,0)),"")</f>
        <v/>
      </c>
      <c r="H27" s="36" t="str">
        <f aca="false">IFERROR(INDEX('Fund Research'!$J$6:$J$505,MATCH(22,'Fund Research'!$U$6:$U$505,0)),"")</f>
        <v/>
      </c>
      <c r="I27" s="37" t="str">
        <f aca="false">IFERROR(INDEX('Fund Research'!$L$6:$L$505,MATCH(22,'Fund Research'!$U$6:$U$505,0)),"")</f>
        <v/>
      </c>
      <c r="J27" s="36" t="str">
        <f aca="false">IFERROR(INDEX('Fund Research'!$N$6:$N$505,MATCH(22,'Fund Research'!$U$6:$U$505,0)),"")</f>
        <v/>
      </c>
      <c r="K27" s="36" t="str">
        <f aca="false">IFERROR(INDEX('Fund Research'!$P$6:$P$505,MATCH(22,'Fund Research'!$U$6:$U$505,0)),"")</f>
        <v/>
      </c>
      <c r="L27" s="34" t="str">
        <f aca="false">IFERROR(INDEX('Fund Research'!$S$6:$S$505,MATCH(22,'Fund Research'!$U$6:$U$505,0)),"")</f>
        <v/>
      </c>
      <c r="M27" s="34" t="str">
        <f aca="false">IFERROR(INDEX('Fund Research'!$T$6:$T$505,MATCH(22,'Fund Research'!$U$6:$U$505,0)),"")</f>
        <v/>
      </c>
    </row>
    <row r="28" customFormat="false" ht="15" hidden="false" customHeight="true" outlineLevel="0" collapsed="false">
      <c r="A28" s="33" t="str">
        <f aca="false">IFERROR(IF(INDEX('Fund Research'!$B$6:$B$505,MATCH(23,'Fund Research'!$U$6:$U$505,0))="","",23),"")</f>
        <v/>
      </c>
      <c r="B28" s="34" t="str">
        <f aca="false">IFERROR(INDEX('Fund Research'!$A$6:$A$505,MATCH(23,'Fund Research'!$U$6:$U$505,0)),"")</f>
        <v/>
      </c>
      <c r="C28" s="34" t="str">
        <f aca="false">IFERROR(INDEX('Fund Research'!$B$6:$B$505,MATCH(23,'Fund Research'!$U$6:$U$505,0)),"")</f>
        <v/>
      </c>
      <c r="D28" s="34" t="str">
        <f aca="false">IFERROR(INDEX('Fund Research'!$C$6:$C$505,MATCH(23,'Fund Research'!$U$6:$U$505,0)),"")</f>
        <v/>
      </c>
      <c r="E28" s="35" t="str">
        <f aca="false">IFERROR(INDEX('Fund Research'!$G$6:$G$505,MATCH(23,'Fund Research'!$U$6:$U$505,0)),"")</f>
        <v/>
      </c>
      <c r="F28" s="35" t="str">
        <f aca="false">IFERROR(INDEX('Fund Research'!$H$6:$H$505,MATCH(23,'Fund Research'!$U$6:$U$505,0)),"")</f>
        <v/>
      </c>
      <c r="G28" s="35" t="str">
        <f aca="false">IFERROR(INDEX('Fund Research'!$I$6:$I$505,MATCH(23,'Fund Research'!$U$6:$U$505,0)),"")</f>
        <v/>
      </c>
      <c r="H28" s="36" t="str">
        <f aca="false">IFERROR(INDEX('Fund Research'!$J$6:$J$505,MATCH(23,'Fund Research'!$U$6:$U$505,0)),"")</f>
        <v/>
      </c>
      <c r="I28" s="37" t="str">
        <f aca="false">IFERROR(INDEX('Fund Research'!$L$6:$L$505,MATCH(23,'Fund Research'!$U$6:$U$505,0)),"")</f>
        <v/>
      </c>
      <c r="J28" s="36" t="str">
        <f aca="false">IFERROR(INDEX('Fund Research'!$N$6:$N$505,MATCH(23,'Fund Research'!$U$6:$U$505,0)),"")</f>
        <v/>
      </c>
      <c r="K28" s="36" t="str">
        <f aca="false">IFERROR(INDEX('Fund Research'!$P$6:$P$505,MATCH(23,'Fund Research'!$U$6:$U$505,0)),"")</f>
        <v/>
      </c>
      <c r="L28" s="34" t="str">
        <f aca="false">IFERROR(INDEX('Fund Research'!$S$6:$S$505,MATCH(23,'Fund Research'!$U$6:$U$505,0)),"")</f>
        <v/>
      </c>
      <c r="M28" s="34" t="str">
        <f aca="false">IFERROR(INDEX('Fund Research'!$T$6:$T$505,MATCH(23,'Fund Research'!$U$6:$U$505,0)),"")</f>
        <v/>
      </c>
    </row>
    <row r="29" customFormat="false" ht="15" hidden="false" customHeight="true" outlineLevel="0" collapsed="false">
      <c r="A29" s="33" t="str">
        <f aca="false">IFERROR(IF(INDEX('Fund Research'!$B$6:$B$505,MATCH(24,'Fund Research'!$U$6:$U$505,0))="","",24),"")</f>
        <v/>
      </c>
      <c r="B29" s="34" t="str">
        <f aca="false">IFERROR(INDEX('Fund Research'!$A$6:$A$505,MATCH(24,'Fund Research'!$U$6:$U$505,0)),"")</f>
        <v/>
      </c>
      <c r="C29" s="34" t="str">
        <f aca="false">IFERROR(INDEX('Fund Research'!$B$6:$B$505,MATCH(24,'Fund Research'!$U$6:$U$505,0)),"")</f>
        <v/>
      </c>
      <c r="D29" s="34" t="str">
        <f aca="false">IFERROR(INDEX('Fund Research'!$C$6:$C$505,MATCH(24,'Fund Research'!$U$6:$U$505,0)),"")</f>
        <v/>
      </c>
      <c r="E29" s="35" t="str">
        <f aca="false">IFERROR(INDEX('Fund Research'!$G$6:$G$505,MATCH(24,'Fund Research'!$U$6:$U$505,0)),"")</f>
        <v/>
      </c>
      <c r="F29" s="35" t="str">
        <f aca="false">IFERROR(INDEX('Fund Research'!$H$6:$H$505,MATCH(24,'Fund Research'!$U$6:$U$505,0)),"")</f>
        <v/>
      </c>
      <c r="G29" s="35" t="str">
        <f aca="false">IFERROR(INDEX('Fund Research'!$I$6:$I$505,MATCH(24,'Fund Research'!$U$6:$U$505,0)),"")</f>
        <v/>
      </c>
      <c r="H29" s="36" t="str">
        <f aca="false">IFERROR(INDEX('Fund Research'!$J$6:$J$505,MATCH(24,'Fund Research'!$U$6:$U$505,0)),"")</f>
        <v/>
      </c>
      <c r="I29" s="37" t="str">
        <f aca="false">IFERROR(INDEX('Fund Research'!$L$6:$L$505,MATCH(24,'Fund Research'!$U$6:$U$505,0)),"")</f>
        <v/>
      </c>
      <c r="J29" s="36" t="str">
        <f aca="false">IFERROR(INDEX('Fund Research'!$N$6:$N$505,MATCH(24,'Fund Research'!$U$6:$U$505,0)),"")</f>
        <v/>
      </c>
      <c r="K29" s="36" t="str">
        <f aca="false">IFERROR(INDEX('Fund Research'!$P$6:$P$505,MATCH(24,'Fund Research'!$U$6:$U$505,0)),"")</f>
        <v/>
      </c>
      <c r="L29" s="34" t="str">
        <f aca="false">IFERROR(INDEX('Fund Research'!$S$6:$S$505,MATCH(24,'Fund Research'!$U$6:$U$505,0)),"")</f>
        <v/>
      </c>
      <c r="M29" s="34" t="str">
        <f aca="false">IFERROR(INDEX('Fund Research'!$T$6:$T$505,MATCH(24,'Fund Research'!$U$6:$U$505,0)),"")</f>
        <v/>
      </c>
    </row>
    <row r="30" customFormat="false" ht="15" hidden="false" customHeight="true" outlineLevel="0" collapsed="false">
      <c r="A30" s="33" t="str">
        <f aca="false">IFERROR(IF(INDEX('Fund Research'!$B$6:$B$505,MATCH(25,'Fund Research'!$U$6:$U$505,0))="","",25),"")</f>
        <v/>
      </c>
      <c r="B30" s="34" t="str">
        <f aca="false">IFERROR(INDEX('Fund Research'!$A$6:$A$505,MATCH(25,'Fund Research'!$U$6:$U$505,0)),"")</f>
        <v/>
      </c>
      <c r="C30" s="34" t="str">
        <f aca="false">IFERROR(INDEX('Fund Research'!$B$6:$B$505,MATCH(25,'Fund Research'!$U$6:$U$505,0)),"")</f>
        <v/>
      </c>
      <c r="D30" s="34" t="str">
        <f aca="false">IFERROR(INDEX('Fund Research'!$C$6:$C$505,MATCH(25,'Fund Research'!$U$6:$U$505,0)),"")</f>
        <v/>
      </c>
      <c r="E30" s="35" t="str">
        <f aca="false">IFERROR(INDEX('Fund Research'!$G$6:$G$505,MATCH(25,'Fund Research'!$U$6:$U$505,0)),"")</f>
        <v/>
      </c>
      <c r="F30" s="35" t="str">
        <f aca="false">IFERROR(INDEX('Fund Research'!$H$6:$H$505,MATCH(25,'Fund Research'!$U$6:$U$505,0)),"")</f>
        <v/>
      </c>
      <c r="G30" s="35" t="str">
        <f aca="false">IFERROR(INDEX('Fund Research'!$I$6:$I$505,MATCH(25,'Fund Research'!$U$6:$U$505,0)),"")</f>
        <v/>
      </c>
      <c r="H30" s="36" t="str">
        <f aca="false">IFERROR(INDEX('Fund Research'!$J$6:$J$505,MATCH(25,'Fund Research'!$U$6:$U$505,0)),"")</f>
        <v/>
      </c>
      <c r="I30" s="37" t="str">
        <f aca="false">IFERROR(INDEX('Fund Research'!$L$6:$L$505,MATCH(25,'Fund Research'!$U$6:$U$505,0)),"")</f>
        <v/>
      </c>
      <c r="J30" s="36" t="str">
        <f aca="false">IFERROR(INDEX('Fund Research'!$N$6:$N$505,MATCH(25,'Fund Research'!$U$6:$U$505,0)),"")</f>
        <v/>
      </c>
      <c r="K30" s="36" t="str">
        <f aca="false">IFERROR(INDEX('Fund Research'!$P$6:$P$505,MATCH(25,'Fund Research'!$U$6:$U$505,0)),"")</f>
        <v/>
      </c>
      <c r="L30" s="34" t="str">
        <f aca="false">IFERROR(INDEX('Fund Research'!$S$6:$S$505,MATCH(25,'Fund Research'!$U$6:$U$505,0)),"")</f>
        <v/>
      </c>
      <c r="M30" s="34" t="str">
        <f aca="false">IFERROR(INDEX('Fund Research'!$T$6:$T$505,MATCH(25,'Fund Research'!$U$6:$U$505,0)),"")</f>
        <v/>
      </c>
    </row>
    <row r="31" customFormat="false" ht="15" hidden="false" customHeight="true" outlineLevel="0" collapsed="false">
      <c r="A31" s="33" t="str">
        <f aca="false">IFERROR(IF(INDEX('Fund Research'!$B$6:$B$505,MATCH(26,'Fund Research'!$U$6:$U$505,0))="","",26),"")</f>
        <v/>
      </c>
      <c r="B31" s="34" t="str">
        <f aca="false">IFERROR(INDEX('Fund Research'!$A$6:$A$505,MATCH(26,'Fund Research'!$U$6:$U$505,0)),"")</f>
        <v/>
      </c>
      <c r="C31" s="34" t="str">
        <f aca="false">IFERROR(INDEX('Fund Research'!$B$6:$B$505,MATCH(26,'Fund Research'!$U$6:$U$505,0)),"")</f>
        <v/>
      </c>
      <c r="D31" s="34" t="str">
        <f aca="false">IFERROR(INDEX('Fund Research'!$C$6:$C$505,MATCH(26,'Fund Research'!$U$6:$U$505,0)),"")</f>
        <v/>
      </c>
      <c r="E31" s="35" t="str">
        <f aca="false">IFERROR(INDEX('Fund Research'!$G$6:$G$505,MATCH(26,'Fund Research'!$U$6:$U$505,0)),"")</f>
        <v/>
      </c>
      <c r="F31" s="35" t="str">
        <f aca="false">IFERROR(INDEX('Fund Research'!$H$6:$H$505,MATCH(26,'Fund Research'!$U$6:$U$505,0)),"")</f>
        <v/>
      </c>
      <c r="G31" s="35" t="str">
        <f aca="false">IFERROR(INDEX('Fund Research'!$I$6:$I$505,MATCH(26,'Fund Research'!$U$6:$U$505,0)),"")</f>
        <v/>
      </c>
      <c r="H31" s="36" t="str">
        <f aca="false">IFERROR(INDEX('Fund Research'!$J$6:$J$505,MATCH(26,'Fund Research'!$U$6:$U$505,0)),"")</f>
        <v/>
      </c>
      <c r="I31" s="37" t="str">
        <f aca="false">IFERROR(INDEX('Fund Research'!$L$6:$L$505,MATCH(26,'Fund Research'!$U$6:$U$505,0)),"")</f>
        <v/>
      </c>
      <c r="J31" s="36" t="str">
        <f aca="false">IFERROR(INDEX('Fund Research'!$N$6:$N$505,MATCH(26,'Fund Research'!$U$6:$U$505,0)),"")</f>
        <v/>
      </c>
      <c r="K31" s="36" t="str">
        <f aca="false">IFERROR(INDEX('Fund Research'!$P$6:$P$505,MATCH(26,'Fund Research'!$U$6:$U$505,0)),"")</f>
        <v/>
      </c>
      <c r="L31" s="34" t="str">
        <f aca="false">IFERROR(INDEX('Fund Research'!$S$6:$S$505,MATCH(26,'Fund Research'!$U$6:$U$505,0)),"")</f>
        <v/>
      </c>
      <c r="M31" s="34" t="str">
        <f aca="false">IFERROR(INDEX('Fund Research'!$T$6:$T$505,MATCH(26,'Fund Research'!$U$6:$U$505,0)),"")</f>
        <v/>
      </c>
    </row>
    <row r="32" customFormat="false" ht="15" hidden="false" customHeight="true" outlineLevel="0" collapsed="false">
      <c r="A32" s="33" t="str">
        <f aca="false">IFERROR(IF(INDEX('Fund Research'!$B$6:$B$505,MATCH(27,'Fund Research'!$U$6:$U$505,0))="","",27),"")</f>
        <v/>
      </c>
      <c r="B32" s="34" t="str">
        <f aca="false">IFERROR(INDEX('Fund Research'!$A$6:$A$505,MATCH(27,'Fund Research'!$U$6:$U$505,0)),"")</f>
        <v/>
      </c>
      <c r="C32" s="34" t="str">
        <f aca="false">IFERROR(INDEX('Fund Research'!$B$6:$B$505,MATCH(27,'Fund Research'!$U$6:$U$505,0)),"")</f>
        <v/>
      </c>
      <c r="D32" s="34" t="str">
        <f aca="false">IFERROR(INDEX('Fund Research'!$C$6:$C$505,MATCH(27,'Fund Research'!$U$6:$U$505,0)),"")</f>
        <v/>
      </c>
      <c r="E32" s="35" t="str">
        <f aca="false">IFERROR(INDEX('Fund Research'!$G$6:$G$505,MATCH(27,'Fund Research'!$U$6:$U$505,0)),"")</f>
        <v/>
      </c>
      <c r="F32" s="35" t="str">
        <f aca="false">IFERROR(INDEX('Fund Research'!$H$6:$H$505,MATCH(27,'Fund Research'!$U$6:$U$505,0)),"")</f>
        <v/>
      </c>
      <c r="G32" s="35" t="str">
        <f aca="false">IFERROR(INDEX('Fund Research'!$I$6:$I$505,MATCH(27,'Fund Research'!$U$6:$U$505,0)),"")</f>
        <v/>
      </c>
      <c r="H32" s="36" t="str">
        <f aca="false">IFERROR(INDEX('Fund Research'!$J$6:$J$505,MATCH(27,'Fund Research'!$U$6:$U$505,0)),"")</f>
        <v/>
      </c>
      <c r="I32" s="37" t="str">
        <f aca="false">IFERROR(INDEX('Fund Research'!$L$6:$L$505,MATCH(27,'Fund Research'!$U$6:$U$505,0)),"")</f>
        <v/>
      </c>
      <c r="J32" s="36" t="str">
        <f aca="false">IFERROR(INDEX('Fund Research'!$N$6:$N$505,MATCH(27,'Fund Research'!$U$6:$U$505,0)),"")</f>
        <v/>
      </c>
      <c r="K32" s="36" t="str">
        <f aca="false">IFERROR(INDEX('Fund Research'!$P$6:$P$505,MATCH(27,'Fund Research'!$U$6:$U$505,0)),"")</f>
        <v/>
      </c>
      <c r="L32" s="34" t="str">
        <f aca="false">IFERROR(INDEX('Fund Research'!$S$6:$S$505,MATCH(27,'Fund Research'!$U$6:$U$505,0)),"")</f>
        <v/>
      </c>
      <c r="M32" s="34" t="str">
        <f aca="false">IFERROR(INDEX('Fund Research'!$T$6:$T$505,MATCH(27,'Fund Research'!$U$6:$U$505,0)),"")</f>
        <v/>
      </c>
    </row>
    <row r="33" customFormat="false" ht="15" hidden="false" customHeight="true" outlineLevel="0" collapsed="false">
      <c r="A33" s="33" t="str">
        <f aca="false">IFERROR(IF(INDEX('Fund Research'!$B$6:$B$505,MATCH(28,'Fund Research'!$U$6:$U$505,0))="","",28),"")</f>
        <v/>
      </c>
      <c r="B33" s="34" t="str">
        <f aca="false">IFERROR(INDEX('Fund Research'!$A$6:$A$505,MATCH(28,'Fund Research'!$U$6:$U$505,0)),"")</f>
        <v/>
      </c>
      <c r="C33" s="34" t="str">
        <f aca="false">IFERROR(INDEX('Fund Research'!$B$6:$B$505,MATCH(28,'Fund Research'!$U$6:$U$505,0)),"")</f>
        <v/>
      </c>
      <c r="D33" s="34" t="str">
        <f aca="false">IFERROR(INDEX('Fund Research'!$C$6:$C$505,MATCH(28,'Fund Research'!$U$6:$U$505,0)),"")</f>
        <v/>
      </c>
      <c r="E33" s="35" t="str">
        <f aca="false">IFERROR(INDEX('Fund Research'!$G$6:$G$505,MATCH(28,'Fund Research'!$U$6:$U$505,0)),"")</f>
        <v/>
      </c>
      <c r="F33" s="35" t="str">
        <f aca="false">IFERROR(INDEX('Fund Research'!$H$6:$H$505,MATCH(28,'Fund Research'!$U$6:$U$505,0)),"")</f>
        <v/>
      </c>
      <c r="G33" s="35" t="str">
        <f aca="false">IFERROR(INDEX('Fund Research'!$I$6:$I$505,MATCH(28,'Fund Research'!$U$6:$U$505,0)),"")</f>
        <v/>
      </c>
      <c r="H33" s="36" t="str">
        <f aca="false">IFERROR(INDEX('Fund Research'!$J$6:$J$505,MATCH(28,'Fund Research'!$U$6:$U$505,0)),"")</f>
        <v/>
      </c>
      <c r="I33" s="37" t="str">
        <f aca="false">IFERROR(INDEX('Fund Research'!$L$6:$L$505,MATCH(28,'Fund Research'!$U$6:$U$505,0)),"")</f>
        <v/>
      </c>
      <c r="J33" s="36" t="str">
        <f aca="false">IFERROR(INDEX('Fund Research'!$N$6:$N$505,MATCH(28,'Fund Research'!$U$6:$U$505,0)),"")</f>
        <v/>
      </c>
      <c r="K33" s="36" t="str">
        <f aca="false">IFERROR(INDEX('Fund Research'!$P$6:$P$505,MATCH(28,'Fund Research'!$U$6:$U$505,0)),"")</f>
        <v/>
      </c>
      <c r="L33" s="34" t="str">
        <f aca="false">IFERROR(INDEX('Fund Research'!$S$6:$S$505,MATCH(28,'Fund Research'!$U$6:$U$505,0)),"")</f>
        <v/>
      </c>
      <c r="M33" s="34" t="str">
        <f aca="false">IFERROR(INDEX('Fund Research'!$T$6:$T$505,MATCH(28,'Fund Research'!$U$6:$U$505,0)),"")</f>
        <v/>
      </c>
    </row>
    <row r="34" customFormat="false" ht="15" hidden="false" customHeight="true" outlineLevel="0" collapsed="false">
      <c r="A34" s="33" t="str">
        <f aca="false">IFERROR(IF(INDEX('Fund Research'!$B$6:$B$505,MATCH(29,'Fund Research'!$U$6:$U$505,0))="","",29),"")</f>
        <v/>
      </c>
      <c r="B34" s="34" t="str">
        <f aca="false">IFERROR(INDEX('Fund Research'!$A$6:$A$505,MATCH(29,'Fund Research'!$U$6:$U$505,0)),"")</f>
        <v/>
      </c>
      <c r="C34" s="34" t="str">
        <f aca="false">IFERROR(INDEX('Fund Research'!$B$6:$B$505,MATCH(29,'Fund Research'!$U$6:$U$505,0)),"")</f>
        <v/>
      </c>
      <c r="D34" s="34" t="str">
        <f aca="false">IFERROR(INDEX('Fund Research'!$C$6:$C$505,MATCH(29,'Fund Research'!$U$6:$U$505,0)),"")</f>
        <v/>
      </c>
      <c r="E34" s="35" t="str">
        <f aca="false">IFERROR(INDEX('Fund Research'!$G$6:$G$505,MATCH(29,'Fund Research'!$U$6:$U$505,0)),"")</f>
        <v/>
      </c>
      <c r="F34" s="35" t="str">
        <f aca="false">IFERROR(INDEX('Fund Research'!$H$6:$H$505,MATCH(29,'Fund Research'!$U$6:$U$505,0)),"")</f>
        <v/>
      </c>
      <c r="G34" s="35" t="str">
        <f aca="false">IFERROR(INDEX('Fund Research'!$I$6:$I$505,MATCH(29,'Fund Research'!$U$6:$U$505,0)),"")</f>
        <v/>
      </c>
      <c r="H34" s="36" t="str">
        <f aca="false">IFERROR(INDEX('Fund Research'!$J$6:$J$505,MATCH(29,'Fund Research'!$U$6:$U$505,0)),"")</f>
        <v/>
      </c>
      <c r="I34" s="37" t="str">
        <f aca="false">IFERROR(INDEX('Fund Research'!$L$6:$L$505,MATCH(29,'Fund Research'!$U$6:$U$505,0)),"")</f>
        <v/>
      </c>
      <c r="J34" s="36" t="str">
        <f aca="false">IFERROR(INDEX('Fund Research'!$N$6:$N$505,MATCH(29,'Fund Research'!$U$6:$U$505,0)),"")</f>
        <v/>
      </c>
      <c r="K34" s="36" t="str">
        <f aca="false">IFERROR(INDEX('Fund Research'!$P$6:$P$505,MATCH(29,'Fund Research'!$U$6:$U$505,0)),"")</f>
        <v/>
      </c>
      <c r="L34" s="34" t="str">
        <f aca="false">IFERROR(INDEX('Fund Research'!$S$6:$S$505,MATCH(29,'Fund Research'!$U$6:$U$505,0)),"")</f>
        <v/>
      </c>
      <c r="M34" s="34" t="str">
        <f aca="false">IFERROR(INDEX('Fund Research'!$T$6:$T$505,MATCH(29,'Fund Research'!$U$6:$U$505,0)),"")</f>
        <v/>
      </c>
    </row>
    <row r="35" customFormat="false" ht="15" hidden="false" customHeight="true" outlineLevel="0" collapsed="false">
      <c r="A35" s="33" t="str">
        <f aca="false">IFERROR(IF(INDEX('Fund Research'!$B$6:$B$505,MATCH(30,'Fund Research'!$U$6:$U$505,0))="","",30),"")</f>
        <v/>
      </c>
      <c r="B35" s="34" t="str">
        <f aca="false">IFERROR(INDEX('Fund Research'!$A$6:$A$505,MATCH(30,'Fund Research'!$U$6:$U$505,0)),"")</f>
        <v/>
      </c>
      <c r="C35" s="34" t="str">
        <f aca="false">IFERROR(INDEX('Fund Research'!$B$6:$B$505,MATCH(30,'Fund Research'!$U$6:$U$505,0)),"")</f>
        <v/>
      </c>
      <c r="D35" s="34" t="str">
        <f aca="false">IFERROR(INDEX('Fund Research'!$C$6:$C$505,MATCH(30,'Fund Research'!$U$6:$U$505,0)),"")</f>
        <v/>
      </c>
      <c r="E35" s="35" t="str">
        <f aca="false">IFERROR(INDEX('Fund Research'!$G$6:$G$505,MATCH(30,'Fund Research'!$U$6:$U$505,0)),"")</f>
        <v/>
      </c>
      <c r="F35" s="35" t="str">
        <f aca="false">IFERROR(INDEX('Fund Research'!$H$6:$H$505,MATCH(30,'Fund Research'!$U$6:$U$505,0)),"")</f>
        <v/>
      </c>
      <c r="G35" s="35" t="str">
        <f aca="false">IFERROR(INDEX('Fund Research'!$I$6:$I$505,MATCH(30,'Fund Research'!$U$6:$U$505,0)),"")</f>
        <v/>
      </c>
      <c r="H35" s="36" t="str">
        <f aca="false">IFERROR(INDEX('Fund Research'!$J$6:$J$505,MATCH(30,'Fund Research'!$U$6:$U$505,0)),"")</f>
        <v/>
      </c>
      <c r="I35" s="37" t="str">
        <f aca="false">IFERROR(INDEX('Fund Research'!$L$6:$L$505,MATCH(30,'Fund Research'!$U$6:$U$505,0)),"")</f>
        <v/>
      </c>
      <c r="J35" s="36" t="str">
        <f aca="false">IFERROR(INDEX('Fund Research'!$N$6:$N$505,MATCH(30,'Fund Research'!$U$6:$U$505,0)),"")</f>
        <v/>
      </c>
      <c r="K35" s="36" t="str">
        <f aca="false">IFERROR(INDEX('Fund Research'!$P$6:$P$505,MATCH(30,'Fund Research'!$U$6:$U$505,0)),"")</f>
        <v/>
      </c>
      <c r="L35" s="34" t="str">
        <f aca="false">IFERROR(INDEX('Fund Research'!$S$6:$S$505,MATCH(30,'Fund Research'!$U$6:$U$505,0)),"")</f>
        <v/>
      </c>
      <c r="M35" s="34" t="str">
        <f aca="false">IFERROR(INDEX('Fund Research'!$T$6:$T$505,MATCH(30,'Fund Research'!$U$6:$U$505,0)),"")</f>
        <v/>
      </c>
    </row>
    <row r="36" customFormat="false" ht="15" hidden="false" customHeight="true" outlineLevel="0" collapsed="false">
      <c r="A36" s="33" t="str">
        <f aca="false">IFERROR(IF(INDEX('Fund Research'!$B$6:$B$505,MATCH(31,'Fund Research'!$U$6:$U$505,0))="","",31),"")</f>
        <v/>
      </c>
      <c r="B36" s="34" t="str">
        <f aca="false">IFERROR(INDEX('Fund Research'!$A$6:$A$505,MATCH(31,'Fund Research'!$U$6:$U$505,0)),"")</f>
        <v/>
      </c>
      <c r="C36" s="34" t="str">
        <f aca="false">IFERROR(INDEX('Fund Research'!$B$6:$B$505,MATCH(31,'Fund Research'!$U$6:$U$505,0)),"")</f>
        <v/>
      </c>
      <c r="D36" s="34" t="str">
        <f aca="false">IFERROR(INDEX('Fund Research'!$C$6:$C$505,MATCH(31,'Fund Research'!$U$6:$U$505,0)),"")</f>
        <v/>
      </c>
      <c r="E36" s="35" t="str">
        <f aca="false">IFERROR(INDEX('Fund Research'!$G$6:$G$505,MATCH(31,'Fund Research'!$U$6:$U$505,0)),"")</f>
        <v/>
      </c>
      <c r="F36" s="35" t="str">
        <f aca="false">IFERROR(INDEX('Fund Research'!$H$6:$H$505,MATCH(31,'Fund Research'!$U$6:$U$505,0)),"")</f>
        <v/>
      </c>
      <c r="G36" s="35" t="str">
        <f aca="false">IFERROR(INDEX('Fund Research'!$I$6:$I$505,MATCH(31,'Fund Research'!$U$6:$U$505,0)),"")</f>
        <v/>
      </c>
      <c r="H36" s="36" t="str">
        <f aca="false">IFERROR(INDEX('Fund Research'!$J$6:$J$505,MATCH(31,'Fund Research'!$U$6:$U$505,0)),"")</f>
        <v/>
      </c>
      <c r="I36" s="37" t="str">
        <f aca="false">IFERROR(INDEX('Fund Research'!$L$6:$L$505,MATCH(31,'Fund Research'!$U$6:$U$505,0)),"")</f>
        <v/>
      </c>
      <c r="J36" s="36" t="str">
        <f aca="false">IFERROR(INDEX('Fund Research'!$N$6:$N$505,MATCH(31,'Fund Research'!$U$6:$U$505,0)),"")</f>
        <v/>
      </c>
      <c r="K36" s="36" t="str">
        <f aca="false">IFERROR(INDEX('Fund Research'!$P$6:$P$505,MATCH(31,'Fund Research'!$U$6:$U$505,0)),"")</f>
        <v/>
      </c>
      <c r="L36" s="34" t="str">
        <f aca="false">IFERROR(INDEX('Fund Research'!$S$6:$S$505,MATCH(31,'Fund Research'!$U$6:$U$505,0)),"")</f>
        <v/>
      </c>
      <c r="M36" s="34" t="str">
        <f aca="false">IFERROR(INDEX('Fund Research'!$T$6:$T$505,MATCH(31,'Fund Research'!$U$6:$U$505,0)),"")</f>
        <v/>
      </c>
    </row>
    <row r="37" customFormat="false" ht="15" hidden="false" customHeight="true" outlineLevel="0" collapsed="false">
      <c r="A37" s="33" t="str">
        <f aca="false">IFERROR(IF(INDEX('Fund Research'!$B$6:$B$505,MATCH(32,'Fund Research'!$U$6:$U$505,0))="","",32),"")</f>
        <v/>
      </c>
      <c r="B37" s="34" t="str">
        <f aca="false">IFERROR(INDEX('Fund Research'!$A$6:$A$505,MATCH(32,'Fund Research'!$U$6:$U$505,0)),"")</f>
        <v/>
      </c>
      <c r="C37" s="34" t="str">
        <f aca="false">IFERROR(INDEX('Fund Research'!$B$6:$B$505,MATCH(32,'Fund Research'!$U$6:$U$505,0)),"")</f>
        <v/>
      </c>
      <c r="D37" s="34" t="str">
        <f aca="false">IFERROR(INDEX('Fund Research'!$C$6:$C$505,MATCH(32,'Fund Research'!$U$6:$U$505,0)),"")</f>
        <v/>
      </c>
      <c r="E37" s="35" t="str">
        <f aca="false">IFERROR(INDEX('Fund Research'!$G$6:$G$505,MATCH(32,'Fund Research'!$U$6:$U$505,0)),"")</f>
        <v/>
      </c>
      <c r="F37" s="35" t="str">
        <f aca="false">IFERROR(INDEX('Fund Research'!$H$6:$H$505,MATCH(32,'Fund Research'!$U$6:$U$505,0)),"")</f>
        <v/>
      </c>
      <c r="G37" s="35" t="str">
        <f aca="false">IFERROR(INDEX('Fund Research'!$I$6:$I$505,MATCH(32,'Fund Research'!$U$6:$U$505,0)),"")</f>
        <v/>
      </c>
      <c r="H37" s="36" t="str">
        <f aca="false">IFERROR(INDEX('Fund Research'!$J$6:$J$505,MATCH(32,'Fund Research'!$U$6:$U$505,0)),"")</f>
        <v/>
      </c>
      <c r="I37" s="37" t="str">
        <f aca="false">IFERROR(INDEX('Fund Research'!$L$6:$L$505,MATCH(32,'Fund Research'!$U$6:$U$505,0)),"")</f>
        <v/>
      </c>
      <c r="J37" s="36" t="str">
        <f aca="false">IFERROR(INDEX('Fund Research'!$N$6:$N$505,MATCH(32,'Fund Research'!$U$6:$U$505,0)),"")</f>
        <v/>
      </c>
      <c r="K37" s="36" t="str">
        <f aca="false">IFERROR(INDEX('Fund Research'!$P$6:$P$505,MATCH(32,'Fund Research'!$U$6:$U$505,0)),"")</f>
        <v/>
      </c>
      <c r="L37" s="34" t="str">
        <f aca="false">IFERROR(INDEX('Fund Research'!$S$6:$S$505,MATCH(32,'Fund Research'!$U$6:$U$505,0)),"")</f>
        <v/>
      </c>
      <c r="M37" s="34" t="str">
        <f aca="false">IFERROR(INDEX('Fund Research'!$T$6:$T$505,MATCH(32,'Fund Research'!$U$6:$U$505,0)),"")</f>
        <v/>
      </c>
    </row>
    <row r="38" customFormat="false" ht="15" hidden="false" customHeight="true" outlineLevel="0" collapsed="false">
      <c r="A38" s="33" t="str">
        <f aca="false">IFERROR(IF(INDEX('Fund Research'!$B$6:$B$505,MATCH(33,'Fund Research'!$U$6:$U$505,0))="","",33),"")</f>
        <v/>
      </c>
      <c r="B38" s="34" t="str">
        <f aca="false">IFERROR(INDEX('Fund Research'!$A$6:$A$505,MATCH(33,'Fund Research'!$U$6:$U$505,0)),"")</f>
        <v/>
      </c>
      <c r="C38" s="34" t="str">
        <f aca="false">IFERROR(INDEX('Fund Research'!$B$6:$B$505,MATCH(33,'Fund Research'!$U$6:$U$505,0)),"")</f>
        <v/>
      </c>
      <c r="D38" s="34" t="str">
        <f aca="false">IFERROR(INDEX('Fund Research'!$C$6:$C$505,MATCH(33,'Fund Research'!$U$6:$U$505,0)),"")</f>
        <v/>
      </c>
      <c r="E38" s="35" t="str">
        <f aca="false">IFERROR(INDEX('Fund Research'!$G$6:$G$505,MATCH(33,'Fund Research'!$U$6:$U$505,0)),"")</f>
        <v/>
      </c>
      <c r="F38" s="35" t="str">
        <f aca="false">IFERROR(INDEX('Fund Research'!$H$6:$H$505,MATCH(33,'Fund Research'!$U$6:$U$505,0)),"")</f>
        <v/>
      </c>
      <c r="G38" s="35" t="str">
        <f aca="false">IFERROR(INDEX('Fund Research'!$I$6:$I$505,MATCH(33,'Fund Research'!$U$6:$U$505,0)),"")</f>
        <v/>
      </c>
      <c r="H38" s="36" t="str">
        <f aca="false">IFERROR(INDEX('Fund Research'!$J$6:$J$505,MATCH(33,'Fund Research'!$U$6:$U$505,0)),"")</f>
        <v/>
      </c>
      <c r="I38" s="37" t="str">
        <f aca="false">IFERROR(INDEX('Fund Research'!$L$6:$L$505,MATCH(33,'Fund Research'!$U$6:$U$505,0)),"")</f>
        <v/>
      </c>
      <c r="J38" s="36" t="str">
        <f aca="false">IFERROR(INDEX('Fund Research'!$N$6:$N$505,MATCH(33,'Fund Research'!$U$6:$U$505,0)),"")</f>
        <v/>
      </c>
      <c r="K38" s="36" t="str">
        <f aca="false">IFERROR(INDEX('Fund Research'!$P$6:$P$505,MATCH(33,'Fund Research'!$U$6:$U$505,0)),"")</f>
        <v/>
      </c>
      <c r="L38" s="34" t="str">
        <f aca="false">IFERROR(INDEX('Fund Research'!$S$6:$S$505,MATCH(33,'Fund Research'!$U$6:$U$505,0)),"")</f>
        <v/>
      </c>
      <c r="M38" s="34" t="str">
        <f aca="false">IFERROR(INDEX('Fund Research'!$T$6:$T$505,MATCH(33,'Fund Research'!$U$6:$U$505,0)),"")</f>
        <v/>
      </c>
    </row>
    <row r="39" customFormat="false" ht="15" hidden="false" customHeight="true" outlineLevel="0" collapsed="false">
      <c r="A39" s="33" t="str">
        <f aca="false">IFERROR(IF(INDEX('Fund Research'!$B$6:$B$505,MATCH(34,'Fund Research'!$U$6:$U$505,0))="","",34),"")</f>
        <v/>
      </c>
      <c r="B39" s="34" t="str">
        <f aca="false">IFERROR(INDEX('Fund Research'!$A$6:$A$505,MATCH(34,'Fund Research'!$U$6:$U$505,0)),"")</f>
        <v/>
      </c>
      <c r="C39" s="34" t="str">
        <f aca="false">IFERROR(INDEX('Fund Research'!$B$6:$B$505,MATCH(34,'Fund Research'!$U$6:$U$505,0)),"")</f>
        <v/>
      </c>
      <c r="D39" s="34" t="str">
        <f aca="false">IFERROR(INDEX('Fund Research'!$C$6:$C$505,MATCH(34,'Fund Research'!$U$6:$U$505,0)),"")</f>
        <v/>
      </c>
      <c r="E39" s="35" t="str">
        <f aca="false">IFERROR(INDEX('Fund Research'!$G$6:$G$505,MATCH(34,'Fund Research'!$U$6:$U$505,0)),"")</f>
        <v/>
      </c>
      <c r="F39" s="35" t="str">
        <f aca="false">IFERROR(INDEX('Fund Research'!$H$6:$H$505,MATCH(34,'Fund Research'!$U$6:$U$505,0)),"")</f>
        <v/>
      </c>
      <c r="G39" s="35" t="str">
        <f aca="false">IFERROR(INDEX('Fund Research'!$I$6:$I$505,MATCH(34,'Fund Research'!$U$6:$U$505,0)),"")</f>
        <v/>
      </c>
      <c r="H39" s="36" t="str">
        <f aca="false">IFERROR(INDEX('Fund Research'!$J$6:$J$505,MATCH(34,'Fund Research'!$U$6:$U$505,0)),"")</f>
        <v/>
      </c>
      <c r="I39" s="37" t="str">
        <f aca="false">IFERROR(INDEX('Fund Research'!$L$6:$L$505,MATCH(34,'Fund Research'!$U$6:$U$505,0)),"")</f>
        <v/>
      </c>
      <c r="J39" s="36" t="str">
        <f aca="false">IFERROR(INDEX('Fund Research'!$N$6:$N$505,MATCH(34,'Fund Research'!$U$6:$U$505,0)),"")</f>
        <v/>
      </c>
      <c r="K39" s="36" t="str">
        <f aca="false">IFERROR(INDEX('Fund Research'!$P$6:$P$505,MATCH(34,'Fund Research'!$U$6:$U$505,0)),"")</f>
        <v/>
      </c>
      <c r="L39" s="34" t="str">
        <f aca="false">IFERROR(INDEX('Fund Research'!$S$6:$S$505,MATCH(34,'Fund Research'!$U$6:$U$505,0)),"")</f>
        <v/>
      </c>
      <c r="M39" s="34" t="str">
        <f aca="false">IFERROR(INDEX('Fund Research'!$T$6:$T$505,MATCH(34,'Fund Research'!$U$6:$U$505,0)),"")</f>
        <v/>
      </c>
    </row>
    <row r="40" customFormat="false" ht="15" hidden="false" customHeight="true" outlineLevel="0" collapsed="false">
      <c r="A40" s="33" t="str">
        <f aca="false">IFERROR(IF(INDEX('Fund Research'!$B$6:$B$505,MATCH(35,'Fund Research'!$U$6:$U$505,0))="","",35),"")</f>
        <v/>
      </c>
      <c r="B40" s="34" t="str">
        <f aca="false">IFERROR(INDEX('Fund Research'!$A$6:$A$505,MATCH(35,'Fund Research'!$U$6:$U$505,0)),"")</f>
        <v/>
      </c>
      <c r="C40" s="34" t="str">
        <f aca="false">IFERROR(INDEX('Fund Research'!$B$6:$B$505,MATCH(35,'Fund Research'!$U$6:$U$505,0)),"")</f>
        <v/>
      </c>
      <c r="D40" s="34" t="str">
        <f aca="false">IFERROR(INDEX('Fund Research'!$C$6:$C$505,MATCH(35,'Fund Research'!$U$6:$U$505,0)),"")</f>
        <v/>
      </c>
      <c r="E40" s="35" t="str">
        <f aca="false">IFERROR(INDEX('Fund Research'!$G$6:$G$505,MATCH(35,'Fund Research'!$U$6:$U$505,0)),"")</f>
        <v/>
      </c>
      <c r="F40" s="35" t="str">
        <f aca="false">IFERROR(INDEX('Fund Research'!$H$6:$H$505,MATCH(35,'Fund Research'!$U$6:$U$505,0)),"")</f>
        <v/>
      </c>
      <c r="G40" s="35" t="str">
        <f aca="false">IFERROR(INDEX('Fund Research'!$I$6:$I$505,MATCH(35,'Fund Research'!$U$6:$U$505,0)),"")</f>
        <v/>
      </c>
      <c r="H40" s="36" t="str">
        <f aca="false">IFERROR(INDEX('Fund Research'!$J$6:$J$505,MATCH(35,'Fund Research'!$U$6:$U$505,0)),"")</f>
        <v/>
      </c>
      <c r="I40" s="37" t="str">
        <f aca="false">IFERROR(INDEX('Fund Research'!$L$6:$L$505,MATCH(35,'Fund Research'!$U$6:$U$505,0)),"")</f>
        <v/>
      </c>
      <c r="J40" s="36" t="str">
        <f aca="false">IFERROR(INDEX('Fund Research'!$N$6:$N$505,MATCH(35,'Fund Research'!$U$6:$U$505,0)),"")</f>
        <v/>
      </c>
      <c r="K40" s="36" t="str">
        <f aca="false">IFERROR(INDEX('Fund Research'!$P$6:$P$505,MATCH(35,'Fund Research'!$U$6:$U$505,0)),"")</f>
        <v/>
      </c>
      <c r="L40" s="34" t="str">
        <f aca="false">IFERROR(INDEX('Fund Research'!$S$6:$S$505,MATCH(35,'Fund Research'!$U$6:$U$505,0)),"")</f>
        <v/>
      </c>
      <c r="M40" s="34" t="str">
        <f aca="false">IFERROR(INDEX('Fund Research'!$T$6:$T$505,MATCH(35,'Fund Research'!$U$6:$U$505,0)),"")</f>
        <v/>
      </c>
    </row>
    <row r="41" customFormat="false" ht="15" hidden="false" customHeight="true" outlineLevel="0" collapsed="false">
      <c r="A41" s="33" t="str">
        <f aca="false">IFERROR(IF(INDEX('Fund Research'!$B$6:$B$505,MATCH(36,'Fund Research'!$U$6:$U$505,0))="","",36),"")</f>
        <v/>
      </c>
      <c r="B41" s="34" t="str">
        <f aca="false">IFERROR(INDEX('Fund Research'!$A$6:$A$505,MATCH(36,'Fund Research'!$U$6:$U$505,0)),"")</f>
        <v/>
      </c>
      <c r="C41" s="34" t="str">
        <f aca="false">IFERROR(INDEX('Fund Research'!$B$6:$B$505,MATCH(36,'Fund Research'!$U$6:$U$505,0)),"")</f>
        <v/>
      </c>
      <c r="D41" s="34" t="str">
        <f aca="false">IFERROR(INDEX('Fund Research'!$C$6:$C$505,MATCH(36,'Fund Research'!$U$6:$U$505,0)),"")</f>
        <v/>
      </c>
      <c r="E41" s="35" t="str">
        <f aca="false">IFERROR(INDEX('Fund Research'!$G$6:$G$505,MATCH(36,'Fund Research'!$U$6:$U$505,0)),"")</f>
        <v/>
      </c>
      <c r="F41" s="35" t="str">
        <f aca="false">IFERROR(INDEX('Fund Research'!$H$6:$H$505,MATCH(36,'Fund Research'!$U$6:$U$505,0)),"")</f>
        <v/>
      </c>
      <c r="G41" s="35" t="str">
        <f aca="false">IFERROR(INDEX('Fund Research'!$I$6:$I$505,MATCH(36,'Fund Research'!$U$6:$U$505,0)),"")</f>
        <v/>
      </c>
      <c r="H41" s="36" t="str">
        <f aca="false">IFERROR(INDEX('Fund Research'!$J$6:$J$505,MATCH(36,'Fund Research'!$U$6:$U$505,0)),"")</f>
        <v/>
      </c>
      <c r="I41" s="37" t="str">
        <f aca="false">IFERROR(INDEX('Fund Research'!$L$6:$L$505,MATCH(36,'Fund Research'!$U$6:$U$505,0)),"")</f>
        <v/>
      </c>
      <c r="J41" s="36" t="str">
        <f aca="false">IFERROR(INDEX('Fund Research'!$N$6:$N$505,MATCH(36,'Fund Research'!$U$6:$U$505,0)),"")</f>
        <v/>
      </c>
      <c r="K41" s="36" t="str">
        <f aca="false">IFERROR(INDEX('Fund Research'!$P$6:$P$505,MATCH(36,'Fund Research'!$U$6:$U$505,0)),"")</f>
        <v/>
      </c>
      <c r="L41" s="34" t="str">
        <f aca="false">IFERROR(INDEX('Fund Research'!$S$6:$S$505,MATCH(36,'Fund Research'!$U$6:$U$505,0)),"")</f>
        <v/>
      </c>
      <c r="M41" s="34" t="str">
        <f aca="false">IFERROR(INDEX('Fund Research'!$T$6:$T$505,MATCH(36,'Fund Research'!$U$6:$U$505,0)),"")</f>
        <v/>
      </c>
    </row>
    <row r="42" customFormat="false" ht="15" hidden="false" customHeight="true" outlineLevel="0" collapsed="false">
      <c r="A42" s="33" t="str">
        <f aca="false">IFERROR(IF(INDEX('Fund Research'!$B$6:$B$505,MATCH(37,'Fund Research'!$U$6:$U$505,0))="","",37),"")</f>
        <v/>
      </c>
      <c r="B42" s="34" t="str">
        <f aca="false">IFERROR(INDEX('Fund Research'!$A$6:$A$505,MATCH(37,'Fund Research'!$U$6:$U$505,0)),"")</f>
        <v/>
      </c>
      <c r="C42" s="34" t="str">
        <f aca="false">IFERROR(INDEX('Fund Research'!$B$6:$B$505,MATCH(37,'Fund Research'!$U$6:$U$505,0)),"")</f>
        <v/>
      </c>
      <c r="D42" s="34" t="str">
        <f aca="false">IFERROR(INDEX('Fund Research'!$C$6:$C$505,MATCH(37,'Fund Research'!$U$6:$U$505,0)),"")</f>
        <v/>
      </c>
      <c r="E42" s="35" t="str">
        <f aca="false">IFERROR(INDEX('Fund Research'!$G$6:$G$505,MATCH(37,'Fund Research'!$U$6:$U$505,0)),"")</f>
        <v/>
      </c>
      <c r="F42" s="35" t="str">
        <f aca="false">IFERROR(INDEX('Fund Research'!$H$6:$H$505,MATCH(37,'Fund Research'!$U$6:$U$505,0)),"")</f>
        <v/>
      </c>
      <c r="G42" s="35" t="str">
        <f aca="false">IFERROR(INDEX('Fund Research'!$I$6:$I$505,MATCH(37,'Fund Research'!$U$6:$U$505,0)),"")</f>
        <v/>
      </c>
      <c r="H42" s="36" t="str">
        <f aca="false">IFERROR(INDEX('Fund Research'!$J$6:$J$505,MATCH(37,'Fund Research'!$U$6:$U$505,0)),"")</f>
        <v/>
      </c>
      <c r="I42" s="37" t="str">
        <f aca="false">IFERROR(INDEX('Fund Research'!$L$6:$L$505,MATCH(37,'Fund Research'!$U$6:$U$505,0)),"")</f>
        <v/>
      </c>
      <c r="J42" s="36" t="str">
        <f aca="false">IFERROR(INDEX('Fund Research'!$N$6:$N$505,MATCH(37,'Fund Research'!$U$6:$U$505,0)),"")</f>
        <v/>
      </c>
      <c r="K42" s="36" t="str">
        <f aca="false">IFERROR(INDEX('Fund Research'!$P$6:$P$505,MATCH(37,'Fund Research'!$U$6:$U$505,0)),"")</f>
        <v/>
      </c>
      <c r="L42" s="34" t="str">
        <f aca="false">IFERROR(INDEX('Fund Research'!$S$6:$S$505,MATCH(37,'Fund Research'!$U$6:$U$505,0)),"")</f>
        <v/>
      </c>
      <c r="M42" s="34" t="str">
        <f aca="false">IFERROR(INDEX('Fund Research'!$T$6:$T$505,MATCH(37,'Fund Research'!$U$6:$U$505,0)),"")</f>
        <v/>
      </c>
    </row>
    <row r="43" customFormat="false" ht="15" hidden="false" customHeight="true" outlineLevel="0" collapsed="false">
      <c r="A43" s="33" t="str">
        <f aca="false">IFERROR(IF(INDEX('Fund Research'!$B$6:$B$505,MATCH(38,'Fund Research'!$U$6:$U$505,0))="","",38),"")</f>
        <v/>
      </c>
      <c r="B43" s="34" t="str">
        <f aca="false">IFERROR(INDEX('Fund Research'!$A$6:$A$505,MATCH(38,'Fund Research'!$U$6:$U$505,0)),"")</f>
        <v/>
      </c>
      <c r="C43" s="34" t="str">
        <f aca="false">IFERROR(INDEX('Fund Research'!$B$6:$B$505,MATCH(38,'Fund Research'!$U$6:$U$505,0)),"")</f>
        <v/>
      </c>
      <c r="D43" s="34" t="str">
        <f aca="false">IFERROR(INDEX('Fund Research'!$C$6:$C$505,MATCH(38,'Fund Research'!$U$6:$U$505,0)),"")</f>
        <v/>
      </c>
      <c r="E43" s="35" t="str">
        <f aca="false">IFERROR(INDEX('Fund Research'!$G$6:$G$505,MATCH(38,'Fund Research'!$U$6:$U$505,0)),"")</f>
        <v/>
      </c>
      <c r="F43" s="35" t="str">
        <f aca="false">IFERROR(INDEX('Fund Research'!$H$6:$H$505,MATCH(38,'Fund Research'!$U$6:$U$505,0)),"")</f>
        <v/>
      </c>
      <c r="G43" s="35" t="str">
        <f aca="false">IFERROR(INDEX('Fund Research'!$I$6:$I$505,MATCH(38,'Fund Research'!$U$6:$U$505,0)),"")</f>
        <v/>
      </c>
      <c r="H43" s="36" t="str">
        <f aca="false">IFERROR(INDEX('Fund Research'!$J$6:$J$505,MATCH(38,'Fund Research'!$U$6:$U$505,0)),"")</f>
        <v/>
      </c>
      <c r="I43" s="37" t="str">
        <f aca="false">IFERROR(INDEX('Fund Research'!$L$6:$L$505,MATCH(38,'Fund Research'!$U$6:$U$505,0)),"")</f>
        <v/>
      </c>
      <c r="J43" s="36" t="str">
        <f aca="false">IFERROR(INDEX('Fund Research'!$N$6:$N$505,MATCH(38,'Fund Research'!$U$6:$U$505,0)),"")</f>
        <v/>
      </c>
      <c r="K43" s="36" t="str">
        <f aca="false">IFERROR(INDEX('Fund Research'!$P$6:$P$505,MATCH(38,'Fund Research'!$U$6:$U$505,0)),"")</f>
        <v/>
      </c>
      <c r="L43" s="34" t="str">
        <f aca="false">IFERROR(INDEX('Fund Research'!$S$6:$S$505,MATCH(38,'Fund Research'!$U$6:$U$505,0)),"")</f>
        <v/>
      </c>
      <c r="M43" s="34" t="str">
        <f aca="false">IFERROR(INDEX('Fund Research'!$T$6:$T$505,MATCH(38,'Fund Research'!$U$6:$U$505,0)),"")</f>
        <v/>
      </c>
    </row>
    <row r="44" customFormat="false" ht="15" hidden="false" customHeight="true" outlineLevel="0" collapsed="false">
      <c r="A44" s="33" t="str">
        <f aca="false">IFERROR(IF(INDEX('Fund Research'!$B$6:$B$505,MATCH(39,'Fund Research'!$U$6:$U$505,0))="","",39),"")</f>
        <v/>
      </c>
      <c r="B44" s="34" t="str">
        <f aca="false">IFERROR(INDEX('Fund Research'!$A$6:$A$505,MATCH(39,'Fund Research'!$U$6:$U$505,0)),"")</f>
        <v/>
      </c>
      <c r="C44" s="34" t="str">
        <f aca="false">IFERROR(INDEX('Fund Research'!$B$6:$B$505,MATCH(39,'Fund Research'!$U$6:$U$505,0)),"")</f>
        <v/>
      </c>
      <c r="D44" s="34" t="str">
        <f aca="false">IFERROR(INDEX('Fund Research'!$C$6:$C$505,MATCH(39,'Fund Research'!$U$6:$U$505,0)),"")</f>
        <v/>
      </c>
      <c r="E44" s="35" t="str">
        <f aca="false">IFERROR(INDEX('Fund Research'!$G$6:$G$505,MATCH(39,'Fund Research'!$U$6:$U$505,0)),"")</f>
        <v/>
      </c>
      <c r="F44" s="35" t="str">
        <f aca="false">IFERROR(INDEX('Fund Research'!$H$6:$H$505,MATCH(39,'Fund Research'!$U$6:$U$505,0)),"")</f>
        <v/>
      </c>
      <c r="G44" s="35" t="str">
        <f aca="false">IFERROR(INDEX('Fund Research'!$I$6:$I$505,MATCH(39,'Fund Research'!$U$6:$U$505,0)),"")</f>
        <v/>
      </c>
      <c r="H44" s="36" t="str">
        <f aca="false">IFERROR(INDEX('Fund Research'!$J$6:$J$505,MATCH(39,'Fund Research'!$U$6:$U$505,0)),"")</f>
        <v/>
      </c>
      <c r="I44" s="37" t="str">
        <f aca="false">IFERROR(INDEX('Fund Research'!$L$6:$L$505,MATCH(39,'Fund Research'!$U$6:$U$505,0)),"")</f>
        <v/>
      </c>
      <c r="J44" s="36" t="str">
        <f aca="false">IFERROR(INDEX('Fund Research'!$N$6:$N$505,MATCH(39,'Fund Research'!$U$6:$U$505,0)),"")</f>
        <v/>
      </c>
      <c r="K44" s="36" t="str">
        <f aca="false">IFERROR(INDEX('Fund Research'!$P$6:$P$505,MATCH(39,'Fund Research'!$U$6:$U$505,0)),"")</f>
        <v/>
      </c>
      <c r="L44" s="34" t="str">
        <f aca="false">IFERROR(INDEX('Fund Research'!$S$6:$S$505,MATCH(39,'Fund Research'!$U$6:$U$505,0)),"")</f>
        <v/>
      </c>
      <c r="M44" s="34" t="str">
        <f aca="false">IFERROR(INDEX('Fund Research'!$T$6:$T$505,MATCH(39,'Fund Research'!$U$6:$U$505,0)),"")</f>
        <v/>
      </c>
    </row>
    <row r="45" customFormat="false" ht="15" hidden="false" customHeight="true" outlineLevel="0" collapsed="false">
      <c r="A45" s="33" t="str">
        <f aca="false">IFERROR(IF(INDEX('Fund Research'!$B$6:$B$505,MATCH(40,'Fund Research'!$U$6:$U$505,0))="","",40),"")</f>
        <v/>
      </c>
      <c r="B45" s="34" t="str">
        <f aca="false">IFERROR(INDEX('Fund Research'!$A$6:$A$505,MATCH(40,'Fund Research'!$U$6:$U$505,0)),"")</f>
        <v/>
      </c>
      <c r="C45" s="34" t="str">
        <f aca="false">IFERROR(INDEX('Fund Research'!$B$6:$B$505,MATCH(40,'Fund Research'!$U$6:$U$505,0)),"")</f>
        <v/>
      </c>
      <c r="D45" s="34" t="str">
        <f aca="false">IFERROR(INDEX('Fund Research'!$C$6:$C$505,MATCH(40,'Fund Research'!$U$6:$U$505,0)),"")</f>
        <v/>
      </c>
      <c r="E45" s="35" t="str">
        <f aca="false">IFERROR(INDEX('Fund Research'!$G$6:$G$505,MATCH(40,'Fund Research'!$U$6:$U$505,0)),"")</f>
        <v/>
      </c>
      <c r="F45" s="35" t="str">
        <f aca="false">IFERROR(INDEX('Fund Research'!$H$6:$H$505,MATCH(40,'Fund Research'!$U$6:$U$505,0)),"")</f>
        <v/>
      </c>
      <c r="G45" s="35" t="str">
        <f aca="false">IFERROR(INDEX('Fund Research'!$I$6:$I$505,MATCH(40,'Fund Research'!$U$6:$U$505,0)),"")</f>
        <v/>
      </c>
      <c r="H45" s="36" t="str">
        <f aca="false">IFERROR(INDEX('Fund Research'!$J$6:$J$505,MATCH(40,'Fund Research'!$U$6:$U$505,0)),"")</f>
        <v/>
      </c>
      <c r="I45" s="37" t="str">
        <f aca="false">IFERROR(INDEX('Fund Research'!$L$6:$L$505,MATCH(40,'Fund Research'!$U$6:$U$505,0)),"")</f>
        <v/>
      </c>
      <c r="J45" s="36" t="str">
        <f aca="false">IFERROR(INDEX('Fund Research'!$N$6:$N$505,MATCH(40,'Fund Research'!$U$6:$U$505,0)),"")</f>
        <v/>
      </c>
      <c r="K45" s="36" t="str">
        <f aca="false">IFERROR(INDEX('Fund Research'!$P$6:$P$505,MATCH(40,'Fund Research'!$U$6:$U$505,0)),"")</f>
        <v/>
      </c>
      <c r="L45" s="34" t="str">
        <f aca="false">IFERROR(INDEX('Fund Research'!$S$6:$S$505,MATCH(40,'Fund Research'!$U$6:$U$505,0)),"")</f>
        <v/>
      </c>
      <c r="M45" s="34" t="str">
        <f aca="false">IFERROR(INDEX('Fund Research'!$T$6:$T$505,MATCH(40,'Fund Research'!$U$6:$U$505,0)),"")</f>
        <v/>
      </c>
    </row>
    <row r="46" customFormat="false" ht="15" hidden="false" customHeight="true" outlineLevel="0" collapsed="false">
      <c r="A46" s="33" t="str">
        <f aca="false">IFERROR(IF(INDEX('Fund Research'!$B$6:$B$505,MATCH(41,'Fund Research'!$U$6:$U$505,0))="","",41),"")</f>
        <v/>
      </c>
      <c r="B46" s="34" t="str">
        <f aca="false">IFERROR(INDEX('Fund Research'!$A$6:$A$505,MATCH(41,'Fund Research'!$U$6:$U$505,0)),"")</f>
        <v/>
      </c>
      <c r="C46" s="34" t="str">
        <f aca="false">IFERROR(INDEX('Fund Research'!$B$6:$B$505,MATCH(41,'Fund Research'!$U$6:$U$505,0)),"")</f>
        <v/>
      </c>
      <c r="D46" s="34" t="str">
        <f aca="false">IFERROR(INDEX('Fund Research'!$C$6:$C$505,MATCH(41,'Fund Research'!$U$6:$U$505,0)),"")</f>
        <v/>
      </c>
      <c r="E46" s="35" t="str">
        <f aca="false">IFERROR(INDEX('Fund Research'!$G$6:$G$505,MATCH(41,'Fund Research'!$U$6:$U$505,0)),"")</f>
        <v/>
      </c>
      <c r="F46" s="35" t="str">
        <f aca="false">IFERROR(INDEX('Fund Research'!$H$6:$H$505,MATCH(41,'Fund Research'!$U$6:$U$505,0)),"")</f>
        <v/>
      </c>
      <c r="G46" s="35" t="str">
        <f aca="false">IFERROR(INDEX('Fund Research'!$I$6:$I$505,MATCH(41,'Fund Research'!$U$6:$U$505,0)),"")</f>
        <v/>
      </c>
      <c r="H46" s="36" t="str">
        <f aca="false">IFERROR(INDEX('Fund Research'!$J$6:$J$505,MATCH(41,'Fund Research'!$U$6:$U$505,0)),"")</f>
        <v/>
      </c>
      <c r="I46" s="37" t="str">
        <f aca="false">IFERROR(INDEX('Fund Research'!$L$6:$L$505,MATCH(41,'Fund Research'!$U$6:$U$505,0)),"")</f>
        <v/>
      </c>
      <c r="J46" s="36" t="str">
        <f aca="false">IFERROR(INDEX('Fund Research'!$N$6:$N$505,MATCH(41,'Fund Research'!$U$6:$U$505,0)),"")</f>
        <v/>
      </c>
      <c r="K46" s="36" t="str">
        <f aca="false">IFERROR(INDEX('Fund Research'!$P$6:$P$505,MATCH(41,'Fund Research'!$U$6:$U$505,0)),"")</f>
        <v/>
      </c>
      <c r="L46" s="34" t="str">
        <f aca="false">IFERROR(INDEX('Fund Research'!$S$6:$S$505,MATCH(41,'Fund Research'!$U$6:$U$505,0)),"")</f>
        <v/>
      </c>
      <c r="M46" s="34" t="str">
        <f aca="false">IFERROR(INDEX('Fund Research'!$T$6:$T$505,MATCH(41,'Fund Research'!$U$6:$U$505,0)),"")</f>
        <v/>
      </c>
    </row>
    <row r="47" customFormat="false" ht="15" hidden="false" customHeight="true" outlineLevel="0" collapsed="false">
      <c r="A47" s="33" t="str">
        <f aca="false">IFERROR(IF(INDEX('Fund Research'!$B$6:$B$505,MATCH(42,'Fund Research'!$U$6:$U$505,0))="","",42),"")</f>
        <v/>
      </c>
      <c r="B47" s="34" t="str">
        <f aca="false">IFERROR(INDEX('Fund Research'!$A$6:$A$505,MATCH(42,'Fund Research'!$U$6:$U$505,0)),"")</f>
        <v/>
      </c>
      <c r="C47" s="34" t="str">
        <f aca="false">IFERROR(INDEX('Fund Research'!$B$6:$B$505,MATCH(42,'Fund Research'!$U$6:$U$505,0)),"")</f>
        <v/>
      </c>
      <c r="D47" s="34" t="str">
        <f aca="false">IFERROR(INDEX('Fund Research'!$C$6:$C$505,MATCH(42,'Fund Research'!$U$6:$U$505,0)),"")</f>
        <v/>
      </c>
      <c r="E47" s="35" t="str">
        <f aca="false">IFERROR(INDEX('Fund Research'!$G$6:$G$505,MATCH(42,'Fund Research'!$U$6:$U$505,0)),"")</f>
        <v/>
      </c>
      <c r="F47" s="35" t="str">
        <f aca="false">IFERROR(INDEX('Fund Research'!$H$6:$H$505,MATCH(42,'Fund Research'!$U$6:$U$505,0)),"")</f>
        <v/>
      </c>
      <c r="G47" s="35" t="str">
        <f aca="false">IFERROR(INDEX('Fund Research'!$I$6:$I$505,MATCH(42,'Fund Research'!$U$6:$U$505,0)),"")</f>
        <v/>
      </c>
      <c r="H47" s="36" t="str">
        <f aca="false">IFERROR(INDEX('Fund Research'!$J$6:$J$505,MATCH(42,'Fund Research'!$U$6:$U$505,0)),"")</f>
        <v/>
      </c>
      <c r="I47" s="37" t="str">
        <f aca="false">IFERROR(INDEX('Fund Research'!$L$6:$L$505,MATCH(42,'Fund Research'!$U$6:$U$505,0)),"")</f>
        <v/>
      </c>
      <c r="J47" s="36" t="str">
        <f aca="false">IFERROR(INDEX('Fund Research'!$N$6:$N$505,MATCH(42,'Fund Research'!$U$6:$U$505,0)),"")</f>
        <v/>
      </c>
      <c r="K47" s="36" t="str">
        <f aca="false">IFERROR(INDEX('Fund Research'!$P$6:$P$505,MATCH(42,'Fund Research'!$U$6:$U$505,0)),"")</f>
        <v/>
      </c>
      <c r="L47" s="34" t="str">
        <f aca="false">IFERROR(INDEX('Fund Research'!$S$6:$S$505,MATCH(42,'Fund Research'!$U$6:$U$505,0)),"")</f>
        <v/>
      </c>
      <c r="M47" s="34" t="str">
        <f aca="false">IFERROR(INDEX('Fund Research'!$T$6:$T$505,MATCH(42,'Fund Research'!$U$6:$U$505,0)),"")</f>
        <v/>
      </c>
    </row>
    <row r="48" customFormat="false" ht="15" hidden="false" customHeight="true" outlineLevel="0" collapsed="false">
      <c r="A48" s="33" t="str">
        <f aca="false">IFERROR(IF(INDEX('Fund Research'!$B$6:$B$505,MATCH(43,'Fund Research'!$U$6:$U$505,0))="","",43),"")</f>
        <v/>
      </c>
      <c r="B48" s="34" t="str">
        <f aca="false">IFERROR(INDEX('Fund Research'!$A$6:$A$505,MATCH(43,'Fund Research'!$U$6:$U$505,0)),"")</f>
        <v/>
      </c>
      <c r="C48" s="34" t="str">
        <f aca="false">IFERROR(INDEX('Fund Research'!$B$6:$B$505,MATCH(43,'Fund Research'!$U$6:$U$505,0)),"")</f>
        <v/>
      </c>
      <c r="D48" s="34" t="str">
        <f aca="false">IFERROR(INDEX('Fund Research'!$C$6:$C$505,MATCH(43,'Fund Research'!$U$6:$U$505,0)),"")</f>
        <v/>
      </c>
      <c r="E48" s="35" t="str">
        <f aca="false">IFERROR(INDEX('Fund Research'!$G$6:$G$505,MATCH(43,'Fund Research'!$U$6:$U$505,0)),"")</f>
        <v/>
      </c>
      <c r="F48" s="35" t="str">
        <f aca="false">IFERROR(INDEX('Fund Research'!$H$6:$H$505,MATCH(43,'Fund Research'!$U$6:$U$505,0)),"")</f>
        <v/>
      </c>
      <c r="G48" s="35" t="str">
        <f aca="false">IFERROR(INDEX('Fund Research'!$I$6:$I$505,MATCH(43,'Fund Research'!$U$6:$U$505,0)),"")</f>
        <v/>
      </c>
      <c r="H48" s="36" t="str">
        <f aca="false">IFERROR(INDEX('Fund Research'!$J$6:$J$505,MATCH(43,'Fund Research'!$U$6:$U$505,0)),"")</f>
        <v/>
      </c>
      <c r="I48" s="37" t="str">
        <f aca="false">IFERROR(INDEX('Fund Research'!$L$6:$L$505,MATCH(43,'Fund Research'!$U$6:$U$505,0)),"")</f>
        <v/>
      </c>
      <c r="J48" s="36" t="str">
        <f aca="false">IFERROR(INDEX('Fund Research'!$N$6:$N$505,MATCH(43,'Fund Research'!$U$6:$U$505,0)),"")</f>
        <v/>
      </c>
      <c r="K48" s="36" t="str">
        <f aca="false">IFERROR(INDEX('Fund Research'!$P$6:$P$505,MATCH(43,'Fund Research'!$U$6:$U$505,0)),"")</f>
        <v/>
      </c>
      <c r="L48" s="34" t="str">
        <f aca="false">IFERROR(INDEX('Fund Research'!$S$6:$S$505,MATCH(43,'Fund Research'!$U$6:$U$505,0)),"")</f>
        <v/>
      </c>
      <c r="M48" s="34" t="str">
        <f aca="false">IFERROR(INDEX('Fund Research'!$T$6:$T$505,MATCH(43,'Fund Research'!$U$6:$U$505,0)),"")</f>
        <v/>
      </c>
    </row>
    <row r="49" customFormat="false" ht="15" hidden="false" customHeight="true" outlineLevel="0" collapsed="false">
      <c r="A49" s="33" t="str">
        <f aca="false">IFERROR(IF(INDEX('Fund Research'!$B$6:$B$505,MATCH(44,'Fund Research'!$U$6:$U$505,0))="","",44),"")</f>
        <v/>
      </c>
      <c r="B49" s="34" t="str">
        <f aca="false">IFERROR(INDEX('Fund Research'!$A$6:$A$505,MATCH(44,'Fund Research'!$U$6:$U$505,0)),"")</f>
        <v/>
      </c>
      <c r="C49" s="34" t="str">
        <f aca="false">IFERROR(INDEX('Fund Research'!$B$6:$B$505,MATCH(44,'Fund Research'!$U$6:$U$505,0)),"")</f>
        <v/>
      </c>
      <c r="D49" s="34" t="str">
        <f aca="false">IFERROR(INDEX('Fund Research'!$C$6:$C$505,MATCH(44,'Fund Research'!$U$6:$U$505,0)),"")</f>
        <v/>
      </c>
      <c r="E49" s="35" t="str">
        <f aca="false">IFERROR(INDEX('Fund Research'!$G$6:$G$505,MATCH(44,'Fund Research'!$U$6:$U$505,0)),"")</f>
        <v/>
      </c>
      <c r="F49" s="35" t="str">
        <f aca="false">IFERROR(INDEX('Fund Research'!$H$6:$H$505,MATCH(44,'Fund Research'!$U$6:$U$505,0)),"")</f>
        <v/>
      </c>
      <c r="G49" s="35" t="str">
        <f aca="false">IFERROR(INDEX('Fund Research'!$I$6:$I$505,MATCH(44,'Fund Research'!$U$6:$U$505,0)),"")</f>
        <v/>
      </c>
      <c r="H49" s="36" t="str">
        <f aca="false">IFERROR(INDEX('Fund Research'!$J$6:$J$505,MATCH(44,'Fund Research'!$U$6:$U$505,0)),"")</f>
        <v/>
      </c>
      <c r="I49" s="37" t="str">
        <f aca="false">IFERROR(INDEX('Fund Research'!$L$6:$L$505,MATCH(44,'Fund Research'!$U$6:$U$505,0)),"")</f>
        <v/>
      </c>
      <c r="J49" s="36" t="str">
        <f aca="false">IFERROR(INDEX('Fund Research'!$N$6:$N$505,MATCH(44,'Fund Research'!$U$6:$U$505,0)),"")</f>
        <v/>
      </c>
      <c r="K49" s="36" t="str">
        <f aca="false">IFERROR(INDEX('Fund Research'!$P$6:$P$505,MATCH(44,'Fund Research'!$U$6:$U$505,0)),"")</f>
        <v/>
      </c>
      <c r="L49" s="34" t="str">
        <f aca="false">IFERROR(INDEX('Fund Research'!$S$6:$S$505,MATCH(44,'Fund Research'!$U$6:$U$505,0)),"")</f>
        <v/>
      </c>
      <c r="M49" s="34" t="str">
        <f aca="false">IFERROR(INDEX('Fund Research'!$T$6:$T$505,MATCH(44,'Fund Research'!$U$6:$U$505,0)),"")</f>
        <v/>
      </c>
    </row>
    <row r="50" customFormat="false" ht="15" hidden="false" customHeight="true" outlineLevel="0" collapsed="false">
      <c r="A50" s="33" t="str">
        <f aca="false">IFERROR(IF(INDEX('Fund Research'!$B$6:$B$505,MATCH(45,'Fund Research'!$U$6:$U$505,0))="","",45),"")</f>
        <v/>
      </c>
      <c r="B50" s="34" t="str">
        <f aca="false">IFERROR(INDEX('Fund Research'!$A$6:$A$505,MATCH(45,'Fund Research'!$U$6:$U$505,0)),"")</f>
        <v/>
      </c>
      <c r="C50" s="34" t="str">
        <f aca="false">IFERROR(INDEX('Fund Research'!$B$6:$B$505,MATCH(45,'Fund Research'!$U$6:$U$505,0)),"")</f>
        <v/>
      </c>
      <c r="D50" s="34" t="str">
        <f aca="false">IFERROR(INDEX('Fund Research'!$C$6:$C$505,MATCH(45,'Fund Research'!$U$6:$U$505,0)),"")</f>
        <v/>
      </c>
      <c r="E50" s="35" t="str">
        <f aca="false">IFERROR(INDEX('Fund Research'!$G$6:$G$505,MATCH(45,'Fund Research'!$U$6:$U$505,0)),"")</f>
        <v/>
      </c>
      <c r="F50" s="35" t="str">
        <f aca="false">IFERROR(INDEX('Fund Research'!$H$6:$H$505,MATCH(45,'Fund Research'!$U$6:$U$505,0)),"")</f>
        <v/>
      </c>
      <c r="G50" s="35" t="str">
        <f aca="false">IFERROR(INDEX('Fund Research'!$I$6:$I$505,MATCH(45,'Fund Research'!$U$6:$U$505,0)),"")</f>
        <v/>
      </c>
      <c r="H50" s="36" t="str">
        <f aca="false">IFERROR(INDEX('Fund Research'!$J$6:$J$505,MATCH(45,'Fund Research'!$U$6:$U$505,0)),"")</f>
        <v/>
      </c>
      <c r="I50" s="37" t="str">
        <f aca="false">IFERROR(INDEX('Fund Research'!$L$6:$L$505,MATCH(45,'Fund Research'!$U$6:$U$505,0)),"")</f>
        <v/>
      </c>
      <c r="J50" s="36" t="str">
        <f aca="false">IFERROR(INDEX('Fund Research'!$N$6:$N$505,MATCH(45,'Fund Research'!$U$6:$U$505,0)),"")</f>
        <v/>
      </c>
      <c r="K50" s="36" t="str">
        <f aca="false">IFERROR(INDEX('Fund Research'!$P$6:$P$505,MATCH(45,'Fund Research'!$U$6:$U$505,0)),"")</f>
        <v/>
      </c>
      <c r="L50" s="34" t="str">
        <f aca="false">IFERROR(INDEX('Fund Research'!$S$6:$S$505,MATCH(45,'Fund Research'!$U$6:$U$505,0)),"")</f>
        <v/>
      </c>
      <c r="M50" s="34" t="str">
        <f aca="false">IFERROR(INDEX('Fund Research'!$T$6:$T$505,MATCH(45,'Fund Research'!$U$6:$U$505,0)),"")</f>
        <v/>
      </c>
    </row>
    <row r="51" customFormat="false" ht="15" hidden="false" customHeight="true" outlineLevel="0" collapsed="false">
      <c r="A51" s="33" t="str">
        <f aca="false">IFERROR(IF(INDEX('Fund Research'!$B$6:$B$505,MATCH(46,'Fund Research'!$U$6:$U$505,0))="","",46),"")</f>
        <v/>
      </c>
      <c r="B51" s="34" t="str">
        <f aca="false">IFERROR(INDEX('Fund Research'!$A$6:$A$505,MATCH(46,'Fund Research'!$U$6:$U$505,0)),"")</f>
        <v/>
      </c>
      <c r="C51" s="34" t="str">
        <f aca="false">IFERROR(INDEX('Fund Research'!$B$6:$B$505,MATCH(46,'Fund Research'!$U$6:$U$505,0)),"")</f>
        <v/>
      </c>
      <c r="D51" s="34" t="str">
        <f aca="false">IFERROR(INDEX('Fund Research'!$C$6:$C$505,MATCH(46,'Fund Research'!$U$6:$U$505,0)),"")</f>
        <v/>
      </c>
      <c r="E51" s="35" t="str">
        <f aca="false">IFERROR(INDEX('Fund Research'!$G$6:$G$505,MATCH(46,'Fund Research'!$U$6:$U$505,0)),"")</f>
        <v/>
      </c>
      <c r="F51" s="35" t="str">
        <f aca="false">IFERROR(INDEX('Fund Research'!$H$6:$H$505,MATCH(46,'Fund Research'!$U$6:$U$505,0)),"")</f>
        <v/>
      </c>
      <c r="G51" s="35" t="str">
        <f aca="false">IFERROR(INDEX('Fund Research'!$I$6:$I$505,MATCH(46,'Fund Research'!$U$6:$U$505,0)),"")</f>
        <v/>
      </c>
      <c r="H51" s="36" t="str">
        <f aca="false">IFERROR(INDEX('Fund Research'!$J$6:$J$505,MATCH(46,'Fund Research'!$U$6:$U$505,0)),"")</f>
        <v/>
      </c>
      <c r="I51" s="37" t="str">
        <f aca="false">IFERROR(INDEX('Fund Research'!$L$6:$L$505,MATCH(46,'Fund Research'!$U$6:$U$505,0)),"")</f>
        <v/>
      </c>
      <c r="J51" s="36" t="str">
        <f aca="false">IFERROR(INDEX('Fund Research'!$N$6:$N$505,MATCH(46,'Fund Research'!$U$6:$U$505,0)),"")</f>
        <v/>
      </c>
      <c r="K51" s="36" t="str">
        <f aca="false">IFERROR(INDEX('Fund Research'!$P$6:$P$505,MATCH(46,'Fund Research'!$U$6:$U$505,0)),"")</f>
        <v/>
      </c>
      <c r="L51" s="34" t="str">
        <f aca="false">IFERROR(INDEX('Fund Research'!$S$6:$S$505,MATCH(46,'Fund Research'!$U$6:$U$505,0)),"")</f>
        <v/>
      </c>
      <c r="M51" s="34" t="str">
        <f aca="false">IFERROR(INDEX('Fund Research'!$T$6:$T$505,MATCH(46,'Fund Research'!$U$6:$U$505,0)),"")</f>
        <v/>
      </c>
    </row>
    <row r="52" customFormat="false" ht="15" hidden="false" customHeight="true" outlineLevel="0" collapsed="false">
      <c r="A52" s="33" t="str">
        <f aca="false">IFERROR(IF(INDEX('Fund Research'!$B$6:$B$505,MATCH(47,'Fund Research'!$U$6:$U$505,0))="","",47),"")</f>
        <v/>
      </c>
      <c r="B52" s="34" t="str">
        <f aca="false">IFERROR(INDEX('Fund Research'!$A$6:$A$505,MATCH(47,'Fund Research'!$U$6:$U$505,0)),"")</f>
        <v/>
      </c>
      <c r="C52" s="34" t="str">
        <f aca="false">IFERROR(INDEX('Fund Research'!$B$6:$B$505,MATCH(47,'Fund Research'!$U$6:$U$505,0)),"")</f>
        <v/>
      </c>
      <c r="D52" s="34" t="str">
        <f aca="false">IFERROR(INDEX('Fund Research'!$C$6:$C$505,MATCH(47,'Fund Research'!$U$6:$U$505,0)),"")</f>
        <v/>
      </c>
      <c r="E52" s="35" t="str">
        <f aca="false">IFERROR(INDEX('Fund Research'!$G$6:$G$505,MATCH(47,'Fund Research'!$U$6:$U$505,0)),"")</f>
        <v/>
      </c>
      <c r="F52" s="35" t="str">
        <f aca="false">IFERROR(INDEX('Fund Research'!$H$6:$H$505,MATCH(47,'Fund Research'!$U$6:$U$505,0)),"")</f>
        <v/>
      </c>
      <c r="G52" s="35" t="str">
        <f aca="false">IFERROR(INDEX('Fund Research'!$I$6:$I$505,MATCH(47,'Fund Research'!$U$6:$U$505,0)),"")</f>
        <v/>
      </c>
      <c r="H52" s="36" t="str">
        <f aca="false">IFERROR(INDEX('Fund Research'!$J$6:$J$505,MATCH(47,'Fund Research'!$U$6:$U$505,0)),"")</f>
        <v/>
      </c>
      <c r="I52" s="37" t="str">
        <f aca="false">IFERROR(INDEX('Fund Research'!$L$6:$L$505,MATCH(47,'Fund Research'!$U$6:$U$505,0)),"")</f>
        <v/>
      </c>
      <c r="J52" s="36" t="str">
        <f aca="false">IFERROR(INDEX('Fund Research'!$N$6:$N$505,MATCH(47,'Fund Research'!$U$6:$U$505,0)),"")</f>
        <v/>
      </c>
      <c r="K52" s="36" t="str">
        <f aca="false">IFERROR(INDEX('Fund Research'!$P$6:$P$505,MATCH(47,'Fund Research'!$U$6:$U$505,0)),"")</f>
        <v/>
      </c>
      <c r="L52" s="34" t="str">
        <f aca="false">IFERROR(INDEX('Fund Research'!$S$6:$S$505,MATCH(47,'Fund Research'!$U$6:$U$505,0)),"")</f>
        <v/>
      </c>
      <c r="M52" s="34" t="str">
        <f aca="false">IFERROR(INDEX('Fund Research'!$T$6:$T$505,MATCH(47,'Fund Research'!$U$6:$U$505,0)),"")</f>
        <v/>
      </c>
    </row>
    <row r="53" customFormat="false" ht="15" hidden="false" customHeight="true" outlineLevel="0" collapsed="false">
      <c r="A53" s="33" t="str">
        <f aca="false">IFERROR(IF(INDEX('Fund Research'!$B$6:$B$505,MATCH(48,'Fund Research'!$U$6:$U$505,0))="","",48),"")</f>
        <v/>
      </c>
      <c r="B53" s="34" t="str">
        <f aca="false">IFERROR(INDEX('Fund Research'!$A$6:$A$505,MATCH(48,'Fund Research'!$U$6:$U$505,0)),"")</f>
        <v/>
      </c>
      <c r="C53" s="34" t="str">
        <f aca="false">IFERROR(INDEX('Fund Research'!$B$6:$B$505,MATCH(48,'Fund Research'!$U$6:$U$505,0)),"")</f>
        <v/>
      </c>
      <c r="D53" s="34" t="str">
        <f aca="false">IFERROR(INDEX('Fund Research'!$C$6:$C$505,MATCH(48,'Fund Research'!$U$6:$U$505,0)),"")</f>
        <v/>
      </c>
      <c r="E53" s="35" t="str">
        <f aca="false">IFERROR(INDEX('Fund Research'!$G$6:$G$505,MATCH(48,'Fund Research'!$U$6:$U$505,0)),"")</f>
        <v/>
      </c>
      <c r="F53" s="35" t="str">
        <f aca="false">IFERROR(INDEX('Fund Research'!$H$6:$H$505,MATCH(48,'Fund Research'!$U$6:$U$505,0)),"")</f>
        <v/>
      </c>
      <c r="G53" s="35" t="str">
        <f aca="false">IFERROR(INDEX('Fund Research'!$I$6:$I$505,MATCH(48,'Fund Research'!$U$6:$U$505,0)),"")</f>
        <v/>
      </c>
      <c r="H53" s="36" t="str">
        <f aca="false">IFERROR(INDEX('Fund Research'!$J$6:$J$505,MATCH(48,'Fund Research'!$U$6:$U$505,0)),"")</f>
        <v/>
      </c>
      <c r="I53" s="37" t="str">
        <f aca="false">IFERROR(INDEX('Fund Research'!$L$6:$L$505,MATCH(48,'Fund Research'!$U$6:$U$505,0)),"")</f>
        <v/>
      </c>
      <c r="J53" s="36" t="str">
        <f aca="false">IFERROR(INDEX('Fund Research'!$N$6:$N$505,MATCH(48,'Fund Research'!$U$6:$U$505,0)),"")</f>
        <v/>
      </c>
      <c r="K53" s="36" t="str">
        <f aca="false">IFERROR(INDEX('Fund Research'!$P$6:$P$505,MATCH(48,'Fund Research'!$U$6:$U$505,0)),"")</f>
        <v/>
      </c>
      <c r="L53" s="34" t="str">
        <f aca="false">IFERROR(INDEX('Fund Research'!$S$6:$S$505,MATCH(48,'Fund Research'!$U$6:$U$505,0)),"")</f>
        <v/>
      </c>
      <c r="M53" s="34" t="str">
        <f aca="false">IFERROR(INDEX('Fund Research'!$T$6:$T$505,MATCH(48,'Fund Research'!$U$6:$U$505,0)),"")</f>
        <v/>
      </c>
    </row>
    <row r="54" customFormat="false" ht="15" hidden="false" customHeight="true" outlineLevel="0" collapsed="false">
      <c r="A54" s="33" t="str">
        <f aca="false">IFERROR(IF(INDEX('Fund Research'!$B$6:$B$505,MATCH(49,'Fund Research'!$U$6:$U$505,0))="","",49),"")</f>
        <v/>
      </c>
      <c r="B54" s="34" t="str">
        <f aca="false">IFERROR(INDEX('Fund Research'!$A$6:$A$505,MATCH(49,'Fund Research'!$U$6:$U$505,0)),"")</f>
        <v/>
      </c>
      <c r="C54" s="34" t="str">
        <f aca="false">IFERROR(INDEX('Fund Research'!$B$6:$B$505,MATCH(49,'Fund Research'!$U$6:$U$505,0)),"")</f>
        <v/>
      </c>
      <c r="D54" s="34" t="str">
        <f aca="false">IFERROR(INDEX('Fund Research'!$C$6:$C$505,MATCH(49,'Fund Research'!$U$6:$U$505,0)),"")</f>
        <v/>
      </c>
      <c r="E54" s="35" t="str">
        <f aca="false">IFERROR(INDEX('Fund Research'!$G$6:$G$505,MATCH(49,'Fund Research'!$U$6:$U$505,0)),"")</f>
        <v/>
      </c>
      <c r="F54" s="35" t="str">
        <f aca="false">IFERROR(INDEX('Fund Research'!$H$6:$H$505,MATCH(49,'Fund Research'!$U$6:$U$505,0)),"")</f>
        <v/>
      </c>
      <c r="G54" s="35" t="str">
        <f aca="false">IFERROR(INDEX('Fund Research'!$I$6:$I$505,MATCH(49,'Fund Research'!$U$6:$U$505,0)),"")</f>
        <v/>
      </c>
      <c r="H54" s="36" t="str">
        <f aca="false">IFERROR(INDEX('Fund Research'!$J$6:$J$505,MATCH(49,'Fund Research'!$U$6:$U$505,0)),"")</f>
        <v/>
      </c>
      <c r="I54" s="37" t="str">
        <f aca="false">IFERROR(INDEX('Fund Research'!$L$6:$L$505,MATCH(49,'Fund Research'!$U$6:$U$505,0)),"")</f>
        <v/>
      </c>
      <c r="J54" s="36" t="str">
        <f aca="false">IFERROR(INDEX('Fund Research'!$N$6:$N$505,MATCH(49,'Fund Research'!$U$6:$U$505,0)),"")</f>
        <v/>
      </c>
      <c r="K54" s="36" t="str">
        <f aca="false">IFERROR(INDEX('Fund Research'!$P$6:$P$505,MATCH(49,'Fund Research'!$U$6:$U$505,0)),"")</f>
        <v/>
      </c>
      <c r="L54" s="34" t="str">
        <f aca="false">IFERROR(INDEX('Fund Research'!$S$6:$S$505,MATCH(49,'Fund Research'!$U$6:$U$505,0)),"")</f>
        <v/>
      </c>
      <c r="M54" s="34" t="str">
        <f aca="false">IFERROR(INDEX('Fund Research'!$T$6:$T$505,MATCH(49,'Fund Research'!$U$6:$U$505,0)),"")</f>
        <v/>
      </c>
    </row>
    <row r="55" customFormat="false" ht="15" hidden="false" customHeight="true" outlineLevel="0" collapsed="false">
      <c r="A55" s="33" t="str">
        <f aca="false">IFERROR(IF(INDEX('Fund Research'!$B$6:$B$505,MATCH(50,'Fund Research'!$U$6:$U$505,0))="","",50),"")</f>
        <v/>
      </c>
      <c r="B55" s="34" t="str">
        <f aca="false">IFERROR(INDEX('Fund Research'!$A$6:$A$505,MATCH(50,'Fund Research'!$U$6:$U$505,0)),"")</f>
        <v/>
      </c>
      <c r="C55" s="34" t="str">
        <f aca="false">IFERROR(INDEX('Fund Research'!$B$6:$B$505,MATCH(50,'Fund Research'!$U$6:$U$505,0)),"")</f>
        <v/>
      </c>
      <c r="D55" s="34" t="str">
        <f aca="false">IFERROR(INDEX('Fund Research'!$C$6:$C$505,MATCH(50,'Fund Research'!$U$6:$U$505,0)),"")</f>
        <v/>
      </c>
      <c r="E55" s="35" t="str">
        <f aca="false">IFERROR(INDEX('Fund Research'!$G$6:$G$505,MATCH(50,'Fund Research'!$U$6:$U$505,0)),"")</f>
        <v/>
      </c>
      <c r="F55" s="35" t="str">
        <f aca="false">IFERROR(INDEX('Fund Research'!$H$6:$H$505,MATCH(50,'Fund Research'!$U$6:$U$505,0)),"")</f>
        <v/>
      </c>
      <c r="G55" s="35" t="str">
        <f aca="false">IFERROR(INDEX('Fund Research'!$I$6:$I$505,MATCH(50,'Fund Research'!$U$6:$U$505,0)),"")</f>
        <v/>
      </c>
      <c r="H55" s="36" t="str">
        <f aca="false">IFERROR(INDEX('Fund Research'!$J$6:$J$505,MATCH(50,'Fund Research'!$U$6:$U$505,0)),"")</f>
        <v/>
      </c>
      <c r="I55" s="37" t="str">
        <f aca="false">IFERROR(INDEX('Fund Research'!$L$6:$L$505,MATCH(50,'Fund Research'!$U$6:$U$505,0)),"")</f>
        <v/>
      </c>
      <c r="J55" s="36" t="str">
        <f aca="false">IFERROR(INDEX('Fund Research'!$N$6:$N$505,MATCH(50,'Fund Research'!$U$6:$U$505,0)),"")</f>
        <v/>
      </c>
      <c r="K55" s="36" t="str">
        <f aca="false">IFERROR(INDEX('Fund Research'!$P$6:$P$505,MATCH(50,'Fund Research'!$U$6:$U$505,0)),"")</f>
        <v/>
      </c>
      <c r="L55" s="34" t="str">
        <f aca="false">IFERROR(INDEX('Fund Research'!$S$6:$S$505,MATCH(50,'Fund Research'!$U$6:$U$505,0)),"")</f>
        <v/>
      </c>
      <c r="M55" s="34" t="str">
        <f aca="false">IFERROR(INDEX('Fund Research'!$T$6:$T$505,MATCH(50,'Fund Research'!$U$6:$U$505,0)),"")</f>
        <v/>
      </c>
    </row>
    <row r="56" customFormat="false" ht="15" hidden="false" customHeight="true" outlineLevel="0" collapsed="false">
      <c r="A56" s="33" t="str">
        <f aca="false">IFERROR(IF(INDEX('Fund Research'!$B$6:$B$505,MATCH(51,'Fund Research'!$U$6:$U$505,0))="","",51),"")</f>
        <v/>
      </c>
      <c r="B56" s="34" t="str">
        <f aca="false">IFERROR(INDEX('Fund Research'!$A$6:$A$505,MATCH(51,'Fund Research'!$U$6:$U$505,0)),"")</f>
        <v/>
      </c>
      <c r="C56" s="34" t="str">
        <f aca="false">IFERROR(INDEX('Fund Research'!$B$6:$B$505,MATCH(51,'Fund Research'!$U$6:$U$505,0)),"")</f>
        <v/>
      </c>
      <c r="D56" s="34" t="str">
        <f aca="false">IFERROR(INDEX('Fund Research'!$C$6:$C$505,MATCH(51,'Fund Research'!$U$6:$U$505,0)),"")</f>
        <v/>
      </c>
      <c r="E56" s="35" t="str">
        <f aca="false">IFERROR(INDEX('Fund Research'!$G$6:$G$505,MATCH(51,'Fund Research'!$U$6:$U$505,0)),"")</f>
        <v/>
      </c>
      <c r="F56" s="35" t="str">
        <f aca="false">IFERROR(INDEX('Fund Research'!$H$6:$H$505,MATCH(51,'Fund Research'!$U$6:$U$505,0)),"")</f>
        <v/>
      </c>
      <c r="G56" s="35" t="str">
        <f aca="false">IFERROR(INDEX('Fund Research'!$I$6:$I$505,MATCH(51,'Fund Research'!$U$6:$U$505,0)),"")</f>
        <v/>
      </c>
      <c r="H56" s="36" t="str">
        <f aca="false">IFERROR(INDEX('Fund Research'!$J$6:$J$505,MATCH(51,'Fund Research'!$U$6:$U$505,0)),"")</f>
        <v/>
      </c>
      <c r="I56" s="37" t="str">
        <f aca="false">IFERROR(INDEX('Fund Research'!$L$6:$L$505,MATCH(51,'Fund Research'!$U$6:$U$505,0)),"")</f>
        <v/>
      </c>
      <c r="J56" s="36" t="str">
        <f aca="false">IFERROR(INDEX('Fund Research'!$N$6:$N$505,MATCH(51,'Fund Research'!$U$6:$U$505,0)),"")</f>
        <v/>
      </c>
      <c r="K56" s="36" t="str">
        <f aca="false">IFERROR(INDEX('Fund Research'!$P$6:$P$505,MATCH(51,'Fund Research'!$U$6:$U$505,0)),"")</f>
        <v/>
      </c>
      <c r="L56" s="34" t="str">
        <f aca="false">IFERROR(INDEX('Fund Research'!$S$6:$S$505,MATCH(51,'Fund Research'!$U$6:$U$505,0)),"")</f>
        <v/>
      </c>
      <c r="M56" s="34" t="str">
        <f aca="false">IFERROR(INDEX('Fund Research'!$T$6:$T$505,MATCH(51,'Fund Research'!$U$6:$U$505,0)),"")</f>
        <v/>
      </c>
    </row>
    <row r="57" customFormat="false" ht="15" hidden="false" customHeight="true" outlineLevel="0" collapsed="false">
      <c r="A57" s="33" t="str">
        <f aca="false">IFERROR(IF(INDEX('Fund Research'!$B$6:$B$505,MATCH(52,'Fund Research'!$U$6:$U$505,0))="","",52),"")</f>
        <v/>
      </c>
      <c r="B57" s="34" t="str">
        <f aca="false">IFERROR(INDEX('Fund Research'!$A$6:$A$505,MATCH(52,'Fund Research'!$U$6:$U$505,0)),"")</f>
        <v/>
      </c>
      <c r="C57" s="34" t="str">
        <f aca="false">IFERROR(INDEX('Fund Research'!$B$6:$B$505,MATCH(52,'Fund Research'!$U$6:$U$505,0)),"")</f>
        <v/>
      </c>
      <c r="D57" s="34" t="str">
        <f aca="false">IFERROR(INDEX('Fund Research'!$C$6:$C$505,MATCH(52,'Fund Research'!$U$6:$U$505,0)),"")</f>
        <v/>
      </c>
      <c r="E57" s="35" t="str">
        <f aca="false">IFERROR(INDEX('Fund Research'!$G$6:$G$505,MATCH(52,'Fund Research'!$U$6:$U$505,0)),"")</f>
        <v/>
      </c>
      <c r="F57" s="35" t="str">
        <f aca="false">IFERROR(INDEX('Fund Research'!$H$6:$H$505,MATCH(52,'Fund Research'!$U$6:$U$505,0)),"")</f>
        <v/>
      </c>
      <c r="G57" s="35" t="str">
        <f aca="false">IFERROR(INDEX('Fund Research'!$I$6:$I$505,MATCH(52,'Fund Research'!$U$6:$U$505,0)),"")</f>
        <v/>
      </c>
      <c r="H57" s="36" t="str">
        <f aca="false">IFERROR(INDEX('Fund Research'!$J$6:$J$505,MATCH(52,'Fund Research'!$U$6:$U$505,0)),"")</f>
        <v/>
      </c>
      <c r="I57" s="37" t="str">
        <f aca="false">IFERROR(INDEX('Fund Research'!$L$6:$L$505,MATCH(52,'Fund Research'!$U$6:$U$505,0)),"")</f>
        <v/>
      </c>
      <c r="J57" s="36" t="str">
        <f aca="false">IFERROR(INDEX('Fund Research'!$N$6:$N$505,MATCH(52,'Fund Research'!$U$6:$U$505,0)),"")</f>
        <v/>
      </c>
      <c r="K57" s="36" t="str">
        <f aca="false">IFERROR(INDEX('Fund Research'!$P$6:$P$505,MATCH(52,'Fund Research'!$U$6:$U$505,0)),"")</f>
        <v/>
      </c>
      <c r="L57" s="34" t="str">
        <f aca="false">IFERROR(INDEX('Fund Research'!$S$6:$S$505,MATCH(52,'Fund Research'!$U$6:$U$505,0)),"")</f>
        <v/>
      </c>
      <c r="M57" s="34" t="str">
        <f aca="false">IFERROR(INDEX('Fund Research'!$T$6:$T$505,MATCH(52,'Fund Research'!$U$6:$U$505,0)),"")</f>
        <v/>
      </c>
    </row>
    <row r="58" customFormat="false" ht="15" hidden="false" customHeight="true" outlineLevel="0" collapsed="false">
      <c r="A58" s="33" t="str">
        <f aca="false">IFERROR(IF(INDEX('Fund Research'!$B$6:$B$505,MATCH(53,'Fund Research'!$U$6:$U$505,0))="","",53),"")</f>
        <v/>
      </c>
      <c r="B58" s="34" t="str">
        <f aca="false">IFERROR(INDEX('Fund Research'!$A$6:$A$505,MATCH(53,'Fund Research'!$U$6:$U$505,0)),"")</f>
        <v/>
      </c>
      <c r="C58" s="34" t="str">
        <f aca="false">IFERROR(INDEX('Fund Research'!$B$6:$B$505,MATCH(53,'Fund Research'!$U$6:$U$505,0)),"")</f>
        <v/>
      </c>
      <c r="D58" s="34" t="str">
        <f aca="false">IFERROR(INDEX('Fund Research'!$C$6:$C$505,MATCH(53,'Fund Research'!$U$6:$U$505,0)),"")</f>
        <v/>
      </c>
      <c r="E58" s="35" t="str">
        <f aca="false">IFERROR(INDEX('Fund Research'!$G$6:$G$505,MATCH(53,'Fund Research'!$U$6:$U$505,0)),"")</f>
        <v/>
      </c>
      <c r="F58" s="35" t="str">
        <f aca="false">IFERROR(INDEX('Fund Research'!$H$6:$H$505,MATCH(53,'Fund Research'!$U$6:$U$505,0)),"")</f>
        <v/>
      </c>
      <c r="G58" s="35" t="str">
        <f aca="false">IFERROR(INDEX('Fund Research'!$I$6:$I$505,MATCH(53,'Fund Research'!$U$6:$U$505,0)),"")</f>
        <v/>
      </c>
      <c r="H58" s="36" t="str">
        <f aca="false">IFERROR(INDEX('Fund Research'!$J$6:$J$505,MATCH(53,'Fund Research'!$U$6:$U$505,0)),"")</f>
        <v/>
      </c>
      <c r="I58" s="37" t="str">
        <f aca="false">IFERROR(INDEX('Fund Research'!$L$6:$L$505,MATCH(53,'Fund Research'!$U$6:$U$505,0)),"")</f>
        <v/>
      </c>
      <c r="J58" s="36" t="str">
        <f aca="false">IFERROR(INDEX('Fund Research'!$N$6:$N$505,MATCH(53,'Fund Research'!$U$6:$U$505,0)),"")</f>
        <v/>
      </c>
      <c r="K58" s="36" t="str">
        <f aca="false">IFERROR(INDEX('Fund Research'!$P$6:$P$505,MATCH(53,'Fund Research'!$U$6:$U$505,0)),"")</f>
        <v/>
      </c>
      <c r="L58" s="34" t="str">
        <f aca="false">IFERROR(INDEX('Fund Research'!$S$6:$S$505,MATCH(53,'Fund Research'!$U$6:$U$505,0)),"")</f>
        <v/>
      </c>
      <c r="M58" s="34" t="str">
        <f aca="false">IFERROR(INDEX('Fund Research'!$T$6:$T$505,MATCH(53,'Fund Research'!$U$6:$U$505,0)),"")</f>
        <v/>
      </c>
    </row>
    <row r="59" customFormat="false" ht="15" hidden="false" customHeight="true" outlineLevel="0" collapsed="false">
      <c r="A59" s="33" t="str">
        <f aca="false">IFERROR(IF(INDEX('Fund Research'!$B$6:$B$505,MATCH(54,'Fund Research'!$U$6:$U$505,0))="","",54),"")</f>
        <v/>
      </c>
      <c r="B59" s="34" t="str">
        <f aca="false">IFERROR(INDEX('Fund Research'!$A$6:$A$505,MATCH(54,'Fund Research'!$U$6:$U$505,0)),"")</f>
        <v/>
      </c>
      <c r="C59" s="34" t="str">
        <f aca="false">IFERROR(INDEX('Fund Research'!$B$6:$B$505,MATCH(54,'Fund Research'!$U$6:$U$505,0)),"")</f>
        <v/>
      </c>
      <c r="D59" s="34" t="str">
        <f aca="false">IFERROR(INDEX('Fund Research'!$C$6:$C$505,MATCH(54,'Fund Research'!$U$6:$U$505,0)),"")</f>
        <v/>
      </c>
      <c r="E59" s="35" t="str">
        <f aca="false">IFERROR(INDEX('Fund Research'!$G$6:$G$505,MATCH(54,'Fund Research'!$U$6:$U$505,0)),"")</f>
        <v/>
      </c>
      <c r="F59" s="35" t="str">
        <f aca="false">IFERROR(INDEX('Fund Research'!$H$6:$H$505,MATCH(54,'Fund Research'!$U$6:$U$505,0)),"")</f>
        <v/>
      </c>
      <c r="G59" s="35" t="str">
        <f aca="false">IFERROR(INDEX('Fund Research'!$I$6:$I$505,MATCH(54,'Fund Research'!$U$6:$U$505,0)),"")</f>
        <v/>
      </c>
      <c r="H59" s="36" t="str">
        <f aca="false">IFERROR(INDEX('Fund Research'!$J$6:$J$505,MATCH(54,'Fund Research'!$U$6:$U$505,0)),"")</f>
        <v/>
      </c>
      <c r="I59" s="37" t="str">
        <f aca="false">IFERROR(INDEX('Fund Research'!$L$6:$L$505,MATCH(54,'Fund Research'!$U$6:$U$505,0)),"")</f>
        <v/>
      </c>
      <c r="J59" s="36" t="str">
        <f aca="false">IFERROR(INDEX('Fund Research'!$N$6:$N$505,MATCH(54,'Fund Research'!$U$6:$U$505,0)),"")</f>
        <v/>
      </c>
      <c r="K59" s="36" t="str">
        <f aca="false">IFERROR(INDEX('Fund Research'!$P$6:$P$505,MATCH(54,'Fund Research'!$U$6:$U$505,0)),"")</f>
        <v/>
      </c>
      <c r="L59" s="34" t="str">
        <f aca="false">IFERROR(INDEX('Fund Research'!$S$6:$S$505,MATCH(54,'Fund Research'!$U$6:$U$505,0)),"")</f>
        <v/>
      </c>
      <c r="M59" s="34" t="str">
        <f aca="false">IFERROR(INDEX('Fund Research'!$T$6:$T$505,MATCH(54,'Fund Research'!$U$6:$U$505,0)),"")</f>
        <v/>
      </c>
    </row>
    <row r="60" customFormat="false" ht="15" hidden="false" customHeight="true" outlineLevel="0" collapsed="false">
      <c r="A60" s="33" t="str">
        <f aca="false">IFERROR(IF(INDEX('Fund Research'!$B$6:$B$505,MATCH(55,'Fund Research'!$U$6:$U$505,0))="","",55),"")</f>
        <v/>
      </c>
      <c r="B60" s="34" t="str">
        <f aca="false">IFERROR(INDEX('Fund Research'!$A$6:$A$505,MATCH(55,'Fund Research'!$U$6:$U$505,0)),"")</f>
        <v/>
      </c>
      <c r="C60" s="34" t="str">
        <f aca="false">IFERROR(INDEX('Fund Research'!$B$6:$B$505,MATCH(55,'Fund Research'!$U$6:$U$505,0)),"")</f>
        <v/>
      </c>
      <c r="D60" s="34" t="str">
        <f aca="false">IFERROR(INDEX('Fund Research'!$C$6:$C$505,MATCH(55,'Fund Research'!$U$6:$U$505,0)),"")</f>
        <v/>
      </c>
      <c r="E60" s="35" t="str">
        <f aca="false">IFERROR(INDEX('Fund Research'!$G$6:$G$505,MATCH(55,'Fund Research'!$U$6:$U$505,0)),"")</f>
        <v/>
      </c>
      <c r="F60" s="35" t="str">
        <f aca="false">IFERROR(INDEX('Fund Research'!$H$6:$H$505,MATCH(55,'Fund Research'!$U$6:$U$505,0)),"")</f>
        <v/>
      </c>
      <c r="G60" s="35" t="str">
        <f aca="false">IFERROR(INDEX('Fund Research'!$I$6:$I$505,MATCH(55,'Fund Research'!$U$6:$U$505,0)),"")</f>
        <v/>
      </c>
      <c r="H60" s="36" t="str">
        <f aca="false">IFERROR(INDEX('Fund Research'!$J$6:$J$505,MATCH(55,'Fund Research'!$U$6:$U$505,0)),"")</f>
        <v/>
      </c>
      <c r="I60" s="37" t="str">
        <f aca="false">IFERROR(INDEX('Fund Research'!$L$6:$L$505,MATCH(55,'Fund Research'!$U$6:$U$505,0)),"")</f>
        <v/>
      </c>
      <c r="J60" s="36" t="str">
        <f aca="false">IFERROR(INDEX('Fund Research'!$N$6:$N$505,MATCH(55,'Fund Research'!$U$6:$U$505,0)),"")</f>
        <v/>
      </c>
      <c r="K60" s="36" t="str">
        <f aca="false">IFERROR(INDEX('Fund Research'!$P$6:$P$505,MATCH(55,'Fund Research'!$U$6:$U$505,0)),"")</f>
        <v/>
      </c>
      <c r="L60" s="34" t="str">
        <f aca="false">IFERROR(INDEX('Fund Research'!$S$6:$S$505,MATCH(55,'Fund Research'!$U$6:$U$505,0)),"")</f>
        <v/>
      </c>
      <c r="M60" s="34" t="str">
        <f aca="false">IFERROR(INDEX('Fund Research'!$T$6:$T$505,MATCH(55,'Fund Research'!$U$6:$U$505,0)),"")</f>
        <v/>
      </c>
    </row>
    <row r="61" customFormat="false" ht="15" hidden="false" customHeight="true" outlineLevel="0" collapsed="false">
      <c r="A61" s="33" t="str">
        <f aca="false">IFERROR(IF(INDEX('Fund Research'!$B$6:$B$505,MATCH(56,'Fund Research'!$U$6:$U$505,0))="","",56),"")</f>
        <v/>
      </c>
      <c r="B61" s="34" t="str">
        <f aca="false">IFERROR(INDEX('Fund Research'!$A$6:$A$505,MATCH(56,'Fund Research'!$U$6:$U$505,0)),"")</f>
        <v/>
      </c>
      <c r="C61" s="34" t="str">
        <f aca="false">IFERROR(INDEX('Fund Research'!$B$6:$B$505,MATCH(56,'Fund Research'!$U$6:$U$505,0)),"")</f>
        <v/>
      </c>
      <c r="D61" s="34" t="str">
        <f aca="false">IFERROR(INDEX('Fund Research'!$C$6:$C$505,MATCH(56,'Fund Research'!$U$6:$U$505,0)),"")</f>
        <v/>
      </c>
      <c r="E61" s="35" t="str">
        <f aca="false">IFERROR(INDEX('Fund Research'!$G$6:$G$505,MATCH(56,'Fund Research'!$U$6:$U$505,0)),"")</f>
        <v/>
      </c>
      <c r="F61" s="35" t="str">
        <f aca="false">IFERROR(INDEX('Fund Research'!$H$6:$H$505,MATCH(56,'Fund Research'!$U$6:$U$505,0)),"")</f>
        <v/>
      </c>
      <c r="G61" s="35" t="str">
        <f aca="false">IFERROR(INDEX('Fund Research'!$I$6:$I$505,MATCH(56,'Fund Research'!$U$6:$U$505,0)),"")</f>
        <v/>
      </c>
      <c r="H61" s="36" t="str">
        <f aca="false">IFERROR(INDEX('Fund Research'!$J$6:$J$505,MATCH(56,'Fund Research'!$U$6:$U$505,0)),"")</f>
        <v/>
      </c>
      <c r="I61" s="37" t="str">
        <f aca="false">IFERROR(INDEX('Fund Research'!$L$6:$L$505,MATCH(56,'Fund Research'!$U$6:$U$505,0)),"")</f>
        <v/>
      </c>
      <c r="J61" s="36" t="str">
        <f aca="false">IFERROR(INDEX('Fund Research'!$N$6:$N$505,MATCH(56,'Fund Research'!$U$6:$U$505,0)),"")</f>
        <v/>
      </c>
      <c r="K61" s="36" t="str">
        <f aca="false">IFERROR(INDEX('Fund Research'!$P$6:$P$505,MATCH(56,'Fund Research'!$U$6:$U$505,0)),"")</f>
        <v/>
      </c>
      <c r="L61" s="34" t="str">
        <f aca="false">IFERROR(INDEX('Fund Research'!$S$6:$S$505,MATCH(56,'Fund Research'!$U$6:$U$505,0)),"")</f>
        <v/>
      </c>
      <c r="M61" s="34" t="str">
        <f aca="false">IFERROR(INDEX('Fund Research'!$T$6:$T$505,MATCH(56,'Fund Research'!$U$6:$U$505,0)),"")</f>
        <v/>
      </c>
    </row>
    <row r="62" customFormat="false" ht="15" hidden="false" customHeight="true" outlineLevel="0" collapsed="false">
      <c r="A62" s="33" t="str">
        <f aca="false">IFERROR(IF(INDEX('Fund Research'!$B$6:$B$505,MATCH(57,'Fund Research'!$U$6:$U$505,0))="","",57),"")</f>
        <v/>
      </c>
      <c r="B62" s="34" t="str">
        <f aca="false">IFERROR(INDEX('Fund Research'!$A$6:$A$505,MATCH(57,'Fund Research'!$U$6:$U$505,0)),"")</f>
        <v/>
      </c>
      <c r="C62" s="34" t="str">
        <f aca="false">IFERROR(INDEX('Fund Research'!$B$6:$B$505,MATCH(57,'Fund Research'!$U$6:$U$505,0)),"")</f>
        <v/>
      </c>
      <c r="D62" s="34" t="str">
        <f aca="false">IFERROR(INDEX('Fund Research'!$C$6:$C$505,MATCH(57,'Fund Research'!$U$6:$U$505,0)),"")</f>
        <v/>
      </c>
      <c r="E62" s="35" t="str">
        <f aca="false">IFERROR(INDEX('Fund Research'!$G$6:$G$505,MATCH(57,'Fund Research'!$U$6:$U$505,0)),"")</f>
        <v/>
      </c>
      <c r="F62" s="35" t="str">
        <f aca="false">IFERROR(INDEX('Fund Research'!$H$6:$H$505,MATCH(57,'Fund Research'!$U$6:$U$505,0)),"")</f>
        <v/>
      </c>
      <c r="G62" s="35" t="str">
        <f aca="false">IFERROR(INDEX('Fund Research'!$I$6:$I$505,MATCH(57,'Fund Research'!$U$6:$U$505,0)),"")</f>
        <v/>
      </c>
      <c r="H62" s="36" t="str">
        <f aca="false">IFERROR(INDEX('Fund Research'!$J$6:$J$505,MATCH(57,'Fund Research'!$U$6:$U$505,0)),"")</f>
        <v/>
      </c>
      <c r="I62" s="37" t="str">
        <f aca="false">IFERROR(INDEX('Fund Research'!$L$6:$L$505,MATCH(57,'Fund Research'!$U$6:$U$505,0)),"")</f>
        <v/>
      </c>
      <c r="J62" s="36" t="str">
        <f aca="false">IFERROR(INDEX('Fund Research'!$N$6:$N$505,MATCH(57,'Fund Research'!$U$6:$U$505,0)),"")</f>
        <v/>
      </c>
      <c r="K62" s="36" t="str">
        <f aca="false">IFERROR(INDEX('Fund Research'!$P$6:$P$505,MATCH(57,'Fund Research'!$U$6:$U$505,0)),"")</f>
        <v/>
      </c>
      <c r="L62" s="34" t="str">
        <f aca="false">IFERROR(INDEX('Fund Research'!$S$6:$S$505,MATCH(57,'Fund Research'!$U$6:$U$505,0)),"")</f>
        <v/>
      </c>
      <c r="M62" s="34" t="str">
        <f aca="false">IFERROR(INDEX('Fund Research'!$T$6:$T$505,MATCH(57,'Fund Research'!$U$6:$U$505,0)),"")</f>
        <v/>
      </c>
    </row>
    <row r="63" customFormat="false" ht="15" hidden="false" customHeight="true" outlineLevel="0" collapsed="false">
      <c r="A63" s="33" t="str">
        <f aca="false">IFERROR(IF(INDEX('Fund Research'!$B$6:$B$505,MATCH(58,'Fund Research'!$U$6:$U$505,0))="","",58),"")</f>
        <v/>
      </c>
      <c r="B63" s="34" t="str">
        <f aca="false">IFERROR(INDEX('Fund Research'!$A$6:$A$505,MATCH(58,'Fund Research'!$U$6:$U$505,0)),"")</f>
        <v/>
      </c>
      <c r="C63" s="34" t="str">
        <f aca="false">IFERROR(INDEX('Fund Research'!$B$6:$B$505,MATCH(58,'Fund Research'!$U$6:$U$505,0)),"")</f>
        <v/>
      </c>
      <c r="D63" s="34" t="str">
        <f aca="false">IFERROR(INDEX('Fund Research'!$C$6:$C$505,MATCH(58,'Fund Research'!$U$6:$U$505,0)),"")</f>
        <v/>
      </c>
      <c r="E63" s="35" t="str">
        <f aca="false">IFERROR(INDEX('Fund Research'!$G$6:$G$505,MATCH(58,'Fund Research'!$U$6:$U$505,0)),"")</f>
        <v/>
      </c>
      <c r="F63" s="35" t="str">
        <f aca="false">IFERROR(INDEX('Fund Research'!$H$6:$H$505,MATCH(58,'Fund Research'!$U$6:$U$505,0)),"")</f>
        <v/>
      </c>
      <c r="G63" s="35" t="str">
        <f aca="false">IFERROR(INDEX('Fund Research'!$I$6:$I$505,MATCH(58,'Fund Research'!$U$6:$U$505,0)),"")</f>
        <v/>
      </c>
      <c r="H63" s="36" t="str">
        <f aca="false">IFERROR(INDEX('Fund Research'!$J$6:$J$505,MATCH(58,'Fund Research'!$U$6:$U$505,0)),"")</f>
        <v/>
      </c>
      <c r="I63" s="37" t="str">
        <f aca="false">IFERROR(INDEX('Fund Research'!$L$6:$L$505,MATCH(58,'Fund Research'!$U$6:$U$505,0)),"")</f>
        <v/>
      </c>
      <c r="J63" s="36" t="str">
        <f aca="false">IFERROR(INDEX('Fund Research'!$N$6:$N$505,MATCH(58,'Fund Research'!$U$6:$U$505,0)),"")</f>
        <v/>
      </c>
      <c r="K63" s="36" t="str">
        <f aca="false">IFERROR(INDEX('Fund Research'!$P$6:$P$505,MATCH(58,'Fund Research'!$U$6:$U$505,0)),"")</f>
        <v/>
      </c>
      <c r="L63" s="34" t="str">
        <f aca="false">IFERROR(INDEX('Fund Research'!$S$6:$S$505,MATCH(58,'Fund Research'!$U$6:$U$505,0)),"")</f>
        <v/>
      </c>
      <c r="M63" s="34" t="str">
        <f aca="false">IFERROR(INDEX('Fund Research'!$T$6:$T$505,MATCH(58,'Fund Research'!$U$6:$U$505,0)),"")</f>
        <v/>
      </c>
    </row>
    <row r="64" customFormat="false" ht="15" hidden="false" customHeight="true" outlineLevel="0" collapsed="false">
      <c r="A64" s="33" t="str">
        <f aca="false">IFERROR(IF(INDEX('Fund Research'!$B$6:$B$505,MATCH(59,'Fund Research'!$U$6:$U$505,0))="","",59),"")</f>
        <v/>
      </c>
      <c r="B64" s="34" t="str">
        <f aca="false">IFERROR(INDEX('Fund Research'!$A$6:$A$505,MATCH(59,'Fund Research'!$U$6:$U$505,0)),"")</f>
        <v/>
      </c>
      <c r="C64" s="34" t="str">
        <f aca="false">IFERROR(INDEX('Fund Research'!$B$6:$B$505,MATCH(59,'Fund Research'!$U$6:$U$505,0)),"")</f>
        <v/>
      </c>
      <c r="D64" s="34" t="str">
        <f aca="false">IFERROR(INDEX('Fund Research'!$C$6:$C$505,MATCH(59,'Fund Research'!$U$6:$U$505,0)),"")</f>
        <v/>
      </c>
      <c r="E64" s="35" t="str">
        <f aca="false">IFERROR(INDEX('Fund Research'!$G$6:$G$505,MATCH(59,'Fund Research'!$U$6:$U$505,0)),"")</f>
        <v/>
      </c>
      <c r="F64" s="35" t="str">
        <f aca="false">IFERROR(INDEX('Fund Research'!$H$6:$H$505,MATCH(59,'Fund Research'!$U$6:$U$505,0)),"")</f>
        <v/>
      </c>
      <c r="G64" s="35" t="str">
        <f aca="false">IFERROR(INDEX('Fund Research'!$I$6:$I$505,MATCH(59,'Fund Research'!$U$6:$U$505,0)),"")</f>
        <v/>
      </c>
      <c r="H64" s="36" t="str">
        <f aca="false">IFERROR(INDEX('Fund Research'!$J$6:$J$505,MATCH(59,'Fund Research'!$U$6:$U$505,0)),"")</f>
        <v/>
      </c>
      <c r="I64" s="37" t="str">
        <f aca="false">IFERROR(INDEX('Fund Research'!$L$6:$L$505,MATCH(59,'Fund Research'!$U$6:$U$505,0)),"")</f>
        <v/>
      </c>
      <c r="J64" s="36" t="str">
        <f aca="false">IFERROR(INDEX('Fund Research'!$N$6:$N$505,MATCH(59,'Fund Research'!$U$6:$U$505,0)),"")</f>
        <v/>
      </c>
      <c r="K64" s="36" t="str">
        <f aca="false">IFERROR(INDEX('Fund Research'!$P$6:$P$505,MATCH(59,'Fund Research'!$U$6:$U$505,0)),"")</f>
        <v/>
      </c>
      <c r="L64" s="34" t="str">
        <f aca="false">IFERROR(INDEX('Fund Research'!$S$6:$S$505,MATCH(59,'Fund Research'!$U$6:$U$505,0)),"")</f>
        <v/>
      </c>
      <c r="M64" s="34" t="str">
        <f aca="false">IFERROR(INDEX('Fund Research'!$T$6:$T$505,MATCH(59,'Fund Research'!$U$6:$U$505,0)),"")</f>
        <v/>
      </c>
    </row>
    <row r="65" customFormat="false" ht="15" hidden="false" customHeight="true" outlineLevel="0" collapsed="false">
      <c r="A65" s="33" t="str">
        <f aca="false">IFERROR(IF(INDEX('Fund Research'!$B$6:$B$505,MATCH(60,'Fund Research'!$U$6:$U$505,0))="","",60),"")</f>
        <v/>
      </c>
      <c r="B65" s="34" t="str">
        <f aca="false">IFERROR(INDEX('Fund Research'!$A$6:$A$505,MATCH(60,'Fund Research'!$U$6:$U$505,0)),"")</f>
        <v/>
      </c>
      <c r="C65" s="34" t="str">
        <f aca="false">IFERROR(INDEX('Fund Research'!$B$6:$B$505,MATCH(60,'Fund Research'!$U$6:$U$505,0)),"")</f>
        <v/>
      </c>
      <c r="D65" s="34" t="str">
        <f aca="false">IFERROR(INDEX('Fund Research'!$C$6:$C$505,MATCH(60,'Fund Research'!$U$6:$U$505,0)),"")</f>
        <v/>
      </c>
      <c r="E65" s="35" t="str">
        <f aca="false">IFERROR(INDEX('Fund Research'!$G$6:$G$505,MATCH(60,'Fund Research'!$U$6:$U$505,0)),"")</f>
        <v/>
      </c>
      <c r="F65" s="35" t="str">
        <f aca="false">IFERROR(INDEX('Fund Research'!$H$6:$H$505,MATCH(60,'Fund Research'!$U$6:$U$505,0)),"")</f>
        <v/>
      </c>
      <c r="G65" s="35" t="str">
        <f aca="false">IFERROR(INDEX('Fund Research'!$I$6:$I$505,MATCH(60,'Fund Research'!$U$6:$U$505,0)),"")</f>
        <v/>
      </c>
      <c r="H65" s="36" t="str">
        <f aca="false">IFERROR(INDEX('Fund Research'!$J$6:$J$505,MATCH(60,'Fund Research'!$U$6:$U$505,0)),"")</f>
        <v/>
      </c>
      <c r="I65" s="37" t="str">
        <f aca="false">IFERROR(INDEX('Fund Research'!$L$6:$L$505,MATCH(60,'Fund Research'!$U$6:$U$505,0)),"")</f>
        <v/>
      </c>
      <c r="J65" s="36" t="str">
        <f aca="false">IFERROR(INDEX('Fund Research'!$N$6:$N$505,MATCH(60,'Fund Research'!$U$6:$U$505,0)),"")</f>
        <v/>
      </c>
      <c r="K65" s="36" t="str">
        <f aca="false">IFERROR(INDEX('Fund Research'!$P$6:$P$505,MATCH(60,'Fund Research'!$U$6:$U$505,0)),"")</f>
        <v/>
      </c>
      <c r="L65" s="34" t="str">
        <f aca="false">IFERROR(INDEX('Fund Research'!$S$6:$S$505,MATCH(60,'Fund Research'!$U$6:$U$505,0)),"")</f>
        <v/>
      </c>
      <c r="M65" s="34" t="str">
        <f aca="false">IFERROR(INDEX('Fund Research'!$T$6:$T$505,MATCH(60,'Fund Research'!$U$6:$U$505,0)),"")</f>
        <v/>
      </c>
    </row>
    <row r="66" customFormat="false" ht="15" hidden="false" customHeight="true" outlineLevel="0" collapsed="false">
      <c r="A66" s="33" t="str">
        <f aca="false">IFERROR(IF(INDEX('Fund Research'!$B$6:$B$505,MATCH(61,'Fund Research'!$U$6:$U$505,0))="","",61),"")</f>
        <v/>
      </c>
      <c r="B66" s="34" t="str">
        <f aca="false">IFERROR(INDEX('Fund Research'!$A$6:$A$505,MATCH(61,'Fund Research'!$U$6:$U$505,0)),"")</f>
        <v/>
      </c>
      <c r="C66" s="34" t="str">
        <f aca="false">IFERROR(INDEX('Fund Research'!$B$6:$B$505,MATCH(61,'Fund Research'!$U$6:$U$505,0)),"")</f>
        <v/>
      </c>
      <c r="D66" s="34" t="str">
        <f aca="false">IFERROR(INDEX('Fund Research'!$C$6:$C$505,MATCH(61,'Fund Research'!$U$6:$U$505,0)),"")</f>
        <v/>
      </c>
      <c r="E66" s="35" t="str">
        <f aca="false">IFERROR(INDEX('Fund Research'!$G$6:$G$505,MATCH(61,'Fund Research'!$U$6:$U$505,0)),"")</f>
        <v/>
      </c>
      <c r="F66" s="35" t="str">
        <f aca="false">IFERROR(INDEX('Fund Research'!$H$6:$H$505,MATCH(61,'Fund Research'!$U$6:$U$505,0)),"")</f>
        <v/>
      </c>
      <c r="G66" s="35" t="str">
        <f aca="false">IFERROR(INDEX('Fund Research'!$I$6:$I$505,MATCH(61,'Fund Research'!$U$6:$U$505,0)),"")</f>
        <v/>
      </c>
      <c r="H66" s="36" t="str">
        <f aca="false">IFERROR(INDEX('Fund Research'!$J$6:$J$505,MATCH(61,'Fund Research'!$U$6:$U$505,0)),"")</f>
        <v/>
      </c>
      <c r="I66" s="37" t="str">
        <f aca="false">IFERROR(INDEX('Fund Research'!$L$6:$L$505,MATCH(61,'Fund Research'!$U$6:$U$505,0)),"")</f>
        <v/>
      </c>
      <c r="J66" s="36" t="str">
        <f aca="false">IFERROR(INDEX('Fund Research'!$N$6:$N$505,MATCH(61,'Fund Research'!$U$6:$U$505,0)),"")</f>
        <v/>
      </c>
      <c r="K66" s="36" t="str">
        <f aca="false">IFERROR(INDEX('Fund Research'!$P$6:$P$505,MATCH(61,'Fund Research'!$U$6:$U$505,0)),"")</f>
        <v/>
      </c>
      <c r="L66" s="34" t="str">
        <f aca="false">IFERROR(INDEX('Fund Research'!$S$6:$S$505,MATCH(61,'Fund Research'!$U$6:$U$505,0)),"")</f>
        <v/>
      </c>
      <c r="M66" s="34" t="str">
        <f aca="false">IFERROR(INDEX('Fund Research'!$T$6:$T$505,MATCH(61,'Fund Research'!$U$6:$U$505,0)),"")</f>
        <v/>
      </c>
    </row>
    <row r="67" customFormat="false" ht="15" hidden="false" customHeight="true" outlineLevel="0" collapsed="false">
      <c r="A67" s="33" t="str">
        <f aca="false">IFERROR(IF(INDEX('Fund Research'!$B$6:$B$505,MATCH(62,'Fund Research'!$U$6:$U$505,0))="","",62),"")</f>
        <v/>
      </c>
      <c r="B67" s="34" t="str">
        <f aca="false">IFERROR(INDEX('Fund Research'!$A$6:$A$505,MATCH(62,'Fund Research'!$U$6:$U$505,0)),"")</f>
        <v/>
      </c>
      <c r="C67" s="34" t="str">
        <f aca="false">IFERROR(INDEX('Fund Research'!$B$6:$B$505,MATCH(62,'Fund Research'!$U$6:$U$505,0)),"")</f>
        <v/>
      </c>
      <c r="D67" s="34" t="str">
        <f aca="false">IFERROR(INDEX('Fund Research'!$C$6:$C$505,MATCH(62,'Fund Research'!$U$6:$U$505,0)),"")</f>
        <v/>
      </c>
      <c r="E67" s="35" t="str">
        <f aca="false">IFERROR(INDEX('Fund Research'!$G$6:$G$505,MATCH(62,'Fund Research'!$U$6:$U$505,0)),"")</f>
        <v/>
      </c>
      <c r="F67" s="35" t="str">
        <f aca="false">IFERROR(INDEX('Fund Research'!$H$6:$H$505,MATCH(62,'Fund Research'!$U$6:$U$505,0)),"")</f>
        <v/>
      </c>
      <c r="G67" s="35" t="str">
        <f aca="false">IFERROR(INDEX('Fund Research'!$I$6:$I$505,MATCH(62,'Fund Research'!$U$6:$U$505,0)),"")</f>
        <v/>
      </c>
      <c r="H67" s="36" t="str">
        <f aca="false">IFERROR(INDEX('Fund Research'!$J$6:$J$505,MATCH(62,'Fund Research'!$U$6:$U$505,0)),"")</f>
        <v/>
      </c>
      <c r="I67" s="37" t="str">
        <f aca="false">IFERROR(INDEX('Fund Research'!$L$6:$L$505,MATCH(62,'Fund Research'!$U$6:$U$505,0)),"")</f>
        <v/>
      </c>
      <c r="J67" s="36" t="str">
        <f aca="false">IFERROR(INDEX('Fund Research'!$N$6:$N$505,MATCH(62,'Fund Research'!$U$6:$U$505,0)),"")</f>
        <v/>
      </c>
      <c r="K67" s="36" t="str">
        <f aca="false">IFERROR(INDEX('Fund Research'!$P$6:$P$505,MATCH(62,'Fund Research'!$U$6:$U$505,0)),"")</f>
        <v/>
      </c>
      <c r="L67" s="34" t="str">
        <f aca="false">IFERROR(INDEX('Fund Research'!$S$6:$S$505,MATCH(62,'Fund Research'!$U$6:$U$505,0)),"")</f>
        <v/>
      </c>
      <c r="M67" s="34" t="str">
        <f aca="false">IFERROR(INDEX('Fund Research'!$T$6:$T$505,MATCH(62,'Fund Research'!$U$6:$U$505,0)),"")</f>
        <v/>
      </c>
    </row>
    <row r="68" customFormat="false" ht="15" hidden="false" customHeight="true" outlineLevel="0" collapsed="false">
      <c r="A68" s="33" t="str">
        <f aca="false">IFERROR(IF(INDEX('Fund Research'!$B$6:$B$505,MATCH(63,'Fund Research'!$U$6:$U$505,0))="","",63),"")</f>
        <v/>
      </c>
      <c r="B68" s="34" t="str">
        <f aca="false">IFERROR(INDEX('Fund Research'!$A$6:$A$505,MATCH(63,'Fund Research'!$U$6:$U$505,0)),"")</f>
        <v/>
      </c>
      <c r="C68" s="34" t="str">
        <f aca="false">IFERROR(INDEX('Fund Research'!$B$6:$B$505,MATCH(63,'Fund Research'!$U$6:$U$505,0)),"")</f>
        <v/>
      </c>
      <c r="D68" s="34" t="str">
        <f aca="false">IFERROR(INDEX('Fund Research'!$C$6:$C$505,MATCH(63,'Fund Research'!$U$6:$U$505,0)),"")</f>
        <v/>
      </c>
      <c r="E68" s="35" t="str">
        <f aca="false">IFERROR(INDEX('Fund Research'!$G$6:$G$505,MATCH(63,'Fund Research'!$U$6:$U$505,0)),"")</f>
        <v/>
      </c>
      <c r="F68" s="35" t="str">
        <f aca="false">IFERROR(INDEX('Fund Research'!$H$6:$H$505,MATCH(63,'Fund Research'!$U$6:$U$505,0)),"")</f>
        <v/>
      </c>
      <c r="G68" s="35" t="str">
        <f aca="false">IFERROR(INDEX('Fund Research'!$I$6:$I$505,MATCH(63,'Fund Research'!$U$6:$U$505,0)),"")</f>
        <v/>
      </c>
      <c r="H68" s="36" t="str">
        <f aca="false">IFERROR(INDEX('Fund Research'!$J$6:$J$505,MATCH(63,'Fund Research'!$U$6:$U$505,0)),"")</f>
        <v/>
      </c>
      <c r="I68" s="37" t="str">
        <f aca="false">IFERROR(INDEX('Fund Research'!$L$6:$L$505,MATCH(63,'Fund Research'!$U$6:$U$505,0)),"")</f>
        <v/>
      </c>
      <c r="J68" s="36" t="str">
        <f aca="false">IFERROR(INDEX('Fund Research'!$N$6:$N$505,MATCH(63,'Fund Research'!$U$6:$U$505,0)),"")</f>
        <v/>
      </c>
      <c r="K68" s="36" t="str">
        <f aca="false">IFERROR(INDEX('Fund Research'!$P$6:$P$505,MATCH(63,'Fund Research'!$U$6:$U$505,0)),"")</f>
        <v/>
      </c>
      <c r="L68" s="34" t="str">
        <f aca="false">IFERROR(INDEX('Fund Research'!$S$6:$S$505,MATCH(63,'Fund Research'!$U$6:$U$505,0)),"")</f>
        <v/>
      </c>
      <c r="M68" s="34" t="str">
        <f aca="false">IFERROR(INDEX('Fund Research'!$T$6:$T$505,MATCH(63,'Fund Research'!$U$6:$U$505,0)),"")</f>
        <v/>
      </c>
    </row>
    <row r="69" customFormat="false" ht="15" hidden="false" customHeight="true" outlineLevel="0" collapsed="false">
      <c r="A69" s="33" t="str">
        <f aca="false">IFERROR(IF(INDEX('Fund Research'!$B$6:$B$505,MATCH(64,'Fund Research'!$U$6:$U$505,0))="","",64),"")</f>
        <v/>
      </c>
      <c r="B69" s="34" t="str">
        <f aca="false">IFERROR(INDEX('Fund Research'!$A$6:$A$505,MATCH(64,'Fund Research'!$U$6:$U$505,0)),"")</f>
        <v/>
      </c>
      <c r="C69" s="34" t="str">
        <f aca="false">IFERROR(INDEX('Fund Research'!$B$6:$B$505,MATCH(64,'Fund Research'!$U$6:$U$505,0)),"")</f>
        <v/>
      </c>
      <c r="D69" s="34" t="str">
        <f aca="false">IFERROR(INDEX('Fund Research'!$C$6:$C$505,MATCH(64,'Fund Research'!$U$6:$U$505,0)),"")</f>
        <v/>
      </c>
      <c r="E69" s="35" t="str">
        <f aca="false">IFERROR(INDEX('Fund Research'!$G$6:$G$505,MATCH(64,'Fund Research'!$U$6:$U$505,0)),"")</f>
        <v/>
      </c>
      <c r="F69" s="35" t="str">
        <f aca="false">IFERROR(INDEX('Fund Research'!$H$6:$H$505,MATCH(64,'Fund Research'!$U$6:$U$505,0)),"")</f>
        <v/>
      </c>
      <c r="G69" s="35" t="str">
        <f aca="false">IFERROR(INDEX('Fund Research'!$I$6:$I$505,MATCH(64,'Fund Research'!$U$6:$U$505,0)),"")</f>
        <v/>
      </c>
      <c r="H69" s="36" t="str">
        <f aca="false">IFERROR(INDEX('Fund Research'!$J$6:$J$505,MATCH(64,'Fund Research'!$U$6:$U$505,0)),"")</f>
        <v/>
      </c>
      <c r="I69" s="37" t="str">
        <f aca="false">IFERROR(INDEX('Fund Research'!$L$6:$L$505,MATCH(64,'Fund Research'!$U$6:$U$505,0)),"")</f>
        <v/>
      </c>
      <c r="J69" s="36" t="str">
        <f aca="false">IFERROR(INDEX('Fund Research'!$N$6:$N$505,MATCH(64,'Fund Research'!$U$6:$U$505,0)),"")</f>
        <v/>
      </c>
      <c r="K69" s="36" t="str">
        <f aca="false">IFERROR(INDEX('Fund Research'!$P$6:$P$505,MATCH(64,'Fund Research'!$U$6:$U$505,0)),"")</f>
        <v/>
      </c>
      <c r="L69" s="34" t="str">
        <f aca="false">IFERROR(INDEX('Fund Research'!$S$6:$S$505,MATCH(64,'Fund Research'!$U$6:$U$505,0)),"")</f>
        <v/>
      </c>
      <c r="M69" s="34" t="str">
        <f aca="false">IFERROR(INDEX('Fund Research'!$T$6:$T$505,MATCH(64,'Fund Research'!$U$6:$U$505,0)),"")</f>
        <v/>
      </c>
    </row>
    <row r="70" customFormat="false" ht="15" hidden="false" customHeight="true" outlineLevel="0" collapsed="false">
      <c r="A70" s="33" t="str">
        <f aca="false">IFERROR(IF(INDEX('Fund Research'!$B$6:$B$505,MATCH(65,'Fund Research'!$U$6:$U$505,0))="","",65),"")</f>
        <v/>
      </c>
      <c r="B70" s="34" t="str">
        <f aca="false">IFERROR(INDEX('Fund Research'!$A$6:$A$505,MATCH(65,'Fund Research'!$U$6:$U$505,0)),"")</f>
        <v/>
      </c>
      <c r="C70" s="34" t="str">
        <f aca="false">IFERROR(INDEX('Fund Research'!$B$6:$B$505,MATCH(65,'Fund Research'!$U$6:$U$505,0)),"")</f>
        <v/>
      </c>
      <c r="D70" s="34" t="str">
        <f aca="false">IFERROR(INDEX('Fund Research'!$C$6:$C$505,MATCH(65,'Fund Research'!$U$6:$U$505,0)),"")</f>
        <v/>
      </c>
      <c r="E70" s="35" t="str">
        <f aca="false">IFERROR(INDEX('Fund Research'!$G$6:$G$505,MATCH(65,'Fund Research'!$U$6:$U$505,0)),"")</f>
        <v/>
      </c>
      <c r="F70" s="35" t="str">
        <f aca="false">IFERROR(INDEX('Fund Research'!$H$6:$H$505,MATCH(65,'Fund Research'!$U$6:$U$505,0)),"")</f>
        <v/>
      </c>
      <c r="G70" s="35" t="str">
        <f aca="false">IFERROR(INDEX('Fund Research'!$I$6:$I$505,MATCH(65,'Fund Research'!$U$6:$U$505,0)),"")</f>
        <v/>
      </c>
      <c r="H70" s="36" t="str">
        <f aca="false">IFERROR(INDEX('Fund Research'!$J$6:$J$505,MATCH(65,'Fund Research'!$U$6:$U$505,0)),"")</f>
        <v/>
      </c>
      <c r="I70" s="37" t="str">
        <f aca="false">IFERROR(INDEX('Fund Research'!$L$6:$L$505,MATCH(65,'Fund Research'!$U$6:$U$505,0)),"")</f>
        <v/>
      </c>
      <c r="J70" s="36" t="str">
        <f aca="false">IFERROR(INDEX('Fund Research'!$N$6:$N$505,MATCH(65,'Fund Research'!$U$6:$U$505,0)),"")</f>
        <v/>
      </c>
      <c r="K70" s="36" t="str">
        <f aca="false">IFERROR(INDEX('Fund Research'!$P$6:$P$505,MATCH(65,'Fund Research'!$U$6:$U$505,0)),"")</f>
        <v/>
      </c>
      <c r="L70" s="34" t="str">
        <f aca="false">IFERROR(INDEX('Fund Research'!$S$6:$S$505,MATCH(65,'Fund Research'!$U$6:$U$505,0)),"")</f>
        <v/>
      </c>
      <c r="M70" s="34" t="str">
        <f aca="false">IFERROR(INDEX('Fund Research'!$T$6:$T$505,MATCH(65,'Fund Research'!$U$6:$U$505,0)),"")</f>
        <v/>
      </c>
    </row>
    <row r="71" customFormat="false" ht="15" hidden="false" customHeight="true" outlineLevel="0" collapsed="false">
      <c r="A71" s="33" t="str">
        <f aca="false">IFERROR(IF(INDEX('Fund Research'!$B$6:$B$505,MATCH(66,'Fund Research'!$U$6:$U$505,0))="","",66),"")</f>
        <v/>
      </c>
      <c r="B71" s="34" t="str">
        <f aca="false">IFERROR(INDEX('Fund Research'!$A$6:$A$505,MATCH(66,'Fund Research'!$U$6:$U$505,0)),"")</f>
        <v/>
      </c>
      <c r="C71" s="34" t="str">
        <f aca="false">IFERROR(INDEX('Fund Research'!$B$6:$B$505,MATCH(66,'Fund Research'!$U$6:$U$505,0)),"")</f>
        <v/>
      </c>
      <c r="D71" s="34" t="str">
        <f aca="false">IFERROR(INDEX('Fund Research'!$C$6:$C$505,MATCH(66,'Fund Research'!$U$6:$U$505,0)),"")</f>
        <v/>
      </c>
      <c r="E71" s="35" t="str">
        <f aca="false">IFERROR(INDEX('Fund Research'!$G$6:$G$505,MATCH(66,'Fund Research'!$U$6:$U$505,0)),"")</f>
        <v/>
      </c>
      <c r="F71" s="35" t="str">
        <f aca="false">IFERROR(INDEX('Fund Research'!$H$6:$H$505,MATCH(66,'Fund Research'!$U$6:$U$505,0)),"")</f>
        <v/>
      </c>
      <c r="G71" s="35" t="str">
        <f aca="false">IFERROR(INDEX('Fund Research'!$I$6:$I$505,MATCH(66,'Fund Research'!$U$6:$U$505,0)),"")</f>
        <v/>
      </c>
      <c r="H71" s="36" t="str">
        <f aca="false">IFERROR(INDEX('Fund Research'!$J$6:$J$505,MATCH(66,'Fund Research'!$U$6:$U$505,0)),"")</f>
        <v/>
      </c>
      <c r="I71" s="37" t="str">
        <f aca="false">IFERROR(INDEX('Fund Research'!$L$6:$L$505,MATCH(66,'Fund Research'!$U$6:$U$505,0)),"")</f>
        <v/>
      </c>
      <c r="J71" s="36" t="str">
        <f aca="false">IFERROR(INDEX('Fund Research'!$N$6:$N$505,MATCH(66,'Fund Research'!$U$6:$U$505,0)),"")</f>
        <v/>
      </c>
      <c r="K71" s="36" t="str">
        <f aca="false">IFERROR(INDEX('Fund Research'!$P$6:$P$505,MATCH(66,'Fund Research'!$U$6:$U$505,0)),"")</f>
        <v/>
      </c>
      <c r="L71" s="34" t="str">
        <f aca="false">IFERROR(INDEX('Fund Research'!$S$6:$S$505,MATCH(66,'Fund Research'!$U$6:$U$505,0)),"")</f>
        <v/>
      </c>
      <c r="M71" s="34" t="str">
        <f aca="false">IFERROR(INDEX('Fund Research'!$T$6:$T$505,MATCH(66,'Fund Research'!$U$6:$U$505,0)),"")</f>
        <v/>
      </c>
    </row>
    <row r="72" customFormat="false" ht="15" hidden="false" customHeight="true" outlineLevel="0" collapsed="false">
      <c r="A72" s="33" t="str">
        <f aca="false">IFERROR(IF(INDEX('Fund Research'!$B$6:$B$505,MATCH(67,'Fund Research'!$U$6:$U$505,0))="","",67),"")</f>
        <v/>
      </c>
      <c r="B72" s="34" t="str">
        <f aca="false">IFERROR(INDEX('Fund Research'!$A$6:$A$505,MATCH(67,'Fund Research'!$U$6:$U$505,0)),"")</f>
        <v/>
      </c>
      <c r="C72" s="34" t="str">
        <f aca="false">IFERROR(INDEX('Fund Research'!$B$6:$B$505,MATCH(67,'Fund Research'!$U$6:$U$505,0)),"")</f>
        <v/>
      </c>
      <c r="D72" s="34" t="str">
        <f aca="false">IFERROR(INDEX('Fund Research'!$C$6:$C$505,MATCH(67,'Fund Research'!$U$6:$U$505,0)),"")</f>
        <v/>
      </c>
      <c r="E72" s="35" t="str">
        <f aca="false">IFERROR(INDEX('Fund Research'!$G$6:$G$505,MATCH(67,'Fund Research'!$U$6:$U$505,0)),"")</f>
        <v/>
      </c>
      <c r="F72" s="35" t="str">
        <f aca="false">IFERROR(INDEX('Fund Research'!$H$6:$H$505,MATCH(67,'Fund Research'!$U$6:$U$505,0)),"")</f>
        <v/>
      </c>
      <c r="G72" s="35" t="str">
        <f aca="false">IFERROR(INDEX('Fund Research'!$I$6:$I$505,MATCH(67,'Fund Research'!$U$6:$U$505,0)),"")</f>
        <v/>
      </c>
      <c r="H72" s="36" t="str">
        <f aca="false">IFERROR(INDEX('Fund Research'!$J$6:$J$505,MATCH(67,'Fund Research'!$U$6:$U$505,0)),"")</f>
        <v/>
      </c>
      <c r="I72" s="37" t="str">
        <f aca="false">IFERROR(INDEX('Fund Research'!$L$6:$L$505,MATCH(67,'Fund Research'!$U$6:$U$505,0)),"")</f>
        <v/>
      </c>
      <c r="J72" s="36" t="str">
        <f aca="false">IFERROR(INDEX('Fund Research'!$N$6:$N$505,MATCH(67,'Fund Research'!$U$6:$U$505,0)),"")</f>
        <v/>
      </c>
      <c r="K72" s="36" t="str">
        <f aca="false">IFERROR(INDEX('Fund Research'!$P$6:$P$505,MATCH(67,'Fund Research'!$U$6:$U$505,0)),"")</f>
        <v/>
      </c>
      <c r="L72" s="34" t="str">
        <f aca="false">IFERROR(INDEX('Fund Research'!$S$6:$S$505,MATCH(67,'Fund Research'!$U$6:$U$505,0)),"")</f>
        <v/>
      </c>
      <c r="M72" s="34" t="str">
        <f aca="false">IFERROR(INDEX('Fund Research'!$T$6:$T$505,MATCH(67,'Fund Research'!$U$6:$U$505,0)),"")</f>
        <v/>
      </c>
    </row>
    <row r="73" customFormat="false" ht="15" hidden="false" customHeight="true" outlineLevel="0" collapsed="false">
      <c r="A73" s="33" t="str">
        <f aca="false">IFERROR(IF(INDEX('Fund Research'!$B$6:$B$505,MATCH(68,'Fund Research'!$U$6:$U$505,0))="","",68),"")</f>
        <v/>
      </c>
      <c r="B73" s="34" t="str">
        <f aca="false">IFERROR(INDEX('Fund Research'!$A$6:$A$505,MATCH(68,'Fund Research'!$U$6:$U$505,0)),"")</f>
        <v/>
      </c>
      <c r="C73" s="34" t="str">
        <f aca="false">IFERROR(INDEX('Fund Research'!$B$6:$B$505,MATCH(68,'Fund Research'!$U$6:$U$505,0)),"")</f>
        <v/>
      </c>
      <c r="D73" s="34" t="str">
        <f aca="false">IFERROR(INDEX('Fund Research'!$C$6:$C$505,MATCH(68,'Fund Research'!$U$6:$U$505,0)),"")</f>
        <v/>
      </c>
      <c r="E73" s="35" t="str">
        <f aca="false">IFERROR(INDEX('Fund Research'!$G$6:$G$505,MATCH(68,'Fund Research'!$U$6:$U$505,0)),"")</f>
        <v/>
      </c>
      <c r="F73" s="35" t="str">
        <f aca="false">IFERROR(INDEX('Fund Research'!$H$6:$H$505,MATCH(68,'Fund Research'!$U$6:$U$505,0)),"")</f>
        <v/>
      </c>
      <c r="G73" s="35" t="str">
        <f aca="false">IFERROR(INDEX('Fund Research'!$I$6:$I$505,MATCH(68,'Fund Research'!$U$6:$U$505,0)),"")</f>
        <v/>
      </c>
      <c r="H73" s="36" t="str">
        <f aca="false">IFERROR(INDEX('Fund Research'!$J$6:$J$505,MATCH(68,'Fund Research'!$U$6:$U$505,0)),"")</f>
        <v/>
      </c>
      <c r="I73" s="37" t="str">
        <f aca="false">IFERROR(INDEX('Fund Research'!$L$6:$L$505,MATCH(68,'Fund Research'!$U$6:$U$505,0)),"")</f>
        <v/>
      </c>
      <c r="J73" s="36" t="str">
        <f aca="false">IFERROR(INDEX('Fund Research'!$N$6:$N$505,MATCH(68,'Fund Research'!$U$6:$U$505,0)),"")</f>
        <v/>
      </c>
      <c r="K73" s="36" t="str">
        <f aca="false">IFERROR(INDEX('Fund Research'!$P$6:$P$505,MATCH(68,'Fund Research'!$U$6:$U$505,0)),"")</f>
        <v/>
      </c>
      <c r="L73" s="34" t="str">
        <f aca="false">IFERROR(INDEX('Fund Research'!$S$6:$S$505,MATCH(68,'Fund Research'!$U$6:$U$505,0)),"")</f>
        <v/>
      </c>
      <c r="M73" s="34" t="str">
        <f aca="false">IFERROR(INDEX('Fund Research'!$T$6:$T$505,MATCH(68,'Fund Research'!$U$6:$U$505,0)),"")</f>
        <v/>
      </c>
    </row>
    <row r="74" customFormat="false" ht="15" hidden="false" customHeight="true" outlineLevel="0" collapsed="false">
      <c r="A74" s="33" t="str">
        <f aca="false">IFERROR(IF(INDEX('Fund Research'!$B$6:$B$505,MATCH(69,'Fund Research'!$U$6:$U$505,0))="","",69),"")</f>
        <v/>
      </c>
      <c r="B74" s="34" t="str">
        <f aca="false">IFERROR(INDEX('Fund Research'!$A$6:$A$505,MATCH(69,'Fund Research'!$U$6:$U$505,0)),"")</f>
        <v/>
      </c>
      <c r="C74" s="34" t="str">
        <f aca="false">IFERROR(INDEX('Fund Research'!$B$6:$B$505,MATCH(69,'Fund Research'!$U$6:$U$505,0)),"")</f>
        <v/>
      </c>
      <c r="D74" s="34" t="str">
        <f aca="false">IFERROR(INDEX('Fund Research'!$C$6:$C$505,MATCH(69,'Fund Research'!$U$6:$U$505,0)),"")</f>
        <v/>
      </c>
      <c r="E74" s="35" t="str">
        <f aca="false">IFERROR(INDEX('Fund Research'!$G$6:$G$505,MATCH(69,'Fund Research'!$U$6:$U$505,0)),"")</f>
        <v/>
      </c>
      <c r="F74" s="35" t="str">
        <f aca="false">IFERROR(INDEX('Fund Research'!$H$6:$H$505,MATCH(69,'Fund Research'!$U$6:$U$505,0)),"")</f>
        <v/>
      </c>
      <c r="G74" s="35" t="str">
        <f aca="false">IFERROR(INDEX('Fund Research'!$I$6:$I$505,MATCH(69,'Fund Research'!$U$6:$U$505,0)),"")</f>
        <v/>
      </c>
      <c r="H74" s="36" t="str">
        <f aca="false">IFERROR(INDEX('Fund Research'!$J$6:$J$505,MATCH(69,'Fund Research'!$U$6:$U$505,0)),"")</f>
        <v/>
      </c>
      <c r="I74" s="37" t="str">
        <f aca="false">IFERROR(INDEX('Fund Research'!$L$6:$L$505,MATCH(69,'Fund Research'!$U$6:$U$505,0)),"")</f>
        <v/>
      </c>
      <c r="J74" s="36" t="str">
        <f aca="false">IFERROR(INDEX('Fund Research'!$N$6:$N$505,MATCH(69,'Fund Research'!$U$6:$U$505,0)),"")</f>
        <v/>
      </c>
      <c r="K74" s="36" t="str">
        <f aca="false">IFERROR(INDEX('Fund Research'!$P$6:$P$505,MATCH(69,'Fund Research'!$U$6:$U$505,0)),"")</f>
        <v/>
      </c>
      <c r="L74" s="34" t="str">
        <f aca="false">IFERROR(INDEX('Fund Research'!$S$6:$S$505,MATCH(69,'Fund Research'!$U$6:$U$505,0)),"")</f>
        <v/>
      </c>
      <c r="M74" s="34" t="str">
        <f aca="false">IFERROR(INDEX('Fund Research'!$T$6:$T$505,MATCH(69,'Fund Research'!$U$6:$U$505,0)),"")</f>
        <v/>
      </c>
    </row>
    <row r="75" customFormat="false" ht="15" hidden="false" customHeight="true" outlineLevel="0" collapsed="false">
      <c r="A75" s="33" t="str">
        <f aca="false">IFERROR(IF(INDEX('Fund Research'!$B$6:$B$505,MATCH(70,'Fund Research'!$U$6:$U$505,0))="","",70),"")</f>
        <v/>
      </c>
      <c r="B75" s="34" t="str">
        <f aca="false">IFERROR(INDEX('Fund Research'!$A$6:$A$505,MATCH(70,'Fund Research'!$U$6:$U$505,0)),"")</f>
        <v/>
      </c>
      <c r="C75" s="34" t="str">
        <f aca="false">IFERROR(INDEX('Fund Research'!$B$6:$B$505,MATCH(70,'Fund Research'!$U$6:$U$505,0)),"")</f>
        <v/>
      </c>
      <c r="D75" s="34" t="str">
        <f aca="false">IFERROR(INDEX('Fund Research'!$C$6:$C$505,MATCH(70,'Fund Research'!$U$6:$U$505,0)),"")</f>
        <v/>
      </c>
      <c r="E75" s="35" t="str">
        <f aca="false">IFERROR(INDEX('Fund Research'!$G$6:$G$505,MATCH(70,'Fund Research'!$U$6:$U$505,0)),"")</f>
        <v/>
      </c>
      <c r="F75" s="35" t="str">
        <f aca="false">IFERROR(INDEX('Fund Research'!$H$6:$H$505,MATCH(70,'Fund Research'!$U$6:$U$505,0)),"")</f>
        <v/>
      </c>
      <c r="G75" s="35" t="str">
        <f aca="false">IFERROR(INDEX('Fund Research'!$I$6:$I$505,MATCH(70,'Fund Research'!$U$6:$U$505,0)),"")</f>
        <v/>
      </c>
      <c r="H75" s="36" t="str">
        <f aca="false">IFERROR(INDEX('Fund Research'!$J$6:$J$505,MATCH(70,'Fund Research'!$U$6:$U$505,0)),"")</f>
        <v/>
      </c>
      <c r="I75" s="37" t="str">
        <f aca="false">IFERROR(INDEX('Fund Research'!$L$6:$L$505,MATCH(70,'Fund Research'!$U$6:$U$505,0)),"")</f>
        <v/>
      </c>
      <c r="J75" s="36" t="str">
        <f aca="false">IFERROR(INDEX('Fund Research'!$N$6:$N$505,MATCH(70,'Fund Research'!$U$6:$U$505,0)),"")</f>
        <v/>
      </c>
      <c r="K75" s="36" t="str">
        <f aca="false">IFERROR(INDEX('Fund Research'!$P$6:$P$505,MATCH(70,'Fund Research'!$U$6:$U$505,0)),"")</f>
        <v/>
      </c>
      <c r="L75" s="34" t="str">
        <f aca="false">IFERROR(INDEX('Fund Research'!$S$6:$S$505,MATCH(70,'Fund Research'!$U$6:$U$505,0)),"")</f>
        <v/>
      </c>
      <c r="M75" s="34" t="str">
        <f aca="false">IFERROR(INDEX('Fund Research'!$T$6:$T$505,MATCH(70,'Fund Research'!$U$6:$U$505,0)),"")</f>
        <v/>
      </c>
    </row>
    <row r="76" customFormat="false" ht="15" hidden="false" customHeight="true" outlineLevel="0" collapsed="false">
      <c r="A76" s="33" t="str">
        <f aca="false">IFERROR(IF(INDEX('Fund Research'!$B$6:$B$505,MATCH(71,'Fund Research'!$U$6:$U$505,0))="","",71),"")</f>
        <v/>
      </c>
      <c r="B76" s="34" t="str">
        <f aca="false">IFERROR(INDEX('Fund Research'!$A$6:$A$505,MATCH(71,'Fund Research'!$U$6:$U$505,0)),"")</f>
        <v/>
      </c>
      <c r="C76" s="34" t="str">
        <f aca="false">IFERROR(INDEX('Fund Research'!$B$6:$B$505,MATCH(71,'Fund Research'!$U$6:$U$505,0)),"")</f>
        <v/>
      </c>
      <c r="D76" s="34" t="str">
        <f aca="false">IFERROR(INDEX('Fund Research'!$C$6:$C$505,MATCH(71,'Fund Research'!$U$6:$U$505,0)),"")</f>
        <v/>
      </c>
      <c r="E76" s="35" t="str">
        <f aca="false">IFERROR(INDEX('Fund Research'!$G$6:$G$505,MATCH(71,'Fund Research'!$U$6:$U$505,0)),"")</f>
        <v/>
      </c>
      <c r="F76" s="35" t="str">
        <f aca="false">IFERROR(INDEX('Fund Research'!$H$6:$H$505,MATCH(71,'Fund Research'!$U$6:$U$505,0)),"")</f>
        <v/>
      </c>
      <c r="G76" s="35" t="str">
        <f aca="false">IFERROR(INDEX('Fund Research'!$I$6:$I$505,MATCH(71,'Fund Research'!$U$6:$U$505,0)),"")</f>
        <v/>
      </c>
      <c r="H76" s="36" t="str">
        <f aca="false">IFERROR(INDEX('Fund Research'!$J$6:$J$505,MATCH(71,'Fund Research'!$U$6:$U$505,0)),"")</f>
        <v/>
      </c>
      <c r="I76" s="37" t="str">
        <f aca="false">IFERROR(INDEX('Fund Research'!$L$6:$L$505,MATCH(71,'Fund Research'!$U$6:$U$505,0)),"")</f>
        <v/>
      </c>
      <c r="J76" s="36" t="str">
        <f aca="false">IFERROR(INDEX('Fund Research'!$N$6:$N$505,MATCH(71,'Fund Research'!$U$6:$U$505,0)),"")</f>
        <v/>
      </c>
      <c r="K76" s="36" t="str">
        <f aca="false">IFERROR(INDEX('Fund Research'!$P$6:$P$505,MATCH(71,'Fund Research'!$U$6:$U$505,0)),"")</f>
        <v/>
      </c>
      <c r="L76" s="34" t="str">
        <f aca="false">IFERROR(INDEX('Fund Research'!$S$6:$S$505,MATCH(71,'Fund Research'!$U$6:$U$505,0)),"")</f>
        <v/>
      </c>
      <c r="M76" s="34" t="str">
        <f aca="false">IFERROR(INDEX('Fund Research'!$T$6:$T$505,MATCH(71,'Fund Research'!$U$6:$U$505,0)),"")</f>
        <v/>
      </c>
    </row>
    <row r="77" customFormat="false" ht="15" hidden="false" customHeight="true" outlineLevel="0" collapsed="false">
      <c r="A77" s="33" t="str">
        <f aca="false">IFERROR(IF(INDEX('Fund Research'!$B$6:$B$505,MATCH(72,'Fund Research'!$U$6:$U$505,0))="","",72),"")</f>
        <v/>
      </c>
      <c r="B77" s="34" t="str">
        <f aca="false">IFERROR(INDEX('Fund Research'!$A$6:$A$505,MATCH(72,'Fund Research'!$U$6:$U$505,0)),"")</f>
        <v/>
      </c>
      <c r="C77" s="34" t="str">
        <f aca="false">IFERROR(INDEX('Fund Research'!$B$6:$B$505,MATCH(72,'Fund Research'!$U$6:$U$505,0)),"")</f>
        <v/>
      </c>
      <c r="D77" s="34" t="str">
        <f aca="false">IFERROR(INDEX('Fund Research'!$C$6:$C$505,MATCH(72,'Fund Research'!$U$6:$U$505,0)),"")</f>
        <v/>
      </c>
      <c r="E77" s="35" t="str">
        <f aca="false">IFERROR(INDEX('Fund Research'!$G$6:$G$505,MATCH(72,'Fund Research'!$U$6:$U$505,0)),"")</f>
        <v/>
      </c>
      <c r="F77" s="35" t="str">
        <f aca="false">IFERROR(INDEX('Fund Research'!$H$6:$H$505,MATCH(72,'Fund Research'!$U$6:$U$505,0)),"")</f>
        <v/>
      </c>
      <c r="G77" s="35" t="str">
        <f aca="false">IFERROR(INDEX('Fund Research'!$I$6:$I$505,MATCH(72,'Fund Research'!$U$6:$U$505,0)),"")</f>
        <v/>
      </c>
      <c r="H77" s="36" t="str">
        <f aca="false">IFERROR(INDEX('Fund Research'!$J$6:$J$505,MATCH(72,'Fund Research'!$U$6:$U$505,0)),"")</f>
        <v/>
      </c>
      <c r="I77" s="37" t="str">
        <f aca="false">IFERROR(INDEX('Fund Research'!$L$6:$L$505,MATCH(72,'Fund Research'!$U$6:$U$505,0)),"")</f>
        <v/>
      </c>
      <c r="J77" s="36" t="str">
        <f aca="false">IFERROR(INDEX('Fund Research'!$N$6:$N$505,MATCH(72,'Fund Research'!$U$6:$U$505,0)),"")</f>
        <v/>
      </c>
      <c r="K77" s="36" t="str">
        <f aca="false">IFERROR(INDEX('Fund Research'!$P$6:$P$505,MATCH(72,'Fund Research'!$U$6:$U$505,0)),"")</f>
        <v/>
      </c>
      <c r="L77" s="34" t="str">
        <f aca="false">IFERROR(INDEX('Fund Research'!$S$6:$S$505,MATCH(72,'Fund Research'!$U$6:$U$505,0)),"")</f>
        <v/>
      </c>
      <c r="M77" s="34" t="str">
        <f aca="false">IFERROR(INDEX('Fund Research'!$T$6:$T$505,MATCH(72,'Fund Research'!$U$6:$U$505,0)),"")</f>
        <v/>
      </c>
    </row>
    <row r="78" customFormat="false" ht="15" hidden="false" customHeight="true" outlineLevel="0" collapsed="false">
      <c r="A78" s="33" t="str">
        <f aca="false">IFERROR(IF(INDEX('Fund Research'!$B$6:$B$505,MATCH(73,'Fund Research'!$U$6:$U$505,0))="","",73),"")</f>
        <v/>
      </c>
      <c r="B78" s="34" t="str">
        <f aca="false">IFERROR(INDEX('Fund Research'!$A$6:$A$505,MATCH(73,'Fund Research'!$U$6:$U$505,0)),"")</f>
        <v/>
      </c>
      <c r="C78" s="34" t="str">
        <f aca="false">IFERROR(INDEX('Fund Research'!$B$6:$B$505,MATCH(73,'Fund Research'!$U$6:$U$505,0)),"")</f>
        <v/>
      </c>
      <c r="D78" s="34" t="str">
        <f aca="false">IFERROR(INDEX('Fund Research'!$C$6:$C$505,MATCH(73,'Fund Research'!$U$6:$U$505,0)),"")</f>
        <v/>
      </c>
      <c r="E78" s="35" t="str">
        <f aca="false">IFERROR(INDEX('Fund Research'!$G$6:$G$505,MATCH(73,'Fund Research'!$U$6:$U$505,0)),"")</f>
        <v/>
      </c>
      <c r="F78" s="35" t="str">
        <f aca="false">IFERROR(INDEX('Fund Research'!$H$6:$H$505,MATCH(73,'Fund Research'!$U$6:$U$505,0)),"")</f>
        <v/>
      </c>
      <c r="G78" s="35" t="str">
        <f aca="false">IFERROR(INDEX('Fund Research'!$I$6:$I$505,MATCH(73,'Fund Research'!$U$6:$U$505,0)),"")</f>
        <v/>
      </c>
      <c r="H78" s="36" t="str">
        <f aca="false">IFERROR(INDEX('Fund Research'!$J$6:$J$505,MATCH(73,'Fund Research'!$U$6:$U$505,0)),"")</f>
        <v/>
      </c>
      <c r="I78" s="37" t="str">
        <f aca="false">IFERROR(INDEX('Fund Research'!$L$6:$L$505,MATCH(73,'Fund Research'!$U$6:$U$505,0)),"")</f>
        <v/>
      </c>
      <c r="J78" s="36" t="str">
        <f aca="false">IFERROR(INDEX('Fund Research'!$N$6:$N$505,MATCH(73,'Fund Research'!$U$6:$U$505,0)),"")</f>
        <v/>
      </c>
      <c r="K78" s="36" t="str">
        <f aca="false">IFERROR(INDEX('Fund Research'!$P$6:$P$505,MATCH(73,'Fund Research'!$U$6:$U$505,0)),"")</f>
        <v/>
      </c>
      <c r="L78" s="34" t="str">
        <f aca="false">IFERROR(INDEX('Fund Research'!$S$6:$S$505,MATCH(73,'Fund Research'!$U$6:$U$505,0)),"")</f>
        <v/>
      </c>
      <c r="M78" s="34" t="str">
        <f aca="false">IFERROR(INDEX('Fund Research'!$T$6:$T$505,MATCH(73,'Fund Research'!$U$6:$U$505,0)),"")</f>
        <v/>
      </c>
    </row>
    <row r="79" customFormat="false" ht="15" hidden="false" customHeight="true" outlineLevel="0" collapsed="false">
      <c r="A79" s="33" t="str">
        <f aca="false">IFERROR(IF(INDEX('Fund Research'!$B$6:$B$505,MATCH(74,'Fund Research'!$U$6:$U$505,0))="","",74),"")</f>
        <v/>
      </c>
      <c r="B79" s="34" t="str">
        <f aca="false">IFERROR(INDEX('Fund Research'!$A$6:$A$505,MATCH(74,'Fund Research'!$U$6:$U$505,0)),"")</f>
        <v/>
      </c>
      <c r="C79" s="34" t="str">
        <f aca="false">IFERROR(INDEX('Fund Research'!$B$6:$B$505,MATCH(74,'Fund Research'!$U$6:$U$505,0)),"")</f>
        <v/>
      </c>
      <c r="D79" s="34" t="str">
        <f aca="false">IFERROR(INDEX('Fund Research'!$C$6:$C$505,MATCH(74,'Fund Research'!$U$6:$U$505,0)),"")</f>
        <v/>
      </c>
      <c r="E79" s="35" t="str">
        <f aca="false">IFERROR(INDEX('Fund Research'!$G$6:$G$505,MATCH(74,'Fund Research'!$U$6:$U$505,0)),"")</f>
        <v/>
      </c>
      <c r="F79" s="35" t="str">
        <f aca="false">IFERROR(INDEX('Fund Research'!$H$6:$H$505,MATCH(74,'Fund Research'!$U$6:$U$505,0)),"")</f>
        <v/>
      </c>
      <c r="G79" s="35" t="str">
        <f aca="false">IFERROR(INDEX('Fund Research'!$I$6:$I$505,MATCH(74,'Fund Research'!$U$6:$U$505,0)),"")</f>
        <v/>
      </c>
      <c r="H79" s="36" t="str">
        <f aca="false">IFERROR(INDEX('Fund Research'!$J$6:$J$505,MATCH(74,'Fund Research'!$U$6:$U$505,0)),"")</f>
        <v/>
      </c>
      <c r="I79" s="37" t="str">
        <f aca="false">IFERROR(INDEX('Fund Research'!$L$6:$L$505,MATCH(74,'Fund Research'!$U$6:$U$505,0)),"")</f>
        <v/>
      </c>
      <c r="J79" s="36" t="str">
        <f aca="false">IFERROR(INDEX('Fund Research'!$N$6:$N$505,MATCH(74,'Fund Research'!$U$6:$U$505,0)),"")</f>
        <v/>
      </c>
      <c r="K79" s="36" t="str">
        <f aca="false">IFERROR(INDEX('Fund Research'!$P$6:$P$505,MATCH(74,'Fund Research'!$U$6:$U$505,0)),"")</f>
        <v/>
      </c>
      <c r="L79" s="34" t="str">
        <f aca="false">IFERROR(INDEX('Fund Research'!$S$6:$S$505,MATCH(74,'Fund Research'!$U$6:$U$505,0)),"")</f>
        <v/>
      </c>
      <c r="M79" s="34" t="str">
        <f aca="false">IFERROR(INDEX('Fund Research'!$T$6:$T$505,MATCH(74,'Fund Research'!$U$6:$U$505,0)),"")</f>
        <v/>
      </c>
    </row>
    <row r="80" customFormat="false" ht="15" hidden="false" customHeight="true" outlineLevel="0" collapsed="false">
      <c r="A80" s="33" t="str">
        <f aca="false">IFERROR(IF(INDEX('Fund Research'!$B$6:$B$505,MATCH(75,'Fund Research'!$U$6:$U$505,0))="","",75),"")</f>
        <v/>
      </c>
      <c r="B80" s="34" t="str">
        <f aca="false">IFERROR(INDEX('Fund Research'!$A$6:$A$505,MATCH(75,'Fund Research'!$U$6:$U$505,0)),"")</f>
        <v/>
      </c>
      <c r="C80" s="34" t="str">
        <f aca="false">IFERROR(INDEX('Fund Research'!$B$6:$B$505,MATCH(75,'Fund Research'!$U$6:$U$505,0)),"")</f>
        <v/>
      </c>
      <c r="D80" s="34" t="str">
        <f aca="false">IFERROR(INDEX('Fund Research'!$C$6:$C$505,MATCH(75,'Fund Research'!$U$6:$U$505,0)),"")</f>
        <v/>
      </c>
      <c r="E80" s="35" t="str">
        <f aca="false">IFERROR(INDEX('Fund Research'!$G$6:$G$505,MATCH(75,'Fund Research'!$U$6:$U$505,0)),"")</f>
        <v/>
      </c>
      <c r="F80" s="35" t="str">
        <f aca="false">IFERROR(INDEX('Fund Research'!$H$6:$H$505,MATCH(75,'Fund Research'!$U$6:$U$505,0)),"")</f>
        <v/>
      </c>
      <c r="G80" s="35" t="str">
        <f aca="false">IFERROR(INDEX('Fund Research'!$I$6:$I$505,MATCH(75,'Fund Research'!$U$6:$U$505,0)),"")</f>
        <v/>
      </c>
      <c r="H80" s="36" t="str">
        <f aca="false">IFERROR(INDEX('Fund Research'!$J$6:$J$505,MATCH(75,'Fund Research'!$U$6:$U$505,0)),"")</f>
        <v/>
      </c>
      <c r="I80" s="37" t="str">
        <f aca="false">IFERROR(INDEX('Fund Research'!$L$6:$L$505,MATCH(75,'Fund Research'!$U$6:$U$505,0)),"")</f>
        <v/>
      </c>
      <c r="J80" s="36" t="str">
        <f aca="false">IFERROR(INDEX('Fund Research'!$N$6:$N$505,MATCH(75,'Fund Research'!$U$6:$U$505,0)),"")</f>
        <v/>
      </c>
      <c r="K80" s="36" t="str">
        <f aca="false">IFERROR(INDEX('Fund Research'!$P$6:$P$505,MATCH(75,'Fund Research'!$U$6:$U$505,0)),"")</f>
        <v/>
      </c>
      <c r="L80" s="34" t="str">
        <f aca="false">IFERROR(INDEX('Fund Research'!$S$6:$S$505,MATCH(75,'Fund Research'!$U$6:$U$505,0)),"")</f>
        <v/>
      </c>
      <c r="M80" s="34" t="str">
        <f aca="false">IFERROR(INDEX('Fund Research'!$T$6:$T$505,MATCH(75,'Fund Research'!$U$6:$U$505,0)),"")</f>
        <v/>
      </c>
    </row>
    <row r="81" customFormat="false" ht="15" hidden="false" customHeight="true" outlineLevel="0" collapsed="false">
      <c r="A81" s="33" t="str">
        <f aca="false">IFERROR(IF(INDEX('Fund Research'!$B$6:$B$505,MATCH(76,'Fund Research'!$U$6:$U$505,0))="","",76),"")</f>
        <v/>
      </c>
      <c r="B81" s="34" t="str">
        <f aca="false">IFERROR(INDEX('Fund Research'!$A$6:$A$505,MATCH(76,'Fund Research'!$U$6:$U$505,0)),"")</f>
        <v/>
      </c>
      <c r="C81" s="34" t="str">
        <f aca="false">IFERROR(INDEX('Fund Research'!$B$6:$B$505,MATCH(76,'Fund Research'!$U$6:$U$505,0)),"")</f>
        <v/>
      </c>
      <c r="D81" s="34" t="str">
        <f aca="false">IFERROR(INDEX('Fund Research'!$C$6:$C$505,MATCH(76,'Fund Research'!$U$6:$U$505,0)),"")</f>
        <v/>
      </c>
      <c r="E81" s="35" t="str">
        <f aca="false">IFERROR(INDEX('Fund Research'!$G$6:$G$505,MATCH(76,'Fund Research'!$U$6:$U$505,0)),"")</f>
        <v/>
      </c>
      <c r="F81" s="35" t="str">
        <f aca="false">IFERROR(INDEX('Fund Research'!$H$6:$H$505,MATCH(76,'Fund Research'!$U$6:$U$505,0)),"")</f>
        <v/>
      </c>
      <c r="G81" s="35" t="str">
        <f aca="false">IFERROR(INDEX('Fund Research'!$I$6:$I$505,MATCH(76,'Fund Research'!$U$6:$U$505,0)),"")</f>
        <v/>
      </c>
      <c r="H81" s="36" t="str">
        <f aca="false">IFERROR(INDEX('Fund Research'!$J$6:$J$505,MATCH(76,'Fund Research'!$U$6:$U$505,0)),"")</f>
        <v/>
      </c>
      <c r="I81" s="37" t="str">
        <f aca="false">IFERROR(INDEX('Fund Research'!$L$6:$L$505,MATCH(76,'Fund Research'!$U$6:$U$505,0)),"")</f>
        <v/>
      </c>
      <c r="J81" s="36" t="str">
        <f aca="false">IFERROR(INDEX('Fund Research'!$N$6:$N$505,MATCH(76,'Fund Research'!$U$6:$U$505,0)),"")</f>
        <v/>
      </c>
      <c r="K81" s="36" t="str">
        <f aca="false">IFERROR(INDEX('Fund Research'!$P$6:$P$505,MATCH(76,'Fund Research'!$U$6:$U$505,0)),"")</f>
        <v/>
      </c>
      <c r="L81" s="34" t="str">
        <f aca="false">IFERROR(INDEX('Fund Research'!$S$6:$S$505,MATCH(76,'Fund Research'!$U$6:$U$505,0)),"")</f>
        <v/>
      </c>
      <c r="M81" s="34" t="str">
        <f aca="false">IFERROR(INDEX('Fund Research'!$T$6:$T$505,MATCH(76,'Fund Research'!$U$6:$U$505,0)),"")</f>
        <v/>
      </c>
    </row>
    <row r="82" customFormat="false" ht="15" hidden="false" customHeight="true" outlineLevel="0" collapsed="false">
      <c r="A82" s="33" t="str">
        <f aca="false">IFERROR(IF(INDEX('Fund Research'!$B$6:$B$505,MATCH(77,'Fund Research'!$U$6:$U$505,0))="","",77),"")</f>
        <v/>
      </c>
      <c r="B82" s="34" t="str">
        <f aca="false">IFERROR(INDEX('Fund Research'!$A$6:$A$505,MATCH(77,'Fund Research'!$U$6:$U$505,0)),"")</f>
        <v/>
      </c>
      <c r="C82" s="34" t="str">
        <f aca="false">IFERROR(INDEX('Fund Research'!$B$6:$B$505,MATCH(77,'Fund Research'!$U$6:$U$505,0)),"")</f>
        <v/>
      </c>
      <c r="D82" s="34" t="str">
        <f aca="false">IFERROR(INDEX('Fund Research'!$C$6:$C$505,MATCH(77,'Fund Research'!$U$6:$U$505,0)),"")</f>
        <v/>
      </c>
      <c r="E82" s="35" t="str">
        <f aca="false">IFERROR(INDEX('Fund Research'!$G$6:$G$505,MATCH(77,'Fund Research'!$U$6:$U$505,0)),"")</f>
        <v/>
      </c>
      <c r="F82" s="35" t="str">
        <f aca="false">IFERROR(INDEX('Fund Research'!$H$6:$H$505,MATCH(77,'Fund Research'!$U$6:$U$505,0)),"")</f>
        <v/>
      </c>
      <c r="G82" s="35" t="str">
        <f aca="false">IFERROR(INDEX('Fund Research'!$I$6:$I$505,MATCH(77,'Fund Research'!$U$6:$U$505,0)),"")</f>
        <v/>
      </c>
      <c r="H82" s="36" t="str">
        <f aca="false">IFERROR(INDEX('Fund Research'!$J$6:$J$505,MATCH(77,'Fund Research'!$U$6:$U$505,0)),"")</f>
        <v/>
      </c>
      <c r="I82" s="37" t="str">
        <f aca="false">IFERROR(INDEX('Fund Research'!$L$6:$L$505,MATCH(77,'Fund Research'!$U$6:$U$505,0)),"")</f>
        <v/>
      </c>
      <c r="J82" s="36" t="str">
        <f aca="false">IFERROR(INDEX('Fund Research'!$N$6:$N$505,MATCH(77,'Fund Research'!$U$6:$U$505,0)),"")</f>
        <v/>
      </c>
      <c r="K82" s="36" t="str">
        <f aca="false">IFERROR(INDEX('Fund Research'!$P$6:$P$505,MATCH(77,'Fund Research'!$U$6:$U$505,0)),"")</f>
        <v/>
      </c>
      <c r="L82" s="34" t="str">
        <f aca="false">IFERROR(INDEX('Fund Research'!$S$6:$S$505,MATCH(77,'Fund Research'!$U$6:$U$505,0)),"")</f>
        <v/>
      </c>
      <c r="M82" s="34" t="str">
        <f aca="false">IFERROR(INDEX('Fund Research'!$T$6:$T$505,MATCH(77,'Fund Research'!$U$6:$U$505,0)),"")</f>
        <v/>
      </c>
    </row>
    <row r="83" customFormat="false" ht="15" hidden="false" customHeight="true" outlineLevel="0" collapsed="false">
      <c r="A83" s="33" t="str">
        <f aca="false">IFERROR(IF(INDEX('Fund Research'!$B$6:$B$505,MATCH(78,'Fund Research'!$U$6:$U$505,0))="","",78),"")</f>
        <v/>
      </c>
      <c r="B83" s="34" t="str">
        <f aca="false">IFERROR(INDEX('Fund Research'!$A$6:$A$505,MATCH(78,'Fund Research'!$U$6:$U$505,0)),"")</f>
        <v/>
      </c>
      <c r="C83" s="34" t="str">
        <f aca="false">IFERROR(INDEX('Fund Research'!$B$6:$B$505,MATCH(78,'Fund Research'!$U$6:$U$505,0)),"")</f>
        <v/>
      </c>
      <c r="D83" s="34" t="str">
        <f aca="false">IFERROR(INDEX('Fund Research'!$C$6:$C$505,MATCH(78,'Fund Research'!$U$6:$U$505,0)),"")</f>
        <v/>
      </c>
      <c r="E83" s="35" t="str">
        <f aca="false">IFERROR(INDEX('Fund Research'!$G$6:$G$505,MATCH(78,'Fund Research'!$U$6:$U$505,0)),"")</f>
        <v/>
      </c>
      <c r="F83" s="35" t="str">
        <f aca="false">IFERROR(INDEX('Fund Research'!$H$6:$H$505,MATCH(78,'Fund Research'!$U$6:$U$505,0)),"")</f>
        <v/>
      </c>
      <c r="G83" s="35" t="str">
        <f aca="false">IFERROR(INDEX('Fund Research'!$I$6:$I$505,MATCH(78,'Fund Research'!$U$6:$U$505,0)),"")</f>
        <v/>
      </c>
      <c r="H83" s="36" t="str">
        <f aca="false">IFERROR(INDEX('Fund Research'!$J$6:$J$505,MATCH(78,'Fund Research'!$U$6:$U$505,0)),"")</f>
        <v/>
      </c>
      <c r="I83" s="37" t="str">
        <f aca="false">IFERROR(INDEX('Fund Research'!$L$6:$L$505,MATCH(78,'Fund Research'!$U$6:$U$505,0)),"")</f>
        <v/>
      </c>
      <c r="J83" s="36" t="str">
        <f aca="false">IFERROR(INDEX('Fund Research'!$N$6:$N$505,MATCH(78,'Fund Research'!$U$6:$U$505,0)),"")</f>
        <v/>
      </c>
      <c r="K83" s="36" t="str">
        <f aca="false">IFERROR(INDEX('Fund Research'!$P$6:$P$505,MATCH(78,'Fund Research'!$U$6:$U$505,0)),"")</f>
        <v/>
      </c>
      <c r="L83" s="34" t="str">
        <f aca="false">IFERROR(INDEX('Fund Research'!$S$6:$S$505,MATCH(78,'Fund Research'!$U$6:$U$505,0)),"")</f>
        <v/>
      </c>
      <c r="M83" s="34" t="str">
        <f aca="false">IFERROR(INDEX('Fund Research'!$T$6:$T$505,MATCH(78,'Fund Research'!$U$6:$U$505,0)),"")</f>
        <v/>
      </c>
    </row>
    <row r="84" customFormat="false" ht="15" hidden="false" customHeight="true" outlineLevel="0" collapsed="false">
      <c r="A84" s="33" t="str">
        <f aca="false">IFERROR(IF(INDEX('Fund Research'!$B$6:$B$505,MATCH(79,'Fund Research'!$U$6:$U$505,0))="","",79),"")</f>
        <v/>
      </c>
      <c r="B84" s="34" t="str">
        <f aca="false">IFERROR(INDEX('Fund Research'!$A$6:$A$505,MATCH(79,'Fund Research'!$U$6:$U$505,0)),"")</f>
        <v/>
      </c>
      <c r="C84" s="34" t="str">
        <f aca="false">IFERROR(INDEX('Fund Research'!$B$6:$B$505,MATCH(79,'Fund Research'!$U$6:$U$505,0)),"")</f>
        <v/>
      </c>
      <c r="D84" s="34" t="str">
        <f aca="false">IFERROR(INDEX('Fund Research'!$C$6:$C$505,MATCH(79,'Fund Research'!$U$6:$U$505,0)),"")</f>
        <v/>
      </c>
      <c r="E84" s="35" t="str">
        <f aca="false">IFERROR(INDEX('Fund Research'!$G$6:$G$505,MATCH(79,'Fund Research'!$U$6:$U$505,0)),"")</f>
        <v/>
      </c>
      <c r="F84" s="35" t="str">
        <f aca="false">IFERROR(INDEX('Fund Research'!$H$6:$H$505,MATCH(79,'Fund Research'!$U$6:$U$505,0)),"")</f>
        <v/>
      </c>
      <c r="G84" s="35" t="str">
        <f aca="false">IFERROR(INDEX('Fund Research'!$I$6:$I$505,MATCH(79,'Fund Research'!$U$6:$U$505,0)),"")</f>
        <v/>
      </c>
      <c r="H84" s="36" t="str">
        <f aca="false">IFERROR(INDEX('Fund Research'!$J$6:$J$505,MATCH(79,'Fund Research'!$U$6:$U$505,0)),"")</f>
        <v/>
      </c>
      <c r="I84" s="37" t="str">
        <f aca="false">IFERROR(INDEX('Fund Research'!$L$6:$L$505,MATCH(79,'Fund Research'!$U$6:$U$505,0)),"")</f>
        <v/>
      </c>
      <c r="J84" s="36" t="str">
        <f aca="false">IFERROR(INDEX('Fund Research'!$N$6:$N$505,MATCH(79,'Fund Research'!$U$6:$U$505,0)),"")</f>
        <v/>
      </c>
      <c r="K84" s="36" t="str">
        <f aca="false">IFERROR(INDEX('Fund Research'!$P$6:$P$505,MATCH(79,'Fund Research'!$U$6:$U$505,0)),"")</f>
        <v/>
      </c>
      <c r="L84" s="34" t="str">
        <f aca="false">IFERROR(INDEX('Fund Research'!$S$6:$S$505,MATCH(79,'Fund Research'!$U$6:$U$505,0)),"")</f>
        <v/>
      </c>
      <c r="M84" s="34" t="str">
        <f aca="false">IFERROR(INDEX('Fund Research'!$T$6:$T$505,MATCH(79,'Fund Research'!$U$6:$U$505,0)),"")</f>
        <v/>
      </c>
    </row>
    <row r="85" customFormat="false" ht="15" hidden="false" customHeight="true" outlineLevel="0" collapsed="false">
      <c r="A85" s="33" t="str">
        <f aca="false">IFERROR(IF(INDEX('Fund Research'!$B$6:$B$505,MATCH(80,'Fund Research'!$U$6:$U$505,0))="","",80),"")</f>
        <v/>
      </c>
      <c r="B85" s="34" t="str">
        <f aca="false">IFERROR(INDEX('Fund Research'!$A$6:$A$505,MATCH(80,'Fund Research'!$U$6:$U$505,0)),"")</f>
        <v/>
      </c>
      <c r="C85" s="34" t="str">
        <f aca="false">IFERROR(INDEX('Fund Research'!$B$6:$B$505,MATCH(80,'Fund Research'!$U$6:$U$505,0)),"")</f>
        <v/>
      </c>
      <c r="D85" s="34" t="str">
        <f aca="false">IFERROR(INDEX('Fund Research'!$C$6:$C$505,MATCH(80,'Fund Research'!$U$6:$U$505,0)),"")</f>
        <v/>
      </c>
      <c r="E85" s="35" t="str">
        <f aca="false">IFERROR(INDEX('Fund Research'!$G$6:$G$505,MATCH(80,'Fund Research'!$U$6:$U$505,0)),"")</f>
        <v/>
      </c>
      <c r="F85" s="35" t="str">
        <f aca="false">IFERROR(INDEX('Fund Research'!$H$6:$H$505,MATCH(80,'Fund Research'!$U$6:$U$505,0)),"")</f>
        <v/>
      </c>
      <c r="G85" s="35" t="str">
        <f aca="false">IFERROR(INDEX('Fund Research'!$I$6:$I$505,MATCH(80,'Fund Research'!$U$6:$U$505,0)),"")</f>
        <v/>
      </c>
      <c r="H85" s="36" t="str">
        <f aca="false">IFERROR(INDEX('Fund Research'!$J$6:$J$505,MATCH(80,'Fund Research'!$U$6:$U$505,0)),"")</f>
        <v/>
      </c>
      <c r="I85" s="37" t="str">
        <f aca="false">IFERROR(INDEX('Fund Research'!$L$6:$L$505,MATCH(80,'Fund Research'!$U$6:$U$505,0)),"")</f>
        <v/>
      </c>
      <c r="J85" s="36" t="str">
        <f aca="false">IFERROR(INDEX('Fund Research'!$N$6:$N$505,MATCH(80,'Fund Research'!$U$6:$U$505,0)),"")</f>
        <v/>
      </c>
      <c r="K85" s="36" t="str">
        <f aca="false">IFERROR(INDEX('Fund Research'!$P$6:$P$505,MATCH(80,'Fund Research'!$U$6:$U$505,0)),"")</f>
        <v/>
      </c>
      <c r="L85" s="34" t="str">
        <f aca="false">IFERROR(INDEX('Fund Research'!$S$6:$S$505,MATCH(80,'Fund Research'!$U$6:$U$505,0)),"")</f>
        <v/>
      </c>
      <c r="M85" s="34" t="str">
        <f aca="false">IFERROR(INDEX('Fund Research'!$T$6:$T$505,MATCH(80,'Fund Research'!$U$6:$U$505,0)),"")</f>
        <v/>
      </c>
    </row>
    <row r="86" customFormat="false" ht="15" hidden="false" customHeight="true" outlineLevel="0" collapsed="false">
      <c r="A86" s="33" t="str">
        <f aca="false">IFERROR(IF(INDEX('Fund Research'!$B$6:$B$505,MATCH(81,'Fund Research'!$U$6:$U$505,0))="","",81),"")</f>
        <v/>
      </c>
      <c r="B86" s="34" t="str">
        <f aca="false">IFERROR(INDEX('Fund Research'!$A$6:$A$505,MATCH(81,'Fund Research'!$U$6:$U$505,0)),"")</f>
        <v/>
      </c>
      <c r="C86" s="34" t="str">
        <f aca="false">IFERROR(INDEX('Fund Research'!$B$6:$B$505,MATCH(81,'Fund Research'!$U$6:$U$505,0)),"")</f>
        <v/>
      </c>
      <c r="D86" s="34" t="str">
        <f aca="false">IFERROR(INDEX('Fund Research'!$C$6:$C$505,MATCH(81,'Fund Research'!$U$6:$U$505,0)),"")</f>
        <v/>
      </c>
      <c r="E86" s="35" t="str">
        <f aca="false">IFERROR(INDEX('Fund Research'!$G$6:$G$505,MATCH(81,'Fund Research'!$U$6:$U$505,0)),"")</f>
        <v/>
      </c>
      <c r="F86" s="35" t="str">
        <f aca="false">IFERROR(INDEX('Fund Research'!$H$6:$H$505,MATCH(81,'Fund Research'!$U$6:$U$505,0)),"")</f>
        <v/>
      </c>
      <c r="G86" s="35" t="str">
        <f aca="false">IFERROR(INDEX('Fund Research'!$I$6:$I$505,MATCH(81,'Fund Research'!$U$6:$U$505,0)),"")</f>
        <v/>
      </c>
      <c r="H86" s="36" t="str">
        <f aca="false">IFERROR(INDEX('Fund Research'!$J$6:$J$505,MATCH(81,'Fund Research'!$U$6:$U$505,0)),"")</f>
        <v/>
      </c>
      <c r="I86" s="37" t="str">
        <f aca="false">IFERROR(INDEX('Fund Research'!$L$6:$L$505,MATCH(81,'Fund Research'!$U$6:$U$505,0)),"")</f>
        <v/>
      </c>
      <c r="J86" s="36" t="str">
        <f aca="false">IFERROR(INDEX('Fund Research'!$N$6:$N$505,MATCH(81,'Fund Research'!$U$6:$U$505,0)),"")</f>
        <v/>
      </c>
      <c r="K86" s="36" t="str">
        <f aca="false">IFERROR(INDEX('Fund Research'!$P$6:$P$505,MATCH(81,'Fund Research'!$U$6:$U$505,0)),"")</f>
        <v/>
      </c>
      <c r="L86" s="34" t="str">
        <f aca="false">IFERROR(INDEX('Fund Research'!$S$6:$S$505,MATCH(81,'Fund Research'!$U$6:$U$505,0)),"")</f>
        <v/>
      </c>
      <c r="M86" s="34" t="str">
        <f aca="false">IFERROR(INDEX('Fund Research'!$T$6:$T$505,MATCH(81,'Fund Research'!$U$6:$U$505,0)),"")</f>
        <v/>
      </c>
    </row>
    <row r="87" customFormat="false" ht="15" hidden="false" customHeight="true" outlineLevel="0" collapsed="false">
      <c r="A87" s="33" t="str">
        <f aca="false">IFERROR(IF(INDEX('Fund Research'!$B$6:$B$505,MATCH(82,'Fund Research'!$U$6:$U$505,0))="","",82),"")</f>
        <v/>
      </c>
      <c r="B87" s="34" t="str">
        <f aca="false">IFERROR(INDEX('Fund Research'!$A$6:$A$505,MATCH(82,'Fund Research'!$U$6:$U$505,0)),"")</f>
        <v/>
      </c>
      <c r="C87" s="34" t="str">
        <f aca="false">IFERROR(INDEX('Fund Research'!$B$6:$B$505,MATCH(82,'Fund Research'!$U$6:$U$505,0)),"")</f>
        <v/>
      </c>
      <c r="D87" s="34" t="str">
        <f aca="false">IFERROR(INDEX('Fund Research'!$C$6:$C$505,MATCH(82,'Fund Research'!$U$6:$U$505,0)),"")</f>
        <v/>
      </c>
      <c r="E87" s="35" t="str">
        <f aca="false">IFERROR(INDEX('Fund Research'!$G$6:$G$505,MATCH(82,'Fund Research'!$U$6:$U$505,0)),"")</f>
        <v/>
      </c>
      <c r="F87" s="35" t="str">
        <f aca="false">IFERROR(INDEX('Fund Research'!$H$6:$H$505,MATCH(82,'Fund Research'!$U$6:$U$505,0)),"")</f>
        <v/>
      </c>
      <c r="G87" s="35" t="str">
        <f aca="false">IFERROR(INDEX('Fund Research'!$I$6:$I$505,MATCH(82,'Fund Research'!$U$6:$U$505,0)),"")</f>
        <v/>
      </c>
      <c r="H87" s="36" t="str">
        <f aca="false">IFERROR(INDEX('Fund Research'!$J$6:$J$505,MATCH(82,'Fund Research'!$U$6:$U$505,0)),"")</f>
        <v/>
      </c>
      <c r="I87" s="37" t="str">
        <f aca="false">IFERROR(INDEX('Fund Research'!$L$6:$L$505,MATCH(82,'Fund Research'!$U$6:$U$505,0)),"")</f>
        <v/>
      </c>
      <c r="J87" s="36" t="str">
        <f aca="false">IFERROR(INDEX('Fund Research'!$N$6:$N$505,MATCH(82,'Fund Research'!$U$6:$U$505,0)),"")</f>
        <v/>
      </c>
      <c r="K87" s="36" t="str">
        <f aca="false">IFERROR(INDEX('Fund Research'!$P$6:$P$505,MATCH(82,'Fund Research'!$U$6:$U$505,0)),"")</f>
        <v/>
      </c>
      <c r="L87" s="34" t="str">
        <f aca="false">IFERROR(INDEX('Fund Research'!$S$6:$S$505,MATCH(82,'Fund Research'!$U$6:$U$505,0)),"")</f>
        <v/>
      </c>
      <c r="M87" s="34" t="str">
        <f aca="false">IFERROR(INDEX('Fund Research'!$T$6:$T$505,MATCH(82,'Fund Research'!$U$6:$U$505,0)),"")</f>
        <v/>
      </c>
    </row>
    <row r="88" customFormat="false" ht="15" hidden="false" customHeight="true" outlineLevel="0" collapsed="false">
      <c r="A88" s="33" t="str">
        <f aca="false">IFERROR(IF(INDEX('Fund Research'!$B$6:$B$505,MATCH(83,'Fund Research'!$U$6:$U$505,0))="","",83),"")</f>
        <v/>
      </c>
      <c r="B88" s="34" t="str">
        <f aca="false">IFERROR(INDEX('Fund Research'!$A$6:$A$505,MATCH(83,'Fund Research'!$U$6:$U$505,0)),"")</f>
        <v/>
      </c>
      <c r="C88" s="34" t="str">
        <f aca="false">IFERROR(INDEX('Fund Research'!$B$6:$B$505,MATCH(83,'Fund Research'!$U$6:$U$505,0)),"")</f>
        <v/>
      </c>
      <c r="D88" s="34" t="str">
        <f aca="false">IFERROR(INDEX('Fund Research'!$C$6:$C$505,MATCH(83,'Fund Research'!$U$6:$U$505,0)),"")</f>
        <v/>
      </c>
      <c r="E88" s="35" t="str">
        <f aca="false">IFERROR(INDEX('Fund Research'!$G$6:$G$505,MATCH(83,'Fund Research'!$U$6:$U$505,0)),"")</f>
        <v/>
      </c>
      <c r="F88" s="35" t="str">
        <f aca="false">IFERROR(INDEX('Fund Research'!$H$6:$H$505,MATCH(83,'Fund Research'!$U$6:$U$505,0)),"")</f>
        <v/>
      </c>
      <c r="G88" s="35" t="str">
        <f aca="false">IFERROR(INDEX('Fund Research'!$I$6:$I$505,MATCH(83,'Fund Research'!$U$6:$U$505,0)),"")</f>
        <v/>
      </c>
      <c r="H88" s="36" t="str">
        <f aca="false">IFERROR(INDEX('Fund Research'!$J$6:$J$505,MATCH(83,'Fund Research'!$U$6:$U$505,0)),"")</f>
        <v/>
      </c>
      <c r="I88" s="37" t="str">
        <f aca="false">IFERROR(INDEX('Fund Research'!$L$6:$L$505,MATCH(83,'Fund Research'!$U$6:$U$505,0)),"")</f>
        <v/>
      </c>
      <c r="J88" s="36" t="str">
        <f aca="false">IFERROR(INDEX('Fund Research'!$N$6:$N$505,MATCH(83,'Fund Research'!$U$6:$U$505,0)),"")</f>
        <v/>
      </c>
      <c r="K88" s="36" t="str">
        <f aca="false">IFERROR(INDEX('Fund Research'!$P$6:$P$505,MATCH(83,'Fund Research'!$U$6:$U$505,0)),"")</f>
        <v/>
      </c>
      <c r="L88" s="34" t="str">
        <f aca="false">IFERROR(INDEX('Fund Research'!$S$6:$S$505,MATCH(83,'Fund Research'!$U$6:$U$505,0)),"")</f>
        <v/>
      </c>
      <c r="M88" s="34" t="str">
        <f aca="false">IFERROR(INDEX('Fund Research'!$T$6:$T$505,MATCH(83,'Fund Research'!$U$6:$U$505,0)),"")</f>
        <v/>
      </c>
    </row>
    <row r="89" customFormat="false" ht="15" hidden="false" customHeight="true" outlineLevel="0" collapsed="false">
      <c r="A89" s="33" t="str">
        <f aca="false">IFERROR(IF(INDEX('Fund Research'!$B$6:$B$505,MATCH(84,'Fund Research'!$U$6:$U$505,0))="","",84),"")</f>
        <v/>
      </c>
      <c r="B89" s="34" t="str">
        <f aca="false">IFERROR(INDEX('Fund Research'!$A$6:$A$505,MATCH(84,'Fund Research'!$U$6:$U$505,0)),"")</f>
        <v/>
      </c>
      <c r="C89" s="34" t="str">
        <f aca="false">IFERROR(INDEX('Fund Research'!$B$6:$B$505,MATCH(84,'Fund Research'!$U$6:$U$505,0)),"")</f>
        <v/>
      </c>
      <c r="D89" s="34" t="str">
        <f aca="false">IFERROR(INDEX('Fund Research'!$C$6:$C$505,MATCH(84,'Fund Research'!$U$6:$U$505,0)),"")</f>
        <v/>
      </c>
      <c r="E89" s="35" t="str">
        <f aca="false">IFERROR(INDEX('Fund Research'!$G$6:$G$505,MATCH(84,'Fund Research'!$U$6:$U$505,0)),"")</f>
        <v/>
      </c>
      <c r="F89" s="35" t="str">
        <f aca="false">IFERROR(INDEX('Fund Research'!$H$6:$H$505,MATCH(84,'Fund Research'!$U$6:$U$505,0)),"")</f>
        <v/>
      </c>
      <c r="G89" s="35" t="str">
        <f aca="false">IFERROR(INDEX('Fund Research'!$I$6:$I$505,MATCH(84,'Fund Research'!$U$6:$U$505,0)),"")</f>
        <v/>
      </c>
      <c r="H89" s="36" t="str">
        <f aca="false">IFERROR(INDEX('Fund Research'!$J$6:$J$505,MATCH(84,'Fund Research'!$U$6:$U$505,0)),"")</f>
        <v/>
      </c>
      <c r="I89" s="37" t="str">
        <f aca="false">IFERROR(INDEX('Fund Research'!$L$6:$L$505,MATCH(84,'Fund Research'!$U$6:$U$505,0)),"")</f>
        <v/>
      </c>
      <c r="J89" s="36" t="str">
        <f aca="false">IFERROR(INDEX('Fund Research'!$N$6:$N$505,MATCH(84,'Fund Research'!$U$6:$U$505,0)),"")</f>
        <v/>
      </c>
      <c r="K89" s="36" t="str">
        <f aca="false">IFERROR(INDEX('Fund Research'!$P$6:$P$505,MATCH(84,'Fund Research'!$U$6:$U$505,0)),"")</f>
        <v/>
      </c>
      <c r="L89" s="34" t="str">
        <f aca="false">IFERROR(INDEX('Fund Research'!$S$6:$S$505,MATCH(84,'Fund Research'!$U$6:$U$505,0)),"")</f>
        <v/>
      </c>
      <c r="M89" s="34" t="str">
        <f aca="false">IFERROR(INDEX('Fund Research'!$T$6:$T$505,MATCH(84,'Fund Research'!$U$6:$U$505,0)),"")</f>
        <v/>
      </c>
    </row>
    <row r="90" customFormat="false" ht="15" hidden="false" customHeight="true" outlineLevel="0" collapsed="false">
      <c r="A90" s="33" t="str">
        <f aca="false">IFERROR(IF(INDEX('Fund Research'!$B$6:$B$505,MATCH(85,'Fund Research'!$U$6:$U$505,0))="","",85),"")</f>
        <v/>
      </c>
      <c r="B90" s="34" t="str">
        <f aca="false">IFERROR(INDEX('Fund Research'!$A$6:$A$505,MATCH(85,'Fund Research'!$U$6:$U$505,0)),"")</f>
        <v/>
      </c>
      <c r="C90" s="34" t="str">
        <f aca="false">IFERROR(INDEX('Fund Research'!$B$6:$B$505,MATCH(85,'Fund Research'!$U$6:$U$505,0)),"")</f>
        <v/>
      </c>
      <c r="D90" s="34" t="str">
        <f aca="false">IFERROR(INDEX('Fund Research'!$C$6:$C$505,MATCH(85,'Fund Research'!$U$6:$U$505,0)),"")</f>
        <v/>
      </c>
      <c r="E90" s="35" t="str">
        <f aca="false">IFERROR(INDEX('Fund Research'!$G$6:$G$505,MATCH(85,'Fund Research'!$U$6:$U$505,0)),"")</f>
        <v/>
      </c>
      <c r="F90" s="35" t="str">
        <f aca="false">IFERROR(INDEX('Fund Research'!$H$6:$H$505,MATCH(85,'Fund Research'!$U$6:$U$505,0)),"")</f>
        <v/>
      </c>
      <c r="G90" s="35" t="str">
        <f aca="false">IFERROR(INDEX('Fund Research'!$I$6:$I$505,MATCH(85,'Fund Research'!$U$6:$U$505,0)),"")</f>
        <v/>
      </c>
      <c r="H90" s="36" t="str">
        <f aca="false">IFERROR(INDEX('Fund Research'!$J$6:$J$505,MATCH(85,'Fund Research'!$U$6:$U$505,0)),"")</f>
        <v/>
      </c>
      <c r="I90" s="37" t="str">
        <f aca="false">IFERROR(INDEX('Fund Research'!$L$6:$L$505,MATCH(85,'Fund Research'!$U$6:$U$505,0)),"")</f>
        <v/>
      </c>
      <c r="J90" s="36" t="str">
        <f aca="false">IFERROR(INDEX('Fund Research'!$N$6:$N$505,MATCH(85,'Fund Research'!$U$6:$U$505,0)),"")</f>
        <v/>
      </c>
      <c r="K90" s="36" t="str">
        <f aca="false">IFERROR(INDEX('Fund Research'!$P$6:$P$505,MATCH(85,'Fund Research'!$U$6:$U$505,0)),"")</f>
        <v/>
      </c>
      <c r="L90" s="34" t="str">
        <f aca="false">IFERROR(INDEX('Fund Research'!$S$6:$S$505,MATCH(85,'Fund Research'!$U$6:$U$505,0)),"")</f>
        <v/>
      </c>
      <c r="M90" s="34" t="str">
        <f aca="false">IFERROR(INDEX('Fund Research'!$T$6:$T$505,MATCH(85,'Fund Research'!$U$6:$U$505,0)),"")</f>
        <v/>
      </c>
    </row>
    <row r="91" customFormat="false" ht="15" hidden="false" customHeight="true" outlineLevel="0" collapsed="false">
      <c r="A91" s="33" t="str">
        <f aca="false">IFERROR(IF(INDEX('Fund Research'!$B$6:$B$505,MATCH(86,'Fund Research'!$U$6:$U$505,0))="","",86),"")</f>
        <v/>
      </c>
      <c r="B91" s="34" t="str">
        <f aca="false">IFERROR(INDEX('Fund Research'!$A$6:$A$505,MATCH(86,'Fund Research'!$U$6:$U$505,0)),"")</f>
        <v/>
      </c>
      <c r="C91" s="34" t="str">
        <f aca="false">IFERROR(INDEX('Fund Research'!$B$6:$B$505,MATCH(86,'Fund Research'!$U$6:$U$505,0)),"")</f>
        <v/>
      </c>
      <c r="D91" s="34" t="str">
        <f aca="false">IFERROR(INDEX('Fund Research'!$C$6:$C$505,MATCH(86,'Fund Research'!$U$6:$U$505,0)),"")</f>
        <v/>
      </c>
      <c r="E91" s="35" t="str">
        <f aca="false">IFERROR(INDEX('Fund Research'!$G$6:$G$505,MATCH(86,'Fund Research'!$U$6:$U$505,0)),"")</f>
        <v/>
      </c>
      <c r="F91" s="35" t="str">
        <f aca="false">IFERROR(INDEX('Fund Research'!$H$6:$H$505,MATCH(86,'Fund Research'!$U$6:$U$505,0)),"")</f>
        <v/>
      </c>
      <c r="G91" s="35" t="str">
        <f aca="false">IFERROR(INDEX('Fund Research'!$I$6:$I$505,MATCH(86,'Fund Research'!$U$6:$U$505,0)),"")</f>
        <v/>
      </c>
      <c r="H91" s="36" t="str">
        <f aca="false">IFERROR(INDEX('Fund Research'!$J$6:$J$505,MATCH(86,'Fund Research'!$U$6:$U$505,0)),"")</f>
        <v/>
      </c>
      <c r="I91" s="37" t="str">
        <f aca="false">IFERROR(INDEX('Fund Research'!$L$6:$L$505,MATCH(86,'Fund Research'!$U$6:$U$505,0)),"")</f>
        <v/>
      </c>
      <c r="J91" s="36" t="str">
        <f aca="false">IFERROR(INDEX('Fund Research'!$N$6:$N$505,MATCH(86,'Fund Research'!$U$6:$U$505,0)),"")</f>
        <v/>
      </c>
      <c r="K91" s="36" t="str">
        <f aca="false">IFERROR(INDEX('Fund Research'!$P$6:$P$505,MATCH(86,'Fund Research'!$U$6:$U$505,0)),"")</f>
        <v/>
      </c>
      <c r="L91" s="34" t="str">
        <f aca="false">IFERROR(INDEX('Fund Research'!$S$6:$S$505,MATCH(86,'Fund Research'!$U$6:$U$505,0)),"")</f>
        <v/>
      </c>
      <c r="M91" s="34" t="str">
        <f aca="false">IFERROR(INDEX('Fund Research'!$T$6:$T$505,MATCH(86,'Fund Research'!$U$6:$U$505,0)),"")</f>
        <v/>
      </c>
    </row>
    <row r="92" customFormat="false" ht="15" hidden="false" customHeight="true" outlineLevel="0" collapsed="false">
      <c r="A92" s="33" t="str">
        <f aca="false">IFERROR(IF(INDEX('Fund Research'!$B$6:$B$505,MATCH(87,'Fund Research'!$U$6:$U$505,0))="","",87),"")</f>
        <v/>
      </c>
      <c r="B92" s="34" t="str">
        <f aca="false">IFERROR(INDEX('Fund Research'!$A$6:$A$505,MATCH(87,'Fund Research'!$U$6:$U$505,0)),"")</f>
        <v/>
      </c>
      <c r="C92" s="34" t="str">
        <f aca="false">IFERROR(INDEX('Fund Research'!$B$6:$B$505,MATCH(87,'Fund Research'!$U$6:$U$505,0)),"")</f>
        <v/>
      </c>
      <c r="D92" s="34" t="str">
        <f aca="false">IFERROR(INDEX('Fund Research'!$C$6:$C$505,MATCH(87,'Fund Research'!$U$6:$U$505,0)),"")</f>
        <v/>
      </c>
      <c r="E92" s="35" t="str">
        <f aca="false">IFERROR(INDEX('Fund Research'!$G$6:$G$505,MATCH(87,'Fund Research'!$U$6:$U$505,0)),"")</f>
        <v/>
      </c>
      <c r="F92" s="35" t="str">
        <f aca="false">IFERROR(INDEX('Fund Research'!$H$6:$H$505,MATCH(87,'Fund Research'!$U$6:$U$505,0)),"")</f>
        <v/>
      </c>
      <c r="G92" s="35" t="str">
        <f aca="false">IFERROR(INDEX('Fund Research'!$I$6:$I$505,MATCH(87,'Fund Research'!$U$6:$U$505,0)),"")</f>
        <v/>
      </c>
      <c r="H92" s="36" t="str">
        <f aca="false">IFERROR(INDEX('Fund Research'!$J$6:$J$505,MATCH(87,'Fund Research'!$U$6:$U$505,0)),"")</f>
        <v/>
      </c>
      <c r="I92" s="37" t="str">
        <f aca="false">IFERROR(INDEX('Fund Research'!$L$6:$L$505,MATCH(87,'Fund Research'!$U$6:$U$505,0)),"")</f>
        <v/>
      </c>
      <c r="J92" s="36" t="str">
        <f aca="false">IFERROR(INDEX('Fund Research'!$N$6:$N$505,MATCH(87,'Fund Research'!$U$6:$U$505,0)),"")</f>
        <v/>
      </c>
      <c r="K92" s="36" t="str">
        <f aca="false">IFERROR(INDEX('Fund Research'!$P$6:$P$505,MATCH(87,'Fund Research'!$U$6:$U$505,0)),"")</f>
        <v/>
      </c>
      <c r="L92" s="34" t="str">
        <f aca="false">IFERROR(INDEX('Fund Research'!$S$6:$S$505,MATCH(87,'Fund Research'!$U$6:$U$505,0)),"")</f>
        <v/>
      </c>
      <c r="M92" s="34" t="str">
        <f aca="false">IFERROR(INDEX('Fund Research'!$T$6:$T$505,MATCH(87,'Fund Research'!$U$6:$U$505,0)),"")</f>
        <v/>
      </c>
    </row>
    <row r="93" customFormat="false" ht="15" hidden="false" customHeight="true" outlineLevel="0" collapsed="false">
      <c r="A93" s="33" t="str">
        <f aca="false">IFERROR(IF(INDEX('Fund Research'!$B$6:$B$505,MATCH(88,'Fund Research'!$U$6:$U$505,0))="","",88),"")</f>
        <v/>
      </c>
      <c r="B93" s="34" t="str">
        <f aca="false">IFERROR(INDEX('Fund Research'!$A$6:$A$505,MATCH(88,'Fund Research'!$U$6:$U$505,0)),"")</f>
        <v/>
      </c>
      <c r="C93" s="34" t="str">
        <f aca="false">IFERROR(INDEX('Fund Research'!$B$6:$B$505,MATCH(88,'Fund Research'!$U$6:$U$505,0)),"")</f>
        <v/>
      </c>
      <c r="D93" s="34" t="str">
        <f aca="false">IFERROR(INDEX('Fund Research'!$C$6:$C$505,MATCH(88,'Fund Research'!$U$6:$U$505,0)),"")</f>
        <v/>
      </c>
      <c r="E93" s="35" t="str">
        <f aca="false">IFERROR(INDEX('Fund Research'!$G$6:$G$505,MATCH(88,'Fund Research'!$U$6:$U$505,0)),"")</f>
        <v/>
      </c>
      <c r="F93" s="35" t="str">
        <f aca="false">IFERROR(INDEX('Fund Research'!$H$6:$H$505,MATCH(88,'Fund Research'!$U$6:$U$505,0)),"")</f>
        <v/>
      </c>
      <c r="G93" s="35" t="str">
        <f aca="false">IFERROR(INDEX('Fund Research'!$I$6:$I$505,MATCH(88,'Fund Research'!$U$6:$U$505,0)),"")</f>
        <v/>
      </c>
      <c r="H93" s="36" t="str">
        <f aca="false">IFERROR(INDEX('Fund Research'!$J$6:$J$505,MATCH(88,'Fund Research'!$U$6:$U$505,0)),"")</f>
        <v/>
      </c>
      <c r="I93" s="37" t="str">
        <f aca="false">IFERROR(INDEX('Fund Research'!$L$6:$L$505,MATCH(88,'Fund Research'!$U$6:$U$505,0)),"")</f>
        <v/>
      </c>
      <c r="J93" s="36" t="str">
        <f aca="false">IFERROR(INDEX('Fund Research'!$N$6:$N$505,MATCH(88,'Fund Research'!$U$6:$U$505,0)),"")</f>
        <v/>
      </c>
      <c r="K93" s="36" t="str">
        <f aca="false">IFERROR(INDEX('Fund Research'!$P$6:$P$505,MATCH(88,'Fund Research'!$U$6:$U$505,0)),"")</f>
        <v/>
      </c>
      <c r="L93" s="34" t="str">
        <f aca="false">IFERROR(INDEX('Fund Research'!$S$6:$S$505,MATCH(88,'Fund Research'!$U$6:$U$505,0)),"")</f>
        <v/>
      </c>
      <c r="M93" s="34" t="str">
        <f aca="false">IFERROR(INDEX('Fund Research'!$T$6:$T$505,MATCH(88,'Fund Research'!$U$6:$U$505,0)),"")</f>
        <v/>
      </c>
    </row>
    <row r="94" customFormat="false" ht="15" hidden="false" customHeight="true" outlineLevel="0" collapsed="false">
      <c r="A94" s="33" t="str">
        <f aca="false">IFERROR(IF(INDEX('Fund Research'!$B$6:$B$505,MATCH(89,'Fund Research'!$U$6:$U$505,0))="","",89),"")</f>
        <v/>
      </c>
      <c r="B94" s="34" t="str">
        <f aca="false">IFERROR(INDEX('Fund Research'!$A$6:$A$505,MATCH(89,'Fund Research'!$U$6:$U$505,0)),"")</f>
        <v/>
      </c>
      <c r="C94" s="34" t="str">
        <f aca="false">IFERROR(INDEX('Fund Research'!$B$6:$B$505,MATCH(89,'Fund Research'!$U$6:$U$505,0)),"")</f>
        <v/>
      </c>
      <c r="D94" s="34" t="str">
        <f aca="false">IFERROR(INDEX('Fund Research'!$C$6:$C$505,MATCH(89,'Fund Research'!$U$6:$U$505,0)),"")</f>
        <v/>
      </c>
      <c r="E94" s="35" t="str">
        <f aca="false">IFERROR(INDEX('Fund Research'!$G$6:$G$505,MATCH(89,'Fund Research'!$U$6:$U$505,0)),"")</f>
        <v/>
      </c>
      <c r="F94" s="35" t="str">
        <f aca="false">IFERROR(INDEX('Fund Research'!$H$6:$H$505,MATCH(89,'Fund Research'!$U$6:$U$505,0)),"")</f>
        <v/>
      </c>
      <c r="G94" s="35" t="str">
        <f aca="false">IFERROR(INDEX('Fund Research'!$I$6:$I$505,MATCH(89,'Fund Research'!$U$6:$U$505,0)),"")</f>
        <v/>
      </c>
      <c r="H94" s="36" t="str">
        <f aca="false">IFERROR(INDEX('Fund Research'!$J$6:$J$505,MATCH(89,'Fund Research'!$U$6:$U$505,0)),"")</f>
        <v/>
      </c>
      <c r="I94" s="37" t="str">
        <f aca="false">IFERROR(INDEX('Fund Research'!$L$6:$L$505,MATCH(89,'Fund Research'!$U$6:$U$505,0)),"")</f>
        <v/>
      </c>
      <c r="J94" s="36" t="str">
        <f aca="false">IFERROR(INDEX('Fund Research'!$N$6:$N$505,MATCH(89,'Fund Research'!$U$6:$U$505,0)),"")</f>
        <v/>
      </c>
      <c r="K94" s="36" t="str">
        <f aca="false">IFERROR(INDEX('Fund Research'!$P$6:$P$505,MATCH(89,'Fund Research'!$U$6:$U$505,0)),"")</f>
        <v/>
      </c>
      <c r="L94" s="34" t="str">
        <f aca="false">IFERROR(INDEX('Fund Research'!$S$6:$S$505,MATCH(89,'Fund Research'!$U$6:$U$505,0)),"")</f>
        <v/>
      </c>
      <c r="M94" s="34" t="str">
        <f aca="false">IFERROR(INDEX('Fund Research'!$T$6:$T$505,MATCH(89,'Fund Research'!$U$6:$U$505,0)),"")</f>
        <v/>
      </c>
    </row>
    <row r="95" customFormat="false" ht="15" hidden="false" customHeight="true" outlineLevel="0" collapsed="false">
      <c r="A95" s="33" t="str">
        <f aca="false">IFERROR(IF(INDEX('Fund Research'!$B$6:$B$505,MATCH(90,'Fund Research'!$U$6:$U$505,0))="","",90),"")</f>
        <v/>
      </c>
      <c r="B95" s="34" t="str">
        <f aca="false">IFERROR(INDEX('Fund Research'!$A$6:$A$505,MATCH(90,'Fund Research'!$U$6:$U$505,0)),"")</f>
        <v/>
      </c>
      <c r="C95" s="34" t="str">
        <f aca="false">IFERROR(INDEX('Fund Research'!$B$6:$B$505,MATCH(90,'Fund Research'!$U$6:$U$505,0)),"")</f>
        <v/>
      </c>
      <c r="D95" s="34" t="str">
        <f aca="false">IFERROR(INDEX('Fund Research'!$C$6:$C$505,MATCH(90,'Fund Research'!$U$6:$U$505,0)),"")</f>
        <v/>
      </c>
      <c r="E95" s="35" t="str">
        <f aca="false">IFERROR(INDEX('Fund Research'!$G$6:$G$505,MATCH(90,'Fund Research'!$U$6:$U$505,0)),"")</f>
        <v/>
      </c>
      <c r="F95" s="35" t="str">
        <f aca="false">IFERROR(INDEX('Fund Research'!$H$6:$H$505,MATCH(90,'Fund Research'!$U$6:$U$505,0)),"")</f>
        <v/>
      </c>
      <c r="G95" s="35" t="str">
        <f aca="false">IFERROR(INDEX('Fund Research'!$I$6:$I$505,MATCH(90,'Fund Research'!$U$6:$U$505,0)),"")</f>
        <v/>
      </c>
      <c r="H95" s="36" t="str">
        <f aca="false">IFERROR(INDEX('Fund Research'!$J$6:$J$505,MATCH(90,'Fund Research'!$U$6:$U$505,0)),"")</f>
        <v/>
      </c>
      <c r="I95" s="37" t="str">
        <f aca="false">IFERROR(INDEX('Fund Research'!$L$6:$L$505,MATCH(90,'Fund Research'!$U$6:$U$505,0)),"")</f>
        <v/>
      </c>
      <c r="J95" s="36" t="str">
        <f aca="false">IFERROR(INDEX('Fund Research'!$N$6:$N$505,MATCH(90,'Fund Research'!$U$6:$U$505,0)),"")</f>
        <v/>
      </c>
      <c r="K95" s="36" t="str">
        <f aca="false">IFERROR(INDEX('Fund Research'!$P$6:$P$505,MATCH(90,'Fund Research'!$U$6:$U$505,0)),"")</f>
        <v/>
      </c>
      <c r="L95" s="34" t="str">
        <f aca="false">IFERROR(INDEX('Fund Research'!$S$6:$S$505,MATCH(90,'Fund Research'!$U$6:$U$505,0)),"")</f>
        <v/>
      </c>
      <c r="M95" s="34" t="str">
        <f aca="false">IFERROR(INDEX('Fund Research'!$T$6:$T$505,MATCH(90,'Fund Research'!$U$6:$U$505,0)),"")</f>
        <v/>
      </c>
    </row>
    <row r="96" customFormat="false" ht="15" hidden="false" customHeight="true" outlineLevel="0" collapsed="false">
      <c r="A96" s="33" t="str">
        <f aca="false">IFERROR(IF(INDEX('Fund Research'!$B$6:$B$505,MATCH(91,'Fund Research'!$U$6:$U$505,0))="","",91),"")</f>
        <v/>
      </c>
      <c r="B96" s="34" t="str">
        <f aca="false">IFERROR(INDEX('Fund Research'!$A$6:$A$505,MATCH(91,'Fund Research'!$U$6:$U$505,0)),"")</f>
        <v/>
      </c>
      <c r="C96" s="34" t="str">
        <f aca="false">IFERROR(INDEX('Fund Research'!$B$6:$B$505,MATCH(91,'Fund Research'!$U$6:$U$505,0)),"")</f>
        <v/>
      </c>
      <c r="D96" s="34" t="str">
        <f aca="false">IFERROR(INDEX('Fund Research'!$C$6:$C$505,MATCH(91,'Fund Research'!$U$6:$U$505,0)),"")</f>
        <v/>
      </c>
      <c r="E96" s="35" t="str">
        <f aca="false">IFERROR(INDEX('Fund Research'!$G$6:$G$505,MATCH(91,'Fund Research'!$U$6:$U$505,0)),"")</f>
        <v/>
      </c>
      <c r="F96" s="35" t="str">
        <f aca="false">IFERROR(INDEX('Fund Research'!$H$6:$H$505,MATCH(91,'Fund Research'!$U$6:$U$505,0)),"")</f>
        <v/>
      </c>
      <c r="G96" s="35" t="str">
        <f aca="false">IFERROR(INDEX('Fund Research'!$I$6:$I$505,MATCH(91,'Fund Research'!$U$6:$U$505,0)),"")</f>
        <v/>
      </c>
      <c r="H96" s="36" t="str">
        <f aca="false">IFERROR(INDEX('Fund Research'!$J$6:$J$505,MATCH(91,'Fund Research'!$U$6:$U$505,0)),"")</f>
        <v/>
      </c>
      <c r="I96" s="37" t="str">
        <f aca="false">IFERROR(INDEX('Fund Research'!$L$6:$L$505,MATCH(91,'Fund Research'!$U$6:$U$505,0)),"")</f>
        <v/>
      </c>
      <c r="J96" s="36" t="str">
        <f aca="false">IFERROR(INDEX('Fund Research'!$N$6:$N$505,MATCH(91,'Fund Research'!$U$6:$U$505,0)),"")</f>
        <v/>
      </c>
      <c r="K96" s="36" t="str">
        <f aca="false">IFERROR(INDEX('Fund Research'!$P$6:$P$505,MATCH(91,'Fund Research'!$U$6:$U$505,0)),"")</f>
        <v/>
      </c>
      <c r="L96" s="34" t="str">
        <f aca="false">IFERROR(INDEX('Fund Research'!$S$6:$S$505,MATCH(91,'Fund Research'!$U$6:$U$505,0)),"")</f>
        <v/>
      </c>
      <c r="M96" s="34" t="str">
        <f aca="false">IFERROR(INDEX('Fund Research'!$T$6:$T$505,MATCH(91,'Fund Research'!$U$6:$U$505,0)),"")</f>
        <v/>
      </c>
    </row>
    <row r="97" customFormat="false" ht="15" hidden="false" customHeight="true" outlineLevel="0" collapsed="false">
      <c r="A97" s="33" t="str">
        <f aca="false">IFERROR(IF(INDEX('Fund Research'!$B$6:$B$505,MATCH(92,'Fund Research'!$U$6:$U$505,0))="","",92),"")</f>
        <v/>
      </c>
      <c r="B97" s="34" t="str">
        <f aca="false">IFERROR(INDEX('Fund Research'!$A$6:$A$505,MATCH(92,'Fund Research'!$U$6:$U$505,0)),"")</f>
        <v/>
      </c>
      <c r="C97" s="34" t="str">
        <f aca="false">IFERROR(INDEX('Fund Research'!$B$6:$B$505,MATCH(92,'Fund Research'!$U$6:$U$505,0)),"")</f>
        <v/>
      </c>
      <c r="D97" s="34" t="str">
        <f aca="false">IFERROR(INDEX('Fund Research'!$C$6:$C$505,MATCH(92,'Fund Research'!$U$6:$U$505,0)),"")</f>
        <v/>
      </c>
      <c r="E97" s="35" t="str">
        <f aca="false">IFERROR(INDEX('Fund Research'!$G$6:$G$505,MATCH(92,'Fund Research'!$U$6:$U$505,0)),"")</f>
        <v/>
      </c>
      <c r="F97" s="35" t="str">
        <f aca="false">IFERROR(INDEX('Fund Research'!$H$6:$H$505,MATCH(92,'Fund Research'!$U$6:$U$505,0)),"")</f>
        <v/>
      </c>
      <c r="G97" s="35" t="str">
        <f aca="false">IFERROR(INDEX('Fund Research'!$I$6:$I$505,MATCH(92,'Fund Research'!$U$6:$U$505,0)),"")</f>
        <v/>
      </c>
      <c r="H97" s="36" t="str">
        <f aca="false">IFERROR(INDEX('Fund Research'!$J$6:$J$505,MATCH(92,'Fund Research'!$U$6:$U$505,0)),"")</f>
        <v/>
      </c>
      <c r="I97" s="37" t="str">
        <f aca="false">IFERROR(INDEX('Fund Research'!$L$6:$L$505,MATCH(92,'Fund Research'!$U$6:$U$505,0)),"")</f>
        <v/>
      </c>
      <c r="J97" s="36" t="str">
        <f aca="false">IFERROR(INDEX('Fund Research'!$N$6:$N$505,MATCH(92,'Fund Research'!$U$6:$U$505,0)),"")</f>
        <v/>
      </c>
      <c r="K97" s="36" t="str">
        <f aca="false">IFERROR(INDEX('Fund Research'!$P$6:$P$505,MATCH(92,'Fund Research'!$U$6:$U$505,0)),"")</f>
        <v/>
      </c>
      <c r="L97" s="34" t="str">
        <f aca="false">IFERROR(INDEX('Fund Research'!$S$6:$S$505,MATCH(92,'Fund Research'!$U$6:$U$505,0)),"")</f>
        <v/>
      </c>
      <c r="M97" s="34" t="str">
        <f aca="false">IFERROR(INDEX('Fund Research'!$T$6:$T$505,MATCH(92,'Fund Research'!$U$6:$U$505,0)),"")</f>
        <v/>
      </c>
    </row>
    <row r="98" customFormat="false" ht="15" hidden="false" customHeight="true" outlineLevel="0" collapsed="false">
      <c r="A98" s="33" t="str">
        <f aca="false">IFERROR(IF(INDEX('Fund Research'!$B$6:$B$505,MATCH(93,'Fund Research'!$U$6:$U$505,0))="","",93),"")</f>
        <v/>
      </c>
      <c r="B98" s="34" t="str">
        <f aca="false">IFERROR(INDEX('Fund Research'!$A$6:$A$505,MATCH(93,'Fund Research'!$U$6:$U$505,0)),"")</f>
        <v/>
      </c>
      <c r="C98" s="34" t="str">
        <f aca="false">IFERROR(INDEX('Fund Research'!$B$6:$B$505,MATCH(93,'Fund Research'!$U$6:$U$505,0)),"")</f>
        <v/>
      </c>
      <c r="D98" s="34" t="str">
        <f aca="false">IFERROR(INDEX('Fund Research'!$C$6:$C$505,MATCH(93,'Fund Research'!$U$6:$U$505,0)),"")</f>
        <v/>
      </c>
      <c r="E98" s="35" t="str">
        <f aca="false">IFERROR(INDEX('Fund Research'!$G$6:$G$505,MATCH(93,'Fund Research'!$U$6:$U$505,0)),"")</f>
        <v/>
      </c>
      <c r="F98" s="35" t="str">
        <f aca="false">IFERROR(INDEX('Fund Research'!$H$6:$H$505,MATCH(93,'Fund Research'!$U$6:$U$505,0)),"")</f>
        <v/>
      </c>
      <c r="G98" s="35" t="str">
        <f aca="false">IFERROR(INDEX('Fund Research'!$I$6:$I$505,MATCH(93,'Fund Research'!$U$6:$U$505,0)),"")</f>
        <v/>
      </c>
      <c r="H98" s="36" t="str">
        <f aca="false">IFERROR(INDEX('Fund Research'!$J$6:$J$505,MATCH(93,'Fund Research'!$U$6:$U$505,0)),"")</f>
        <v/>
      </c>
      <c r="I98" s="37" t="str">
        <f aca="false">IFERROR(INDEX('Fund Research'!$L$6:$L$505,MATCH(93,'Fund Research'!$U$6:$U$505,0)),"")</f>
        <v/>
      </c>
      <c r="J98" s="36" t="str">
        <f aca="false">IFERROR(INDEX('Fund Research'!$N$6:$N$505,MATCH(93,'Fund Research'!$U$6:$U$505,0)),"")</f>
        <v/>
      </c>
      <c r="K98" s="36" t="str">
        <f aca="false">IFERROR(INDEX('Fund Research'!$P$6:$P$505,MATCH(93,'Fund Research'!$U$6:$U$505,0)),"")</f>
        <v/>
      </c>
      <c r="L98" s="34" t="str">
        <f aca="false">IFERROR(INDEX('Fund Research'!$S$6:$S$505,MATCH(93,'Fund Research'!$U$6:$U$505,0)),"")</f>
        <v/>
      </c>
      <c r="M98" s="34" t="str">
        <f aca="false">IFERROR(INDEX('Fund Research'!$T$6:$T$505,MATCH(93,'Fund Research'!$U$6:$U$505,0)),"")</f>
        <v/>
      </c>
    </row>
    <row r="99" customFormat="false" ht="15" hidden="false" customHeight="true" outlineLevel="0" collapsed="false">
      <c r="A99" s="33" t="str">
        <f aca="false">IFERROR(IF(INDEX('Fund Research'!$B$6:$B$505,MATCH(94,'Fund Research'!$U$6:$U$505,0))="","",94),"")</f>
        <v/>
      </c>
      <c r="B99" s="34" t="str">
        <f aca="false">IFERROR(INDEX('Fund Research'!$A$6:$A$505,MATCH(94,'Fund Research'!$U$6:$U$505,0)),"")</f>
        <v/>
      </c>
      <c r="C99" s="34" t="str">
        <f aca="false">IFERROR(INDEX('Fund Research'!$B$6:$B$505,MATCH(94,'Fund Research'!$U$6:$U$505,0)),"")</f>
        <v/>
      </c>
      <c r="D99" s="34" t="str">
        <f aca="false">IFERROR(INDEX('Fund Research'!$C$6:$C$505,MATCH(94,'Fund Research'!$U$6:$U$505,0)),"")</f>
        <v/>
      </c>
      <c r="E99" s="35" t="str">
        <f aca="false">IFERROR(INDEX('Fund Research'!$G$6:$G$505,MATCH(94,'Fund Research'!$U$6:$U$505,0)),"")</f>
        <v/>
      </c>
      <c r="F99" s="35" t="str">
        <f aca="false">IFERROR(INDEX('Fund Research'!$H$6:$H$505,MATCH(94,'Fund Research'!$U$6:$U$505,0)),"")</f>
        <v/>
      </c>
      <c r="G99" s="35" t="str">
        <f aca="false">IFERROR(INDEX('Fund Research'!$I$6:$I$505,MATCH(94,'Fund Research'!$U$6:$U$505,0)),"")</f>
        <v/>
      </c>
      <c r="H99" s="36" t="str">
        <f aca="false">IFERROR(INDEX('Fund Research'!$J$6:$J$505,MATCH(94,'Fund Research'!$U$6:$U$505,0)),"")</f>
        <v/>
      </c>
      <c r="I99" s="37" t="str">
        <f aca="false">IFERROR(INDEX('Fund Research'!$L$6:$L$505,MATCH(94,'Fund Research'!$U$6:$U$505,0)),"")</f>
        <v/>
      </c>
      <c r="J99" s="36" t="str">
        <f aca="false">IFERROR(INDEX('Fund Research'!$N$6:$N$505,MATCH(94,'Fund Research'!$U$6:$U$505,0)),"")</f>
        <v/>
      </c>
      <c r="K99" s="36" t="str">
        <f aca="false">IFERROR(INDEX('Fund Research'!$P$6:$P$505,MATCH(94,'Fund Research'!$U$6:$U$505,0)),"")</f>
        <v/>
      </c>
      <c r="L99" s="34" t="str">
        <f aca="false">IFERROR(INDEX('Fund Research'!$S$6:$S$505,MATCH(94,'Fund Research'!$U$6:$U$505,0)),"")</f>
        <v/>
      </c>
      <c r="M99" s="34" t="str">
        <f aca="false">IFERROR(INDEX('Fund Research'!$T$6:$T$505,MATCH(94,'Fund Research'!$U$6:$U$505,0)),"")</f>
        <v/>
      </c>
    </row>
    <row r="100" customFormat="false" ht="15" hidden="false" customHeight="true" outlineLevel="0" collapsed="false">
      <c r="A100" s="33" t="str">
        <f aca="false">IFERROR(IF(INDEX('Fund Research'!$B$6:$B$505,MATCH(95,'Fund Research'!$U$6:$U$505,0))="","",95),"")</f>
        <v/>
      </c>
      <c r="B100" s="34" t="str">
        <f aca="false">IFERROR(INDEX('Fund Research'!$A$6:$A$505,MATCH(95,'Fund Research'!$U$6:$U$505,0)),"")</f>
        <v/>
      </c>
      <c r="C100" s="34" t="str">
        <f aca="false">IFERROR(INDEX('Fund Research'!$B$6:$B$505,MATCH(95,'Fund Research'!$U$6:$U$505,0)),"")</f>
        <v/>
      </c>
      <c r="D100" s="34" t="str">
        <f aca="false">IFERROR(INDEX('Fund Research'!$C$6:$C$505,MATCH(95,'Fund Research'!$U$6:$U$505,0)),"")</f>
        <v/>
      </c>
      <c r="E100" s="35" t="str">
        <f aca="false">IFERROR(INDEX('Fund Research'!$G$6:$G$505,MATCH(95,'Fund Research'!$U$6:$U$505,0)),"")</f>
        <v/>
      </c>
      <c r="F100" s="35" t="str">
        <f aca="false">IFERROR(INDEX('Fund Research'!$H$6:$H$505,MATCH(95,'Fund Research'!$U$6:$U$505,0)),"")</f>
        <v/>
      </c>
      <c r="G100" s="35" t="str">
        <f aca="false">IFERROR(INDEX('Fund Research'!$I$6:$I$505,MATCH(95,'Fund Research'!$U$6:$U$505,0)),"")</f>
        <v/>
      </c>
      <c r="H100" s="36" t="str">
        <f aca="false">IFERROR(INDEX('Fund Research'!$J$6:$J$505,MATCH(95,'Fund Research'!$U$6:$U$505,0)),"")</f>
        <v/>
      </c>
      <c r="I100" s="37" t="str">
        <f aca="false">IFERROR(INDEX('Fund Research'!$L$6:$L$505,MATCH(95,'Fund Research'!$U$6:$U$505,0)),"")</f>
        <v/>
      </c>
      <c r="J100" s="36" t="str">
        <f aca="false">IFERROR(INDEX('Fund Research'!$N$6:$N$505,MATCH(95,'Fund Research'!$U$6:$U$505,0)),"")</f>
        <v/>
      </c>
      <c r="K100" s="36" t="str">
        <f aca="false">IFERROR(INDEX('Fund Research'!$P$6:$P$505,MATCH(95,'Fund Research'!$U$6:$U$505,0)),"")</f>
        <v/>
      </c>
      <c r="L100" s="34" t="str">
        <f aca="false">IFERROR(INDEX('Fund Research'!$S$6:$S$505,MATCH(95,'Fund Research'!$U$6:$U$505,0)),"")</f>
        <v/>
      </c>
      <c r="M100" s="34" t="str">
        <f aca="false">IFERROR(INDEX('Fund Research'!$T$6:$T$505,MATCH(95,'Fund Research'!$U$6:$U$505,0)),"")</f>
        <v/>
      </c>
    </row>
    <row r="101" customFormat="false" ht="15" hidden="false" customHeight="true" outlineLevel="0" collapsed="false">
      <c r="A101" s="33" t="str">
        <f aca="false">IFERROR(IF(INDEX('Fund Research'!$B$6:$B$505,MATCH(96,'Fund Research'!$U$6:$U$505,0))="","",96),"")</f>
        <v/>
      </c>
      <c r="B101" s="34" t="str">
        <f aca="false">IFERROR(INDEX('Fund Research'!$A$6:$A$505,MATCH(96,'Fund Research'!$U$6:$U$505,0)),"")</f>
        <v/>
      </c>
      <c r="C101" s="34" t="str">
        <f aca="false">IFERROR(INDEX('Fund Research'!$B$6:$B$505,MATCH(96,'Fund Research'!$U$6:$U$505,0)),"")</f>
        <v/>
      </c>
      <c r="D101" s="34" t="str">
        <f aca="false">IFERROR(INDEX('Fund Research'!$C$6:$C$505,MATCH(96,'Fund Research'!$U$6:$U$505,0)),"")</f>
        <v/>
      </c>
      <c r="E101" s="35" t="str">
        <f aca="false">IFERROR(INDEX('Fund Research'!$G$6:$G$505,MATCH(96,'Fund Research'!$U$6:$U$505,0)),"")</f>
        <v/>
      </c>
      <c r="F101" s="35" t="str">
        <f aca="false">IFERROR(INDEX('Fund Research'!$H$6:$H$505,MATCH(96,'Fund Research'!$U$6:$U$505,0)),"")</f>
        <v/>
      </c>
      <c r="G101" s="35" t="str">
        <f aca="false">IFERROR(INDEX('Fund Research'!$I$6:$I$505,MATCH(96,'Fund Research'!$U$6:$U$505,0)),"")</f>
        <v/>
      </c>
      <c r="H101" s="36" t="str">
        <f aca="false">IFERROR(INDEX('Fund Research'!$J$6:$J$505,MATCH(96,'Fund Research'!$U$6:$U$505,0)),"")</f>
        <v/>
      </c>
      <c r="I101" s="37" t="str">
        <f aca="false">IFERROR(INDEX('Fund Research'!$L$6:$L$505,MATCH(96,'Fund Research'!$U$6:$U$505,0)),"")</f>
        <v/>
      </c>
      <c r="J101" s="36" t="str">
        <f aca="false">IFERROR(INDEX('Fund Research'!$N$6:$N$505,MATCH(96,'Fund Research'!$U$6:$U$505,0)),"")</f>
        <v/>
      </c>
      <c r="K101" s="36" t="str">
        <f aca="false">IFERROR(INDEX('Fund Research'!$P$6:$P$505,MATCH(96,'Fund Research'!$U$6:$U$505,0)),"")</f>
        <v/>
      </c>
      <c r="L101" s="34" t="str">
        <f aca="false">IFERROR(INDEX('Fund Research'!$S$6:$S$505,MATCH(96,'Fund Research'!$U$6:$U$505,0)),"")</f>
        <v/>
      </c>
      <c r="M101" s="34" t="str">
        <f aca="false">IFERROR(INDEX('Fund Research'!$T$6:$T$505,MATCH(96,'Fund Research'!$U$6:$U$505,0)),"")</f>
        <v/>
      </c>
    </row>
    <row r="102" customFormat="false" ht="15" hidden="false" customHeight="true" outlineLevel="0" collapsed="false">
      <c r="A102" s="33" t="str">
        <f aca="false">IFERROR(IF(INDEX('Fund Research'!$B$6:$B$505,MATCH(97,'Fund Research'!$U$6:$U$505,0))="","",97),"")</f>
        <v/>
      </c>
      <c r="B102" s="34" t="str">
        <f aca="false">IFERROR(INDEX('Fund Research'!$A$6:$A$505,MATCH(97,'Fund Research'!$U$6:$U$505,0)),"")</f>
        <v/>
      </c>
      <c r="C102" s="34" t="str">
        <f aca="false">IFERROR(INDEX('Fund Research'!$B$6:$B$505,MATCH(97,'Fund Research'!$U$6:$U$505,0)),"")</f>
        <v/>
      </c>
      <c r="D102" s="34" t="str">
        <f aca="false">IFERROR(INDEX('Fund Research'!$C$6:$C$505,MATCH(97,'Fund Research'!$U$6:$U$505,0)),"")</f>
        <v/>
      </c>
      <c r="E102" s="35" t="str">
        <f aca="false">IFERROR(INDEX('Fund Research'!$G$6:$G$505,MATCH(97,'Fund Research'!$U$6:$U$505,0)),"")</f>
        <v/>
      </c>
      <c r="F102" s="35" t="str">
        <f aca="false">IFERROR(INDEX('Fund Research'!$H$6:$H$505,MATCH(97,'Fund Research'!$U$6:$U$505,0)),"")</f>
        <v/>
      </c>
      <c r="G102" s="35" t="str">
        <f aca="false">IFERROR(INDEX('Fund Research'!$I$6:$I$505,MATCH(97,'Fund Research'!$U$6:$U$505,0)),"")</f>
        <v/>
      </c>
      <c r="H102" s="36" t="str">
        <f aca="false">IFERROR(INDEX('Fund Research'!$J$6:$J$505,MATCH(97,'Fund Research'!$U$6:$U$505,0)),"")</f>
        <v/>
      </c>
      <c r="I102" s="37" t="str">
        <f aca="false">IFERROR(INDEX('Fund Research'!$L$6:$L$505,MATCH(97,'Fund Research'!$U$6:$U$505,0)),"")</f>
        <v/>
      </c>
      <c r="J102" s="36" t="str">
        <f aca="false">IFERROR(INDEX('Fund Research'!$N$6:$N$505,MATCH(97,'Fund Research'!$U$6:$U$505,0)),"")</f>
        <v/>
      </c>
      <c r="K102" s="36" t="str">
        <f aca="false">IFERROR(INDEX('Fund Research'!$P$6:$P$505,MATCH(97,'Fund Research'!$U$6:$U$505,0)),"")</f>
        <v/>
      </c>
      <c r="L102" s="34" t="str">
        <f aca="false">IFERROR(INDEX('Fund Research'!$S$6:$S$505,MATCH(97,'Fund Research'!$U$6:$U$505,0)),"")</f>
        <v/>
      </c>
      <c r="M102" s="34" t="str">
        <f aca="false">IFERROR(INDEX('Fund Research'!$T$6:$T$505,MATCH(97,'Fund Research'!$U$6:$U$505,0)),"")</f>
        <v/>
      </c>
    </row>
    <row r="103" customFormat="false" ht="15" hidden="false" customHeight="true" outlineLevel="0" collapsed="false">
      <c r="A103" s="33" t="str">
        <f aca="false">IFERROR(IF(INDEX('Fund Research'!$B$6:$B$505,MATCH(98,'Fund Research'!$U$6:$U$505,0))="","",98),"")</f>
        <v/>
      </c>
      <c r="B103" s="34" t="str">
        <f aca="false">IFERROR(INDEX('Fund Research'!$A$6:$A$505,MATCH(98,'Fund Research'!$U$6:$U$505,0)),"")</f>
        <v/>
      </c>
      <c r="C103" s="34" t="str">
        <f aca="false">IFERROR(INDEX('Fund Research'!$B$6:$B$505,MATCH(98,'Fund Research'!$U$6:$U$505,0)),"")</f>
        <v/>
      </c>
      <c r="D103" s="34" t="str">
        <f aca="false">IFERROR(INDEX('Fund Research'!$C$6:$C$505,MATCH(98,'Fund Research'!$U$6:$U$505,0)),"")</f>
        <v/>
      </c>
      <c r="E103" s="35" t="str">
        <f aca="false">IFERROR(INDEX('Fund Research'!$G$6:$G$505,MATCH(98,'Fund Research'!$U$6:$U$505,0)),"")</f>
        <v/>
      </c>
      <c r="F103" s="35" t="str">
        <f aca="false">IFERROR(INDEX('Fund Research'!$H$6:$H$505,MATCH(98,'Fund Research'!$U$6:$U$505,0)),"")</f>
        <v/>
      </c>
      <c r="G103" s="35" t="str">
        <f aca="false">IFERROR(INDEX('Fund Research'!$I$6:$I$505,MATCH(98,'Fund Research'!$U$6:$U$505,0)),"")</f>
        <v/>
      </c>
      <c r="H103" s="36" t="str">
        <f aca="false">IFERROR(INDEX('Fund Research'!$J$6:$J$505,MATCH(98,'Fund Research'!$U$6:$U$505,0)),"")</f>
        <v/>
      </c>
      <c r="I103" s="37" t="str">
        <f aca="false">IFERROR(INDEX('Fund Research'!$L$6:$L$505,MATCH(98,'Fund Research'!$U$6:$U$505,0)),"")</f>
        <v/>
      </c>
      <c r="J103" s="36" t="str">
        <f aca="false">IFERROR(INDEX('Fund Research'!$N$6:$N$505,MATCH(98,'Fund Research'!$U$6:$U$505,0)),"")</f>
        <v/>
      </c>
      <c r="K103" s="36" t="str">
        <f aca="false">IFERROR(INDEX('Fund Research'!$P$6:$P$505,MATCH(98,'Fund Research'!$U$6:$U$505,0)),"")</f>
        <v/>
      </c>
      <c r="L103" s="34" t="str">
        <f aca="false">IFERROR(INDEX('Fund Research'!$S$6:$S$505,MATCH(98,'Fund Research'!$U$6:$U$505,0)),"")</f>
        <v/>
      </c>
      <c r="M103" s="34" t="str">
        <f aca="false">IFERROR(INDEX('Fund Research'!$T$6:$T$505,MATCH(98,'Fund Research'!$U$6:$U$505,0)),"")</f>
        <v/>
      </c>
    </row>
    <row r="104" customFormat="false" ht="15" hidden="false" customHeight="true" outlineLevel="0" collapsed="false">
      <c r="A104" s="33" t="str">
        <f aca="false">IFERROR(IF(INDEX('Fund Research'!$B$6:$B$505,MATCH(99,'Fund Research'!$U$6:$U$505,0))="","",99),"")</f>
        <v/>
      </c>
      <c r="B104" s="34" t="str">
        <f aca="false">IFERROR(INDEX('Fund Research'!$A$6:$A$505,MATCH(99,'Fund Research'!$U$6:$U$505,0)),"")</f>
        <v/>
      </c>
      <c r="C104" s="34" t="str">
        <f aca="false">IFERROR(INDEX('Fund Research'!$B$6:$B$505,MATCH(99,'Fund Research'!$U$6:$U$505,0)),"")</f>
        <v/>
      </c>
      <c r="D104" s="34" t="str">
        <f aca="false">IFERROR(INDEX('Fund Research'!$C$6:$C$505,MATCH(99,'Fund Research'!$U$6:$U$505,0)),"")</f>
        <v/>
      </c>
      <c r="E104" s="35" t="str">
        <f aca="false">IFERROR(INDEX('Fund Research'!$G$6:$G$505,MATCH(99,'Fund Research'!$U$6:$U$505,0)),"")</f>
        <v/>
      </c>
      <c r="F104" s="35" t="str">
        <f aca="false">IFERROR(INDEX('Fund Research'!$H$6:$H$505,MATCH(99,'Fund Research'!$U$6:$U$505,0)),"")</f>
        <v/>
      </c>
      <c r="G104" s="35" t="str">
        <f aca="false">IFERROR(INDEX('Fund Research'!$I$6:$I$505,MATCH(99,'Fund Research'!$U$6:$U$505,0)),"")</f>
        <v/>
      </c>
      <c r="H104" s="36" t="str">
        <f aca="false">IFERROR(INDEX('Fund Research'!$J$6:$J$505,MATCH(99,'Fund Research'!$U$6:$U$505,0)),"")</f>
        <v/>
      </c>
      <c r="I104" s="37" t="str">
        <f aca="false">IFERROR(INDEX('Fund Research'!$L$6:$L$505,MATCH(99,'Fund Research'!$U$6:$U$505,0)),"")</f>
        <v/>
      </c>
      <c r="J104" s="36" t="str">
        <f aca="false">IFERROR(INDEX('Fund Research'!$N$6:$N$505,MATCH(99,'Fund Research'!$U$6:$U$505,0)),"")</f>
        <v/>
      </c>
      <c r="K104" s="36" t="str">
        <f aca="false">IFERROR(INDEX('Fund Research'!$P$6:$P$505,MATCH(99,'Fund Research'!$U$6:$U$505,0)),"")</f>
        <v/>
      </c>
      <c r="L104" s="34" t="str">
        <f aca="false">IFERROR(INDEX('Fund Research'!$S$6:$S$505,MATCH(99,'Fund Research'!$U$6:$U$505,0)),"")</f>
        <v/>
      </c>
      <c r="M104" s="34" t="str">
        <f aca="false">IFERROR(INDEX('Fund Research'!$T$6:$T$505,MATCH(99,'Fund Research'!$U$6:$U$505,0)),"")</f>
        <v/>
      </c>
    </row>
    <row r="105" customFormat="false" ht="15" hidden="false" customHeight="true" outlineLevel="0" collapsed="false">
      <c r="A105" s="33" t="str">
        <f aca="false">IFERROR(IF(INDEX('Fund Research'!$B$6:$B$505,MATCH(100,'Fund Research'!$U$6:$U$505,0))="","",100),"")</f>
        <v/>
      </c>
      <c r="B105" s="34" t="str">
        <f aca="false">IFERROR(INDEX('Fund Research'!$A$6:$A$505,MATCH(100,'Fund Research'!$U$6:$U$505,0)),"")</f>
        <v/>
      </c>
      <c r="C105" s="34" t="str">
        <f aca="false">IFERROR(INDEX('Fund Research'!$B$6:$B$505,MATCH(100,'Fund Research'!$U$6:$U$505,0)),"")</f>
        <v/>
      </c>
      <c r="D105" s="34" t="str">
        <f aca="false">IFERROR(INDEX('Fund Research'!$C$6:$C$505,MATCH(100,'Fund Research'!$U$6:$U$505,0)),"")</f>
        <v/>
      </c>
      <c r="E105" s="35" t="str">
        <f aca="false">IFERROR(INDEX('Fund Research'!$G$6:$G$505,MATCH(100,'Fund Research'!$U$6:$U$505,0)),"")</f>
        <v/>
      </c>
      <c r="F105" s="35" t="str">
        <f aca="false">IFERROR(INDEX('Fund Research'!$H$6:$H$505,MATCH(100,'Fund Research'!$U$6:$U$505,0)),"")</f>
        <v/>
      </c>
      <c r="G105" s="35" t="str">
        <f aca="false">IFERROR(INDEX('Fund Research'!$I$6:$I$505,MATCH(100,'Fund Research'!$U$6:$U$505,0)),"")</f>
        <v/>
      </c>
      <c r="H105" s="36" t="str">
        <f aca="false">IFERROR(INDEX('Fund Research'!$J$6:$J$505,MATCH(100,'Fund Research'!$U$6:$U$505,0)),"")</f>
        <v/>
      </c>
      <c r="I105" s="37" t="str">
        <f aca="false">IFERROR(INDEX('Fund Research'!$L$6:$L$505,MATCH(100,'Fund Research'!$U$6:$U$505,0)),"")</f>
        <v/>
      </c>
      <c r="J105" s="36" t="str">
        <f aca="false">IFERROR(INDEX('Fund Research'!$N$6:$N$505,MATCH(100,'Fund Research'!$U$6:$U$505,0)),"")</f>
        <v/>
      </c>
      <c r="K105" s="36" t="str">
        <f aca="false">IFERROR(INDEX('Fund Research'!$P$6:$P$505,MATCH(100,'Fund Research'!$U$6:$U$505,0)),"")</f>
        <v/>
      </c>
      <c r="L105" s="34" t="str">
        <f aca="false">IFERROR(INDEX('Fund Research'!$S$6:$S$505,MATCH(100,'Fund Research'!$U$6:$U$505,0)),"")</f>
        <v/>
      </c>
      <c r="M105" s="34" t="str">
        <f aca="false">IFERROR(INDEX('Fund Research'!$T$6:$T$505,MATCH(100,'Fund Research'!$U$6:$U$505,0)),"")</f>
        <v/>
      </c>
    </row>
    <row r="106" customFormat="false" ht="15" hidden="false" customHeight="true" outlineLevel="0" collapsed="false">
      <c r="A106" s="33" t="str">
        <f aca="false">IFERROR(IF(INDEX('Fund Research'!$B$6:$B$505,MATCH(101,'Fund Research'!$U$6:$U$505,0))="","",101),"")</f>
        <v/>
      </c>
      <c r="B106" s="34" t="str">
        <f aca="false">IFERROR(INDEX('Fund Research'!$A$6:$A$505,MATCH(101,'Fund Research'!$U$6:$U$505,0)),"")</f>
        <v/>
      </c>
      <c r="C106" s="34" t="str">
        <f aca="false">IFERROR(INDEX('Fund Research'!$B$6:$B$505,MATCH(101,'Fund Research'!$U$6:$U$505,0)),"")</f>
        <v/>
      </c>
      <c r="D106" s="34" t="str">
        <f aca="false">IFERROR(INDEX('Fund Research'!$C$6:$C$505,MATCH(101,'Fund Research'!$U$6:$U$505,0)),"")</f>
        <v/>
      </c>
      <c r="E106" s="35" t="str">
        <f aca="false">IFERROR(INDEX('Fund Research'!$G$6:$G$505,MATCH(101,'Fund Research'!$U$6:$U$505,0)),"")</f>
        <v/>
      </c>
      <c r="F106" s="35" t="str">
        <f aca="false">IFERROR(INDEX('Fund Research'!$H$6:$H$505,MATCH(101,'Fund Research'!$U$6:$U$505,0)),"")</f>
        <v/>
      </c>
      <c r="G106" s="35" t="str">
        <f aca="false">IFERROR(INDEX('Fund Research'!$I$6:$I$505,MATCH(101,'Fund Research'!$U$6:$U$505,0)),"")</f>
        <v/>
      </c>
      <c r="H106" s="36" t="str">
        <f aca="false">IFERROR(INDEX('Fund Research'!$J$6:$J$505,MATCH(101,'Fund Research'!$U$6:$U$505,0)),"")</f>
        <v/>
      </c>
      <c r="I106" s="37" t="str">
        <f aca="false">IFERROR(INDEX('Fund Research'!$L$6:$L$505,MATCH(101,'Fund Research'!$U$6:$U$505,0)),"")</f>
        <v/>
      </c>
      <c r="J106" s="36" t="str">
        <f aca="false">IFERROR(INDEX('Fund Research'!$N$6:$N$505,MATCH(101,'Fund Research'!$U$6:$U$505,0)),"")</f>
        <v/>
      </c>
      <c r="K106" s="36" t="str">
        <f aca="false">IFERROR(INDEX('Fund Research'!$P$6:$P$505,MATCH(101,'Fund Research'!$U$6:$U$505,0)),"")</f>
        <v/>
      </c>
      <c r="L106" s="34" t="str">
        <f aca="false">IFERROR(INDEX('Fund Research'!$S$6:$S$505,MATCH(101,'Fund Research'!$U$6:$U$505,0)),"")</f>
        <v/>
      </c>
      <c r="M106" s="34" t="str">
        <f aca="false">IFERROR(INDEX('Fund Research'!$T$6:$T$505,MATCH(101,'Fund Research'!$U$6:$U$505,0)),"")</f>
        <v/>
      </c>
    </row>
    <row r="107" customFormat="false" ht="15" hidden="false" customHeight="true" outlineLevel="0" collapsed="false">
      <c r="A107" s="33" t="str">
        <f aca="false">IFERROR(IF(INDEX('Fund Research'!$B$6:$B$505,MATCH(102,'Fund Research'!$U$6:$U$505,0))="","",102),"")</f>
        <v/>
      </c>
      <c r="B107" s="34" t="str">
        <f aca="false">IFERROR(INDEX('Fund Research'!$A$6:$A$505,MATCH(102,'Fund Research'!$U$6:$U$505,0)),"")</f>
        <v/>
      </c>
      <c r="C107" s="34" t="str">
        <f aca="false">IFERROR(INDEX('Fund Research'!$B$6:$B$505,MATCH(102,'Fund Research'!$U$6:$U$505,0)),"")</f>
        <v/>
      </c>
      <c r="D107" s="34" t="str">
        <f aca="false">IFERROR(INDEX('Fund Research'!$C$6:$C$505,MATCH(102,'Fund Research'!$U$6:$U$505,0)),"")</f>
        <v/>
      </c>
      <c r="E107" s="35" t="str">
        <f aca="false">IFERROR(INDEX('Fund Research'!$G$6:$G$505,MATCH(102,'Fund Research'!$U$6:$U$505,0)),"")</f>
        <v/>
      </c>
      <c r="F107" s="35" t="str">
        <f aca="false">IFERROR(INDEX('Fund Research'!$H$6:$H$505,MATCH(102,'Fund Research'!$U$6:$U$505,0)),"")</f>
        <v/>
      </c>
      <c r="G107" s="35" t="str">
        <f aca="false">IFERROR(INDEX('Fund Research'!$I$6:$I$505,MATCH(102,'Fund Research'!$U$6:$U$505,0)),"")</f>
        <v/>
      </c>
      <c r="H107" s="36" t="str">
        <f aca="false">IFERROR(INDEX('Fund Research'!$J$6:$J$505,MATCH(102,'Fund Research'!$U$6:$U$505,0)),"")</f>
        <v/>
      </c>
      <c r="I107" s="37" t="str">
        <f aca="false">IFERROR(INDEX('Fund Research'!$L$6:$L$505,MATCH(102,'Fund Research'!$U$6:$U$505,0)),"")</f>
        <v/>
      </c>
      <c r="J107" s="36" t="str">
        <f aca="false">IFERROR(INDEX('Fund Research'!$N$6:$N$505,MATCH(102,'Fund Research'!$U$6:$U$505,0)),"")</f>
        <v/>
      </c>
      <c r="K107" s="36" t="str">
        <f aca="false">IFERROR(INDEX('Fund Research'!$P$6:$P$505,MATCH(102,'Fund Research'!$U$6:$U$505,0)),"")</f>
        <v/>
      </c>
      <c r="L107" s="34" t="str">
        <f aca="false">IFERROR(INDEX('Fund Research'!$S$6:$S$505,MATCH(102,'Fund Research'!$U$6:$U$505,0)),"")</f>
        <v/>
      </c>
      <c r="M107" s="34" t="str">
        <f aca="false">IFERROR(INDEX('Fund Research'!$T$6:$T$505,MATCH(102,'Fund Research'!$U$6:$U$505,0)),"")</f>
        <v/>
      </c>
    </row>
    <row r="108" customFormat="false" ht="15" hidden="false" customHeight="true" outlineLevel="0" collapsed="false">
      <c r="A108" s="33" t="str">
        <f aca="false">IFERROR(IF(INDEX('Fund Research'!$B$6:$B$505,MATCH(103,'Fund Research'!$U$6:$U$505,0))="","",103),"")</f>
        <v/>
      </c>
      <c r="B108" s="34" t="str">
        <f aca="false">IFERROR(INDEX('Fund Research'!$A$6:$A$505,MATCH(103,'Fund Research'!$U$6:$U$505,0)),"")</f>
        <v/>
      </c>
      <c r="C108" s="34" t="str">
        <f aca="false">IFERROR(INDEX('Fund Research'!$B$6:$B$505,MATCH(103,'Fund Research'!$U$6:$U$505,0)),"")</f>
        <v/>
      </c>
      <c r="D108" s="34" t="str">
        <f aca="false">IFERROR(INDEX('Fund Research'!$C$6:$C$505,MATCH(103,'Fund Research'!$U$6:$U$505,0)),"")</f>
        <v/>
      </c>
      <c r="E108" s="35" t="str">
        <f aca="false">IFERROR(INDEX('Fund Research'!$G$6:$G$505,MATCH(103,'Fund Research'!$U$6:$U$505,0)),"")</f>
        <v/>
      </c>
      <c r="F108" s="35" t="str">
        <f aca="false">IFERROR(INDEX('Fund Research'!$H$6:$H$505,MATCH(103,'Fund Research'!$U$6:$U$505,0)),"")</f>
        <v/>
      </c>
      <c r="G108" s="35" t="str">
        <f aca="false">IFERROR(INDEX('Fund Research'!$I$6:$I$505,MATCH(103,'Fund Research'!$U$6:$U$505,0)),"")</f>
        <v/>
      </c>
      <c r="H108" s="36" t="str">
        <f aca="false">IFERROR(INDEX('Fund Research'!$J$6:$J$505,MATCH(103,'Fund Research'!$U$6:$U$505,0)),"")</f>
        <v/>
      </c>
      <c r="I108" s="37" t="str">
        <f aca="false">IFERROR(INDEX('Fund Research'!$L$6:$L$505,MATCH(103,'Fund Research'!$U$6:$U$505,0)),"")</f>
        <v/>
      </c>
      <c r="J108" s="36" t="str">
        <f aca="false">IFERROR(INDEX('Fund Research'!$N$6:$N$505,MATCH(103,'Fund Research'!$U$6:$U$505,0)),"")</f>
        <v/>
      </c>
      <c r="K108" s="36" t="str">
        <f aca="false">IFERROR(INDEX('Fund Research'!$P$6:$P$505,MATCH(103,'Fund Research'!$U$6:$U$505,0)),"")</f>
        <v/>
      </c>
      <c r="L108" s="34" t="str">
        <f aca="false">IFERROR(INDEX('Fund Research'!$S$6:$S$505,MATCH(103,'Fund Research'!$U$6:$U$505,0)),"")</f>
        <v/>
      </c>
      <c r="M108" s="34" t="str">
        <f aca="false">IFERROR(INDEX('Fund Research'!$T$6:$T$505,MATCH(103,'Fund Research'!$U$6:$U$505,0)),"")</f>
        <v/>
      </c>
    </row>
    <row r="109" customFormat="false" ht="15" hidden="false" customHeight="true" outlineLevel="0" collapsed="false">
      <c r="A109" s="33" t="str">
        <f aca="false">IFERROR(IF(INDEX('Fund Research'!$B$6:$B$505,MATCH(104,'Fund Research'!$U$6:$U$505,0))="","",104),"")</f>
        <v/>
      </c>
      <c r="B109" s="34" t="str">
        <f aca="false">IFERROR(INDEX('Fund Research'!$A$6:$A$505,MATCH(104,'Fund Research'!$U$6:$U$505,0)),"")</f>
        <v/>
      </c>
      <c r="C109" s="34" t="str">
        <f aca="false">IFERROR(INDEX('Fund Research'!$B$6:$B$505,MATCH(104,'Fund Research'!$U$6:$U$505,0)),"")</f>
        <v/>
      </c>
      <c r="D109" s="34" t="str">
        <f aca="false">IFERROR(INDEX('Fund Research'!$C$6:$C$505,MATCH(104,'Fund Research'!$U$6:$U$505,0)),"")</f>
        <v/>
      </c>
      <c r="E109" s="35" t="str">
        <f aca="false">IFERROR(INDEX('Fund Research'!$G$6:$G$505,MATCH(104,'Fund Research'!$U$6:$U$505,0)),"")</f>
        <v/>
      </c>
      <c r="F109" s="35" t="str">
        <f aca="false">IFERROR(INDEX('Fund Research'!$H$6:$H$505,MATCH(104,'Fund Research'!$U$6:$U$505,0)),"")</f>
        <v/>
      </c>
      <c r="G109" s="35" t="str">
        <f aca="false">IFERROR(INDEX('Fund Research'!$I$6:$I$505,MATCH(104,'Fund Research'!$U$6:$U$505,0)),"")</f>
        <v/>
      </c>
      <c r="H109" s="36" t="str">
        <f aca="false">IFERROR(INDEX('Fund Research'!$J$6:$J$505,MATCH(104,'Fund Research'!$U$6:$U$505,0)),"")</f>
        <v/>
      </c>
      <c r="I109" s="37" t="str">
        <f aca="false">IFERROR(INDEX('Fund Research'!$L$6:$L$505,MATCH(104,'Fund Research'!$U$6:$U$505,0)),"")</f>
        <v/>
      </c>
      <c r="J109" s="36" t="str">
        <f aca="false">IFERROR(INDEX('Fund Research'!$N$6:$N$505,MATCH(104,'Fund Research'!$U$6:$U$505,0)),"")</f>
        <v/>
      </c>
      <c r="K109" s="36" t="str">
        <f aca="false">IFERROR(INDEX('Fund Research'!$P$6:$P$505,MATCH(104,'Fund Research'!$U$6:$U$505,0)),"")</f>
        <v/>
      </c>
      <c r="L109" s="34" t="str">
        <f aca="false">IFERROR(INDEX('Fund Research'!$S$6:$S$505,MATCH(104,'Fund Research'!$U$6:$U$505,0)),"")</f>
        <v/>
      </c>
      <c r="M109" s="34" t="str">
        <f aca="false">IFERROR(INDEX('Fund Research'!$T$6:$T$505,MATCH(104,'Fund Research'!$U$6:$U$505,0)),"")</f>
        <v/>
      </c>
    </row>
    <row r="110" customFormat="false" ht="15" hidden="false" customHeight="true" outlineLevel="0" collapsed="false">
      <c r="A110" s="33" t="str">
        <f aca="false">IFERROR(IF(INDEX('Fund Research'!$B$6:$B$505,MATCH(105,'Fund Research'!$U$6:$U$505,0))="","",105),"")</f>
        <v/>
      </c>
      <c r="B110" s="34" t="str">
        <f aca="false">IFERROR(INDEX('Fund Research'!$A$6:$A$505,MATCH(105,'Fund Research'!$U$6:$U$505,0)),"")</f>
        <v/>
      </c>
      <c r="C110" s="34" t="str">
        <f aca="false">IFERROR(INDEX('Fund Research'!$B$6:$B$505,MATCH(105,'Fund Research'!$U$6:$U$505,0)),"")</f>
        <v/>
      </c>
      <c r="D110" s="34" t="str">
        <f aca="false">IFERROR(INDEX('Fund Research'!$C$6:$C$505,MATCH(105,'Fund Research'!$U$6:$U$505,0)),"")</f>
        <v/>
      </c>
      <c r="E110" s="35" t="str">
        <f aca="false">IFERROR(INDEX('Fund Research'!$G$6:$G$505,MATCH(105,'Fund Research'!$U$6:$U$505,0)),"")</f>
        <v/>
      </c>
      <c r="F110" s="35" t="str">
        <f aca="false">IFERROR(INDEX('Fund Research'!$H$6:$H$505,MATCH(105,'Fund Research'!$U$6:$U$505,0)),"")</f>
        <v/>
      </c>
      <c r="G110" s="35" t="str">
        <f aca="false">IFERROR(INDEX('Fund Research'!$I$6:$I$505,MATCH(105,'Fund Research'!$U$6:$U$505,0)),"")</f>
        <v/>
      </c>
      <c r="H110" s="36" t="str">
        <f aca="false">IFERROR(INDEX('Fund Research'!$J$6:$J$505,MATCH(105,'Fund Research'!$U$6:$U$505,0)),"")</f>
        <v/>
      </c>
      <c r="I110" s="37" t="str">
        <f aca="false">IFERROR(INDEX('Fund Research'!$L$6:$L$505,MATCH(105,'Fund Research'!$U$6:$U$505,0)),"")</f>
        <v/>
      </c>
      <c r="J110" s="36" t="str">
        <f aca="false">IFERROR(INDEX('Fund Research'!$N$6:$N$505,MATCH(105,'Fund Research'!$U$6:$U$505,0)),"")</f>
        <v/>
      </c>
      <c r="K110" s="36" t="str">
        <f aca="false">IFERROR(INDEX('Fund Research'!$P$6:$P$505,MATCH(105,'Fund Research'!$U$6:$U$505,0)),"")</f>
        <v/>
      </c>
      <c r="L110" s="34" t="str">
        <f aca="false">IFERROR(INDEX('Fund Research'!$S$6:$S$505,MATCH(105,'Fund Research'!$U$6:$U$505,0)),"")</f>
        <v/>
      </c>
      <c r="M110" s="34" t="str">
        <f aca="false">IFERROR(INDEX('Fund Research'!$T$6:$T$505,MATCH(105,'Fund Research'!$U$6:$U$505,0)),"")</f>
        <v/>
      </c>
    </row>
    <row r="111" customFormat="false" ht="15" hidden="false" customHeight="true" outlineLevel="0" collapsed="false">
      <c r="A111" s="33" t="str">
        <f aca="false">IFERROR(IF(INDEX('Fund Research'!$B$6:$B$505,MATCH(106,'Fund Research'!$U$6:$U$505,0))="","",106),"")</f>
        <v/>
      </c>
      <c r="B111" s="34" t="str">
        <f aca="false">IFERROR(INDEX('Fund Research'!$A$6:$A$505,MATCH(106,'Fund Research'!$U$6:$U$505,0)),"")</f>
        <v/>
      </c>
      <c r="C111" s="34" t="str">
        <f aca="false">IFERROR(INDEX('Fund Research'!$B$6:$B$505,MATCH(106,'Fund Research'!$U$6:$U$505,0)),"")</f>
        <v/>
      </c>
      <c r="D111" s="34" t="str">
        <f aca="false">IFERROR(INDEX('Fund Research'!$C$6:$C$505,MATCH(106,'Fund Research'!$U$6:$U$505,0)),"")</f>
        <v/>
      </c>
      <c r="E111" s="35" t="str">
        <f aca="false">IFERROR(INDEX('Fund Research'!$G$6:$G$505,MATCH(106,'Fund Research'!$U$6:$U$505,0)),"")</f>
        <v/>
      </c>
      <c r="F111" s="35" t="str">
        <f aca="false">IFERROR(INDEX('Fund Research'!$H$6:$H$505,MATCH(106,'Fund Research'!$U$6:$U$505,0)),"")</f>
        <v/>
      </c>
      <c r="G111" s="35" t="str">
        <f aca="false">IFERROR(INDEX('Fund Research'!$I$6:$I$505,MATCH(106,'Fund Research'!$U$6:$U$505,0)),"")</f>
        <v/>
      </c>
      <c r="H111" s="36" t="str">
        <f aca="false">IFERROR(INDEX('Fund Research'!$J$6:$J$505,MATCH(106,'Fund Research'!$U$6:$U$505,0)),"")</f>
        <v/>
      </c>
      <c r="I111" s="37" t="str">
        <f aca="false">IFERROR(INDEX('Fund Research'!$L$6:$L$505,MATCH(106,'Fund Research'!$U$6:$U$505,0)),"")</f>
        <v/>
      </c>
      <c r="J111" s="36" t="str">
        <f aca="false">IFERROR(INDEX('Fund Research'!$N$6:$N$505,MATCH(106,'Fund Research'!$U$6:$U$505,0)),"")</f>
        <v/>
      </c>
      <c r="K111" s="36" t="str">
        <f aca="false">IFERROR(INDEX('Fund Research'!$P$6:$P$505,MATCH(106,'Fund Research'!$U$6:$U$505,0)),"")</f>
        <v/>
      </c>
      <c r="L111" s="34" t="str">
        <f aca="false">IFERROR(INDEX('Fund Research'!$S$6:$S$505,MATCH(106,'Fund Research'!$U$6:$U$505,0)),"")</f>
        <v/>
      </c>
      <c r="M111" s="34" t="str">
        <f aca="false">IFERROR(INDEX('Fund Research'!$T$6:$T$505,MATCH(106,'Fund Research'!$U$6:$U$505,0)),"")</f>
        <v/>
      </c>
    </row>
    <row r="112" customFormat="false" ht="15" hidden="false" customHeight="true" outlineLevel="0" collapsed="false">
      <c r="A112" s="33" t="str">
        <f aca="false">IFERROR(IF(INDEX('Fund Research'!$B$6:$B$505,MATCH(107,'Fund Research'!$U$6:$U$505,0))="","",107),"")</f>
        <v/>
      </c>
      <c r="B112" s="34" t="str">
        <f aca="false">IFERROR(INDEX('Fund Research'!$A$6:$A$505,MATCH(107,'Fund Research'!$U$6:$U$505,0)),"")</f>
        <v/>
      </c>
      <c r="C112" s="34" t="str">
        <f aca="false">IFERROR(INDEX('Fund Research'!$B$6:$B$505,MATCH(107,'Fund Research'!$U$6:$U$505,0)),"")</f>
        <v/>
      </c>
      <c r="D112" s="34" t="str">
        <f aca="false">IFERROR(INDEX('Fund Research'!$C$6:$C$505,MATCH(107,'Fund Research'!$U$6:$U$505,0)),"")</f>
        <v/>
      </c>
      <c r="E112" s="35" t="str">
        <f aca="false">IFERROR(INDEX('Fund Research'!$G$6:$G$505,MATCH(107,'Fund Research'!$U$6:$U$505,0)),"")</f>
        <v/>
      </c>
      <c r="F112" s="35" t="str">
        <f aca="false">IFERROR(INDEX('Fund Research'!$H$6:$H$505,MATCH(107,'Fund Research'!$U$6:$U$505,0)),"")</f>
        <v/>
      </c>
      <c r="G112" s="35" t="str">
        <f aca="false">IFERROR(INDEX('Fund Research'!$I$6:$I$505,MATCH(107,'Fund Research'!$U$6:$U$505,0)),"")</f>
        <v/>
      </c>
      <c r="H112" s="36" t="str">
        <f aca="false">IFERROR(INDEX('Fund Research'!$J$6:$J$505,MATCH(107,'Fund Research'!$U$6:$U$505,0)),"")</f>
        <v/>
      </c>
      <c r="I112" s="37" t="str">
        <f aca="false">IFERROR(INDEX('Fund Research'!$L$6:$L$505,MATCH(107,'Fund Research'!$U$6:$U$505,0)),"")</f>
        <v/>
      </c>
      <c r="J112" s="36" t="str">
        <f aca="false">IFERROR(INDEX('Fund Research'!$N$6:$N$505,MATCH(107,'Fund Research'!$U$6:$U$505,0)),"")</f>
        <v/>
      </c>
      <c r="K112" s="36" t="str">
        <f aca="false">IFERROR(INDEX('Fund Research'!$P$6:$P$505,MATCH(107,'Fund Research'!$U$6:$U$505,0)),"")</f>
        <v/>
      </c>
      <c r="L112" s="34" t="str">
        <f aca="false">IFERROR(INDEX('Fund Research'!$S$6:$S$505,MATCH(107,'Fund Research'!$U$6:$U$505,0)),"")</f>
        <v/>
      </c>
      <c r="M112" s="34" t="str">
        <f aca="false">IFERROR(INDEX('Fund Research'!$T$6:$T$505,MATCH(107,'Fund Research'!$U$6:$U$505,0)),"")</f>
        <v/>
      </c>
    </row>
    <row r="113" customFormat="false" ht="15" hidden="false" customHeight="true" outlineLevel="0" collapsed="false">
      <c r="A113" s="33" t="str">
        <f aca="false">IFERROR(IF(INDEX('Fund Research'!$B$6:$B$505,MATCH(108,'Fund Research'!$U$6:$U$505,0))="","",108),"")</f>
        <v/>
      </c>
      <c r="B113" s="34" t="str">
        <f aca="false">IFERROR(INDEX('Fund Research'!$A$6:$A$505,MATCH(108,'Fund Research'!$U$6:$U$505,0)),"")</f>
        <v/>
      </c>
      <c r="C113" s="34" t="str">
        <f aca="false">IFERROR(INDEX('Fund Research'!$B$6:$B$505,MATCH(108,'Fund Research'!$U$6:$U$505,0)),"")</f>
        <v/>
      </c>
      <c r="D113" s="34" t="str">
        <f aca="false">IFERROR(INDEX('Fund Research'!$C$6:$C$505,MATCH(108,'Fund Research'!$U$6:$U$505,0)),"")</f>
        <v/>
      </c>
      <c r="E113" s="35" t="str">
        <f aca="false">IFERROR(INDEX('Fund Research'!$G$6:$G$505,MATCH(108,'Fund Research'!$U$6:$U$505,0)),"")</f>
        <v/>
      </c>
      <c r="F113" s="35" t="str">
        <f aca="false">IFERROR(INDEX('Fund Research'!$H$6:$H$505,MATCH(108,'Fund Research'!$U$6:$U$505,0)),"")</f>
        <v/>
      </c>
      <c r="G113" s="35" t="str">
        <f aca="false">IFERROR(INDEX('Fund Research'!$I$6:$I$505,MATCH(108,'Fund Research'!$U$6:$U$505,0)),"")</f>
        <v/>
      </c>
      <c r="H113" s="36" t="str">
        <f aca="false">IFERROR(INDEX('Fund Research'!$J$6:$J$505,MATCH(108,'Fund Research'!$U$6:$U$505,0)),"")</f>
        <v/>
      </c>
      <c r="I113" s="37" t="str">
        <f aca="false">IFERROR(INDEX('Fund Research'!$L$6:$L$505,MATCH(108,'Fund Research'!$U$6:$U$505,0)),"")</f>
        <v/>
      </c>
      <c r="J113" s="36" t="str">
        <f aca="false">IFERROR(INDEX('Fund Research'!$N$6:$N$505,MATCH(108,'Fund Research'!$U$6:$U$505,0)),"")</f>
        <v/>
      </c>
      <c r="K113" s="36" t="str">
        <f aca="false">IFERROR(INDEX('Fund Research'!$P$6:$P$505,MATCH(108,'Fund Research'!$U$6:$U$505,0)),"")</f>
        <v/>
      </c>
      <c r="L113" s="34" t="str">
        <f aca="false">IFERROR(INDEX('Fund Research'!$S$6:$S$505,MATCH(108,'Fund Research'!$U$6:$U$505,0)),"")</f>
        <v/>
      </c>
      <c r="M113" s="34" t="str">
        <f aca="false">IFERROR(INDEX('Fund Research'!$T$6:$T$505,MATCH(108,'Fund Research'!$U$6:$U$505,0)),"")</f>
        <v/>
      </c>
    </row>
    <row r="114" customFormat="false" ht="15" hidden="false" customHeight="true" outlineLevel="0" collapsed="false">
      <c r="A114" s="33" t="str">
        <f aca="false">IFERROR(IF(INDEX('Fund Research'!$B$6:$B$505,MATCH(109,'Fund Research'!$U$6:$U$505,0))="","",109),"")</f>
        <v/>
      </c>
      <c r="B114" s="34" t="str">
        <f aca="false">IFERROR(INDEX('Fund Research'!$A$6:$A$505,MATCH(109,'Fund Research'!$U$6:$U$505,0)),"")</f>
        <v/>
      </c>
      <c r="C114" s="34" t="str">
        <f aca="false">IFERROR(INDEX('Fund Research'!$B$6:$B$505,MATCH(109,'Fund Research'!$U$6:$U$505,0)),"")</f>
        <v/>
      </c>
      <c r="D114" s="34" t="str">
        <f aca="false">IFERROR(INDEX('Fund Research'!$C$6:$C$505,MATCH(109,'Fund Research'!$U$6:$U$505,0)),"")</f>
        <v/>
      </c>
      <c r="E114" s="35" t="str">
        <f aca="false">IFERROR(INDEX('Fund Research'!$G$6:$G$505,MATCH(109,'Fund Research'!$U$6:$U$505,0)),"")</f>
        <v/>
      </c>
      <c r="F114" s="35" t="str">
        <f aca="false">IFERROR(INDEX('Fund Research'!$H$6:$H$505,MATCH(109,'Fund Research'!$U$6:$U$505,0)),"")</f>
        <v/>
      </c>
      <c r="G114" s="35" t="str">
        <f aca="false">IFERROR(INDEX('Fund Research'!$I$6:$I$505,MATCH(109,'Fund Research'!$U$6:$U$505,0)),"")</f>
        <v/>
      </c>
      <c r="H114" s="36" t="str">
        <f aca="false">IFERROR(INDEX('Fund Research'!$J$6:$J$505,MATCH(109,'Fund Research'!$U$6:$U$505,0)),"")</f>
        <v/>
      </c>
      <c r="I114" s="37" t="str">
        <f aca="false">IFERROR(INDEX('Fund Research'!$L$6:$L$505,MATCH(109,'Fund Research'!$U$6:$U$505,0)),"")</f>
        <v/>
      </c>
      <c r="J114" s="36" t="str">
        <f aca="false">IFERROR(INDEX('Fund Research'!$N$6:$N$505,MATCH(109,'Fund Research'!$U$6:$U$505,0)),"")</f>
        <v/>
      </c>
      <c r="K114" s="36" t="str">
        <f aca="false">IFERROR(INDEX('Fund Research'!$P$6:$P$505,MATCH(109,'Fund Research'!$U$6:$U$505,0)),"")</f>
        <v/>
      </c>
      <c r="L114" s="34" t="str">
        <f aca="false">IFERROR(INDEX('Fund Research'!$S$6:$S$505,MATCH(109,'Fund Research'!$U$6:$U$505,0)),"")</f>
        <v/>
      </c>
      <c r="M114" s="34" t="str">
        <f aca="false">IFERROR(INDEX('Fund Research'!$T$6:$T$505,MATCH(109,'Fund Research'!$U$6:$U$505,0)),"")</f>
        <v/>
      </c>
    </row>
    <row r="115" customFormat="false" ht="15" hidden="false" customHeight="true" outlineLevel="0" collapsed="false">
      <c r="A115" s="33" t="str">
        <f aca="false">IFERROR(IF(INDEX('Fund Research'!$B$6:$B$505,MATCH(110,'Fund Research'!$U$6:$U$505,0))="","",110),"")</f>
        <v/>
      </c>
      <c r="B115" s="34" t="str">
        <f aca="false">IFERROR(INDEX('Fund Research'!$A$6:$A$505,MATCH(110,'Fund Research'!$U$6:$U$505,0)),"")</f>
        <v/>
      </c>
      <c r="C115" s="34" t="str">
        <f aca="false">IFERROR(INDEX('Fund Research'!$B$6:$B$505,MATCH(110,'Fund Research'!$U$6:$U$505,0)),"")</f>
        <v/>
      </c>
      <c r="D115" s="34" t="str">
        <f aca="false">IFERROR(INDEX('Fund Research'!$C$6:$C$505,MATCH(110,'Fund Research'!$U$6:$U$505,0)),"")</f>
        <v/>
      </c>
      <c r="E115" s="35" t="str">
        <f aca="false">IFERROR(INDEX('Fund Research'!$G$6:$G$505,MATCH(110,'Fund Research'!$U$6:$U$505,0)),"")</f>
        <v/>
      </c>
      <c r="F115" s="35" t="str">
        <f aca="false">IFERROR(INDEX('Fund Research'!$H$6:$H$505,MATCH(110,'Fund Research'!$U$6:$U$505,0)),"")</f>
        <v/>
      </c>
      <c r="G115" s="35" t="str">
        <f aca="false">IFERROR(INDEX('Fund Research'!$I$6:$I$505,MATCH(110,'Fund Research'!$U$6:$U$505,0)),"")</f>
        <v/>
      </c>
      <c r="H115" s="36" t="str">
        <f aca="false">IFERROR(INDEX('Fund Research'!$J$6:$J$505,MATCH(110,'Fund Research'!$U$6:$U$505,0)),"")</f>
        <v/>
      </c>
      <c r="I115" s="37" t="str">
        <f aca="false">IFERROR(INDEX('Fund Research'!$L$6:$L$505,MATCH(110,'Fund Research'!$U$6:$U$505,0)),"")</f>
        <v/>
      </c>
      <c r="J115" s="36" t="str">
        <f aca="false">IFERROR(INDEX('Fund Research'!$N$6:$N$505,MATCH(110,'Fund Research'!$U$6:$U$505,0)),"")</f>
        <v/>
      </c>
      <c r="K115" s="36" t="str">
        <f aca="false">IFERROR(INDEX('Fund Research'!$P$6:$P$505,MATCH(110,'Fund Research'!$U$6:$U$505,0)),"")</f>
        <v/>
      </c>
      <c r="L115" s="34" t="str">
        <f aca="false">IFERROR(INDEX('Fund Research'!$S$6:$S$505,MATCH(110,'Fund Research'!$U$6:$U$505,0)),"")</f>
        <v/>
      </c>
      <c r="M115" s="34" t="str">
        <f aca="false">IFERROR(INDEX('Fund Research'!$T$6:$T$505,MATCH(110,'Fund Research'!$U$6:$U$505,0)),"")</f>
        <v/>
      </c>
    </row>
    <row r="116" customFormat="false" ht="15" hidden="false" customHeight="true" outlineLevel="0" collapsed="false">
      <c r="A116" s="33" t="str">
        <f aca="false">IFERROR(IF(INDEX('Fund Research'!$B$6:$B$505,MATCH(111,'Fund Research'!$U$6:$U$505,0))="","",111),"")</f>
        <v/>
      </c>
      <c r="B116" s="34" t="str">
        <f aca="false">IFERROR(INDEX('Fund Research'!$A$6:$A$505,MATCH(111,'Fund Research'!$U$6:$U$505,0)),"")</f>
        <v/>
      </c>
      <c r="C116" s="34" t="str">
        <f aca="false">IFERROR(INDEX('Fund Research'!$B$6:$B$505,MATCH(111,'Fund Research'!$U$6:$U$505,0)),"")</f>
        <v/>
      </c>
      <c r="D116" s="34" t="str">
        <f aca="false">IFERROR(INDEX('Fund Research'!$C$6:$C$505,MATCH(111,'Fund Research'!$U$6:$U$505,0)),"")</f>
        <v/>
      </c>
      <c r="E116" s="35" t="str">
        <f aca="false">IFERROR(INDEX('Fund Research'!$G$6:$G$505,MATCH(111,'Fund Research'!$U$6:$U$505,0)),"")</f>
        <v/>
      </c>
      <c r="F116" s="35" t="str">
        <f aca="false">IFERROR(INDEX('Fund Research'!$H$6:$H$505,MATCH(111,'Fund Research'!$U$6:$U$505,0)),"")</f>
        <v/>
      </c>
      <c r="G116" s="35" t="str">
        <f aca="false">IFERROR(INDEX('Fund Research'!$I$6:$I$505,MATCH(111,'Fund Research'!$U$6:$U$505,0)),"")</f>
        <v/>
      </c>
      <c r="H116" s="36" t="str">
        <f aca="false">IFERROR(INDEX('Fund Research'!$J$6:$J$505,MATCH(111,'Fund Research'!$U$6:$U$505,0)),"")</f>
        <v/>
      </c>
      <c r="I116" s="37" t="str">
        <f aca="false">IFERROR(INDEX('Fund Research'!$L$6:$L$505,MATCH(111,'Fund Research'!$U$6:$U$505,0)),"")</f>
        <v/>
      </c>
      <c r="J116" s="36" t="str">
        <f aca="false">IFERROR(INDEX('Fund Research'!$N$6:$N$505,MATCH(111,'Fund Research'!$U$6:$U$505,0)),"")</f>
        <v/>
      </c>
      <c r="K116" s="36" t="str">
        <f aca="false">IFERROR(INDEX('Fund Research'!$P$6:$P$505,MATCH(111,'Fund Research'!$U$6:$U$505,0)),"")</f>
        <v/>
      </c>
      <c r="L116" s="34" t="str">
        <f aca="false">IFERROR(INDEX('Fund Research'!$S$6:$S$505,MATCH(111,'Fund Research'!$U$6:$U$505,0)),"")</f>
        <v/>
      </c>
      <c r="M116" s="34" t="str">
        <f aca="false">IFERROR(INDEX('Fund Research'!$T$6:$T$505,MATCH(111,'Fund Research'!$U$6:$U$505,0)),"")</f>
        <v/>
      </c>
    </row>
    <row r="117" customFormat="false" ht="15" hidden="false" customHeight="true" outlineLevel="0" collapsed="false">
      <c r="A117" s="33" t="str">
        <f aca="false">IFERROR(IF(INDEX('Fund Research'!$B$6:$B$505,MATCH(112,'Fund Research'!$U$6:$U$505,0))="","",112),"")</f>
        <v/>
      </c>
      <c r="B117" s="34" t="str">
        <f aca="false">IFERROR(INDEX('Fund Research'!$A$6:$A$505,MATCH(112,'Fund Research'!$U$6:$U$505,0)),"")</f>
        <v/>
      </c>
      <c r="C117" s="34" t="str">
        <f aca="false">IFERROR(INDEX('Fund Research'!$B$6:$B$505,MATCH(112,'Fund Research'!$U$6:$U$505,0)),"")</f>
        <v/>
      </c>
      <c r="D117" s="34" t="str">
        <f aca="false">IFERROR(INDEX('Fund Research'!$C$6:$C$505,MATCH(112,'Fund Research'!$U$6:$U$505,0)),"")</f>
        <v/>
      </c>
      <c r="E117" s="35" t="str">
        <f aca="false">IFERROR(INDEX('Fund Research'!$G$6:$G$505,MATCH(112,'Fund Research'!$U$6:$U$505,0)),"")</f>
        <v/>
      </c>
      <c r="F117" s="35" t="str">
        <f aca="false">IFERROR(INDEX('Fund Research'!$H$6:$H$505,MATCH(112,'Fund Research'!$U$6:$U$505,0)),"")</f>
        <v/>
      </c>
      <c r="G117" s="35" t="str">
        <f aca="false">IFERROR(INDEX('Fund Research'!$I$6:$I$505,MATCH(112,'Fund Research'!$U$6:$U$505,0)),"")</f>
        <v/>
      </c>
      <c r="H117" s="36" t="str">
        <f aca="false">IFERROR(INDEX('Fund Research'!$J$6:$J$505,MATCH(112,'Fund Research'!$U$6:$U$505,0)),"")</f>
        <v/>
      </c>
      <c r="I117" s="37" t="str">
        <f aca="false">IFERROR(INDEX('Fund Research'!$L$6:$L$505,MATCH(112,'Fund Research'!$U$6:$U$505,0)),"")</f>
        <v/>
      </c>
      <c r="J117" s="36" t="str">
        <f aca="false">IFERROR(INDEX('Fund Research'!$N$6:$N$505,MATCH(112,'Fund Research'!$U$6:$U$505,0)),"")</f>
        <v/>
      </c>
      <c r="K117" s="36" t="str">
        <f aca="false">IFERROR(INDEX('Fund Research'!$P$6:$P$505,MATCH(112,'Fund Research'!$U$6:$U$505,0)),"")</f>
        <v/>
      </c>
      <c r="L117" s="34" t="str">
        <f aca="false">IFERROR(INDEX('Fund Research'!$S$6:$S$505,MATCH(112,'Fund Research'!$U$6:$U$505,0)),"")</f>
        <v/>
      </c>
      <c r="M117" s="34" t="str">
        <f aca="false">IFERROR(INDEX('Fund Research'!$T$6:$T$505,MATCH(112,'Fund Research'!$U$6:$U$505,0)),"")</f>
        <v/>
      </c>
    </row>
    <row r="118" customFormat="false" ht="15" hidden="false" customHeight="true" outlineLevel="0" collapsed="false">
      <c r="A118" s="33" t="str">
        <f aca="false">IFERROR(IF(INDEX('Fund Research'!$B$6:$B$505,MATCH(113,'Fund Research'!$U$6:$U$505,0))="","",113),"")</f>
        <v/>
      </c>
      <c r="B118" s="34" t="str">
        <f aca="false">IFERROR(INDEX('Fund Research'!$A$6:$A$505,MATCH(113,'Fund Research'!$U$6:$U$505,0)),"")</f>
        <v/>
      </c>
      <c r="C118" s="34" t="str">
        <f aca="false">IFERROR(INDEX('Fund Research'!$B$6:$B$505,MATCH(113,'Fund Research'!$U$6:$U$505,0)),"")</f>
        <v/>
      </c>
      <c r="D118" s="34" t="str">
        <f aca="false">IFERROR(INDEX('Fund Research'!$C$6:$C$505,MATCH(113,'Fund Research'!$U$6:$U$505,0)),"")</f>
        <v/>
      </c>
      <c r="E118" s="35" t="str">
        <f aca="false">IFERROR(INDEX('Fund Research'!$G$6:$G$505,MATCH(113,'Fund Research'!$U$6:$U$505,0)),"")</f>
        <v/>
      </c>
      <c r="F118" s="35" t="str">
        <f aca="false">IFERROR(INDEX('Fund Research'!$H$6:$H$505,MATCH(113,'Fund Research'!$U$6:$U$505,0)),"")</f>
        <v/>
      </c>
      <c r="G118" s="35" t="str">
        <f aca="false">IFERROR(INDEX('Fund Research'!$I$6:$I$505,MATCH(113,'Fund Research'!$U$6:$U$505,0)),"")</f>
        <v/>
      </c>
      <c r="H118" s="36" t="str">
        <f aca="false">IFERROR(INDEX('Fund Research'!$J$6:$J$505,MATCH(113,'Fund Research'!$U$6:$U$505,0)),"")</f>
        <v/>
      </c>
      <c r="I118" s="37" t="str">
        <f aca="false">IFERROR(INDEX('Fund Research'!$L$6:$L$505,MATCH(113,'Fund Research'!$U$6:$U$505,0)),"")</f>
        <v/>
      </c>
      <c r="J118" s="36" t="str">
        <f aca="false">IFERROR(INDEX('Fund Research'!$N$6:$N$505,MATCH(113,'Fund Research'!$U$6:$U$505,0)),"")</f>
        <v/>
      </c>
      <c r="K118" s="36" t="str">
        <f aca="false">IFERROR(INDEX('Fund Research'!$P$6:$P$505,MATCH(113,'Fund Research'!$U$6:$U$505,0)),"")</f>
        <v/>
      </c>
      <c r="L118" s="34" t="str">
        <f aca="false">IFERROR(INDEX('Fund Research'!$S$6:$S$505,MATCH(113,'Fund Research'!$U$6:$U$505,0)),"")</f>
        <v/>
      </c>
      <c r="M118" s="34" t="str">
        <f aca="false">IFERROR(INDEX('Fund Research'!$T$6:$T$505,MATCH(113,'Fund Research'!$U$6:$U$505,0)),"")</f>
        <v/>
      </c>
    </row>
    <row r="119" customFormat="false" ht="15" hidden="false" customHeight="true" outlineLevel="0" collapsed="false">
      <c r="A119" s="33" t="str">
        <f aca="false">IFERROR(IF(INDEX('Fund Research'!$B$6:$B$505,MATCH(114,'Fund Research'!$U$6:$U$505,0))="","",114),"")</f>
        <v/>
      </c>
      <c r="B119" s="34" t="str">
        <f aca="false">IFERROR(INDEX('Fund Research'!$A$6:$A$505,MATCH(114,'Fund Research'!$U$6:$U$505,0)),"")</f>
        <v/>
      </c>
      <c r="C119" s="34" t="str">
        <f aca="false">IFERROR(INDEX('Fund Research'!$B$6:$B$505,MATCH(114,'Fund Research'!$U$6:$U$505,0)),"")</f>
        <v/>
      </c>
      <c r="D119" s="34" t="str">
        <f aca="false">IFERROR(INDEX('Fund Research'!$C$6:$C$505,MATCH(114,'Fund Research'!$U$6:$U$505,0)),"")</f>
        <v/>
      </c>
      <c r="E119" s="35" t="str">
        <f aca="false">IFERROR(INDEX('Fund Research'!$G$6:$G$505,MATCH(114,'Fund Research'!$U$6:$U$505,0)),"")</f>
        <v/>
      </c>
      <c r="F119" s="35" t="str">
        <f aca="false">IFERROR(INDEX('Fund Research'!$H$6:$H$505,MATCH(114,'Fund Research'!$U$6:$U$505,0)),"")</f>
        <v/>
      </c>
      <c r="G119" s="35" t="str">
        <f aca="false">IFERROR(INDEX('Fund Research'!$I$6:$I$505,MATCH(114,'Fund Research'!$U$6:$U$505,0)),"")</f>
        <v/>
      </c>
      <c r="H119" s="36" t="str">
        <f aca="false">IFERROR(INDEX('Fund Research'!$J$6:$J$505,MATCH(114,'Fund Research'!$U$6:$U$505,0)),"")</f>
        <v/>
      </c>
      <c r="I119" s="37" t="str">
        <f aca="false">IFERROR(INDEX('Fund Research'!$L$6:$L$505,MATCH(114,'Fund Research'!$U$6:$U$505,0)),"")</f>
        <v/>
      </c>
      <c r="J119" s="36" t="str">
        <f aca="false">IFERROR(INDEX('Fund Research'!$N$6:$N$505,MATCH(114,'Fund Research'!$U$6:$U$505,0)),"")</f>
        <v/>
      </c>
      <c r="K119" s="36" t="str">
        <f aca="false">IFERROR(INDEX('Fund Research'!$P$6:$P$505,MATCH(114,'Fund Research'!$U$6:$U$505,0)),"")</f>
        <v/>
      </c>
      <c r="L119" s="34" t="str">
        <f aca="false">IFERROR(INDEX('Fund Research'!$S$6:$S$505,MATCH(114,'Fund Research'!$U$6:$U$505,0)),"")</f>
        <v/>
      </c>
      <c r="M119" s="34" t="str">
        <f aca="false">IFERROR(INDEX('Fund Research'!$T$6:$T$505,MATCH(114,'Fund Research'!$U$6:$U$505,0)),"")</f>
        <v/>
      </c>
    </row>
    <row r="120" customFormat="false" ht="15" hidden="false" customHeight="true" outlineLevel="0" collapsed="false">
      <c r="A120" s="33" t="str">
        <f aca="false">IFERROR(IF(INDEX('Fund Research'!$B$6:$B$505,MATCH(115,'Fund Research'!$U$6:$U$505,0))="","",115),"")</f>
        <v/>
      </c>
      <c r="B120" s="34" t="str">
        <f aca="false">IFERROR(INDEX('Fund Research'!$A$6:$A$505,MATCH(115,'Fund Research'!$U$6:$U$505,0)),"")</f>
        <v/>
      </c>
      <c r="C120" s="34" t="str">
        <f aca="false">IFERROR(INDEX('Fund Research'!$B$6:$B$505,MATCH(115,'Fund Research'!$U$6:$U$505,0)),"")</f>
        <v/>
      </c>
      <c r="D120" s="34" t="str">
        <f aca="false">IFERROR(INDEX('Fund Research'!$C$6:$C$505,MATCH(115,'Fund Research'!$U$6:$U$505,0)),"")</f>
        <v/>
      </c>
      <c r="E120" s="35" t="str">
        <f aca="false">IFERROR(INDEX('Fund Research'!$G$6:$G$505,MATCH(115,'Fund Research'!$U$6:$U$505,0)),"")</f>
        <v/>
      </c>
      <c r="F120" s="35" t="str">
        <f aca="false">IFERROR(INDEX('Fund Research'!$H$6:$H$505,MATCH(115,'Fund Research'!$U$6:$U$505,0)),"")</f>
        <v/>
      </c>
      <c r="G120" s="35" t="str">
        <f aca="false">IFERROR(INDEX('Fund Research'!$I$6:$I$505,MATCH(115,'Fund Research'!$U$6:$U$505,0)),"")</f>
        <v/>
      </c>
      <c r="H120" s="36" t="str">
        <f aca="false">IFERROR(INDEX('Fund Research'!$J$6:$J$505,MATCH(115,'Fund Research'!$U$6:$U$505,0)),"")</f>
        <v/>
      </c>
      <c r="I120" s="37" t="str">
        <f aca="false">IFERROR(INDEX('Fund Research'!$L$6:$L$505,MATCH(115,'Fund Research'!$U$6:$U$505,0)),"")</f>
        <v/>
      </c>
      <c r="J120" s="36" t="str">
        <f aca="false">IFERROR(INDEX('Fund Research'!$N$6:$N$505,MATCH(115,'Fund Research'!$U$6:$U$505,0)),"")</f>
        <v/>
      </c>
      <c r="K120" s="36" t="str">
        <f aca="false">IFERROR(INDEX('Fund Research'!$P$6:$P$505,MATCH(115,'Fund Research'!$U$6:$U$505,0)),"")</f>
        <v/>
      </c>
      <c r="L120" s="34" t="str">
        <f aca="false">IFERROR(INDEX('Fund Research'!$S$6:$S$505,MATCH(115,'Fund Research'!$U$6:$U$505,0)),"")</f>
        <v/>
      </c>
      <c r="M120" s="34" t="str">
        <f aca="false">IFERROR(INDEX('Fund Research'!$T$6:$T$505,MATCH(115,'Fund Research'!$U$6:$U$505,0)),"")</f>
        <v/>
      </c>
    </row>
    <row r="121" customFormat="false" ht="15" hidden="false" customHeight="true" outlineLevel="0" collapsed="false">
      <c r="A121" s="33" t="str">
        <f aca="false">IFERROR(IF(INDEX('Fund Research'!$B$6:$B$505,MATCH(116,'Fund Research'!$U$6:$U$505,0))="","",116),"")</f>
        <v/>
      </c>
      <c r="B121" s="34" t="str">
        <f aca="false">IFERROR(INDEX('Fund Research'!$A$6:$A$505,MATCH(116,'Fund Research'!$U$6:$U$505,0)),"")</f>
        <v/>
      </c>
      <c r="C121" s="34" t="str">
        <f aca="false">IFERROR(INDEX('Fund Research'!$B$6:$B$505,MATCH(116,'Fund Research'!$U$6:$U$505,0)),"")</f>
        <v/>
      </c>
      <c r="D121" s="34" t="str">
        <f aca="false">IFERROR(INDEX('Fund Research'!$C$6:$C$505,MATCH(116,'Fund Research'!$U$6:$U$505,0)),"")</f>
        <v/>
      </c>
      <c r="E121" s="35" t="str">
        <f aca="false">IFERROR(INDEX('Fund Research'!$G$6:$G$505,MATCH(116,'Fund Research'!$U$6:$U$505,0)),"")</f>
        <v/>
      </c>
      <c r="F121" s="35" t="str">
        <f aca="false">IFERROR(INDEX('Fund Research'!$H$6:$H$505,MATCH(116,'Fund Research'!$U$6:$U$505,0)),"")</f>
        <v/>
      </c>
      <c r="G121" s="35" t="str">
        <f aca="false">IFERROR(INDEX('Fund Research'!$I$6:$I$505,MATCH(116,'Fund Research'!$U$6:$U$505,0)),"")</f>
        <v/>
      </c>
      <c r="H121" s="36" t="str">
        <f aca="false">IFERROR(INDEX('Fund Research'!$J$6:$J$505,MATCH(116,'Fund Research'!$U$6:$U$505,0)),"")</f>
        <v/>
      </c>
      <c r="I121" s="37" t="str">
        <f aca="false">IFERROR(INDEX('Fund Research'!$L$6:$L$505,MATCH(116,'Fund Research'!$U$6:$U$505,0)),"")</f>
        <v/>
      </c>
      <c r="J121" s="36" t="str">
        <f aca="false">IFERROR(INDEX('Fund Research'!$N$6:$N$505,MATCH(116,'Fund Research'!$U$6:$U$505,0)),"")</f>
        <v/>
      </c>
      <c r="K121" s="36" t="str">
        <f aca="false">IFERROR(INDEX('Fund Research'!$P$6:$P$505,MATCH(116,'Fund Research'!$U$6:$U$505,0)),"")</f>
        <v/>
      </c>
      <c r="L121" s="34" t="str">
        <f aca="false">IFERROR(INDEX('Fund Research'!$S$6:$S$505,MATCH(116,'Fund Research'!$U$6:$U$505,0)),"")</f>
        <v/>
      </c>
      <c r="M121" s="34" t="str">
        <f aca="false">IFERROR(INDEX('Fund Research'!$T$6:$T$505,MATCH(116,'Fund Research'!$U$6:$U$505,0)),"")</f>
        <v/>
      </c>
    </row>
    <row r="122" customFormat="false" ht="15" hidden="false" customHeight="true" outlineLevel="0" collapsed="false">
      <c r="A122" s="33" t="str">
        <f aca="false">IFERROR(IF(INDEX('Fund Research'!$B$6:$B$505,MATCH(117,'Fund Research'!$U$6:$U$505,0))="","",117),"")</f>
        <v/>
      </c>
      <c r="B122" s="34" t="str">
        <f aca="false">IFERROR(INDEX('Fund Research'!$A$6:$A$505,MATCH(117,'Fund Research'!$U$6:$U$505,0)),"")</f>
        <v/>
      </c>
      <c r="C122" s="34" t="str">
        <f aca="false">IFERROR(INDEX('Fund Research'!$B$6:$B$505,MATCH(117,'Fund Research'!$U$6:$U$505,0)),"")</f>
        <v/>
      </c>
      <c r="D122" s="34" t="str">
        <f aca="false">IFERROR(INDEX('Fund Research'!$C$6:$C$505,MATCH(117,'Fund Research'!$U$6:$U$505,0)),"")</f>
        <v/>
      </c>
      <c r="E122" s="35" t="str">
        <f aca="false">IFERROR(INDEX('Fund Research'!$G$6:$G$505,MATCH(117,'Fund Research'!$U$6:$U$505,0)),"")</f>
        <v/>
      </c>
      <c r="F122" s="35" t="str">
        <f aca="false">IFERROR(INDEX('Fund Research'!$H$6:$H$505,MATCH(117,'Fund Research'!$U$6:$U$505,0)),"")</f>
        <v/>
      </c>
      <c r="G122" s="35" t="str">
        <f aca="false">IFERROR(INDEX('Fund Research'!$I$6:$I$505,MATCH(117,'Fund Research'!$U$6:$U$505,0)),"")</f>
        <v/>
      </c>
      <c r="H122" s="36" t="str">
        <f aca="false">IFERROR(INDEX('Fund Research'!$J$6:$J$505,MATCH(117,'Fund Research'!$U$6:$U$505,0)),"")</f>
        <v/>
      </c>
      <c r="I122" s="37" t="str">
        <f aca="false">IFERROR(INDEX('Fund Research'!$L$6:$L$505,MATCH(117,'Fund Research'!$U$6:$U$505,0)),"")</f>
        <v/>
      </c>
      <c r="J122" s="36" t="str">
        <f aca="false">IFERROR(INDEX('Fund Research'!$N$6:$N$505,MATCH(117,'Fund Research'!$U$6:$U$505,0)),"")</f>
        <v/>
      </c>
      <c r="K122" s="36" t="str">
        <f aca="false">IFERROR(INDEX('Fund Research'!$P$6:$P$505,MATCH(117,'Fund Research'!$U$6:$U$505,0)),"")</f>
        <v/>
      </c>
      <c r="L122" s="34" t="str">
        <f aca="false">IFERROR(INDEX('Fund Research'!$S$6:$S$505,MATCH(117,'Fund Research'!$U$6:$U$505,0)),"")</f>
        <v/>
      </c>
      <c r="M122" s="34" t="str">
        <f aca="false">IFERROR(INDEX('Fund Research'!$T$6:$T$505,MATCH(117,'Fund Research'!$U$6:$U$505,0)),"")</f>
        <v/>
      </c>
    </row>
    <row r="123" customFormat="false" ht="15" hidden="false" customHeight="true" outlineLevel="0" collapsed="false">
      <c r="A123" s="33" t="str">
        <f aca="false">IFERROR(IF(INDEX('Fund Research'!$B$6:$B$505,MATCH(118,'Fund Research'!$U$6:$U$505,0))="","",118),"")</f>
        <v/>
      </c>
      <c r="B123" s="34" t="str">
        <f aca="false">IFERROR(INDEX('Fund Research'!$A$6:$A$505,MATCH(118,'Fund Research'!$U$6:$U$505,0)),"")</f>
        <v/>
      </c>
      <c r="C123" s="34" t="str">
        <f aca="false">IFERROR(INDEX('Fund Research'!$B$6:$B$505,MATCH(118,'Fund Research'!$U$6:$U$505,0)),"")</f>
        <v/>
      </c>
      <c r="D123" s="34" t="str">
        <f aca="false">IFERROR(INDEX('Fund Research'!$C$6:$C$505,MATCH(118,'Fund Research'!$U$6:$U$505,0)),"")</f>
        <v/>
      </c>
      <c r="E123" s="35" t="str">
        <f aca="false">IFERROR(INDEX('Fund Research'!$G$6:$G$505,MATCH(118,'Fund Research'!$U$6:$U$505,0)),"")</f>
        <v/>
      </c>
      <c r="F123" s="35" t="str">
        <f aca="false">IFERROR(INDEX('Fund Research'!$H$6:$H$505,MATCH(118,'Fund Research'!$U$6:$U$505,0)),"")</f>
        <v/>
      </c>
      <c r="G123" s="35" t="str">
        <f aca="false">IFERROR(INDEX('Fund Research'!$I$6:$I$505,MATCH(118,'Fund Research'!$U$6:$U$505,0)),"")</f>
        <v/>
      </c>
      <c r="H123" s="36" t="str">
        <f aca="false">IFERROR(INDEX('Fund Research'!$J$6:$J$505,MATCH(118,'Fund Research'!$U$6:$U$505,0)),"")</f>
        <v/>
      </c>
      <c r="I123" s="37" t="str">
        <f aca="false">IFERROR(INDEX('Fund Research'!$L$6:$L$505,MATCH(118,'Fund Research'!$U$6:$U$505,0)),"")</f>
        <v/>
      </c>
      <c r="J123" s="36" t="str">
        <f aca="false">IFERROR(INDEX('Fund Research'!$N$6:$N$505,MATCH(118,'Fund Research'!$U$6:$U$505,0)),"")</f>
        <v/>
      </c>
      <c r="K123" s="36" t="str">
        <f aca="false">IFERROR(INDEX('Fund Research'!$P$6:$P$505,MATCH(118,'Fund Research'!$U$6:$U$505,0)),"")</f>
        <v/>
      </c>
      <c r="L123" s="34" t="str">
        <f aca="false">IFERROR(INDEX('Fund Research'!$S$6:$S$505,MATCH(118,'Fund Research'!$U$6:$U$505,0)),"")</f>
        <v/>
      </c>
      <c r="M123" s="34" t="str">
        <f aca="false">IFERROR(INDEX('Fund Research'!$T$6:$T$505,MATCH(118,'Fund Research'!$U$6:$U$505,0)),"")</f>
        <v/>
      </c>
    </row>
    <row r="124" customFormat="false" ht="15" hidden="false" customHeight="true" outlineLevel="0" collapsed="false">
      <c r="A124" s="33" t="str">
        <f aca="false">IFERROR(IF(INDEX('Fund Research'!$B$6:$B$505,MATCH(119,'Fund Research'!$U$6:$U$505,0))="","",119),"")</f>
        <v/>
      </c>
      <c r="B124" s="34" t="str">
        <f aca="false">IFERROR(INDEX('Fund Research'!$A$6:$A$505,MATCH(119,'Fund Research'!$U$6:$U$505,0)),"")</f>
        <v/>
      </c>
      <c r="C124" s="34" t="str">
        <f aca="false">IFERROR(INDEX('Fund Research'!$B$6:$B$505,MATCH(119,'Fund Research'!$U$6:$U$505,0)),"")</f>
        <v/>
      </c>
      <c r="D124" s="34" t="str">
        <f aca="false">IFERROR(INDEX('Fund Research'!$C$6:$C$505,MATCH(119,'Fund Research'!$U$6:$U$505,0)),"")</f>
        <v/>
      </c>
      <c r="E124" s="35" t="str">
        <f aca="false">IFERROR(INDEX('Fund Research'!$G$6:$G$505,MATCH(119,'Fund Research'!$U$6:$U$505,0)),"")</f>
        <v/>
      </c>
      <c r="F124" s="35" t="str">
        <f aca="false">IFERROR(INDEX('Fund Research'!$H$6:$H$505,MATCH(119,'Fund Research'!$U$6:$U$505,0)),"")</f>
        <v/>
      </c>
      <c r="G124" s="35" t="str">
        <f aca="false">IFERROR(INDEX('Fund Research'!$I$6:$I$505,MATCH(119,'Fund Research'!$U$6:$U$505,0)),"")</f>
        <v/>
      </c>
      <c r="H124" s="36" t="str">
        <f aca="false">IFERROR(INDEX('Fund Research'!$J$6:$J$505,MATCH(119,'Fund Research'!$U$6:$U$505,0)),"")</f>
        <v/>
      </c>
      <c r="I124" s="37" t="str">
        <f aca="false">IFERROR(INDEX('Fund Research'!$L$6:$L$505,MATCH(119,'Fund Research'!$U$6:$U$505,0)),"")</f>
        <v/>
      </c>
      <c r="J124" s="36" t="str">
        <f aca="false">IFERROR(INDEX('Fund Research'!$N$6:$N$505,MATCH(119,'Fund Research'!$U$6:$U$505,0)),"")</f>
        <v/>
      </c>
      <c r="K124" s="36" t="str">
        <f aca="false">IFERROR(INDEX('Fund Research'!$P$6:$P$505,MATCH(119,'Fund Research'!$U$6:$U$505,0)),"")</f>
        <v/>
      </c>
      <c r="L124" s="34" t="str">
        <f aca="false">IFERROR(INDEX('Fund Research'!$S$6:$S$505,MATCH(119,'Fund Research'!$U$6:$U$505,0)),"")</f>
        <v/>
      </c>
      <c r="M124" s="34" t="str">
        <f aca="false">IFERROR(INDEX('Fund Research'!$T$6:$T$505,MATCH(119,'Fund Research'!$U$6:$U$505,0)),"")</f>
        <v/>
      </c>
    </row>
    <row r="125" customFormat="false" ht="15" hidden="false" customHeight="true" outlineLevel="0" collapsed="false">
      <c r="A125" s="33" t="str">
        <f aca="false">IFERROR(IF(INDEX('Fund Research'!$B$6:$B$505,MATCH(120,'Fund Research'!$U$6:$U$505,0))="","",120),"")</f>
        <v/>
      </c>
      <c r="B125" s="34" t="str">
        <f aca="false">IFERROR(INDEX('Fund Research'!$A$6:$A$505,MATCH(120,'Fund Research'!$U$6:$U$505,0)),"")</f>
        <v/>
      </c>
      <c r="C125" s="34" t="str">
        <f aca="false">IFERROR(INDEX('Fund Research'!$B$6:$B$505,MATCH(120,'Fund Research'!$U$6:$U$505,0)),"")</f>
        <v/>
      </c>
      <c r="D125" s="34" t="str">
        <f aca="false">IFERROR(INDEX('Fund Research'!$C$6:$C$505,MATCH(120,'Fund Research'!$U$6:$U$505,0)),"")</f>
        <v/>
      </c>
      <c r="E125" s="35" t="str">
        <f aca="false">IFERROR(INDEX('Fund Research'!$G$6:$G$505,MATCH(120,'Fund Research'!$U$6:$U$505,0)),"")</f>
        <v/>
      </c>
      <c r="F125" s="35" t="str">
        <f aca="false">IFERROR(INDEX('Fund Research'!$H$6:$H$505,MATCH(120,'Fund Research'!$U$6:$U$505,0)),"")</f>
        <v/>
      </c>
      <c r="G125" s="35" t="str">
        <f aca="false">IFERROR(INDEX('Fund Research'!$I$6:$I$505,MATCH(120,'Fund Research'!$U$6:$U$505,0)),"")</f>
        <v/>
      </c>
      <c r="H125" s="36" t="str">
        <f aca="false">IFERROR(INDEX('Fund Research'!$J$6:$J$505,MATCH(120,'Fund Research'!$U$6:$U$505,0)),"")</f>
        <v/>
      </c>
      <c r="I125" s="37" t="str">
        <f aca="false">IFERROR(INDEX('Fund Research'!$L$6:$L$505,MATCH(120,'Fund Research'!$U$6:$U$505,0)),"")</f>
        <v/>
      </c>
      <c r="J125" s="36" t="str">
        <f aca="false">IFERROR(INDEX('Fund Research'!$N$6:$N$505,MATCH(120,'Fund Research'!$U$6:$U$505,0)),"")</f>
        <v/>
      </c>
      <c r="K125" s="36" t="str">
        <f aca="false">IFERROR(INDEX('Fund Research'!$P$6:$P$505,MATCH(120,'Fund Research'!$U$6:$U$505,0)),"")</f>
        <v/>
      </c>
      <c r="L125" s="34" t="str">
        <f aca="false">IFERROR(INDEX('Fund Research'!$S$6:$S$505,MATCH(120,'Fund Research'!$U$6:$U$505,0)),"")</f>
        <v/>
      </c>
      <c r="M125" s="34" t="str">
        <f aca="false">IFERROR(INDEX('Fund Research'!$T$6:$T$505,MATCH(120,'Fund Research'!$U$6:$U$505,0)),"")</f>
        <v/>
      </c>
    </row>
    <row r="126" customFormat="false" ht="15" hidden="false" customHeight="true" outlineLevel="0" collapsed="false">
      <c r="A126" s="33" t="str">
        <f aca="false">IFERROR(IF(INDEX('Fund Research'!$B$6:$B$505,MATCH(121,'Fund Research'!$U$6:$U$505,0))="","",121),"")</f>
        <v/>
      </c>
      <c r="B126" s="34" t="str">
        <f aca="false">IFERROR(INDEX('Fund Research'!$A$6:$A$505,MATCH(121,'Fund Research'!$U$6:$U$505,0)),"")</f>
        <v/>
      </c>
      <c r="C126" s="34" t="str">
        <f aca="false">IFERROR(INDEX('Fund Research'!$B$6:$B$505,MATCH(121,'Fund Research'!$U$6:$U$505,0)),"")</f>
        <v/>
      </c>
      <c r="D126" s="34" t="str">
        <f aca="false">IFERROR(INDEX('Fund Research'!$C$6:$C$505,MATCH(121,'Fund Research'!$U$6:$U$505,0)),"")</f>
        <v/>
      </c>
      <c r="E126" s="35" t="str">
        <f aca="false">IFERROR(INDEX('Fund Research'!$G$6:$G$505,MATCH(121,'Fund Research'!$U$6:$U$505,0)),"")</f>
        <v/>
      </c>
      <c r="F126" s="35" t="str">
        <f aca="false">IFERROR(INDEX('Fund Research'!$H$6:$H$505,MATCH(121,'Fund Research'!$U$6:$U$505,0)),"")</f>
        <v/>
      </c>
      <c r="G126" s="35" t="str">
        <f aca="false">IFERROR(INDEX('Fund Research'!$I$6:$I$505,MATCH(121,'Fund Research'!$U$6:$U$505,0)),"")</f>
        <v/>
      </c>
      <c r="H126" s="36" t="str">
        <f aca="false">IFERROR(INDEX('Fund Research'!$J$6:$J$505,MATCH(121,'Fund Research'!$U$6:$U$505,0)),"")</f>
        <v/>
      </c>
      <c r="I126" s="37" t="str">
        <f aca="false">IFERROR(INDEX('Fund Research'!$L$6:$L$505,MATCH(121,'Fund Research'!$U$6:$U$505,0)),"")</f>
        <v/>
      </c>
      <c r="J126" s="36" t="str">
        <f aca="false">IFERROR(INDEX('Fund Research'!$N$6:$N$505,MATCH(121,'Fund Research'!$U$6:$U$505,0)),"")</f>
        <v/>
      </c>
      <c r="K126" s="36" t="str">
        <f aca="false">IFERROR(INDEX('Fund Research'!$P$6:$P$505,MATCH(121,'Fund Research'!$U$6:$U$505,0)),"")</f>
        <v/>
      </c>
      <c r="L126" s="34" t="str">
        <f aca="false">IFERROR(INDEX('Fund Research'!$S$6:$S$505,MATCH(121,'Fund Research'!$U$6:$U$505,0)),"")</f>
        <v/>
      </c>
      <c r="M126" s="34" t="str">
        <f aca="false">IFERROR(INDEX('Fund Research'!$T$6:$T$505,MATCH(121,'Fund Research'!$U$6:$U$505,0)),"")</f>
        <v/>
      </c>
    </row>
    <row r="127" customFormat="false" ht="15" hidden="false" customHeight="true" outlineLevel="0" collapsed="false">
      <c r="A127" s="33" t="str">
        <f aca="false">IFERROR(IF(INDEX('Fund Research'!$B$6:$B$505,MATCH(122,'Fund Research'!$U$6:$U$505,0))="","",122),"")</f>
        <v/>
      </c>
      <c r="B127" s="34" t="str">
        <f aca="false">IFERROR(INDEX('Fund Research'!$A$6:$A$505,MATCH(122,'Fund Research'!$U$6:$U$505,0)),"")</f>
        <v/>
      </c>
      <c r="C127" s="34" t="str">
        <f aca="false">IFERROR(INDEX('Fund Research'!$B$6:$B$505,MATCH(122,'Fund Research'!$U$6:$U$505,0)),"")</f>
        <v/>
      </c>
      <c r="D127" s="34" t="str">
        <f aca="false">IFERROR(INDEX('Fund Research'!$C$6:$C$505,MATCH(122,'Fund Research'!$U$6:$U$505,0)),"")</f>
        <v/>
      </c>
      <c r="E127" s="35" t="str">
        <f aca="false">IFERROR(INDEX('Fund Research'!$G$6:$G$505,MATCH(122,'Fund Research'!$U$6:$U$505,0)),"")</f>
        <v/>
      </c>
      <c r="F127" s="35" t="str">
        <f aca="false">IFERROR(INDEX('Fund Research'!$H$6:$H$505,MATCH(122,'Fund Research'!$U$6:$U$505,0)),"")</f>
        <v/>
      </c>
      <c r="G127" s="35" t="str">
        <f aca="false">IFERROR(INDEX('Fund Research'!$I$6:$I$505,MATCH(122,'Fund Research'!$U$6:$U$505,0)),"")</f>
        <v/>
      </c>
      <c r="H127" s="36" t="str">
        <f aca="false">IFERROR(INDEX('Fund Research'!$J$6:$J$505,MATCH(122,'Fund Research'!$U$6:$U$505,0)),"")</f>
        <v/>
      </c>
      <c r="I127" s="37" t="str">
        <f aca="false">IFERROR(INDEX('Fund Research'!$L$6:$L$505,MATCH(122,'Fund Research'!$U$6:$U$505,0)),"")</f>
        <v/>
      </c>
      <c r="J127" s="36" t="str">
        <f aca="false">IFERROR(INDEX('Fund Research'!$N$6:$N$505,MATCH(122,'Fund Research'!$U$6:$U$505,0)),"")</f>
        <v/>
      </c>
      <c r="K127" s="36" t="str">
        <f aca="false">IFERROR(INDEX('Fund Research'!$P$6:$P$505,MATCH(122,'Fund Research'!$U$6:$U$505,0)),"")</f>
        <v/>
      </c>
      <c r="L127" s="34" t="str">
        <f aca="false">IFERROR(INDEX('Fund Research'!$S$6:$S$505,MATCH(122,'Fund Research'!$U$6:$U$505,0)),"")</f>
        <v/>
      </c>
      <c r="M127" s="34" t="str">
        <f aca="false">IFERROR(INDEX('Fund Research'!$T$6:$T$505,MATCH(122,'Fund Research'!$U$6:$U$505,0)),"")</f>
        <v/>
      </c>
    </row>
    <row r="128" customFormat="false" ht="15" hidden="false" customHeight="true" outlineLevel="0" collapsed="false">
      <c r="A128" s="33" t="str">
        <f aca="false">IFERROR(IF(INDEX('Fund Research'!$B$6:$B$505,MATCH(123,'Fund Research'!$U$6:$U$505,0))="","",123),"")</f>
        <v/>
      </c>
      <c r="B128" s="34" t="str">
        <f aca="false">IFERROR(INDEX('Fund Research'!$A$6:$A$505,MATCH(123,'Fund Research'!$U$6:$U$505,0)),"")</f>
        <v/>
      </c>
      <c r="C128" s="34" t="str">
        <f aca="false">IFERROR(INDEX('Fund Research'!$B$6:$B$505,MATCH(123,'Fund Research'!$U$6:$U$505,0)),"")</f>
        <v/>
      </c>
      <c r="D128" s="34" t="str">
        <f aca="false">IFERROR(INDEX('Fund Research'!$C$6:$C$505,MATCH(123,'Fund Research'!$U$6:$U$505,0)),"")</f>
        <v/>
      </c>
      <c r="E128" s="35" t="str">
        <f aca="false">IFERROR(INDEX('Fund Research'!$G$6:$G$505,MATCH(123,'Fund Research'!$U$6:$U$505,0)),"")</f>
        <v/>
      </c>
      <c r="F128" s="35" t="str">
        <f aca="false">IFERROR(INDEX('Fund Research'!$H$6:$H$505,MATCH(123,'Fund Research'!$U$6:$U$505,0)),"")</f>
        <v/>
      </c>
      <c r="G128" s="35" t="str">
        <f aca="false">IFERROR(INDEX('Fund Research'!$I$6:$I$505,MATCH(123,'Fund Research'!$U$6:$U$505,0)),"")</f>
        <v/>
      </c>
      <c r="H128" s="36" t="str">
        <f aca="false">IFERROR(INDEX('Fund Research'!$J$6:$J$505,MATCH(123,'Fund Research'!$U$6:$U$505,0)),"")</f>
        <v/>
      </c>
      <c r="I128" s="37" t="str">
        <f aca="false">IFERROR(INDEX('Fund Research'!$L$6:$L$505,MATCH(123,'Fund Research'!$U$6:$U$505,0)),"")</f>
        <v/>
      </c>
      <c r="J128" s="36" t="str">
        <f aca="false">IFERROR(INDEX('Fund Research'!$N$6:$N$505,MATCH(123,'Fund Research'!$U$6:$U$505,0)),"")</f>
        <v/>
      </c>
      <c r="K128" s="36" t="str">
        <f aca="false">IFERROR(INDEX('Fund Research'!$P$6:$P$505,MATCH(123,'Fund Research'!$U$6:$U$505,0)),"")</f>
        <v/>
      </c>
      <c r="L128" s="34" t="str">
        <f aca="false">IFERROR(INDEX('Fund Research'!$S$6:$S$505,MATCH(123,'Fund Research'!$U$6:$U$505,0)),"")</f>
        <v/>
      </c>
      <c r="M128" s="34" t="str">
        <f aca="false">IFERROR(INDEX('Fund Research'!$T$6:$T$505,MATCH(123,'Fund Research'!$U$6:$U$505,0)),"")</f>
        <v/>
      </c>
    </row>
    <row r="129" customFormat="false" ht="15" hidden="false" customHeight="true" outlineLevel="0" collapsed="false">
      <c r="A129" s="33" t="str">
        <f aca="false">IFERROR(IF(INDEX('Fund Research'!$B$6:$B$505,MATCH(124,'Fund Research'!$U$6:$U$505,0))="","",124),"")</f>
        <v/>
      </c>
      <c r="B129" s="34" t="str">
        <f aca="false">IFERROR(INDEX('Fund Research'!$A$6:$A$505,MATCH(124,'Fund Research'!$U$6:$U$505,0)),"")</f>
        <v/>
      </c>
      <c r="C129" s="34" t="str">
        <f aca="false">IFERROR(INDEX('Fund Research'!$B$6:$B$505,MATCH(124,'Fund Research'!$U$6:$U$505,0)),"")</f>
        <v/>
      </c>
      <c r="D129" s="34" t="str">
        <f aca="false">IFERROR(INDEX('Fund Research'!$C$6:$C$505,MATCH(124,'Fund Research'!$U$6:$U$505,0)),"")</f>
        <v/>
      </c>
      <c r="E129" s="35" t="str">
        <f aca="false">IFERROR(INDEX('Fund Research'!$G$6:$G$505,MATCH(124,'Fund Research'!$U$6:$U$505,0)),"")</f>
        <v/>
      </c>
      <c r="F129" s="35" t="str">
        <f aca="false">IFERROR(INDEX('Fund Research'!$H$6:$H$505,MATCH(124,'Fund Research'!$U$6:$U$505,0)),"")</f>
        <v/>
      </c>
      <c r="G129" s="35" t="str">
        <f aca="false">IFERROR(INDEX('Fund Research'!$I$6:$I$505,MATCH(124,'Fund Research'!$U$6:$U$505,0)),"")</f>
        <v/>
      </c>
      <c r="H129" s="36" t="str">
        <f aca="false">IFERROR(INDEX('Fund Research'!$J$6:$J$505,MATCH(124,'Fund Research'!$U$6:$U$505,0)),"")</f>
        <v/>
      </c>
      <c r="I129" s="37" t="str">
        <f aca="false">IFERROR(INDEX('Fund Research'!$L$6:$L$505,MATCH(124,'Fund Research'!$U$6:$U$505,0)),"")</f>
        <v/>
      </c>
      <c r="J129" s="36" t="str">
        <f aca="false">IFERROR(INDEX('Fund Research'!$N$6:$N$505,MATCH(124,'Fund Research'!$U$6:$U$505,0)),"")</f>
        <v/>
      </c>
      <c r="K129" s="36" t="str">
        <f aca="false">IFERROR(INDEX('Fund Research'!$P$6:$P$505,MATCH(124,'Fund Research'!$U$6:$U$505,0)),"")</f>
        <v/>
      </c>
      <c r="L129" s="34" t="str">
        <f aca="false">IFERROR(INDEX('Fund Research'!$S$6:$S$505,MATCH(124,'Fund Research'!$U$6:$U$505,0)),"")</f>
        <v/>
      </c>
      <c r="M129" s="34" t="str">
        <f aca="false">IFERROR(INDEX('Fund Research'!$T$6:$T$505,MATCH(124,'Fund Research'!$U$6:$U$505,0)),"")</f>
        <v/>
      </c>
    </row>
    <row r="130" customFormat="false" ht="15" hidden="false" customHeight="true" outlineLevel="0" collapsed="false">
      <c r="A130" s="33" t="str">
        <f aca="false">IFERROR(IF(INDEX('Fund Research'!$B$6:$B$505,MATCH(125,'Fund Research'!$U$6:$U$505,0))="","",125),"")</f>
        <v/>
      </c>
      <c r="B130" s="34" t="str">
        <f aca="false">IFERROR(INDEX('Fund Research'!$A$6:$A$505,MATCH(125,'Fund Research'!$U$6:$U$505,0)),"")</f>
        <v/>
      </c>
      <c r="C130" s="34" t="str">
        <f aca="false">IFERROR(INDEX('Fund Research'!$B$6:$B$505,MATCH(125,'Fund Research'!$U$6:$U$505,0)),"")</f>
        <v/>
      </c>
      <c r="D130" s="34" t="str">
        <f aca="false">IFERROR(INDEX('Fund Research'!$C$6:$C$505,MATCH(125,'Fund Research'!$U$6:$U$505,0)),"")</f>
        <v/>
      </c>
      <c r="E130" s="35" t="str">
        <f aca="false">IFERROR(INDEX('Fund Research'!$G$6:$G$505,MATCH(125,'Fund Research'!$U$6:$U$505,0)),"")</f>
        <v/>
      </c>
      <c r="F130" s="35" t="str">
        <f aca="false">IFERROR(INDEX('Fund Research'!$H$6:$H$505,MATCH(125,'Fund Research'!$U$6:$U$505,0)),"")</f>
        <v/>
      </c>
      <c r="G130" s="35" t="str">
        <f aca="false">IFERROR(INDEX('Fund Research'!$I$6:$I$505,MATCH(125,'Fund Research'!$U$6:$U$505,0)),"")</f>
        <v/>
      </c>
      <c r="H130" s="36" t="str">
        <f aca="false">IFERROR(INDEX('Fund Research'!$J$6:$J$505,MATCH(125,'Fund Research'!$U$6:$U$505,0)),"")</f>
        <v/>
      </c>
      <c r="I130" s="37" t="str">
        <f aca="false">IFERROR(INDEX('Fund Research'!$L$6:$L$505,MATCH(125,'Fund Research'!$U$6:$U$505,0)),"")</f>
        <v/>
      </c>
      <c r="J130" s="36" t="str">
        <f aca="false">IFERROR(INDEX('Fund Research'!$N$6:$N$505,MATCH(125,'Fund Research'!$U$6:$U$505,0)),"")</f>
        <v/>
      </c>
      <c r="K130" s="36" t="str">
        <f aca="false">IFERROR(INDEX('Fund Research'!$P$6:$P$505,MATCH(125,'Fund Research'!$U$6:$U$505,0)),"")</f>
        <v/>
      </c>
      <c r="L130" s="34" t="str">
        <f aca="false">IFERROR(INDEX('Fund Research'!$S$6:$S$505,MATCH(125,'Fund Research'!$U$6:$U$505,0)),"")</f>
        <v/>
      </c>
      <c r="M130" s="34" t="str">
        <f aca="false">IFERROR(INDEX('Fund Research'!$T$6:$T$505,MATCH(125,'Fund Research'!$U$6:$U$505,0)),"")</f>
        <v/>
      </c>
    </row>
    <row r="131" customFormat="false" ht="15" hidden="false" customHeight="true" outlineLevel="0" collapsed="false">
      <c r="A131" s="33" t="str">
        <f aca="false">IFERROR(IF(INDEX('Fund Research'!$B$6:$B$505,MATCH(126,'Fund Research'!$U$6:$U$505,0))="","",126),"")</f>
        <v/>
      </c>
      <c r="B131" s="34" t="str">
        <f aca="false">IFERROR(INDEX('Fund Research'!$A$6:$A$505,MATCH(126,'Fund Research'!$U$6:$U$505,0)),"")</f>
        <v/>
      </c>
      <c r="C131" s="34" t="str">
        <f aca="false">IFERROR(INDEX('Fund Research'!$B$6:$B$505,MATCH(126,'Fund Research'!$U$6:$U$505,0)),"")</f>
        <v/>
      </c>
      <c r="D131" s="34" t="str">
        <f aca="false">IFERROR(INDEX('Fund Research'!$C$6:$C$505,MATCH(126,'Fund Research'!$U$6:$U$505,0)),"")</f>
        <v/>
      </c>
      <c r="E131" s="35" t="str">
        <f aca="false">IFERROR(INDEX('Fund Research'!$G$6:$G$505,MATCH(126,'Fund Research'!$U$6:$U$505,0)),"")</f>
        <v/>
      </c>
      <c r="F131" s="35" t="str">
        <f aca="false">IFERROR(INDEX('Fund Research'!$H$6:$H$505,MATCH(126,'Fund Research'!$U$6:$U$505,0)),"")</f>
        <v/>
      </c>
      <c r="G131" s="35" t="str">
        <f aca="false">IFERROR(INDEX('Fund Research'!$I$6:$I$505,MATCH(126,'Fund Research'!$U$6:$U$505,0)),"")</f>
        <v/>
      </c>
      <c r="H131" s="36" t="str">
        <f aca="false">IFERROR(INDEX('Fund Research'!$J$6:$J$505,MATCH(126,'Fund Research'!$U$6:$U$505,0)),"")</f>
        <v/>
      </c>
      <c r="I131" s="37" t="str">
        <f aca="false">IFERROR(INDEX('Fund Research'!$L$6:$L$505,MATCH(126,'Fund Research'!$U$6:$U$505,0)),"")</f>
        <v/>
      </c>
      <c r="J131" s="36" t="str">
        <f aca="false">IFERROR(INDEX('Fund Research'!$N$6:$N$505,MATCH(126,'Fund Research'!$U$6:$U$505,0)),"")</f>
        <v/>
      </c>
      <c r="K131" s="36" t="str">
        <f aca="false">IFERROR(INDEX('Fund Research'!$P$6:$P$505,MATCH(126,'Fund Research'!$U$6:$U$505,0)),"")</f>
        <v/>
      </c>
      <c r="L131" s="34" t="str">
        <f aca="false">IFERROR(INDEX('Fund Research'!$S$6:$S$505,MATCH(126,'Fund Research'!$U$6:$U$505,0)),"")</f>
        <v/>
      </c>
      <c r="M131" s="34" t="str">
        <f aca="false">IFERROR(INDEX('Fund Research'!$T$6:$T$505,MATCH(126,'Fund Research'!$U$6:$U$505,0)),"")</f>
        <v/>
      </c>
    </row>
    <row r="132" customFormat="false" ht="15" hidden="false" customHeight="true" outlineLevel="0" collapsed="false">
      <c r="A132" s="33" t="str">
        <f aca="false">IFERROR(IF(INDEX('Fund Research'!$B$6:$B$505,MATCH(127,'Fund Research'!$U$6:$U$505,0))="","",127),"")</f>
        <v/>
      </c>
      <c r="B132" s="34" t="str">
        <f aca="false">IFERROR(INDEX('Fund Research'!$A$6:$A$505,MATCH(127,'Fund Research'!$U$6:$U$505,0)),"")</f>
        <v/>
      </c>
      <c r="C132" s="34" t="str">
        <f aca="false">IFERROR(INDEX('Fund Research'!$B$6:$B$505,MATCH(127,'Fund Research'!$U$6:$U$505,0)),"")</f>
        <v/>
      </c>
      <c r="D132" s="34" t="str">
        <f aca="false">IFERROR(INDEX('Fund Research'!$C$6:$C$505,MATCH(127,'Fund Research'!$U$6:$U$505,0)),"")</f>
        <v/>
      </c>
      <c r="E132" s="35" t="str">
        <f aca="false">IFERROR(INDEX('Fund Research'!$G$6:$G$505,MATCH(127,'Fund Research'!$U$6:$U$505,0)),"")</f>
        <v/>
      </c>
      <c r="F132" s="35" t="str">
        <f aca="false">IFERROR(INDEX('Fund Research'!$H$6:$H$505,MATCH(127,'Fund Research'!$U$6:$U$505,0)),"")</f>
        <v/>
      </c>
      <c r="G132" s="35" t="str">
        <f aca="false">IFERROR(INDEX('Fund Research'!$I$6:$I$505,MATCH(127,'Fund Research'!$U$6:$U$505,0)),"")</f>
        <v/>
      </c>
      <c r="H132" s="36" t="str">
        <f aca="false">IFERROR(INDEX('Fund Research'!$J$6:$J$505,MATCH(127,'Fund Research'!$U$6:$U$505,0)),"")</f>
        <v/>
      </c>
      <c r="I132" s="37" t="str">
        <f aca="false">IFERROR(INDEX('Fund Research'!$L$6:$L$505,MATCH(127,'Fund Research'!$U$6:$U$505,0)),"")</f>
        <v/>
      </c>
      <c r="J132" s="36" t="str">
        <f aca="false">IFERROR(INDEX('Fund Research'!$N$6:$N$505,MATCH(127,'Fund Research'!$U$6:$U$505,0)),"")</f>
        <v/>
      </c>
      <c r="K132" s="36" t="str">
        <f aca="false">IFERROR(INDEX('Fund Research'!$P$6:$P$505,MATCH(127,'Fund Research'!$U$6:$U$505,0)),"")</f>
        <v/>
      </c>
      <c r="L132" s="34" t="str">
        <f aca="false">IFERROR(INDEX('Fund Research'!$S$6:$S$505,MATCH(127,'Fund Research'!$U$6:$U$505,0)),"")</f>
        <v/>
      </c>
      <c r="M132" s="34" t="str">
        <f aca="false">IFERROR(INDEX('Fund Research'!$T$6:$T$505,MATCH(127,'Fund Research'!$U$6:$U$505,0)),"")</f>
        <v/>
      </c>
    </row>
    <row r="133" customFormat="false" ht="15" hidden="false" customHeight="true" outlineLevel="0" collapsed="false">
      <c r="A133" s="33" t="str">
        <f aca="false">IFERROR(IF(INDEX('Fund Research'!$B$6:$B$505,MATCH(128,'Fund Research'!$U$6:$U$505,0))="","",128),"")</f>
        <v/>
      </c>
      <c r="B133" s="34" t="str">
        <f aca="false">IFERROR(INDEX('Fund Research'!$A$6:$A$505,MATCH(128,'Fund Research'!$U$6:$U$505,0)),"")</f>
        <v/>
      </c>
      <c r="C133" s="34" t="str">
        <f aca="false">IFERROR(INDEX('Fund Research'!$B$6:$B$505,MATCH(128,'Fund Research'!$U$6:$U$505,0)),"")</f>
        <v/>
      </c>
      <c r="D133" s="34" t="str">
        <f aca="false">IFERROR(INDEX('Fund Research'!$C$6:$C$505,MATCH(128,'Fund Research'!$U$6:$U$505,0)),"")</f>
        <v/>
      </c>
      <c r="E133" s="35" t="str">
        <f aca="false">IFERROR(INDEX('Fund Research'!$G$6:$G$505,MATCH(128,'Fund Research'!$U$6:$U$505,0)),"")</f>
        <v/>
      </c>
      <c r="F133" s="35" t="str">
        <f aca="false">IFERROR(INDEX('Fund Research'!$H$6:$H$505,MATCH(128,'Fund Research'!$U$6:$U$505,0)),"")</f>
        <v/>
      </c>
      <c r="G133" s="35" t="str">
        <f aca="false">IFERROR(INDEX('Fund Research'!$I$6:$I$505,MATCH(128,'Fund Research'!$U$6:$U$505,0)),"")</f>
        <v/>
      </c>
      <c r="H133" s="36" t="str">
        <f aca="false">IFERROR(INDEX('Fund Research'!$J$6:$J$505,MATCH(128,'Fund Research'!$U$6:$U$505,0)),"")</f>
        <v/>
      </c>
      <c r="I133" s="37" t="str">
        <f aca="false">IFERROR(INDEX('Fund Research'!$L$6:$L$505,MATCH(128,'Fund Research'!$U$6:$U$505,0)),"")</f>
        <v/>
      </c>
      <c r="J133" s="36" t="str">
        <f aca="false">IFERROR(INDEX('Fund Research'!$N$6:$N$505,MATCH(128,'Fund Research'!$U$6:$U$505,0)),"")</f>
        <v/>
      </c>
      <c r="K133" s="36" t="str">
        <f aca="false">IFERROR(INDEX('Fund Research'!$P$6:$P$505,MATCH(128,'Fund Research'!$U$6:$U$505,0)),"")</f>
        <v/>
      </c>
      <c r="L133" s="34" t="str">
        <f aca="false">IFERROR(INDEX('Fund Research'!$S$6:$S$505,MATCH(128,'Fund Research'!$U$6:$U$505,0)),"")</f>
        <v/>
      </c>
      <c r="M133" s="34" t="str">
        <f aca="false">IFERROR(INDEX('Fund Research'!$T$6:$T$505,MATCH(128,'Fund Research'!$U$6:$U$505,0)),"")</f>
        <v/>
      </c>
    </row>
    <row r="134" customFormat="false" ht="15" hidden="false" customHeight="true" outlineLevel="0" collapsed="false">
      <c r="A134" s="33" t="str">
        <f aca="false">IFERROR(IF(INDEX('Fund Research'!$B$6:$B$505,MATCH(129,'Fund Research'!$U$6:$U$505,0))="","",129),"")</f>
        <v/>
      </c>
      <c r="B134" s="34" t="str">
        <f aca="false">IFERROR(INDEX('Fund Research'!$A$6:$A$505,MATCH(129,'Fund Research'!$U$6:$U$505,0)),"")</f>
        <v/>
      </c>
      <c r="C134" s="34" t="str">
        <f aca="false">IFERROR(INDEX('Fund Research'!$B$6:$B$505,MATCH(129,'Fund Research'!$U$6:$U$505,0)),"")</f>
        <v/>
      </c>
      <c r="D134" s="34" t="str">
        <f aca="false">IFERROR(INDEX('Fund Research'!$C$6:$C$505,MATCH(129,'Fund Research'!$U$6:$U$505,0)),"")</f>
        <v/>
      </c>
      <c r="E134" s="35" t="str">
        <f aca="false">IFERROR(INDEX('Fund Research'!$G$6:$G$505,MATCH(129,'Fund Research'!$U$6:$U$505,0)),"")</f>
        <v/>
      </c>
      <c r="F134" s="35" t="str">
        <f aca="false">IFERROR(INDEX('Fund Research'!$H$6:$H$505,MATCH(129,'Fund Research'!$U$6:$U$505,0)),"")</f>
        <v/>
      </c>
      <c r="G134" s="35" t="str">
        <f aca="false">IFERROR(INDEX('Fund Research'!$I$6:$I$505,MATCH(129,'Fund Research'!$U$6:$U$505,0)),"")</f>
        <v/>
      </c>
      <c r="H134" s="36" t="str">
        <f aca="false">IFERROR(INDEX('Fund Research'!$J$6:$J$505,MATCH(129,'Fund Research'!$U$6:$U$505,0)),"")</f>
        <v/>
      </c>
      <c r="I134" s="37" t="str">
        <f aca="false">IFERROR(INDEX('Fund Research'!$L$6:$L$505,MATCH(129,'Fund Research'!$U$6:$U$505,0)),"")</f>
        <v/>
      </c>
      <c r="J134" s="36" t="str">
        <f aca="false">IFERROR(INDEX('Fund Research'!$N$6:$N$505,MATCH(129,'Fund Research'!$U$6:$U$505,0)),"")</f>
        <v/>
      </c>
      <c r="K134" s="36" t="str">
        <f aca="false">IFERROR(INDEX('Fund Research'!$P$6:$P$505,MATCH(129,'Fund Research'!$U$6:$U$505,0)),"")</f>
        <v/>
      </c>
      <c r="L134" s="34" t="str">
        <f aca="false">IFERROR(INDEX('Fund Research'!$S$6:$S$505,MATCH(129,'Fund Research'!$U$6:$U$505,0)),"")</f>
        <v/>
      </c>
      <c r="M134" s="34" t="str">
        <f aca="false">IFERROR(INDEX('Fund Research'!$T$6:$T$505,MATCH(129,'Fund Research'!$U$6:$U$505,0)),"")</f>
        <v/>
      </c>
    </row>
    <row r="135" customFormat="false" ht="15" hidden="false" customHeight="true" outlineLevel="0" collapsed="false">
      <c r="A135" s="33" t="str">
        <f aca="false">IFERROR(IF(INDEX('Fund Research'!$B$6:$B$505,MATCH(130,'Fund Research'!$U$6:$U$505,0))="","",130),"")</f>
        <v/>
      </c>
      <c r="B135" s="34" t="str">
        <f aca="false">IFERROR(INDEX('Fund Research'!$A$6:$A$505,MATCH(130,'Fund Research'!$U$6:$U$505,0)),"")</f>
        <v/>
      </c>
      <c r="C135" s="34" t="str">
        <f aca="false">IFERROR(INDEX('Fund Research'!$B$6:$B$505,MATCH(130,'Fund Research'!$U$6:$U$505,0)),"")</f>
        <v/>
      </c>
      <c r="D135" s="34" t="str">
        <f aca="false">IFERROR(INDEX('Fund Research'!$C$6:$C$505,MATCH(130,'Fund Research'!$U$6:$U$505,0)),"")</f>
        <v/>
      </c>
      <c r="E135" s="35" t="str">
        <f aca="false">IFERROR(INDEX('Fund Research'!$G$6:$G$505,MATCH(130,'Fund Research'!$U$6:$U$505,0)),"")</f>
        <v/>
      </c>
      <c r="F135" s="35" t="str">
        <f aca="false">IFERROR(INDEX('Fund Research'!$H$6:$H$505,MATCH(130,'Fund Research'!$U$6:$U$505,0)),"")</f>
        <v/>
      </c>
      <c r="G135" s="35" t="str">
        <f aca="false">IFERROR(INDEX('Fund Research'!$I$6:$I$505,MATCH(130,'Fund Research'!$U$6:$U$505,0)),"")</f>
        <v/>
      </c>
      <c r="H135" s="36" t="str">
        <f aca="false">IFERROR(INDEX('Fund Research'!$J$6:$J$505,MATCH(130,'Fund Research'!$U$6:$U$505,0)),"")</f>
        <v/>
      </c>
      <c r="I135" s="37" t="str">
        <f aca="false">IFERROR(INDEX('Fund Research'!$L$6:$L$505,MATCH(130,'Fund Research'!$U$6:$U$505,0)),"")</f>
        <v/>
      </c>
      <c r="J135" s="36" t="str">
        <f aca="false">IFERROR(INDEX('Fund Research'!$N$6:$N$505,MATCH(130,'Fund Research'!$U$6:$U$505,0)),"")</f>
        <v/>
      </c>
      <c r="K135" s="36" t="str">
        <f aca="false">IFERROR(INDEX('Fund Research'!$P$6:$P$505,MATCH(130,'Fund Research'!$U$6:$U$505,0)),"")</f>
        <v/>
      </c>
      <c r="L135" s="34" t="str">
        <f aca="false">IFERROR(INDEX('Fund Research'!$S$6:$S$505,MATCH(130,'Fund Research'!$U$6:$U$505,0)),"")</f>
        <v/>
      </c>
      <c r="M135" s="34" t="str">
        <f aca="false">IFERROR(INDEX('Fund Research'!$T$6:$T$505,MATCH(130,'Fund Research'!$U$6:$U$505,0)),"")</f>
        <v/>
      </c>
    </row>
    <row r="136" customFormat="false" ht="15" hidden="false" customHeight="true" outlineLevel="0" collapsed="false">
      <c r="A136" s="33" t="str">
        <f aca="false">IFERROR(IF(INDEX('Fund Research'!$B$6:$B$505,MATCH(131,'Fund Research'!$U$6:$U$505,0))="","",131),"")</f>
        <v/>
      </c>
      <c r="B136" s="34" t="str">
        <f aca="false">IFERROR(INDEX('Fund Research'!$A$6:$A$505,MATCH(131,'Fund Research'!$U$6:$U$505,0)),"")</f>
        <v/>
      </c>
      <c r="C136" s="34" t="str">
        <f aca="false">IFERROR(INDEX('Fund Research'!$B$6:$B$505,MATCH(131,'Fund Research'!$U$6:$U$505,0)),"")</f>
        <v/>
      </c>
      <c r="D136" s="34" t="str">
        <f aca="false">IFERROR(INDEX('Fund Research'!$C$6:$C$505,MATCH(131,'Fund Research'!$U$6:$U$505,0)),"")</f>
        <v/>
      </c>
      <c r="E136" s="35" t="str">
        <f aca="false">IFERROR(INDEX('Fund Research'!$G$6:$G$505,MATCH(131,'Fund Research'!$U$6:$U$505,0)),"")</f>
        <v/>
      </c>
      <c r="F136" s="35" t="str">
        <f aca="false">IFERROR(INDEX('Fund Research'!$H$6:$H$505,MATCH(131,'Fund Research'!$U$6:$U$505,0)),"")</f>
        <v/>
      </c>
      <c r="G136" s="35" t="str">
        <f aca="false">IFERROR(INDEX('Fund Research'!$I$6:$I$505,MATCH(131,'Fund Research'!$U$6:$U$505,0)),"")</f>
        <v/>
      </c>
      <c r="H136" s="36" t="str">
        <f aca="false">IFERROR(INDEX('Fund Research'!$J$6:$J$505,MATCH(131,'Fund Research'!$U$6:$U$505,0)),"")</f>
        <v/>
      </c>
      <c r="I136" s="37" t="str">
        <f aca="false">IFERROR(INDEX('Fund Research'!$L$6:$L$505,MATCH(131,'Fund Research'!$U$6:$U$505,0)),"")</f>
        <v/>
      </c>
      <c r="J136" s="36" t="str">
        <f aca="false">IFERROR(INDEX('Fund Research'!$N$6:$N$505,MATCH(131,'Fund Research'!$U$6:$U$505,0)),"")</f>
        <v/>
      </c>
      <c r="K136" s="36" t="str">
        <f aca="false">IFERROR(INDEX('Fund Research'!$P$6:$P$505,MATCH(131,'Fund Research'!$U$6:$U$505,0)),"")</f>
        <v/>
      </c>
      <c r="L136" s="34" t="str">
        <f aca="false">IFERROR(INDEX('Fund Research'!$S$6:$S$505,MATCH(131,'Fund Research'!$U$6:$U$505,0)),"")</f>
        <v/>
      </c>
      <c r="M136" s="34" t="str">
        <f aca="false">IFERROR(INDEX('Fund Research'!$T$6:$T$505,MATCH(131,'Fund Research'!$U$6:$U$505,0)),"")</f>
        <v/>
      </c>
    </row>
    <row r="137" customFormat="false" ht="15" hidden="false" customHeight="true" outlineLevel="0" collapsed="false">
      <c r="A137" s="33" t="str">
        <f aca="false">IFERROR(IF(INDEX('Fund Research'!$B$6:$B$505,MATCH(132,'Fund Research'!$U$6:$U$505,0))="","",132),"")</f>
        <v/>
      </c>
      <c r="B137" s="34" t="str">
        <f aca="false">IFERROR(INDEX('Fund Research'!$A$6:$A$505,MATCH(132,'Fund Research'!$U$6:$U$505,0)),"")</f>
        <v/>
      </c>
      <c r="C137" s="34" t="str">
        <f aca="false">IFERROR(INDEX('Fund Research'!$B$6:$B$505,MATCH(132,'Fund Research'!$U$6:$U$505,0)),"")</f>
        <v/>
      </c>
      <c r="D137" s="34" t="str">
        <f aca="false">IFERROR(INDEX('Fund Research'!$C$6:$C$505,MATCH(132,'Fund Research'!$U$6:$U$505,0)),"")</f>
        <v/>
      </c>
      <c r="E137" s="35" t="str">
        <f aca="false">IFERROR(INDEX('Fund Research'!$G$6:$G$505,MATCH(132,'Fund Research'!$U$6:$U$505,0)),"")</f>
        <v/>
      </c>
      <c r="F137" s="35" t="str">
        <f aca="false">IFERROR(INDEX('Fund Research'!$H$6:$H$505,MATCH(132,'Fund Research'!$U$6:$U$505,0)),"")</f>
        <v/>
      </c>
      <c r="G137" s="35" t="str">
        <f aca="false">IFERROR(INDEX('Fund Research'!$I$6:$I$505,MATCH(132,'Fund Research'!$U$6:$U$505,0)),"")</f>
        <v/>
      </c>
      <c r="H137" s="36" t="str">
        <f aca="false">IFERROR(INDEX('Fund Research'!$J$6:$J$505,MATCH(132,'Fund Research'!$U$6:$U$505,0)),"")</f>
        <v/>
      </c>
      <c r="I137" s="37" t="str">
        <f aca="false">IFERROR(INDEX('Fund Research'!$L$6:$L$505,MATCH(132,'Fund Research'!$U$6:$U$505,0)),"")</f>
        <v/>
      </c>
      <c r="J137" s="36" t="str">
        <f aca="false">IFERROR(INDEX('Fund Research'!$N$6:$N$505,MATCH(132,'Fund Research'!$U$6:$U$505,0)),"")</f>
        <v/>
      </c>
      <c r="K137" s="36" t="str">
        <f aca="false">IFERROR(INDEX('Fund Research'!$P$6:$P$505,MATCH(132,'Fund Research'!$U$6:$U$505,0)),"")</f>
        <v/>
      </c>
      <c r="L137" s="34" t="str">
        <f aca="false">IFERROR(INDEX('Fund Research'!$S$6:$S$505,MATCH(132,'Fund Research'!$U$6:$U$505,0)),"")</f>
        <v/>
      </c>
      <c r="M137" s="34" t="str">
        <f aca="false">IFERROR(INDEX('Fund Research'!$T$6:$T$505,MATCH(132,'Fund Research'!$U$6:$U$505,0)),"")</f>
        <v/>
      </c>
    </row>
    <row r="138" customFormat="false" ht="15" hidden="false" customHeight="true" outlineLevel="0" collapsed="false">
      <c r="A138" s="33" t="str">
        <f aca="false">IFERROR(IF(INDEX('Fund Research'!$B$6:$B$505,MATCH(133,'Fund Research'!$U$6:$U$505,0))="","",133),"")</f>
        <v/>
      </c>
      <c r="B138" s="34" t="str">
        <f aca="false">IFERROR(INDEX('Fund Research'!$A$6:$A$505,MATCH(133,'Fund Research'!$U$6:$U$505,0)),"")</f>
        <v/>
      </c>
      <c r="C138" s="34" t="str">
        <f aca="false">IFERROR(INDEX('Fund Research'!$B$6:$B$505,MATCH(133,'Fund Research'!$U$6:$U$505,0)),"")</f>
        <v/>
      </c>
      <c r="D138" s="34" t="str">
        <f aca="false">IFERROR(INDEX('Fund Research'!$C$6:$C$505,MATCH(133,'Fund Research'!$U$6:$U$505,0)),"")</f>
        <v/>
      </c>
      <c r="E138" s="35" t="str">
        <f aca="false">IFERROR(INDEX('Fund Research'!$G$6:$G$505,MATCH(133,'Fund Research'!$U$6:$U$505,0)),"")</f>
        <v/>
      </c>
      <c r="F138" s="35" t="str">
        <f aca="false">IFERROR(INDEX('Fund Research'!$H$6:$H$505,MATCH(133,'Fund Research'!$U$6:$U$505,0)),"")</f>
        <v/>
      </c>
      <c r="G138" s="35" t="str">
        <f aca="false">IFERROR(INDEX('Fund Research'!$I$6:$I$505,MATCH(133,'Fund Research'!$U$6:$U$505,0)),"")</f>
        <v/>
      </c>
      <c r="H138" s="36" t="str">
        <f aca="false">IFERROR(INDEX('Fund Research'!$J$6:$J$505,MATCH(133,'Fund Research'!$U$6:$U$505,0)),"")</f>
        <v/>
      </c>
      <c r="I138" s="37" t="str">
        <f aca="false">IFERROR(INDEX('Fund Research'!$L$6:$L$505,MATCH(133,'Fund Research'!$U$6:$U$505,0)),"")</f>
        <v/>
      </c>
      <c r="J138" s="36" t="str">
        <f aca="false">IFERROR(INDEX('Fund Research'!$N$6:$N$505,MATCH(133,'Fund Research'!$U$6:$U$505,0)),"")</f>
        <v/>
      </c>
      <c r="K138" s="36" t="str">
        <f aca="false">IFERROR(INDEX('Fund Research'!$P$6:$P$505,MATCH(133,'Fund Research'!$U$6:$U$505,0)),"")</f>
        <v/>
      </c>
      <c r="L138" s="34" t="str">
        <f aca="false">IFERROR(INDEX('Fund Research'!$S$6:$S$505,MATCH(133,'Fund Research'!$U$6:$U$505,0)),"")</f>
        <v/>
      </c>
      <c r="M138" s="34" t="str">
        <f aca="false">IFERROR(INDEX('Fund Research'!$T$6:$T$505,MATCH(133,'Fund Research'!$U$6:$U$505,0)),"")</f>
        <v/>
      </c>
    </row>
    <row r="139" customFormat="false" ht="15" hidden="false" customHeight="true" outlineLevel="0" collapsed="false">
      <c r="A139" s="33" t="str">
        <f aca="false">IFERROR(IF(INDEX('Fund Research'!$B$6:$B$505,MATCH(134,'Fund Research'!$U$6:$U$505,0))="","",134),"")</f>
        <v/>
      </c>
      <c r="B139" s="34" t="str">
        <f aca="false">IFERROR(INDEX('Fund Research'!$A$6:$A$505,MATCH(134,'Fund Research'!$U$6:$U$505,0)),"")</f>
        <v/>
      </c>
      <c r="C139" s="34" t="str">
        <f aca="false">IFERROR(INDEX('Fund Research'!$B$6:$B$505,MATCH(134,'Fund Research'!$U$6:$U$505,0)),"")</f>
        <v/>
      </c>
      <c r="D139" s="34" t="str">
        <f aca="false">IFERROR(INDEX('Fund Research'!$C$6:$C$505,MATCH(134,'Fund Research'!$U$6:$U$505,0)),"")</f>
        <v/>
      </c>
      <c r="E139" s="35" t="str">
        <f aca="false">IFERROR(INDEX('Fund Research'!$G$6:$G$505,MATCH(134,'Fund Research'!$U$6:$U$505,0)),"")</f>
        <v/>
      </c>
      <c r="F139" s="35" t="str">
        <f aca="false">IFERROR(INDEX('Fund Research'!$H$6:$H$505,MATCH(134,'Fund Research'!$U$6:$U$505,0)),"")</f>
        <v/>
      </c>
      <c r="G139" s="35" t="str">
        <f aca="false">IFERROR(INDEX('Fund Research'!$I$6:$I$505,MATCH(134,'Fund Research'!$U$6:$U$505,0)),"")</f>
        <v/>
      </c>
      <c r="H139" s="36" t="str">
        <f aca="false">IFERROR(INDEX('Fund Research'!$J$6:$J$505,MATCH(134,'Fund Research'!$U$6:$U$505,0)),"")</f>
        <v/>
      </c>
      <c r="I139" s="37" t="str">
        <f aca="false">IFERROR(INDEX('Fund Research'!$L$6:$L$505,MATCH(134,'Fund Research'!$U$6:$U$505,0)),"")</f>
        <v/>
      </c>
      <c r="J139" s="36" t="str">
        <f aca="false">IFERROR(INDEX('Fund Research'!$N$6:$N$505,MATCH(134,'Fund Research'!$U$6:$U$505,0)),"")</f>
        <v/>
      </c>
      <c r="K139" s="36" t="str">
        <f aca="false">IFERROR(INDEX('Fund Research'!$P$6:$P$505,MATCH(134,'Fund Research'!$U$6:$U$505,0)),"")</f>
        <v/>
      </c>
      <c r="L139" s="34" t="str">
        <f aca="false">IFERROR(INDEX('Fund Research'!$S$6:$S$505,MATCH(134,'Fund Research'!$U$6:$U$505,0)),"")</f>
        <v/>
      </c>
      <c r="M139" s="34" t="str">
        <f aca="false">IFERROR(INDEX('Fund Research'!$T$6:$T$505,MATCH(134,'Fund Research'!$U$6:$U$505,0)),"")</f>
        <v/>
      </c>
    </row>
    <row r="140" customFormat="false" ht="15" hidden="false" customHeight="true" outlineLevel="0" collapsed="false">
      <c r="A140" s="33" t="str">
        <f aca="false">IFERROR(IF(INDEX('Fund Research'!$B$6:$B$505,MATCH(135,'Fund Research'!$U$6:$U$505,0))="","",135),"")</f>
        <v/>
      </c>
      <c r="B140" s="34" t="str">
        <f aca="false">IFERROR(INDEX('Fund Research'!$A$6:$A$505,MATCH(135,'Fund Research'!$U$6:$U$505,0)),"")</f>
        <v/>
      </c>
      <c r="C140" s="34" t="str">
        <f aca="false">IFERROR(INDEX('Fund Research'!$B$6:$B$505,MATCH(135,'Fund Research'!$U$6:$U$505,0)),"")</f>
        <v/>
      </c>
      <c r="D140" s="34" t="str">
        <f aca="false">IFERROR(INDEX('Fund Research'!$C$6:$C$505,MATCH(135,'Fund Research'!$U$6:$U$505,0)),"")</f>
        <v/>
      </c>
      <c r="E140" s="35" t="str">
        <f aca="false">IFERROR(INDEX('Fund Research'!$G$6:$G$505,MATCH(135,'Fund Research'!$U$6:$U$505,0)),"")</f>
        <v/>
      </c>
      <c r="F140" s="35" t="str">
        <f aca="false">IFERROR(INDEX('Fund Research'!$H$6:$H$505,MATCH(135,'Fund Research'!$U$6:$U$505,0)),"")</f>
        <v/>
      </c>
      <c r="G140" s="35" t="str">
        <f aca="false">IFERROR(INDEX('Fund Research'!$I$6:$I$505,MATCH(135,'Fund Research'!$U$6:$U$505,0)),"")</f>
        <v/>
      </c>
      <c r="H140" s="36" t="str">
        <f aca="false">IFERROR(INDEX('Fund Research'!$J$6:$J$505,MATCH(135,'Fund Research'!$U$6:$U$505,0)),"")</f>
        <v/>
      </c>
      <c r="I140" s="37" t="str">
        <f aca="false">IFERROR(INDEX('Fund Research'!$L$6:$L$505,MATCH(135,'Fund Research'!$U$6:$U$505,0)),"")</f>
        <v/>
      </c>
      <c r="J140" s="36" t="str">
        <f aca="false">IFERROR(INDEX('Fund Research'!$N$6:$N$505,MATCH(135,'Fund Research'!$U$6:$U$505,0)),"")</f>
        <v/>
      </c>
      <c r="K140" s="36" t="str">
        <f aca="false">IFERROR(INDEX('Fund Research'!$P$6:$P$505,MATCH(135,'Fund Research'!$U$6:$U$505,0)),"")</f>
        <v/>
      </c>
      <c r="L140" s="34" t="str">
        <f aca="false">IFERROR(INDEX('Fund Research'!$S$6:$S$505,MATCH(135,'Fund Research'!$U$6:$U$505,0)),"")</f>
        <v/>
      </c>
      <c r="M140" s="34" t="str">
        <f aca="false">IFERROR(INDEX('Fund Research'!$T$6:$T$505,MATCH(135,'Fund Research'!$U$6:$U$505,0)),"")</f>
        <v/>
      </c>
    </row>
    <row r="141" customFormat="false" ht="15" hidden="false" customHeight="true" outlineLevel="0" collapsed="false">
      <c r="A141" s="33" t="str">
        <f aca="false">IFERROR(IF(INDEX('Fund Research'!$B$6:$B$505,MATCH(136,'Fund Research'!$U$6:$U$505,0))="","",136),"")</f>
        <v/>
      </c>
      <c r="B141" s="34" t="str">
        <f aca="false">IFERROR(INDEX('Fund Research'!$A$6:$A$505,MATCH(136,'Fund Research'!$U$6:$U$505,0)),"")</f>
        <v/>
      </c>
      <c r="C141" s="34" t="str">
        <f aca="false">IFERROR(INDEX('Fund Research'!$B$6:$B$505,MATCH(136,'Fund Research'!$U$6:$U$505,0)),"")</f>
        <v/>
      </c>
      <c r="D141" s="34" t="str">
        <f aca="false">IFERROR(INDEX('Fund Research'!$C$6:$C$505,MATCH(136,'Fund Research'!$U$6:$U$505,0)),"")</f>
        <v/>
      </c>
      <c r="E141" s="35" t="str">
        <f aca="false">IFERROR(INDEX('Fund Research'!$G$6:$G$505,MATCH(136,'Fund Research'!$U$6:$U$505,0)),"")</f>
        <v/>
      </c>
      <c r="F141" s="35" t="str">
        <f aca="false">IFERROR(INDEX('Fund Research'!$H$6:$H$505,MATCH(136,'Fund Research'!$U$6:$U$505,0)),"")</f>
        <v/>
      </c>
      <c r="G141" s="35" t="str">
        <f aca="false">IFERROR(INDEX('Fund Research'!$I$6:$I$505,MATCH(136,'Fund Research'!$U$6:$U$505,0)),"")</f>
        <v/>
      </c>
      <c r="H141" s="36" t="str">
        <f aca="false">IFERROR(INDEX('Fund Research'!$J$6:$J$505,MATCH(136,'Fund Research'!$U$6:$U$505,0)),"")</f>
        <v/>
      </c>
      <c r="I141" s="37" t="str">
        <f aca="false">IFERROR(INDEX('Fund Research'!$L$6:$L$505,MATCH(136,'Fund Research'!$U$6:$U$505,0)),"")</f>
        <v/>
      </c>
      <c r="J141" s="36" t="str">
        <f aca="false">IFERROR(INDEX('Fund Research'!$N$6:$N$505,MATCH(136,'Fund Research'!$U$6:$U$505,0)),"")</f>
        <v/>
      </c>
      <c r="K141" s="36" t="str">
        <f aca="false">IFERROR(INDEX('Fund Research'!$P$6:$P$505,MATCH(136,'Fund Research'!$U$6:$U$505,0)),"")</f>
        <v/>
      </c>
      <c r="L141" s="34" t="str">
        <f aca="false">IFERROR(INDEX('Fund Research'!$S$6:$S$505,MATCH(136,'Fund Research'!$U$6:$U$505,0)),"")</f>
        <v/>
      </c>
      <c r="M141" s="34" t="str">
        <f aca="false">IFERROR(INDEX('Fund Research'!$T$6:$T$505,MATCH(136,'Fund Research'!$U$6:$U$505,0)),"")</f>
        <v/>
      </c>
    </row>
    <row r="142" customFormat="false" ht="15" hidden="false" customHeight="true" outlineLevel="0" collapsed="false">
      <c r="A142" s="33" t="str">
        <f aca="false">IFERROR(IF(INDEX('Fund Research'!$B$6:$B$505,MATCH(137,'Fund Research'!$U$6:$U$505,0))="","",137),"")</f>
        <v/>
      </c>
      <c r="B142" s="34" t="str">
        <f aca="false">IFERROR(INDEX('Fund Research'!$A$6:$A$505,MATCH(137,'Fund Research'!$U$6:$U$505,0)),"")</f>
        <v/>
      </c>
      <c r="C142" s="34" t="str">
        <f aca="false">IFERROR(INDEX('Fund Research'!$B$6:$B$505,MATCH(137,'Fund Research'!$U$6:$U$505,0)),"")</f>
        <v/>
      </c>
      <c r="D142" s="34" t="str">
        <f aca="false">IFERROR(INDEX('Fund Research'!$C$6:$C$505,MATCH(137,'Fund Research'!$U$6:$U$505,0)),"")</f>
        <v/>
      </c>
      <c r="E142" s="35" t="str">
        <f aca="false">IFERROR(INDEX('Fund Research'!$G$6:$G$505,MATCH(137,'Fund Research'!$U$6:$U$505,0)),"")</f>
        <v/>
      </c>
      <c r="F142" s="35" t="str">
        <f aca="false">IFERROR(INDEX('Fund Research'!$H$6:$H$505,MATCH(137,'Fund Research'!$U$6:$U$505,0)),"")</f>
        <v/>
      </c>
      <c r="G142" s="35" t="str">
        <f aca="false">IFERROR(INDEX('Fund Research'!$I$6:$I$505,MATCH(137,'Fund Research'!$U$6:$U$505,0)),"")</f>
        <v/>
      </c>
      <c r="H142" s="36" t="str">
        <f aca="false">IFERROR(INDEX('Fund Research'!$J$6:$J$505,MATCH(137,'Fund Research'!$U$6:$U$505,0)),"")</f>
        <v/>
      </c>
      <c r="I142" s="37" t="str">
        <f aca="false">IFERROR(INDEX('Fund Research'!$L$6:$L$505,MATCH(137,'Fund Research'!$U$6:$U$505,0)),"")</f>
        <v/>
      </c>
      <c r="J142" s="36" t="str">
        <f aca="false">IFERROR(INDEX('Fund Research'!$N$6:$N$505,MATCH(137,'Fund Research'!$U$6:$U$505,0)),"")</f>
        <v/>
      </c>
      <c r="K142" s="36" t="str">
        <f aca="false">IFERROR(INDEX('Fund Research'!$P$6:$P$505,MATCH(137,'Fund Research'!$U$6:$U$505,0)),"")</f>
        <v/>
      </c>
      <c r="L142" s="34" t="str">
        <f aca="false">IFERROR(INDEX('Fund Research'!$S$6:$S$505,MATCH(137,'Fund Research'!$U$6:$U$505,0)),"")</f>
        <v/>
      </c>
      <c r="M142" s="34" t="str">
        <f aca="false">IFERROR(INDEX('Fund Research'!$T$6:$T$505,MATCH(137,'Fund Research'!$U$6:$U$505,0)),"")</f>
        <v/>
      </c>
    </row>
    <row r="143" customFormat="false" ht="15" hidden="false" customHeight="true" outlineLevel="0" collapsed="false">
      <c r="A143" s="33" t="str">
        <f aca="false">IFERROR(IF(INDEX('Fund Research'!$B$6:$B$505,MATCH(138,'Fund Research'!$U$6:$U$505,0))="","",138),"")</f>
        <v/>
      </c>
      <c r="B143" s="34" t="str">
        <f aca="false">IFERROR(INDEX('Fund Research'!$A$6:$A$505,MATCH(138,'Fund Research'!$U$6:$U$505,0)),"")</f>
        <v/>
      </c>
      <c r="C143" s="34" t="str">
        <f aca="false">IFERROR(INDEX('Fund Research'!$B$6:$B$505,MATCH(138,'Fund Research'!$U$6:$U$505,0)),"")</f>
        <v/>
      </c>
      <c r="D143" s="34" t="str">
        <f aca="false">IFERROR(INDEX('Fund Research'!$C$6:$C$505,MATCH(138,'Fund Research'!$U$6:$U$505,0)),"")</f>
        <v/>
      </c>
      <c r="E143" s="35" t="str">
        <f aca="false">IFERROR(INDEX('Fund Research'!$G$6:$G$505,MATCH(138,'Fund Research'!$U$6:$U$505,0)),"")</f>
        <v/>
      </c>
      <c r="F143" s="35" t="str">
        <f aca="false">IFERROR(INDEX('Fund Research'!$H$6:$H$505,MATCH(138,'Fund Research'!$U$6:$U$505,0)),"")</f>
        <v/>
      </c>
      <c r="G143" s="35" t="str">
        <f aca="false">IFERROR(INDEX('Fund Research'!$I$6:$I$505,MATCH(138,'Fund Research'!$U$6:$U$505,0)),"")</f>
        <v/>
      </c>
      <c r="H143" s="36" t="str">
        <f aca="false">IFERROR(INDEX('Fund Research'!$J$6:$J$505,MATCH(138,'Fund Research'!$U$6:$U$505,0)),"")</f>
        <v/>
      </c>
      <c r="I143" s="37" t="str">
        <f aca="false">IFERROR(INDEX('Fund Research'!$L$6:$L$505,MATCH(138,'Fund Research'!$U$6:$U$505,0)),"")</f>
        <v/>
      </c>
      <c r="J143" s="36" t="str">
        <f aca="false">IFERROR(INDEX('Fund Research'!$N$6:$N$505,MATCH(138,'Fund Research'!$U$6:$U$505,0)),"")</f>
        <v/>
      </c>
      <c r="K143" s="36" t="str">
        <f aca="false">IFERROR(INDEX('Fund Research'!$P$6:$P$505,MATCH(138,'Fund Research'!$U$6:$U$505,0)),"")</f>
        <v/>
      </c>
      <c r="L143" s="34" t="str">
        <f aca="false">IFERROR(INDEX('Fund Research'!$S$6:$S$505,MATCH(138,'Fund Research'!$U$6:$U$505,0)),"")</f>
        <v/>
      </c>
      <c r="M143" s="34" t="str">
        <f aca="false">IFERROR(INDEX('Fund Research'!$T$6:$T$505,MATCH(138,'Fund Research'!$U$6:$U$505,0)),"")</f>
        <v/>
      </c>
    </row>
    <row r="144" customFormat="false" ht="15" hidden="false" customHeight="true" outlineLevel="0" collapsed="false">
      <c r="A144" s="33" t="str">
        <f aca="false">IFERROR(IF(INDEX('Fund Research'!$B$6:$B$505,MATCH(139,'Fund Research'!$U$6:$U$505,0))="","",139),"")</f>
        <v/>
      </c>
      <c r="B144" s="34" t="str">
        <f aca="false">IFERROR(INDEX('Fund Research'!$A$6:$A$505,MATCH(139,'Fund Research'!$U$6:$U$505,0)),"")</f>
        <v/>
      </c>
      <c r="C144" s="34" t="str">
        <f aca="false">IFERROR(INDEX('Fund Research'!$B$6:$B$505,MATCH(139,'Fund Research'!$U$6:$U$505,0)),"")</f>
        <v/>
      </c>
      <c r="D144" s="34" t="str">
        <f aca="false">IFERROR(INDEX('Fund Research'!$C$6:$C$505,MATCH(139,'Fund Research'!$U$6:$U$505,0)),"")</f>
        <v/>
      </c>
      <c r="E144" s="35" t="str">
        <f aca="false">IFERROR(INDEX('Fund Research'!$G$6:$G$505,MATCH(139,'Fund Research'!$U$6:$U$505,0)),"")</f>
        <v/>
      </c>
      <c r="F144" s="35" t="str">
        <f aca="false">IFERROR(INDEX('Fund Research'!$H$6:$H$505,MATCH(139,'Fund Research'!$U$6:$U$505,0)),"")</f>
        <v/>
      </c>
      <c r="G144" s="35" t="str">
        <f aca="false">IFERROR(INDEX('Fund Research'!$I$6:$I$505,MATCH(139,'Fund Research'!$U$6:$U$505,0)),"")</f>
        <v/>
      </c>
      <c r="H144" s="36" t="str">
        <f aca="false">IFERROR(INDEX('Fund Research'!$J$6:$J$505,MATCH(139,'Fund Research'!$U$6:$U$505,0)),"")</f>
        <v/>
      </c>
      <c r="I144" s="37" t="str">
        <f aca="false">IFERROR(INDEX('Fund Research'!$L$6:$L$505,MATCH(139,'Fund Research'!$U$6:$U$505,0)),"")</f>
        <v/>
      </c>
      <c r="J144" s="36" t="str">
        <f aca="false">IFERROR(INDEX('Fund Research'!$N$6:$N$505,MATCH(139,'Fund Research'!$U$6:$U$505,0)),"")</f>
        <v/>
      </c>
      <c r="K144" s="36" t="str">
        <f aca="false">IFERROR(INDEX('Fund Research'!$P$6:$P$505,MATCH(139,'Fund Research'!$U$6:$U$505,0)),"")</f>
        <v/>
      </c>
      <c r="L144" s="34" t="str">
        <f aca="false">IFERROR(INDEX('Fund Research'!$S$6:$S$505,MATCH(139,'Fund Research'!$U$6:$U$505,0)),"")</f>
        <v/>
      </c>
      <c r="M144" s="34" t="str">
        <f aca="false">IFERROR(INDEX('Fund Research'!$T$6:$T$505,MATCH(139,'Fund Research'!$U$6:$U$505,0)),"")</f>
        <v/>
      </c>
    </row>
    <row r="145" customFormat="false" ht="15" hidden="false" customHeight="true" outlineLevel="0" collapsed="false">
      <c r="A145" s="33" t="str">
        <f aca="false">IFERROR(IF(INDEX('Fund Research'!$B$6:$B$505,MATCH(140,'Fund Research'!$U$6:$U$505,0))="","",140),"")</f>
        <v/>
      </c>
      <c r="B145" s="34" t="str">
        <f aca="false">IFERROR(INDEX('Fund Research'!$A$6:$A$505,MATCH(140,'Fund Research'!$U$6:$U$505,0)),"")</f>
        <v/>
      </c>
      <c r="C145" s="34" t="str">
        <f aca="false">IFERROR(INDEX('Fund Research'!$B$6:$B$505,MATCH(140,'Fund Research'!$U$6:$U$505,0)),"")</f>
        <v/>
      </c>
      <c r="D145" s="34" t="str">
        <f aca="false">IFERROR(INDEX('Fund Research'!$C$6:$C$505,MATCH(140,'Fund Research'!$U$6:$U$505,0)),"")</f>
        <v/>
      </c>
      <c r="E145" s="35" t="str">
        <f aca="false">IFERROR(INDEX('Fund Research'!$G$6:$G$505,MATCH(140,'Fund Research'!$U$6:$U$505,0)),"")</f>
        <v/>
      </c>
      <c r="F145" s="35" t="str">
        <f aca="false">IFERROR(INDEX('Fund Research'!$H$6:$H$505,MATCH(140,'Fund Research'!$U$6:$U$505,0)),"")</f>
        <v/>
      </c>
      <c r="G145" s="35" t="str">
        <f aca="false">IFERROR(INDEX('Fund Research'!$I$6:$I$505,MATCH(140,'Fund Research'!$U$6:$U$505,0)),"")</f>
        <v/>
      </c>
      <c r="H145" s="36" t="str">
        <f aca="false">IFERROR(INDEX('Fund Research'!$J$6:$J$505,MATCH(140,'Fund Research'!$U$6:$U$505,0)),"")</f>
        <v/>
      </c>
      <c r="I145" s="37" t="str">
        <f aca="false">IFERROR(INDEX('Fund Research'!$L$6:$L$505,MATCH(140,'Fund Research'!$U$6:$U$505,0)),"")</f>
        <v/>
      </c>
      <c r="J145" s="36" t="str">
        <f aca="false">IFERROR(INDEX('Fund Research'!$N$6:$N$505,MATCH(140,'Fund Research'!$U$6:$U$505,0)),"")</f>
        <v/>
      </c>
      <c r="K145" s="36" t="str">
        <f aca="false">IFERROR(INDEX('Fund Research'!$P$6:$P$505,MATCH(140,'Fund Research'!$U$6:$U$505,0)),"")</f>
        <v/>
      </c>
      <c r="L145" s="34" t="str">
        <f aca="false">IFERROR(INDEX('Fund Research'!$S$6:$S$505,MATCH(140,'Fund Research'!$U$6:$U$505,0)),"")</f>
        <v/>
      </c>
      <c r="M145" s="34" t="str">
        <f aca="false">IFERROR(INDEX('Fund Research'!$T$6:$T$505,MATCH(140,'Fund Research'!$U$6:$U$505,0)),"")</f>
        <v/>
      </c>
    </row>
    <row r="146" customFormat="false" ht="15" hidden="false" customHeight="true" outlineLevel="0" collapsed="false">
      <c r="A146" s="33" t="str">
        <f aca="false">IFERROR(IF(INDEX('Fund Research'!$B$6:$B$505,MATCH(141,'Fund Research'!$U$6:$U$505,0))="","",141),"")</f>
        <v/>
      </c>
      <c r="B146" s="34" t="str">
        <f aca="false">IFERROR(INDEX('Fund Research'!$A$6:$A$505,MATCH(141,'Fund Research'!$U$6:$U$505,0)),"")</f>
        <v/>
      </c>
      <c r="C146" s="34" t="str">
        <f aca="false">IFERROR(INDEX('Fund Research'!$B$6:$B$505,MATCH(141,'Fund Research'!$U$6:$U$505,0)),"")</f>
        <v/>
      </c>
      <c r="D146" s="34" t="str">
        <f aca="false">IFERROR(INDEX('Fund Research'!$C$6:$C$505,MATCH(141,'Fund Research'!$U$6:$U$505,0)),"")</f>
        <v/>
      </c>
      <c r="E146" s="35" t="str">
        <f aca="false">IFERROR(INDEX('Fund Research'!$G$6:$G$505,MATCH(141,'Fund Research'!$U$6:$U$505,0)),"")</f>
        <v/>
      </c>
      <c r="F146" s="35" t="str">
        <f aca="false">IFERROR(INDEX('Fund Research'!$H$6:$H$505,MATCH(141,'Fund Research'!$U$6:$U$505,0)),"")</f>
        <v/>
      </c>
      <c r="G146" s="35" t="str">
        <f aca="false">IFERROR(INDEX('Fund Research'!$I$6:$I$505,MATCH(141,'Fund Research'!$U$6:$U$505,0)),"")</f>
        <v/>
      </c>
      <c r="H146" s="36" t="str">
        <f aca="false">IFERROR(INDEX('Fund Research'!$J$6:$J$505,MATCH(141,'Fund Research'!$U$6:$U$505,0)),"")</f>
        <v/>
      </c>
      <c r="I146" s="37" t="str">
        <f aca="false">IFERROR(INDEX('Fund Research'!$L$6:$L$505,MATCH(141,'Fund Research'!$U$6:$U$505,0)),"")</f>
        <v/>
      </c>
      <c r="J146" s="36" t="str">
        <f aca="false">IFERROR(INDEX('Fund Research'!$N$6:$N$505,MATCH(141,'Fund Research'!$U$6:$U$505,0)),"")</f>
        <v/>
      </c>
      <c r="K146" s="36" t="str">
        <f aca="false">IFERROR(INDEX('Fund Research'!$P$6:$P$505,MATCH(141,'Fund Research'!$U$6:$U$505,0)),"")</f>
        <v/>
      </c>
      <c r="L146" s="34" t="str">
        <f aca="false">IFERROR(INDEX('Fund Research'!$S$6:$S$505,MATCH(141,'Fund Research'!$U$6:$U$505,0)),"")</f>
        <v/>
      </c>
      <c r="M146" s="34" t="str">
        <f aca="false">IFERROR(INDEX('Fund Research'!$T$6:$T$505,MATCH(141,'Fund Research'!$U$6:$U$505,0)),"")</f>
        <v/>
      </c>
    </row>
    <row r="147" customFormat="false" ht="15" hidden="false" customHeight="true" outlineLevel="0" collapsed="false">
      <c r="A147" s="33" t="str">
        <f aca="false">IFERROR(IF(INDEX('Fund Research'!$B$6:$B$505,MATCH(142,'Fund Research'!$U$6:$U$505,0))="","",142),"")</f>
        <v/>
      </c>
      <c r="B147" s="34" t="str">
        <f aca="false">IFERROR(INDEX('Fund Research'!$A$6:$A$505,MATCH(142,'Fund Research'!$U$6:$U$505,0)),"")</f>
        <v/>
      </c>
      <c r="C147" s="34" t="str">
        <f aca="false">IFERROR(INDEX('Fund Research'!$B$6:$B$505,MATCH(142,'Fund Research'!$U$6:$U$505,0)),"")</f>
        <v/>
      </c>
      <c r="D147" s="34" t="str">
        <f aca="false">IFERROR(INDEX('Fund Research'!$C$6:$C$505,MATCH(142,'Fund Research'!$U$6:$U$505,0)),"")</f>
        <v/>
      </c>
      <c r="E147" s="35" t="str">
        <f aca="false">IFERROR(INDEX('Fund Research'!$G$6:$G$505,MATCH(142,'Fund Research'!$U$6:$U$505,0)),"")</f>
        <v/>
      </c>
      <c r="F147" s="35" t="str">
        <f aca="false">IFERROR(INDEX('Fund Research'!$H$6:$H$505,MATCH(142,'Fund Research'!$U$6:$U$505,0)),"")</f>
        <v/>
      </c>
      <c r="G147" s="35" t="str">
        <f aca="false">IFERROR(INDEX('Fund Research'!$I$6:$I$505,MATCH(142,'Fund Research'!$U$6:$U$505,0)),"")</f>
        <v/>
      </c>
      <c r="H147" s="36" t="str">
        <f aca="false">IFERROR(INDEX('Fund Research'!$J$6:$J$505,MATCH(142,'Fund Research'!$U$6:$U$505,0)),"")</f>
        <v/>
      </c>
      <c r="I147" s="37" t="str">
        <f aca="false">IFERROR(INDEX('Fund Research'!$L$6:$L$505,MATCH(142,'Fund Research'!$U$6:$U$505,0)),"")</f>
        <v/>
      </c>
      <c r="J147" s="36" t="str">
        <f aca="false">IFERROR(INDEX('Fund Research'!$N$6:$N$505,MATCH(142,'Fund Research'!$U$6:$U$505,0)),"")</f>
        <v/>
      </c>
      <c r="K147" s="36" t="str">
        <f aca="false">IFERROR(INDEX('Fund Research'!$P$6:$P$505,MATCH(142,'Fund Research'!$U$6:$U$505,0)),"")</f>
        <v/>
      </c>
      <c r="L147" s="34" t="str">
        <f aca="false">IFERROR(INDEX('Fund Research'!$S$6:$S$505,MATCH(142,'Fund Research'!$U$6:$U$505,0)),"")</f>
        <v/>
      </c>
      <c r="M147" s="34" t="str">
        <f aca="false">IFERROR(INDEX('Fund Research'!$T$6:$T$505,MATCH(142,'Fund Research'!$U$6:$U$505,0)),"")</f>
        <v/>
      </c>
    </row>
    <row r="148" customFormat="false" ht="15" hidden="false" customHeight="true" outlineLevel="0" collapsed="false">
      <c r="A148" s="33" t="str">
        <f aca="false">IFERROR(IF(INDEX('Fund Research'!$B$6:$B$505,MATCH(143,'Fund Research'!$U$6:$U$505,0))="","",143),"")</f>
        <v/>
      </c>
      <c r="B148" s="34" t="str">
        <f aca="false">IFERROR(INDEX('Fund Research'!$A$6:$A$505,MATCH(143,'Fund Research'!$U$6:$U$505,0)),"")</f>
        <v/>
      </c>
      <c r="C148" s="34" t="str">
        <f aca="false">IFERROR(INDEX('Fund Research'!$B$6:$B$505,MATCH(143,'Fund Research'!$U$6:$U$505,0)),"")</f>
        <v/>
      </c>
      <c r="D148" s="34" t="str">
        <f aca="false">IFERROR(INDEX('Fund Research'!$C$6:$C$505,MATCH(143,'Fund Research'!$U$6:$U$505,0)),"")</f>
        <v/>
      </c>
      <c r="E148" s="35" t="str">
        <f aca="false">IFERROR(INDEX('Fund Research'!$G$6:$G$505,MATCH(143,'Fund Research'!$U$6:$U$505,0)),"")</f>
        <v/>
      </c>
      <c r="F148" s="35" t="str">
        <f aca="false">IFERROR(INDEX('Fund Research'!$H$6:$H$505,MATCH(143,'Fund Research'!$U$6:$U$505,0)),"")</f>
        <v/>
      </c>
      <c r="G148" s="35" t="str">
        <f aca="false">IFERROR(INDEX('Fund Research'!$I$6:$I$505,MATCH(143,'Fund Research'!$U$6:$U$505,0)),"")</f>
        <v/>
      </c>
      <c r="H148" s="36" t="str">
        <f aca="false">IFERROR(INDEX('Fund Research'!$J$6:$J$505,MATCH(143,'Fund Research'!$U$6:$U$505,0)),"")</f>
        <v/>
      </c>
      <c r="I148" s="37" t="str">
        <f aca="false">IFERROR(INDEX('Fund Research'!$L$6:$L$505,MATCH(143,'Fund Research'!$U$6:$U$505,0)),"")</f>
        <v/>
      </c>
      <c r="J148" s="36" t="str">
        <f aca="false">IFERROR(INDEX('Fund Research'!$N$6:$N$505,MATCH(143,'Fund Research'!$U$6:$U$505,0)),"")</f>
        <v/>
      </c>
      <c r="K148" s="36" t="str">
        <f aca="false">IFERROR(INDEX('Fund Research'!$P$6:$P$505,MATCH(143,'Fund Research'!$U$6:$U$505,0)),"")</f>
        <v/>
      </c>
      <c r="L148" s="34" t="str">
        <f aca="false">IFERROR(INDEX('Fund Research'!$S$6:$S$505,MATCH(143,'Fund Research'!$U$6:$U$505,0)),"")</f>
        <v/>
      </c>
      <c r="M148" s="34" t="str">
        <f aca="false">IFERROR(INDEX('Fund Research'!$T$6:$T$505,MATCH(143,'Fund Research'!$U$6:$U$505,0)),"")</f>
        <v/>
      </c>
    </row>
    <row r="149" customFormat="false" ht="15" hidden="false" customHeight="true" outlineLevel="0" collapsed="false">
      <c r="A149" s="33" t="str">
        <f aca="false">IFERROR(IF(INDEX('Fund Research'!$B$6:$B$505,MATCH(144,'Fund Research'!$U$6:$U$505,0))="","",144),"")</f>
        <v/>
      </c>
      <c r="B149" s="34" t="str">
        <f aca="false">IFERROR(INDEX('Fund Research'!$A$6:$A$505,MATCH(144,'Fund Research'!$U$6:$U$505,0)),"")</f>
        <v/>
      </c>
      <c r="C149" s="34" t="str">
        <f aca="false">IFERROR(INDEX('Fund Research'!$B$6:$B$505,MATCH(144,'Fund Research'!$U$6:$U$505,0)),"")</f>
        <v/>
      </c>
      <c r="D149" s="34" t="str">
        <f aca="false">IFERROR(INDEX('Fund Research'!$C$6:$C$505,MATCH(144,'Fund Research'!$U$6:$U$505,0)),"")</f>
        <v/>
      </c>
      <c r="E149" s="35" t="str">
        <f aca="false">IFERROR(INDEX('Fund Research'!$G$6:$G$505,MATCH(144,'Fund Research'!$U$6:$U$505,0)),"")</f>
        <v/>
      </c>
      <c r="F149" s="35" t="str">
        <f aca="false">IFERROR(INDEX('Fund Research'!$H$6:$H$505,MATCH(144,'Fund Research'!$U$6:$U$505,0)),"")</f>
        <v/>
      </c>
      <c r="G149" s="35" t="str">
        <f aca="false">IFERROR(INDEX('Fund Research'!$I$6:$I$505,MATCH(144,'Fund Research'!$U$6:$U$505,0)),"")</f>
        <v/>
      </c>
      <c r="H149" s="36" t="str">
        <f aca="false">IFERROR(INDEX('Fund Research'!$J$6:$J$505,MATCH(144,'Fund Research'!$U$6:$U$505,0)),"")</f>
        <v/>
      </c>
      <c r="I149" s="37" t="str">
        <f aca="false">IFERROR(INDEX('Fund Research'!$L$6:$L$505,MATCH(144,'Fund Research'!$U$6:$U$505,0)),"")</f>
        <v/>
      </c>
      <c r="J149" s="36" t="str">
        <f aca="false">IFERROR(INDEX('Fund Research'!$N$6:$N$505,MATCH(144,'Fund Research'!$U$6:$U$505,0)),"")</f>
        <v/>
      </c>
      <c r="K149" s="36" t="str">
        <f aca="false">IFERROR(INDEX('Fund Research'!$P$6:$P$505,MATCH(144,'Fund Research'!$U$6:$U$505,0)),"")</f>
        <v/>
      </c>
      <c r="L149" s="34" t="str">
        <f aca="false">IFERROR(INDEX('Fund Research'!$S$6:$S$505,MATCH(144,'Fund Research'!$U$6:$U$505,0)),"")</f>
        <v/>
      </c>
      <c r="M149" s="34" t="str">
        <f aca="false">IFERROR(INDEX('Fund Research'!$T$6:$T$505,MATCH(144,'Fund Research'!$U$6:$U$505,0)),"")</f>
        <v/>
      </c>
    </row>
    <row r="150" customFormat="false" ht="15" hidden="false" customHeight="true" outlineLevel="0" collapsed="false">
      <c r="A150" s="33" t="str">
        <f aca="false">IFERROR(IF(INDEX('Fund Research'!$B$6:$B$505,MATCH(145,'Fund Research'!$U$6:$U$505,0))="","",145),"")</f>
        <v/>
      </c>
      <c r="B150" s="34" t="str">
        <f aca="false">IFERROR(INDEX('Fund Research'!$A$6:$A$505,MATCH(145,'Fund Research'!$U$6:$U$505,0)),"")</f>
        <v/>
      </c>
      <c r="C150" s="34" t="str">
        <f aca="false">IFERROR(INDEX('Fund Research'!$B$6:$B$505,MATCH(145,'Fund Research'!$U$6:$U$505,0)),"")</f>
        <v/>
      </c>
      <c r="D150" s="34" t="str">
        <f aca="false">IFERROR(INDEX('Fund Research'!$C$6:$C$505,MATCH(145,'Fund Research'!$U$6:$U$505,0)),"")</f>
        <v/>
      </c>
      <c r="E150" s="35" t="str">
        <f aca="false">IFERROR(INDEX('Fund Research'!$G$6:$G$505,MATCH(145,'Fund Research'!$U$6:$U$505,0)),"")</f>
        <v/>
      </c>
      <c r="F150" s="35" t="str">
        <f aca="false">IFERROR(INDEX('Fund Research'!$H$6:$H$505,MATCH(145,'Fund Research'!$U$6:$U$505,0)),"")</f>
        <v/>
      </c>
      <c r="G150" s="35" t="str">
        <f aca="false">IFERROR(INDEX('Fund Research'!$I$6:$I$505,MATCH(145,'Fund Research'!$U$6:$U$505,0)),"")</f>
        <v/>
      </c>
      <c r="H150" s="36" t="str">
        <f aca="false">IFERROR(INDEX('Fund Research'!$J$6:$J$505,MATCH(145,'Fund Research'!$U$6:$U$505,0)),"")</f>
        <v/>
      </c>
      <c r="I150" s="37" t="str">
        <f aca="false">IFERROR(INDEX('Fund Research'!$L$6:$L$505,MATCH(145,'Fund Research'!$U$6:$U$505,0)),"")</f>
        <v/>
      </c>
      <c r="J150" s="36" t="str">
        <f aca="false">IFERROR(INDEX('Fund Research'!$N$6:$N$505,MATCH(145,'Fund Research'!$U$6:$U$505,0)),"")</f>
        <v/>
      </c>
      <c r="K150" s="36" t="str">
        <f aca="false">IFERROR(INDEX('Fund Research'!$P$6:$P$505,MATCH(145,'Fund Research'!$U$6:$U$505,0)),"")</f>
        <v/>
      </c>
      <c r="L150" s="34" t="str">
        <f aca="false">IFERROR(INDEX('Fund Research'!$S$6:$S$505,MATCH(145,'Fund Research'!$U$6:$U$505,0)),"")</f>
        <v/>
      </c>
      <c r="M150" s="34" t="str">
        <f aca="false">IFERROR(INDEX('Fund Research'!$T$6:$T$505,MATCH(145,'Fund Research'!$U$6:$U$505,0)),"")</f>
        <v/>
      </c>
    </row>
    <row r="151" customFormat="false" ht="15" hidden="false" customHeight="true" outlineLevel="0" collapsed="false">
      <c r="A151" s="33" t="str">
        <f aca="false">IFERROR(IF(INDEX('Fund Research'!$B$6:$B$505,MATCH(146,'Fund Research'!$U$6:$U$505,0))="","",146),"")</f>
        <v/>
      </c>
      <c r="B151" s="34" t="str">
        <f aca="false">IFERROR(INDEX('Fund Research'!$A$6:$A$505,MATCH(146,'Fund Research'!$U$6:$U$505,0)),"")</f>
        <v/>
      </c>
      <c r="C151" s="34" t="str">
        <f aca="false">IFERROR(INDEX('Fund Research'!$B$6:$B$505,MATCH(146,'Fund Research'!$U$6:$U$505,0)),"")</f>
        <v/>
      </c>
      <c r="D151" s="34" t="str">
        <f aca="false">IFERROR(INDEX('Fund Research'!$C$6:$C$505,MATCH(146,'Fund Research'!$U$6:$U$505,0)),"")</f>
        <v/>
      </c>
      <c r="E151" s="35" t="str">
        <f aca="false">IFERROR(INDEX('Fund Research'!$G$6:$G$505,MATCH(146,'Fund Research'!$U$6:$U$505,0)),"")</f>
        <v/>
      </c>
      <c r="F151" s="35" t="str">
        <f aca="false">IFERROR(INDEX('Fund Research'!$H$6:$H$505,MATCH(146,'Fund Research'!$U$6:$U$505,0)),"")</f>
        <v/>
      </c>
      <c r="G151" s="35" t="str">
        <f aca="false">IFERROR(INDEX('Fund Research'!$I$6:$I$505,MATCH(146,'Fund Research'!$U$6:$U$505,0)),"")</f>
        <v/>
      </c>
      <c r="H151" s="36" t="str">
        <f aca="false">IFERROR(INDEX('Fund Research'!$J$6:$J$505,MATCH(146,'Fund Research'!$U$6:$U$505,0)),"")</f>
        <v/>
      </c>
      <c r="I151" s="37" t="str">
        <f aca="false">IFERROR(INDEX('Fund Research'!$L$6:$L$505,MATCH(146,'Fund Research'!$U$6:$U$505,0)),"")</f>
        <v/>
      </c>
      <c r="J151" s="36" t="str">
        <f aca="false">IFERROR(INDEX('Fund Research'!$N$6:$N$505,MATCH(146,'Fund Research'!$U$6:$U$505,0)),"")</f>
        <v/>
      </c>
      <c r="K151" s="36" t="str">
        <f aca="false">IFERROR(INDEX('Fund Research'!$P$6:$P$505,MATCH(146,'Fund Research'!$U$6:$U$505,0)),"")</f>
        <v/>
      </c>
      <c r="L151" s="34" t="str">
        <f aca="false">IFERROR(INDEX('Fund Research'!$S$6:$S$505,MATCH(146,'Fund Research'!$U$6:$U$505,0)),"")</f>
        <v/>
      </c>
      <c r="M151" s="34" t="str">
        <f aca="false">IFERROR(INDEX('Fund Research'!$T$6:$T$505,MATCH(146,'Fund Research'!$U$6:$U$505,0)),"")</f>
        <v/>
      </c>
    </row>
    <row r="152" customFormat="false" ht="15" hidden="false" customHeight="true" outlineLevel="0" collapsed="false">
      <c r="A152" s="33" t="str">
        <f aca="false">IFERROR(IF(INDEX('Fund Research'!$B$6:$B$505,MATCH(147,'Fund Research'!$U$6:$U$505,0))="","",147),"")</f>
        <v/>
      </c>
      <c r="B152" s="34" t="str">
        <f aca="false">IFERROR(INDEX('Fund Research'!$A$6:$A$505,MATCH(147,'Fund Research'!$U$6:$U$505,0)),"")</f>
        <v/>
      </c>
      <c r="C152" s="34" t="str">
        <f aca="false">IFERROR(INDEX('Fund Research'!$B$6:$B$505,MATCH(147,'Fund Research'!$U$6:$U$505,0)),"")</f>
        <v/>
      </c>
      <c r="D152" s="34" t="str">
        <f aca="false">IFERROR(INDEX('Fund Research'!$C$6:$C$505,MATCH(147,'Fund Research'!$U$6:$U$505,0)),"")</f>
        <v/>
      </c>
      <c r="E152" s="35" t="str">
        <f aca="false">IFERROR(INDEX('Fund Research'!$G$6:$G$505,MATCH(147,'Fund Research'!$U$6:$U$505,0)),"")</f>
        <v/>
      </c>
      <c r="F152" s="35" t="str">
        <f aca="false">IFERROR(INDEX('Fund Research'!$H$6:$H$505,MATCH(147,'Fund Research'!$U$6:$U$505,0)),"")</f>
        <v/>
      </c>
      <c r="G152" s="35" t="str">
        <f aca="false">IFERROR(INDEX('Fund Research'!$I$6:$I$505,MATCH(147,'Fund Research'!$U$6:$U$505,0)),"")</f>
        <v/>
      </c>
      <c r="H152" s="36" t="str">
        <f aca="false">IFERROR(INDEX('Fund Research'!$J$6:$J$505,MATCH(147,'Fund Research'!$U$6:$U$505,0)),"")</f>
        <v/>
      </c>
      <c r="I152" s="37" t="str">
        <f aca="false">IFERROR(INDEX('Fund Research'!$L$6:$L$505,MATCH(147,'Fund Research'!$U$6:$U$505,0)),"")</f>
        <v/>
      </c>
      <c r="J152" s="36" t="str">
        <f aca="false">IFERROR(INDEX('Fund Research'!$N$6:$N$505,MATCH(147,'Fund Research'!$U$6:$U$505,0)),"")</f>
        <v/>
      </c>
      <c r="K152" s="36" t="str">
        <f aca="false">IFERROR(INDEX('Fund Research'!$P$6:$P$505,MATCH(147,'Fund Research'!$U$6:$U$505,0)),"")</f>
        <v/>
      </c>
      <c r="L152" s="34" t="str">
        <f aca="false">IFERROR(INDEX('Fund Research'!$S$6:$S$505,MATCH(147,'Fund Research'!$U$6:$U$505,0)),"")</f>
        <v/>
      </c>
      <c r="M152" s="34" t="str">
        <f aca="false">IFERROR(INDEX('Fund Research'!$T$6:$T$505,MATCH(147,'Fund Research'!$U$6:$U$505,0)),"")</f>
        <v/>
      </c>
    </row>
    <row r="153" customFormat="false" ht="15" hidden="false" customHeight="true" outlineLevel="0" collapsed="false">
      <c r="A153" s="33" t="str">
        <f aca="false">IFERROR(IF(INDEX('Fund Research'!$B$6:$B$505,MATCH(148,'Fund Research'!$U$6:$U$505,0))="","",148),"")</f>
        <v/>
      </c>
      <c r="B153" s="34" t="str">
        <f aca="false">IFERROR(INDEX('Fund Research'!$A$6:$A$505,MATCH(148,'Fund Research'!$U$6:$U$505,0)),"")</f>
        <v/>
      </c>
      <c r="C153" s="34" t="str">
        <f aca="false">IFERROR(INDEX('Fund Research'!$B$6:$B$505,MATCH(148,'Fund Research'!$U$6:$U$505,0)),"")</f>
        <v/>
      </c>
      <c r="D153" s="34" t="str">
        <f aca="false">IFERROR(INDEX('Fund Research'!$C$6:$C$505,MATCH(148,'Fund Research'!$U$6:$U$505,0)),"")</f>
        <v/>
      </c>
      <c r="E153" s="35" t="str">
        <f aca="false">IFERROR(INDEX('Fund Research'!$G$6:$G$505,MATCH(148,'Fund Research'!$U$6:$U$505,0)),"")</f>
        <v/>
      </c>
      <c r="F153" s="35" t="str">
        <f aca="false">IFERROR(INDEX('Fund Research'!$H$6:$H$505,MATCH(148,'Fund Research'!$U$6:$U$505,0)),"")</f>
        <v/>
      </c>
      <c r="G153" s="35" t="str">
        <f aca="false">IFERROR(INDEX('Fund Research'!$I$6:$I$505,MATCH(148,'Fund Research'!$U$6:$U$505,0)),"")</f>
        <v/>
      </c>
      <c r="H153" s="36" t="str">
        <f aca="false">IFERROR(INDEX('Fund Research'!$J$6:$J$505,MATCH(148,'Fund Research'!$U$6:$U$505,0)),"")</f>
        <v/>
      </c>
      <c r="I153" s="37" t="str">
        <f aca="false">IFERROR(INDEX('Fund Research'!$L$6:$L$505,MATCH(148,'Fund Research'!$U$6:$U$505,0)),"")</f>
        <v/>
      </c>
      <c r="J153" s="36" t="str">
        <f aca="false">IFERROR(INDEX('Fund Research'!$N$6:$N$505,MATCH(148,'Fund Research'!$U$6:$U$505,0)),"")</f>
        <v/>
      </c>
      <c r="K153" s="36" t="str">
        <f aca="false">IFERROR(INDEX('Fund Research'!$P$6:$P$505,MATCH(148,'Fund Research'!$U$6:$U$505,0)),"")</f>
        <v/>
      </c>
      <c r="L153" s="34" t="str">
        <f aca="false">IFERROR(INDEX('Fund Research'!$S$6:$S$505,MATCH(148,'Fund Research'!$U$6:$U$505,0)),"")</f>
        <v/>
      </c>
      <c r="M153" s="34" t="str">
        <f aca="false">IFERROR(INDEX('Fund Research'!$T$6:$T$505,MATCH(148,'Fund Research'!$U$6:$U$505,0)),"")</f>
        <v/>
      </c>
    </row>
    <row r="154" customFormat="false" ht="15" hidden="false" customHeight="true" outlineLevel="0" collapsed="false">
      <c r="A154" s="33" t="str">
        <f aca="false">IFERROR(IF(INDEX('Fund Research'!$B$6:$B$505,MATCH(149,'Fund Research'!$U$6:$U$505,0))="","",149),"")</f>
        <v/>
      </c>
      <c r="B154" s="34" t="str">
        <f aca="false">IFERROR(INDEX('Fund Research'!$A$6:$A$505,MATCH(149,'Fund Research'!$U$6:$U$505,0)),"")</f>
        <v/>
      </c>
      <c r="C154" s="34" t="str">
        <f aca="false">IFERROR(INDEX('Fund Research'!$B$6:$B$505,MATCH(149,'Fund Research'!$U$6:$U$505,0)),"")</f>
        <v/>
      </c>
      <c r="D154" s="34" t="str">
        <f aca="false">IFERROR(INDEX('Fund Research'!$C$6:$C$505,MATCH(149,'Fund Research'!$U$6:$U$505,0)),"")</f>
        <v/>
      </c>
      <c r="E154" s="35" t="str">
        <f aca="false">IFERROR(INDEX('Fund Research'!$G$6:$G$505,MATCH(149,'Fund Research'!$U$6:$U$505,0)),"")</f>
        <v/>
      </c>
      <c r="F154" s="35" t="str">
        <f aca="false">IFERROR(INDEX('Fund Research'!$H$6:$H$505,MATCH(149,'Fund Research'!$U$6:$U$505,0)),"")</f>
        <v/>
      </c>
      <c r="G154" s="35" t="str">
        <f aca="false">IFERROR(INDEX('Fund Research'!$I$6:$I$505,MATCH(149,'Fund Research'!$U$6:$U$505,0)),"")</f>
        <v/>
      </c>
      <c r="H154" s="36" t="str">
        <f aca="false">IFERROR(INDEX('Fund Research'!$J$6:$J$505,MATCH(149,'Fund Research'!$U$6:$U$505,0)),"")</f>
        <v/>
      </c>
      <c r="I154" s="37" t="str">
        <f aca="false">IFERROR(INDEX('Fund Research'!$L$6:$L$505,MATCH(149,'Fund Research'!$U$6:$U$505,0)),"")</f>
        <v/>
      </c>
      <c r="J154" s="36" t="str">
        <f aca="false">IFERROR(INDEX('Fund Research'!$N$6:$N$505,MATCH(149,'Fund Research'!$U$6:$U$505,0)),"")</f>
        <v/>
      </c>
      <c r="K154" s="36" t="str">
        <f aca="false">IFERROR(INDEX('Fund Research'!$P$6:$P$505,MATCH(149,'Fund Research'!$U$6:$U$505,0)),"")</f>
        <v/>
      </c>
      <c r="L154" s="34" t="str">
        <f aca="false">IFERROR(INDEX('Fund Research'!$S$6:$S$505,MATCH(149,'Fund Research'!$U$6:$U$505,0)),"")</f>
        <v/>
      </c>
      <c r="M154" s="34" t="str">
        <f aca="false">IFERROR(INDEX('Fund Research'!$T$6:$T$505,MATCH(149,'Fund Research'!$U$6:$U$505,0)),"")</f>
        <v/>
      </c>
    </row>
    <row r="155" customFormat="false" ht="15" hidden="false" customHeight="true" outlineLevel="0" collapsed="false">
      <c r="A155" s="33" t="str">
        <f aca="false">IFERROR(IF(INDEX('Fund Research'!$B$6:$B$505,MATCH(150,'Fund Research'!$U$6:$U$505,0))="","",150),"")</f>
        <v/>
      </c>
      <c r="B155" s="34" t="str">
        <f aca="false">IFERROR(INDEX('Fund Research'!$A$6:$A$505,MATCH(150,'Fund Research'!$U$6:$U$505,0)),"")</f>
        <v/>
      </c>
      <c r="C155" s="34" t="str">
        <f aca="false">IFERROR(INDEX('Fund Research'!$B$6:$B$505,MATCH(150,'Fund Research'!$U$6:$U$505,0)),"")</f>
        <v/>
      </c>
      <c r="D155" s="34" t="str">
        <f aca="false">IFERROR(INDEX('Fund Research'!$C$6:$C$505,MATCH(150,'Fund Research'!$U$6:$U$505,0)),"")</f>
        <v/>
      </c>
      <c r="E155" s="35" t="str">
        <f aca="false">IFERROR(INDEX('Fund Research'!$G$6:$G$505,MATCH(150,'Fund Research'!$U$6:$U$505,0)),"")</f>
        <v/>
      </c>
      <c r="F155" s="35" t="str">
        <f aca="false">IFERROR(INDEX('Fund Research'!$H$6:$H$505,MATCH(150,'Fund Research'!$U$6:$U$505,0)),"")</f>
        <v/>
      </c>
      <c r="G155" s="35" t="str">
        <f aca="false">IFERROR(INDEX('Fund Research'!$I$6:$I$505,MATCH(150,'Fund Research'!$U$6:$U$505,0)),"")</f>
        <v/>
      </c>
      <c r="H155" s="36" t="str">
        <f aca="false">IFERROR(INDEX('Fund Research'!$J$6:$J$505,MATCH(150,'Fund Research'!$U$6:$U$505,0)),"")</f>
        <v/>
      </c>
      <c r="I155" s="37" t="str">
        <f aca="false">IFERROR(INDEX('Fund Research'!$L$6:$L$505,MATCH(150,'Fund Research'!$U$6:$U$505,0)),"")</f>
        <v/>
      </c>
      <c r="J155" s="36" t="str">
        <f aca="false">IFERROR(INDEX('Fund Research'!$N$6:$N$505,MATCH(150,'Fund Research'!$U$6:$U$505,0)),"")</f>
        <v/>
      </c>
      <c r="K155" s="36" t="str">
        <f aca="false">IFERROR(INDEX('Fund Research'!$P$6:$P$505,MATCH(150,'Fund Research'!$U$6:$U$505,0)),"")</f>
        <v/>
      </c>
      <c r="L155" s="34" t="str">
        <f aca="false">IFERROR(INDEX('Fund Research'!$S$6:$S$505,MATCH(150,'Fund Research'!$U$6:$U$505,0)),"")</f>
        <v/>
      </c>
      <c r="M155" s="34" t="str">
        <f aca="false">IFERROR(INDEX('Fund Research'!$T$6:$T$505,MATCH(150,'Fund Research'!$U$6:$U$505,0)),"")</f>
        <v/>
      </c>
    </row>
    <row r="156" customFormat="false" ht="15" hidden="false" customHeight="true" outlineLevel="0" collapsed="false">
      <c r="A156" s="33" t="str">
        <f aca="false">IFERROR(IF(INDEX('Fund Research'!$B$6:$B$505,MATCH(151,'Fund Research'!$U$6:$U$505,0))="","",151),"")</f>
        <v/>
      </c>
      <c r="B156" s="34" t="str">
        <f aca="false">IFERROR(INDEX('Fund Research'!$A$6:$A$505,MATCH(151,'Fund Research'!$U$6:$U$505,0)),"")</f>
        <v/>
      </c>
      <c r="C156" s="34" t="str">
        <f aca="false">IFERROR(INDEX('Fund Research'!$B$6:$B$505,MATCH(151,'Fund Research'!$U$6:$U$505,0)),"")</f>
        <v/>
      </c>
      <c r="D156" s="34" t="str">
        <f aca="false">IFERROR(INDEX('Fund Research'!$C$6:$C$505,MATCH(151,'Fund Research'!$U$6:$U$505,0)),"")</f>
        <v/>
      </c>
      <c r="E156" s="35" t="str">
        <f aca="false">IFERROR(INDEX('Fund Research'!$G$6:$G$505,MATCH(151,'Fund Research'!$U$6:$U$505,0)),"")</f>
        <v/>
      </c>
      <c r="F156" s="35" t="str">
        <f aca="false">IFERROR(INDEX('Fund Research'!$H$6:$H$505,MATCH(151,'Fund Research'!$U$6:$U$505,0)),"")</f>
        <v/>
      </c>
      <c r="G156" s="35" t="str">
        <f aca="false">IFERROR(INDEX('Fund Research'!$I$6:$I$505,MATCH(151,'Fund Research'!$U$6:$U$505,0)),"")</f>
        <v/>
      </c>
      <c r="H156" s="36" t="str">
        <f aca="false">IFERROR(INDEX('Fund Research'!$J$6:$J$505,MATCH(151,'Fund Research'!$U$6:$U$505,0)),"")</f>
        <v/>
      </c>
      <c r="I156" s="37" t="str">
        <f aca="false">IFERROR(INDEX('Fund Research'!$L$6:$L$505,MATCH(151,'Fund Research'!$U$6:$U$505,0)),"")</f>
        <v/>
      </c>
      <c r="J156" s="36" t="str">
        <f aca="false">IFERROR(INDEX('Fund Research'!$N$6:$N$505,MATCH(151,'Fund Research'!$U$6:$U$505,0)),"")</f>
        <v/>
      </c>
      <c r="K156" s="36" t="str">
        <f aca="false">IFERROR(INDEX('Fund Research'!$P$6:$P$505,MATCH(151,'Fund Research'!$U$6:$U$505,0)),"")</f>
        <v/>
      </c>
      <c r="L156" s="34" t="str">
        <f aca="false">IFERROR(INDEX('Fund Research'!$S$6:$S$505,MATCH(151,'Fund Research'!$U$6:$U$505,0)),"")</f>
        <v/>
      </c>
      <c r="M156" s="34" t="str">
        <f aca="false">IFERROR(INDEX('Fund Research'!$T$6:$T$505,MATCH(151,'Fund Research'!$U$6:$U$505,0)),"")</f>
        <v/>
      </c>
    </row>
    <row r="157" customFormat="false" ht="15" hidden="false" customHeight="true" outlineLevel="0" collapsed="false">
      <c r="A157" s="33" t="str">
        <f aca="false">IFERROR(IF(INDEX('Fund Research'!$B$6:$B$505,MATCH(152,'Fund Research'!$U$6:$U$505,0))="","",152),"")</f>
        <v/>
      </c>
      <c r="B157" s="34" t="str">
        <f aca="false">IFERROR(INDEX('Fund Research'!$A$6:$A$505,MATCH(152,'Fund Research'!$U$6:$U$505,0)),"")</f>
        <v/>
      </c>
      <c r="C157" s="34" t="str">
        <f aca="false">IFERROR(INDEX('Fund Research'!$B$6:$B$505,MATCH(152,'Fund Research'!$U$6:$U$505,0)),"")</f>
        <v/>
      </c>
      <c r="D157" s="34" t="str">
        <f aca="false">IFERROR(INDEX('Fund Research'!$C$6:$C$505,MATCH(152,'Fund Research'!$U$6:$U$505,0)),"")</f>
        <v/>
      </c>
      <c r="E157" s="35" t="str">
        <f aca="false">IFERROR(INDEX('Fund Research'!$G$6:$G$505,MATCH(152,'Fund Research'!$U$6:$U$505,0)),"")</f>
        <v/>
      </c>
      <c r="F157" s="35" t="str">
        <f aca="false">IFERROR(INDEX('Fund Research'!$H$6:$H$505,MATCH(152,'Fund Research'!$U$6:$U$505,0)),"")</f>
        <v/>
      </c>
      <c r="G157" s="35" t="str">
        <f aca="false">IFERROR(INDEX('Fund Research'!$I$6:$I$505,MATCH(152,'Fund Research'!$U$6:$U$505,0)),"")</f>
        <v/>
      </c>
      <c r="H157" s="36" t="str">
        <f aca="false">IFERROR(INDEX('Fund Research'!$J$6:$J$505,MATCH(152,'Fund Research'!$U$6:$U$505,0)),"")</f>
        <v/>
      </c>
      <c r="I157" s="37" t="str">
        <f aca="false">IFERROR(INDEX('Fund Research'!$L$6:$L$505,MATCH(152,'Fund Research'!$U$6:$U$505,0)),"")</f>
        <v/>
      </c>
      <c r="J157" s="36" t="str">
        <f aca="false">IFERROR(INDEX('Fund Research'!$N$6:$N$505,MATCH(152,'Fund Research'!$U$6:$U$505,0)),"")</f>
        <v/>
      </c>
      <c r="K157" s="36" t="str">
        <f aca="false">IFERROR(INDEX('Fund Research'!$P$6:$P$505,MATCH(152,'Fund Research'!$U$6:$U$505,0)),"")</f>
        <v/>
      </c>
      <c r="L157" s="34" t="str">
        <f aca="false">IFERROR(INDEX('Fund Research'!$S$6:$S$505,MATCH(152,'Fund Research'!$U$6:$U$505,0)),"")</f>
        <v/>
      </c>
      <c r="M157" s="34" t="str">
        <f aca="false">IFERROR(INDEX('Fund Research'!$T$6:$T$505,MATCH(152,'Fund Research'!$U$6:$U$505,0)),"")</f>
        <v/>
      </c>
    </row>
    <row r="158" customFormat="false" ht="15" hidden="false" customHeight="true" outlineLevel="0" collapsed="false">
      <c r="A158" s="33" t="str">
        <f aca="false">IFERROR(IF(INDEX('Fund Research'!$B$6:$B$505,MATCH(153,'Fund Research'!$U$6:$U$505,0))="","",153),"")</f>
        <v/>
      </c>
      <c r="B158" s="34" t="str">
        <f aca="false">IFERROR(INDEX('Fund Research'!$A$6:$A$505,MATCH(153,'Fund Research'!$U$6:$U$505,0)),"")</f>
        <v/>
      </c>
      <c r="C158" s="34" t="str">
        <f aca="false">IFERROR(INDEX('Fund Research'!$B$6:$B$505,MATCH(153,'Fund Research'!$U$6:$U$505,0)),"")</f>
        <v/>
      </c>
      <c r="D158" s="34" t="str">
        <f aca="false">IFERROR(INDEX('Fund Research'!$C$6:$C$505,MATCH(153,'Fund Research'!$U$6:$U$505,0)),"")</f>
        <v/>
      </c>
      <c r="E158" s="35" t="str">
        <f aca="false">IFERROR(INDEX('Fund Research'!$G$6:$G$505,MATCH(153,'Fund Research'!$U$6:$U$505,0)),"")</f>
        <v/>
      </c>
      <c r="F158" s="35" t="str">
        <f aca="false">IFERROR(INDEX('Fund Research'!$H$6:$H$505,MATCH(153,'Fund Research'!$U$6:$U$505,0)),"")</f>
        <v/>
      </c>
      <c r="G158" s="35" t="str">
        <f aca="false">IFERROR(INDEX('Fund Research'!$I$6:$I$505,MATCH(153,'Fund Research'!$U$6:$U$505,0)),"")</f>
        <v/>
      </c>
      <c r="H158" s="36" t="str">
        <f aca="false">IFERROR(INDEX('Fund Research'!$J$6:$J$505,MATCH(153,'Fund Research'!$U$6:$U$505,0)),"")</f>
        <v/>
      </c>
      <c r="I158" s="37" t="str">
        <f aca="false">IFERROR(INDEX('Fund Research'!$L$6:$L$505,MATCH(153,'Fund Research'!$U$6:$U$505,0)),"")</f>
        <v/>
      </c>
      <c r="J158" s="36" t="str">
        <f aca="false">IFERROR(INDEX('Fund Research'!$N$6:$N$505,MATCH(153,'Fund Research'!$U$6:$U$505,0)),"")</f>
        <v/>
      </c>
      <c r="K158" s="36" t="str">
        <f aca="false">IFERROR(INDEX('Fund Research'!$P$6:$P$505,MATCH(153,'Fund Research'!$U$6:$U$505,0)),"")</f>
        <v/>
      </c>
      <c r="L158" s="34" t="str">
        <f aca="false">IFERROR(INDEX('Fund Research'!$S$6:$S$505,MATCH(153,'Fund Research'!$U$6:$U$505,0)),"")</f>
        <v/>
      </c>
      <c r="M158" s="34" t="str">
        <f aca="false">IFERROR(INDEX('Fund Research'!$T$6:$T$505,MATCH(153,'Fund Research'!$U$6:$U$505,0)),"")</f>
        <v/>
      </c>
    </row>
    <row r="159" customFormat="false" ht="15" hidden="false" customHeight="true" outlineLevel="0" collapsed="false">
      <c r="A159" s="33" t="str">
        <f aca="false">IFERROR(IF(INDEX('Fund Research'!$B$6:$B$505,MATCH(154,'Fund Research'!$U$6:$U$505,0))="","",154),"")</f>
        <v/>
      </c>
      <c r="B159" s="34" t="str">
        <f aca="false">IFERROR(INDEX('Fund Research'!$A$6:$A$505,MATCH(154,'Fund Research'!$U$6:$U$505,0)),"")</f>
        <v/>
      </c>
      <c r="C159" s="34" t="str">
        <f aca="false">IFERROR(INDEX('Fund Research'!$B$6:$B$505,MATCH(154,'Fund Research'!$U$6:$U$505,0)),"")</f>
        <v/>
      </c>
      <c r="D159" s="34" t="str">
        <f aca="false">IFERROR(INDEX('Fund Research'!$C$6:$C$505,MATCH(154,'Fund Research'!$U$6:$U$505,0)),"")</f>
        <v/>
      </c>
      <c r="E159" s="35" t="str">
        <f aca="false">IFERROR(INDEX('Fund Research'!$G$6:$G$505,MATCH(154,'Fund Research'!$U$6:$U$505,0)),"")</f>
        <v/>
      </c>
      <c r="F159" s="35" t="str">
        <f aca="false">IFERROR(INDEX('Fund Research'!$H$6:$H$505,MATCH(154,'Fund Research'!$U$6:$U$505,0)),"")</f>
        <v/>
      </c>
      <c r="G159" s="35" t="str">
        <f aca="false">IFERROR(INDEX('Fund Research'!$I$6:$I$505,MATCH(154,'Fund Research'!$U$6:$U$505,0)),"")</f>
        <v/>
      </c>
      <c r="H159" s="36" t="str">
        <f aca="false">IFERROR(INDEX('Fund Research'!$J$6:$J$505,MATCH(154,'Fund Research'!$U$6:$U$505,0)),"")</f>
        <v/>
      </c>
      <c r="I159" s="37" t="str">
        <f aca="false">IFERROR(INDEX('Fund Research'!$L$6:$L$505,MATCH(154,'Fund Research'!$U$6:$U$505,0)),"")</f>
        <v/>
      </c>
      <c r="J159" s="36" t="str">
        <f aca="false">IFERROR(INDEX('Fund Research'!$N$6:$N$505,MATCH(154,'Fund Research'!$U$6:$U$505,0)),"")</f>
        <v/>
      </c>
      <c r="K159" s="36" t="str">
        <f aca="false">IFERROR(INDEX('Fund Research'!$P$6:$P$505,MATCH(154,'Fund Research'!$U$6:$U$505,0)),"")</f>
        <v/>
      </c>
      <c r="L159" s="34" t="str">
        <f aca="false">IFERROR(INDEX('Fund Research'!$S$6:$S$505,MATCH(154,'Fund Research'!$U$6:$U$505,0)),"")</f>
        <v/>
      </c>
      <c r="M159" s="34" t="str">
        <f aca="false">IFERROR(INDEX('Fund Research'!$T$6:$T$505,MATCH(154,'Fund Research'!$U$6:$U$505,0)),"")</f>
        <v/>
      </c>
    </row>
    <row r="160" customFormat="false" ht="15" hidden="false" customHeight="true" outlineLevel="0" collapsed="false">
      <c r="A160" s="33" t="str">
        <f aca="false">IFERROR(IF(INDEX('Fund Research'!$B$6:$B$505,MATCH(155,'Fund Research'!$U$6:$U$505,0))="","",155),"")</f>
        <v/>
      </c>
      <c r="B160" s="34" t="str">
        <f aca="false">IFERROR(INDEX('Fund Research'!$A$6:$A$505,MATCH(155,'Fund Research'!$U$6:$U$505,0)),"")</f>
        <v/>
      </c>
      <c r="C160" s="34" t="str">
        <f aca="false">IFERROR(INDEX('Fund Research'!$B$6:$B$505,MATCH(155,'Fund Research'!$U$6:$U$505,0)),"")</f>
        <v/>
      </c>
      <c r="D160" s="34" t="str">
        <f aca="false">IFERROR(INDEX('Fund Research'!$C$6:$C$505,MATCH(155,'Fund Research'!$U$6:$U$505,0)),"")</f>
        <v/>
      </c>
      <c r="E160" s="35" t="str">
        <f aca="false">IFERROR(INDEX('Fund Research'!$G$6:$G$505,MATCH(155,'Fund Research'!$U$6:$U$505,0)),"")</f>
        <v/>
      </c>
      <c r="F160" s="35" t="str">
        <f aca="false">IFERROR(INDEX('Fund Research'!$H$6:$H$505,MATCH(155,'Fund Research'!$U$6:$U$505,0)),"")</f>
        <v/>
      </c>
      <c r="G160" s="35" t="str">
        <f aca="false">IFERROR(INDEX('Fund Research'!$I$6:$I$505,MATCH(155,'Fund Research'!$U$6:$U$505,0)),"")</f>
        <v/>
      </c>
      <c r="H160" s="36" t="str">
        <f aca="false">IFERROR(INDEX('Fund Research'!$J$6:$J$505,MATCH(155,'Fund Research'!$U$6:$U$505,0)),"")</f>
        <v/>
      </c>
      <c r="I160" s="37" t="str">
        <f aca="false">IFERROR(INDEX('Fund Research'!$L$6:$L$505,MATCH(155,'Fund Research'!$U$6:$U$505,0)),"")</f>
        <v/>
      </c>
      <c r="J160" s="36" t="str">
        <f aca="false">IFERROR(INDEX('Fund Research'!$N$6:$N$505,MATCH(155,'Fund Research'!$U$6:$U$505,0)),"")</f>
        <v/>
      </c>
      <c r="K160" s="36" t="str">
        <f aca="false">IFERROR(INDEX('Fund Research'!$P$6:$P$505,MATCH(155,'Fund Research'!$U$6:$U$505,0)),"")</f>
        <v/>
      </c>
      <c r="L160" s="34" t="str">
        <f aca="false">IFERROR(INDEX('Fund Research'!$S$6:$S$505,MATCH(155,'Fund Research'!$U$6:$U$505,0)),"")</f>
        <v/>
      </c>
      <c r="M160" s="34" t="str">
        <f aca="false">IFERROR(INDEX('Fund Research'!$T$6:$T$505,MATCH(155,'Fund Research'!$U$6:$U$505,0)),"")</f>
        <v/>
      </c>
    </row>
    <row r="161" customFormat="false" ht="15" hidden="false" customHeight="true" outlineLevel="0" collapsed="false">
      <c r="A161" s="33" t="str">
        <f aca="false">IFERROR(IF(INDEX('Fund Research'!$B$6:$B$505,MATCH(156,'Fund Research'!$U$6:$U$505,0))="","",156),"")</f>
        <v/>
      </c>
      <c r="B161" s="34" t="str">
        <f aca="false">IFERROR(INDEX('Fund Research'!$A$6:$A$505,MATCH(156,'Fund Research'!$U$6:$U$505,0)),"")</f>
        <v/>
      </c>
      <c r="C161" s="34" t="str">
        <f aca="false">IFERROR(INDEX('Fund Research'!$B$6:$B$505,MATCH(156,'Fund Research'!$U$6:$U$505,0)),"")</f>
        <v/>
      </c>
      <c r="D161" s="34" t="str">
        <f aca="false">IFERROR(INDEX('Fund Research'!$C$6:$C$505,MATCH(156,'Fund Research'!$U$6:$U$505,0)),"")</f>
        <v/>
      </c>
      <c r="E161" s="35" t="str">
        <f aca="false">IFERROR(INDEX('Fund Research'!$G$6:$G$505,MATCH(156,'Fund Research'!$U$6:$U$505,0)),"")</f>
        <v/>
      </c>
      <c r="F161" s="35" t="str">
        <f aca="false">IFERROR(INDEX('Fund Research'!$H$6:$H$505,MATCH(156,'Fund Research'!$U$6:$U$505,0)),"")</f>
        <v/>
      </c>
      <c r="G161" s="35" t="str">
        <f aca="false">IFERROR(INDEX('Fund Research'!$I$6:$I$505,MATCH(156,'Fund Research'!$U$6:$U$505,0)),"")</f>
        <v/>
      </c>
      <c r="H161" s="36" t="str">
        <f aca="false">IFERROR(INDEX('Fund Research'!$J$6:$J$505,MATCH(156,'Fund Research'!$U$6:$U$505,0)),"")</f>
        <v/>
      </c>
      <c r="I161" s="37" t="str">
        <f aca="false">IFERROR(INDEX('Fund Research'!$L$6:$L$505,MATCH(156,'Fund Research'!$U$6:$U$505,0)),"")</f>
        <v/>
      </c>
      <c r="J161" s="36" t="str">
        <f aca="false">IFERROR(INDEX('Fund Research'!$N$6:$N$505,MATCH(156,'Fund Research'!$U$6:$U$505,0)),"")</f>
        <v/>
      </c>
      <c r="K161" s="36" t="str">
        <f aca="false">IFERROR(INDEX('Fund Research'!$P$6:$P$505,MATCH(156,'Fund Research'!$U$6:$U$505,0)),"")</f>
        <v/>
      </c>
      <c r="L161" s="34" t="str">
        <f aca="false">IFERROR(INDEX('Fund Research'!$S$6:$S$505,MATCH(156,'Fund Research'!$U$6:$U$505,0)),"")</f>
        <v/>
      </c>
      <c r="M161" s="34" t="str">
        <f aca="false">IFERROR(INDEX('Fund Research'!$T$6:$T$505,MATCH(156,'Fund Research'!$U$6:$U$505,0)),"")</f>
        <v/>
      </c>
    </row>
    <row r="162" customFormat="false" ht="15" hidden="false" customHeight="true" outlineLevel="0" collapsed="false">
      <c r="A162" s="33" t="str">
        <f aca="false">IFERROR(IF(INDEX('Fund Research'!$B$6:$B$505,MATCH(157,'Fund Research'!$U$6:$U$505,0))="","",157),"")</f>
        <v/>
      </c>
      <c r="B162" s="34" t="str">
        <f aca="false">IFERROR(INDEX('Fund Research'!$A$6:$A$505,MATCH(157,'Fund Research'!$U$6:$U$505,0)),"")</f>
        <v/>
      </c>
      <c r="C162" s="34" t="str">
        <f aca="false">IFERROR(INDEX('Fund Research'!$B$6:$B$505,MATCH(157,'Fund Research'!$U$6:$U$505,0)),"")</f>
        <v/>
      </c>
      <c r="D162" s="34" t="str">
        <f aca="false">IFERROR(INDEX('Fund Research'!$C$6:$C$505,MATCH(157,'Fund Research'!$U$6:$U$505,0)),"")</f>
        <v/>
      </c>
      <c r="E162" s="35" t="str">
        <f aca="false">IFERROR(INDEX('Fund Research'!$G$6:$G$505,MATCH(157,'Fund Research'!$U$6:$U$505,0)),"")</f>
        <v/>
      </c>
      <c r="F162" s="35" t="str">
        <f aca="false">IFERROR(INDEX('Fund Research'!$H$6:$H$505,MATCH(157,'Fund Research'!$U$6:$U$505,0)),"")</f>
        <v/>
      </c>
      <c r="G162" s="35" t="str">
        <f aca="false">IFERROR(INDEX('Fund Research'!$I$6:$I$505,MATCH(157,'Fund Research'!$U$6:$U$505,0)),"")</f>
        <v/>
      </c>
      <c r="H162" s="36" t="str">
        <f aca="false">IFERROR(INDEX('Fund Research'!$J$6:$J$505,MATCH(157,'Fund Research'!$U$6:$U$505,0)),"")</f>
        <v/>
      </c>
      <c r="I162" s="37" t="str">
        <f aca="false">IFERROR(INDEX('Fund Research'!$L$6:$L$505,MATCH(157,'Fund Research'!$U$6:$U$505,0)),"")</f>
        <v/>
      </c>
      <c r="J162" s="36" t="str">
        <f aca="false">IFERROR(INDEX('Fund Research'!$N$6:$N$505,MATCH(157,'Fund Research'!$U$6:$U$505,0)),"")</f>
        <v/>
      </c>
      <c r="K162" s="36" t="str">
        <f aca="false">IFERROR(INDEX('Fund Research'!$P$6:$P$505,MATCH(157,'Fund Research'!$U$6:$U$505,0)),"")</f>
        <v/>
      </c>
      <c r="L162" s="34" t="str">
        <f aca="false">IFERROR(INDEX('Fund Research'!$S$6:$S$505,MATCH(157,'Fund Research'!$U$6:$U$505,0)),"")</f>
        <v/>
      </c>
      <c r="M162" s="34" t="str">
        <f aca="false">IFERROR(INDEX('Fund Research'!$T$6:$T$505,MATCH(157,'Fund Research'!$U$6:$U$505,0)),"")</f>
        <v/>
      </c>
    </row>
    <row r="163" customFormat="false" ht="15" hidden="false" customHeight="true" outlineLevel="0" collapsed="false">
      <c r="A163" s="33" t="str">
        <f aca="false">IFERROR(IF(INDEX('Fund Research'!$B$6:$B$505,MATCH(158,'Fund Research'!$U$6:$U$505,0))="","",158),"")</f>
        <v/>
      </c>
      <c r="B163" s="34" t="str">
        <f aca="false">IFERROR(INDEX('Fund Research'!$A$6:$A$505,MATCH(158,'Fund Research'!$U$6:$U$505,0)),"")</f>
        <v/>
      </c>
      <c r="C163" s="34" t="str">
        <f aca="false">IFERROR(INDEX('Fund Research'!$B$6:$B$505,MATCH(158,'Fund Research'!$U$6:$U$505,0)),"")</f>
        <v/>
      </c>
      <c r="D163" s="34" t="str">
        <f aca="false">IFERROR(INDEX('Fund Research'!$C$6:$C$505,MATCH(158,'Fund Research'!$U$6:$U$505,0)),"")</f>
        <v/>
      </c>
      <c r="E163" s="35" t="str">
        <f aca="false">IFERROR(INDEX('Fund Research'!$G$6:$G$505,MATCH(158,'Fund Research'!$U$6:$U$505,0)),"")</f>
        <v/>
      </c>
      <c r="F163" s="35" t="str">
        <f aca="false">IFERROR(INDEX('Fund Research'!$H$6:$H$505,MATCH(158,'Fund Research'!$U$6:$U$505,0)),"")</f>
        <v/>
      </c>
      <c r="G163" s="35" t="str">
        <f aca="false">IFERROR(INDEX('Fund Research'!$I$6:$I$505,MATCH(158,'Fund Research'!$U$6:$U$505,0)),"")</f>
        <v/>
      </c>
      <c r="H163" s="36" t="str">
        <f aca="false">IFERROR(INDEX('Fund Research'!$J$6:$J$505,MATCH(158,'Fund Research'!$U$6:$U$505,0)),"")</f>
        <v/>
      </c>
      <c r="I163" s="37" t="str">
        <f aca="false">IFERROR(INDEX('Fund Research'!$L$6:$L$505,MATCH(158,'Fund Research'!$U$6:$U$505,0)),"")</f>
        <v/>
      </c>
      <c r="J163" s="36" t="str">
        <f aca="false">IFERROR(INDEX('Fund Research'!$N$6:$N$505,MATCH(158,'Fund Research'!$U$6:$U$505,0)),"")</f>
        <v/>
      </c>
      <c r="K163" s="36" t="str">
        <f aca="false">IFERROR(INDEX('Fund Research'!$P$6:$P$505,MATCH(158,'Fund Research'!$U$6:$U$505,0)),"")</f>
        <v/>
      </c>
      <c r="L163" s="34" t="str">
        <f aca="false">IFERROR(INDEX('Fund Research'!$S$6:$S$505,MATCH(158,'Fund Research'!$U$6:$U$505,0)),"")</f>
        <v/>
      </c>
      <c r="M163" s="34" t="str">
        <f aca="false">IFERROR(INDEX('Fund Research'!$T$6:$T$505,MATCH(158,'Fund Research'!$U$6:$U$505,0)),"")</f>
        <v/>
      </c>
    </row>
    <row r="164" customFormat="false" ht="15" hidden="false" customHeight="true" outlineLevel="0" collapsed="false">
      <c r="A164" s="33" t="str">
        <f aca="false">IFERROR(IF(INDEX('Fund Research'!$B$6:$B$505,MATCH(159,'Fund Research'!$U$6:$U$505,0))="","",159),"")</f>
        <v/>
      </c>
      <c r="B164" s="34" t="str">
        <f aca="false">IFERROR(INDEX('Fund Research'!$A$6:$A$505,MATCH(159,'Fund Research'!$U$6:$U$505,0)),"")</f>
        <v/>
      </c>
      <c r="C164" s="34" t="str">
        <f aca="false">IFERROR(INDEX('Fund Research'!$B$6:$B$505,MATCH(159,'Fund Research'!$U$6:$U$505,0)),"")</f>
        <v/>
      </c>
      <c r="D164" s="34" t="str">
        <f aca="false">IFERROR(INDEX('Fund Research'!$C$6:$C$505,MATCH(159,'Fund Research'!$U$6:$U$505,0)),"")</f>
        <v/>
      </c>
      <c r="E164" s="35" t="str">
        <f aca="false">IFERROR(INDEX('Fund Research'!$G$6:$G$505,MATCH(159,'Fund Research'!$U$6:$U$505,0)),"")</f>
        <v/>
      </c>
      <c r="F164" s="35" t="str">
        <f aca="false">IFERROR(INDEX('Fund Research'!$H$6:$H$505,MATCH(159,'Fund Research'!$U$6:$U$505,0)),"")</f>
        <v/>
      </c>
      <c r="G164" s="35" t="str">
        <f aca="false">IFERROR(INDEX('Fund Research'!$I$6:$I$505,MATCH(159,'Fund Research'!$U$6:$U$505,0)),"")</f>
        <v/>
      </c>
      <c r="H164" s="36" t="str">
        <f aca="false">IFERROR(INDEX('Fund Research'!$J$6:$J$505,MATCH(159,'Fund Research'!$U$6:$U$505,0)),"")</f>
        <v/>
      </c>
      <c r="I164" s="37" t="str">
        <f aca="false">IFERROR(INDEX('Fund Research'!$L$6:$L$505,MATCH(159,'Fund Research'!$U$6:$U$505,0)),"")</f>
        <v/>
      </c>
      <c r="J164" s="36" t="str">
        <f aca="false">IFERROR(INDEX('Fund Research'!$N$6:$N$505,MATCH(159,'Fund Research'!$U$6:$U$505,0)),"")</f>
        <v/>
      </c>
      <c r="K164" s="36" t="str">
        <f aca="false">IFERROR(INDEX('Fund Research'!$P$6:$P$505,MATCH(159,'Fund Research'!$U$6:$U$505,0)),"")</f>
        <v/>
      </c>
      <c r="L164" s="34" t="str">
        <f aca="false">IFERROR(INDEX('Fund Research'!$S$6:$S$505,MATCH(159,'Fund Research'!$U$6:$U$505,0)),"")</f>
        <v/>
      </c>
      <c r="M164" s="34" t="str">
        <f aca="false">IFERROR(INDEX('Fund Research'!$T$6:$T$505,MATCH(159,'Fund Research'!$U$6:$U$505,0)),"")</f>
        <v/>
      </c>
    </row>
    <row r="165" customFormat="false" ht="15" hidden="false" customHeight="true" outlineLevel="0" collapsed="false">
      <c r="A165" s="33" t="str">
        <f aca="false">IFERROR(IF(INDEX('Fund Research'!$B$6:$B$505,MATCH(160,'Fund Research'!$U$6:$U$505,0))="","",160),"")</f>
        <v/>
      </c>
      <c r="B165" s="34" t="str">
        <f aca="false">IFERROR(INDEX('Fund Research'!$A$6:$A$505,MATCH(160,'Fund Research'!$U$6:$U$505,0)),"")</f>
        <v/>
      </c>
      <c r="C165" s="34" t="str">
        <f aca="false">IFERROR(INDEX('Fund Research'!$B$6:$B$505,MATCH(160,'Fund Research'!$U$6:$U$505,0)),"")</f>
        <v/>
      </c>
      <c r="D165" s="34" t="str">
        <f aca="false">IFERROR(INDEX('Fund Research'!$C$6:$C$505,MATCH(160,'Fund Research'!$U$6:$U$505,0)),"")</f>
        <v/>
      </c>
      <c r="E165" s="35" t="str">
        <f aca="false">IFERROR(INDEX('Fund Research'!$G$6:$G$505,MATCH(160,'Fund Research'!$U$6:$U$505,0)),"")</f>
        <v/>
      </c>
      <c r="F165" s="35" t="str">
        <f aca="false">IFERROR(INDEX('Fund Research'!$H$6:$H$505,MATCH(160,'Fund Research'!$U$6:$U$505,0)),"")</f>
        <v/>
      </c>
      <c r="G165" s="35" t="str">
        <f aca="false">IFERROR(INDEX('Fund Research'!$I$6:$I$505,MATCH(160,'Fund Research'!$U$6:$U$505,0)),"")</f>
        <v/>
      </c>
      <c r="H165" s="36" t="str">
        <f aca="false">IFERROR(INDEX('Fund Research'!$J$6:$J$505,MATCH(160,'Fund Research'!$U$6:$U$505,0)),"")</f>
        <v/>
      </c>
      <c r="I165" s="37" t="str">
        <f aca="false">IFERROR(INDEX('Fund Research'!$L$6:$L$505,MATCH(160,'Fund Research'!$U$6:$U$505,0)),"")</f>
        <v/>
      </c>
      <c r="J165" s="36" t="str">
        <f aca="false">IFERROR(INDEX('Fund Research'!$N$6:$N$505,MATCH(160,'Fund Research'!$U$6:$U$505,0)),"")</f>
        <v/>
      </c>
      <c r="K165" s="36" t="str">
        <f aca="false">IFERROR(INDEX('Fund Research'!$P$6:$P$505,MATCH(160,'Fund Research'!$U$6:$U$505,0)),"")</f>
        <v/>
      </c>
      <c r="L165" s="34" t="str">
        <f aca="false">IFERROR(INDEX('Fund Research'!$S$6:$S$505,MATCH(160,'Fund Research'!$U$6:$U$505,0)),"")</f>
        <v/>
      </c>
      <c r="M165" s="34" t="str">
        <f aca="false">IFERROR(INDEX('Fund Research'!$T$6:$T$505,MATCH(160,'Fund Research'!$U$6:$U$505,0)),"")</f>
        <v/>
      </c>
    </row>
    <row r="166" customFormat="false" ht="15" hidden="false" customHeight="true" outlineLevel="0" collapsed="false">
      <c r="A166" s="33" t="str">
        <f aca="false">IFERROR(IF(INDEX('Fund Research'!$B$6:$B$505,MATCH(161,'Fund Research'!$U$6:$U$505,0))="","",161),"")</f>
        <v/>
      </c>
      <c r="B166" s="34" t="str">
        <f aca="false">IFERROR(INDEX('Fund Research'!$A$6:$A$505,MATCH(161,'Fund Research'!$U$6:$U$505,0)),"")</f>
        <v/>
      </c>
      <c r="C166" s="34" t="str">
        <f aca="false">IFERROR(INDEX('Fund Research'!$B$6:$B$505,MATCH(161,'Fund Research'!$U$6:$U$505,0)),"")</f>
        <v/>
      </c>
      <c r="D166" s="34" t="str">
        <f aca="false">IFERROR(INDEX('Fund Research'!$C$6:$C$505,MATCH(161,'Fund Research'!$U$6:$U$505,0)),"")</f>
        <v/>
      </c>
      <c r="E166" s="35" t="str">
        <f aca="false">IFERROR(INDEX('Fund Research'!$G$6:$G$505,MATCH(161,'Fund Research'!$U$6:$U$505,0)),"")</f>
        <v/>
      </c>
      <c r="F166" s="35" t="str">
        <f aca="false">IFERROR(INDEX('Fund Research'!$H$6:$H$505,MATCH(161,'Fund Research'!$U$6:$U$505,0)),"")</f>
        <v/>
      </c>
      <c r="G166" s="35" t="str">
        <f aca="false">IFERROR(INDEX('Fund Research'!$I$6:$I$505,MATCH(161,'Fund Research'!$U$6:$U$505,0)),"")</f>
        <v/>
      </c>
      <c r="H166" s="36" t="str">
        <f aca="false">IFERROR(INDEX('Fund Research'!$J$6:$J$505,MATCH(161,'Fund Research'!$U$6:$U$505,0)),"")</f>
        <v/>
      </c>
      <c r="I166" s="37" t="str">
        <f aca="false">IFERROR(INDEX('Fund Research'!$L$6:$L$505,MATCH(161,'Fund Research'!$U$6:$U$505,0)),"")</f>
        <v/>
      </c>
      <c r="J166" s="36" t="str">
        <f aca="false">IFERROR(INDEX('Fund Research'!$N$6:$N$505,MATCH(161,'Fund Research'!$U$6:$U$505,0)),"")</f>
        <v/>
      </c>
      <c r="K166" s="36" t="str">
        <f aca="false">IFERROR(INDEX('Fund Research'!$P$6:$P$505,MATCH(161,'Fund Research'!$U$6:$U$505,0)),"")</f>
        <v/>
      </c>
      <c r="L166" s="34" t="str">
        <f aca="false">IFERROR(INDEX('Fund Research'!$S$6:$S$505,MATCH(161,'Fund Research'!$U$6:$U$505,0)),"")</f>
        <v/>
      </c>
      <c r="M166" s="34" t="str">
        <f aca="false">IFERROR(INDEX('Fund Research'!$T$6:$T$505,MATCH(161,'Fund Research'!$U$6:$U$505,0)),"")</f>
        <v/>
      </c>
    </row>
    <row r="167" customFormat="false" ht="15" hidden="false" customHeight="true" outlineLevel="0" collapsed="false">
      <c r="A167" s="33" t="str">
        <f aca="false">IFERROR(IF(INDEX('Fund Research'!$B$6:$B$505,MATCH(162,'Fund Research'!$U$6:$U$505,0))="","",162),"")</f>
        <v/>
      </c>
      <c r="B167" s="34" t="str">
        <f aca="false">IFERROR(INDEX('Fund Research'!$A$6:$A$505,MATCH(162,'Fund Research'!$U$6:$U$505,0)),"")</f>
        <v/>
      </c>
      <c r="C167" s="34" t="str">
        <f aca="false">IFERROR(INDEX('Fund Research'!$B$6:$B$505,MATCH(162,'Fund Research'!$U$6:$U$505,0)),"")</f>
        <v/>
      </c>
      <c r="D167" s="34" t="str">
        <f aca="false">IFERROR(INDEX('Fund Research'!$C$6:$C$505,MATCH(162,'Fund Research'!$U$6:$U$505,0)),"")</f>
        <v/>
      </c>
      <c r="E167" s="35" t="str">
        <f aca="false">IFERROR(INDEX('Fund Research'!$G$6:$G$505,MATCH(162,'Fund Research'!$U$6:$U$505,0)),"")</f>
        <v/>
      </c>
      <c r="F167" s="35" t="str">
        <f aca="false">IFERROR(INDEX('Fund Research'!$H$6:$H$505,MATCH(162,'Fund Research'!$U$6:$U$505,0)),"")</f>
        <v/>
      </c>
      <c r="G167" s="35" t="str">
        <f aca="false">IFERROR(INDEX('Fund Research'!$I$6:$I$505,MATCH(162,'Fund Research'!$U$6:$U$505,0)),"")</f>
        <v/>
      </c>
      <c r="H167" s="36" t="str">
        <f aca="false">IFERROR(INDEX('Fund Research'!$J$6:$J$505,MATCH(162,'Fund Research'!$U$6:$U$505,0)),"")</f>
        <v/>
      </c>
      <c r="I167" s="37" t="str">
        <f aca="false">IFERROR(INDEX('Fund Research'!$L$6:$L$505,MATCH(162,'Fund Research'!$U$6:$U$505,0)),"")</f>
        <v/>
      </c>
      <c r="J167" s="36" t="str">
        <f aca="false">IFERROR(INDEX('Fund Research'!$N$6:$N$505,MATCH(162,'Fund Research'!$U$6:$U$505,0)),"")</f>
        <v/>
      </c>
      <c r="K167" s="36" t="str">
        <f aca="false">IFERROR(INDEX('Fund Research'!$P$6:$P$505,MATCH(162,'Fund Research'!$U$6:$U$505,0)),"")</f>
        <v/>
      </c>
      <c r="L167" s="34" t="str">
        <f aca="false">IFERROR(INDEX('Fund Research'!$S$6:$S$505,MATCH(162,'Fund Research'!$U$6:$U$505,0)),"")</f>
        <v/>
      </c>
      <c r="M167" s="34" t="str">
        <f aca="false">IFERROR(INDEX('Fund Research'!$T$6:$T$505,MATCH(162,'Fund Research'!$U$6:$U$505,0)),"")</f>
        <v/>
      </c>
    </row>
    <row r="168" customFormat="false" ht="15" hidden="false" customHeight="true" outlineLevel="0" collapsed="false">
      <c r="A168" s="33" t="str">
        <f aca="false">IFERROR(IF(INDEX('Fund Research'!$B$6:$B$505,MATCH(163,'Fund Research'!$U$6:$U$505,0))="","",163),"")</f>
        <v/>
      </c>
      <c r="B168" s="34" t="str">
        <f aca="false">IFERROR(INDEX('Fund Research'!$A$6:$A$505,MATCH(163,'Fund Research'!$U$6:$U$505,0)),"")</f>
        <v/>
      </c>
      <c r="C168" s="34" t="str">
        <f aca="false">IFERROR(INDEX('Fund Research'!$B$6:$B$505,MATCH(163,'Fund Research'!$U$6:$U$505,0)),"")</f>
        <v/>
      </c>
      <c r="D168" s="34" t="str">
        <f aca="false">IFERROR(INDEX('Fund Research'!$C$6:$C$505,MATCH(163,'Fund Research'!$U$6:$U$505,0)),"")</f>
        <v/>
      </c>
      <c r="E168" s="35" t="str">
        <f aca="false">IFERROR(INDEX('Fund Research'!$G$6:$G$505,MATCH(163,'Fund Research'!$U$6:$U$505,0)),"")</f>
        <v/>
      </c>
      <c r="F168" s="35" t="str">
        <f aca="false">IFERROR(INDEX('Fund Research'!$H$6:$H$505,MATCH(163,'Fund Research'!$U$6:$U$505,0)),"")</f>
        <v/>
      </c>
      <c r="G168" s="35" t="str">
        <f aca="false">IFERROR(INDEX('Fund Research'!$I$6:$I$505,MATCH(163,'Fund Research'!$U$6:$U$505,0)),"")</f>
        <v/>
      </c>
      <c r="H168" s="36" t="str">
        <f aca="false">IFERROR(INDEX('Fund Research'!$J$6:$J$505,MATCH(163,'Fund Research'!$U$6:$U$505,0)),"")</f>
        <v/>
      </c>
      <c r="I168" s="37" t="str">
        <f aca="false">IFERROR(INDEX('Fund Research'!$L$6:$L$505,MATCH(163,'Fund Research'!$U$6:$U$505,0)),"")</f>
        <v/>
      </c>
      <c r="J168" s="36" t="str">
        <f aca="false">IFERROR(INDEX('Fund Research'!$N$6:$N$505,MATCH(163,'Fund Research'!$U$6:$U$505,0)),"")</f>
        <v/>
      </c>
      <c r="K168" s="36" t="str">
        <f aca="false">IFERROR(INDEX('Fund Research'!$P$6:$P$505,MATCH(163,'Fund Research'!$U$6:$U$505,0)),"")</f>
        <v/>
      </c>
      <c r="L168" s="34" t="str">
        <f aca="false">IFERROR(INDEX('Fund Research'!$S$6:$S$505,MATCH(163,'Fund Research'!$U$6:$U$505,0)),"")</f>
        <v/>
      </c>
      <c r="M168" s="34" t="str">
        <f aca="false">IFERROR(INDEX('Fund Research'!$T$6:$T$505,MATCH(163,'Fund Research'!$U$6:$U$505,0)),"")</f>
        <v/>
      </c>
    </row>
    <row r="169" customFormat="false" ht="15" hidden="false" customHeight="true" outlineLevel="0" collapsed="false">
      <c r="A169" s="33" t="str">
        <f aca="false">IFERROR(IF(INDEX('Fund Research'!$B$6:$B$505,MATCH(164,'Fund Research'!$U$6:$U$505,0))="","",164),"")</f>
        <v/>
      </c>
      <c r="B169" s="34" t="str">
        <f aca="false">IFERROR(INDEX('Fund Research'!$A$6:$A$505,MATCH(164,'Fund Research'!$U$6:$U$505,0)),"")</f>
        <v/>
      </c>
      <c r="C169" s="34" t="str">
        <f aca="false">IFERROR(INDEX('Fund Research'!$B$6:$B$505,MATCH(164,'Fund Research'!$U$6:$U$505,0)),"")</f>
        <v/>
      </c>
      <c r="D169" s="34" t="str">
        <f aca="false">IFERROR(INDEX('Fund Research'!$C$6:$C$505,MATCH(164,'Fund Research'!$U$6:$U$505,0)),"")</f>
        <v/>
      </c>
      <c r="E169" s="35" t="str">
        <f aca="false">IFERROR(INDEX('Fund Research'!$G$6:$G$505,MATCH(164,'Fund Research'!$U$6:$U$505,0)),"")</f>
        <v/>
      </c>
      <c r="F169" s="35" t="str">
        <f aca="false">IFERROR(INDEX('Fund Research'!$H$6:$H$505,MATCH(164,'Fund Research'!$U$6:$U$505,0)),"")</f>
        <v/>
      </c>
      <c r="G169" s="35" t="str">
        <f aca="false">IFERROR(INDEX('Fund Research'!$I$6:$I$505,MATCH(164,'Fund Research'!$U$6:$U$505,0)),"")</f>
        <v/>
      </c>
      <c r="H169" s="36" t="str">
        <f aca="false">IFERROR(INDEX('Fund Research'!$J$6:$J$505,MATCH(164,'Fund Research'!$U$6:$U$505,0)),"")</f>
        <v/>
      </c>
      <c r="I169" s="37" t="str">
        <f aca="false">IFERROR(INDEX('Fund Research'!$L$6:$L$505,MATCH(164,'Fund Research'!$U$6:$U$505,0)),"")</f>
        <v/>
      </c>
      <c r="J169" s="36" t="str">
        <f aca="false">IFERROR(INDEX('Fund Research'!$N$6:$N$505,MATCH(164,'Fund Research'!$U$6:$U$505,0)),"")</f>
        <v/>
      </c>
      <c r="K169" s="36" t="str">
        <f aca="false">IFERROR(INDEX('Fund Research'!$P$6:$P$505,MATCH(164,'Fund Research'!$U$6:$U$505,0)),"")</f>
        <v/>
      </c>
      <c r="L169" s="34" t="str">
        <f aca="false">IFERROR(INDEX('Fund Research'!$S$6:$S$505,MATCH(164,'Fund Research'!$U$6:$U$505,0)),"")</f>
        <v/>
      </c>
      <c r="M169" s="34" t="str">
        <f aca="false">IFERROR(INDEX('Fund Research'!$T$6:$T$505,MATCH(164,'Fund Research'!$U$6:$U$505,0)),"")</f>
        <v/>
      </c>
    </row>
    <row r="170" customFormat="false" ht="15" hidden="false" customHeight="true" outlineLevel="0" collapsed="false">
      <c r="A170" s="33" t="str">
        <f aca="false">IFERROR(IF(INDEX('Fund Research'!$B$6:$B$505,MATCH(165,'Fund Research'!$U$6:$U$505,0))="","",165),"")</f>
        <v/>
      </c>
      <c r="B170" s="34" t="str">
        <f aca="false">IFERROR(INDEX('Fund Research'!$A$6:$A$505,MATCH(165,'Fund Research'!$U$6:$U$505,0)),"")</f>
        <v/>
      </c>
      <c r="C170" s="34" t="str">
        <f aca="false">IFERROR(INDEX('Fund Research'!$B$6:$B$505,MATCH(165,'Fund Research'!$U$6:$U$505,0)),"")</f>
        <v/>
      </c>
      <c r="D170" s="34" t="str">
        <f aca="false">IFERROR(INDEX('Fund Research'!$C$6:$C$505,MATCH(165,'Fund Research'!$U$6:$U$505,0)),"")</f>
        <v/>
      </c>
      <c r="E170" s="35" t="str">
        <f aca="false">IFERROR(INDEX('Fund Research'!$G$6:$G$505,MATCH(165,'Fund Research'!$U$6:$U$505,0)),"")</f>
        <v/>
      </c>
      <c r="F170" s="35" t="str">
        <f aca="false">IFERROR(INDEX('Fund Research'!$H$6:$H$505,MATCH(165,'Fund Research'!$U$6:$U$505,0)),"")</f>
        <v/>
      </c>
      <c r="G170" s="35" t="str">
        <f aca="false">IFERROR(INDEX('Fund Research'!$I$6:$I$505,MATCH(165,'Fund Research'!$U$6:$U$505,0)),"")</f>
        <v/>
      </c>
      <c r="H170" s="36" t="str">
        <f aca="false">IFERROR(INDEX('Fund Research'!$J$6:$J$505,MATCH(165,'Fund Research'!$U$6:$U$505,0)),"")</f>
        <v/>
      </c>
      <c r="I170" s="37" t="str">
        <f aca="false">IFERROR(INDEX('Fund Research'!$L$6:$L$505,MATCH(165,'Fund Research'!$U$6:$U$505,0)),"")</f>
        <v/>
      </c>
      <c r="J170" s="36" t="str">
        <f aca="false">IFERROR(INDEX('Fund Research'!$N$6:$N$505,MATCH(165,'Fund Research'!$U$6:$U$505,0)),"")</f>
        <v/>
      </c>
      <c r="K170" s="36" t="str">
        <f aca="false">IFERROR(INDEX('Fund Research'!$P$6:$P$505,MATCH(165,'Fund Research'!$U$6:$U$505,0)),"")</f>
        <v/>
      </c>
      <c r="L170" s="34" t="str">
        <f aca="false">IFERROR(INDEX('Fund Research'!$S$6:$S$505,MATCH(165,'Fund Research'!$U$6:$U$505,0)),"")</f>
        <v/>
      </c>
      <c r="M170" s="34" t="str">
        <f aca="false">IFERROR(INDEX('Fund Research'!$T$6:$T$505,MATCH(165,'Fund Research'!$U$6:$U$505,0)),"")</f>
        <v/>
      </c>
    </row>
    <row r="171" customFormat="false" ht="15" hidden="false" customHeight="true" outlineLevel="0" collapsed="false">
      <c r="A171" s="33" t="str">
        <f aca="false">IFERROR(IF(INDEX('Fund Research'!$B$6:$B$505,MATCH(166,'Fund Research'!$U$6:$U$505,0))="","",166),"")</f>
        <v/>
      </c>
      <c r="B171" s="34" t="str">
        <f aca="false">IFERROR(INDEX('Fund Research'!$A$6:$A$505,MATCH(166,'Fund Research'!$U$6:$U$505,0)),"")</f>
        <v/>
      </c>
      <c r="C171" s="34" t="str">
        <f aca="false">IFERROR(INDEX('Fund Research'!$B$6:$B$505,MATCH(166,'Fund Research'!$U$6:$U$505,0)),"")</f>
        <v/>
      </c>
      <c r="D171" s="34" t="str">
        <f aca="false">IFERROR(INDEX('Fund Research'!$C$6:$C$505,MATCH(166,'Fund Research'!$U$6:$U$505,0)),"")</f>
        <v/>
      </c>
      <c r="E171" s="35" t="str">
        <f aca="false">IFERROR(INDEX('Fund Research'!$G$6:$G$505,MATCH(166,'Fund Research'!$U$6:$U$505,0)),"")</f>
        <v/>
      </c>
      <c r="F171" s="35" t="str">
        <f aca="false">IFERROR(INDEX('Fund Research'!$H$6:$H$505,MATCH(166,'Fund Research'!$U$6:$U$505,0)),"")</f>
        <v/>
      </c>
      <c r="G171" s="35" t="str">
        <f aca="false">IFERROR(INDEX('Fund Research'!$I$6:$I$505,MATCH(166,'Fund Research'!$U$6:$U$505,0)),"")</f>
        <v/>
      </c>
      <c r="H171" s="36" t="str">
        <f aca="false">IFERROR(INDEX('Fund Research'!$J$6:$J$505,MATCH(166,'Fund Research'!$U$6:$U$505,0)),"")</f>
        <v/>
      </c>
      <c r="I171" s="37" t="str">
        <f aca="false">IFERROR(INDEX('Fund Research'!$L$6:$L$505,MATCH(166,'Fund Research'!$U$6:$U$505,0)),"")</f>
        <v/>
      </c>
      <c r="J171" s="36" t="str">
        <f aca="false">IFERROR(INDEX('Fund Research'!$N$6:$N$505,MATCH(166,'Fund Research'!$U$6:$U$505,0)),"")</f>
        <v/>
      </c>
      <c r="K171" s="36" t="str">
        <f aca="false">IFERROR(INDEX('Fund Research'!$P$6:$P$505,MATCH(166,'Fund Research'!$U$6:$U$505,0)),"")</f>
        <v/>
      </c>
      <c r="L171" s="34" t="str">
        <f aca="false">IFERROR(INDEX('Fund Research'!$S$6:$S$505,MATCH(166,'Fund Research'!$U$6:$U$505,0)),"")</f>
        <v/>
      </c>
      <c r="M171" s="34" t="str">
        <f aca="false">IFERROR(INDEX('Fund Research'!$T$6:$T$505,MATCH(166,'Fund Research'!$U$6:$U$505,0)),"")</f>
        <v/>
      </c>
    </row>
    <row r="172" customFormat="false" ht="15" hidden="false" customHeight="true" outlineLevel="0" collapsed="false">
      <c r="A172" s="33" t="str">
        <f aca="false">IFERROR(IF(INDEX('Fund Research'!$B$6:$B$505,MATCH(167,'Fund Research'!$U$6:$U$505,0))="","",167),"")</f>
        <v/>
      </c>
      <c r="B172" s="34" t="str">
        <f aca="false">IFERROR(INDEX('Fund Research'!$A$6:$A$505,MATCH(167,'Fund Research'!$U$6:$U$505,0)),"")</f>
        <v/>
      </c>
      <c r="C172" s="34" t="str">
        <f aca="false">IFERROR(INDEX('Fund Research'!$B$6:$B$505,MATCH(167,'Fund Research'!$U$6:$U$505,0)),"")</f>
        <v/>
      </c>
      <c r="D172" s="34" t="str">
        <f aca="false">IFERROR(INDEX('Fund Research'!$C$6:$C$505,MATCH(167,'Fund Research'!$U$6:$U$505,0)),"")</f>
        <v/>
      </c>
      <c r="E172" s="35" t="str">
        <f aca="false">IFERROR(INDEX('Fund Research'!$G$6:$G$505,MATCH(167,'Fund Research'!$U$6:$U$505,0)),"")</f>
        <v/>
      </c>
      <c r="F172" s="35" t="str">
        <f aca="false">IFERROR(INDEX('Fund Research'!$H$6:$H$505,MATCH(167,'Fund Research'!$U$6:$U$505,0)),"")</f>
        <v/>
      </c>
      <c r="G172" s="35" t="str">
        <f aca="false">IFERROR(INDEX('Fund Research'!$I$6:$I$505,MATCH(167,'Fund Research'!$U$6:$U$505,0)),"")</f>
        <v/>
      </c>
      <c r="H172" s="36" t="str">
        <f aca="false">IFERROR(INDEX('Fund Research'!$J$6:$J$505,MATCH(167,'Fund Research'!$U$6:$U$505,0)),"")</f>
        <v/>
      </c>
      <c r="I172" s="37" t="str">
        <f aca="false">IFERROR(INDEX('Fund Research'!$L$6:$L$505,MATCH(167,'Fund Research'!$U$6:$U$505,0)),"")</f>
        <v/>
      </c>
      <c r="J172" s="36" t="str">
        <f aca="false">IFERROR(INDEX('Fund Research'!$N$6:$N$505,MATCH(167,'Fund Research'!$U$6:$U$505,0)),"")</f>
        <v/>
      </c>
      <c r="K172" s="36" t="str">
        <f aca="false">IFERROR(INDEX('Fund Research'!$P$6:$P$505,MATCH(167,'Fund Research'!$U$6:$U$505,0)),"")</f>
        <v/>
      </c>
      <c r="L172" s="34" t="str">
        <f aca="false">IFERROR(INDEX('Fund Research'!$S$6:$S$505,MATCH(167,'Fund Research'!$U$6:$U$505,0)),"")</f>
        <v/>
      </c>
      <c r="M172" s="34" t="str">
        <f aca="false">IFERROR(INDEX('Fund Research'!$T$6:$T$505,MATCH(167,'Fund Research'!$U$6:$U$505,0)),"")</f>
        <v/>
      </c>
    </row>
    <row r="173" customFormat="false" ht="15" hidden="false" customHeight="true" outlineLevel="0" collapsed="false">
      <c r="A173" s="33" t="str">
        <f aca="false">IFERROR(IF(INDEX('Fund Research'!$B$6:$B$505,MATCH(168,'Fund Research'!$U$6:$U$505,0))="","",168),"")</f>
        <v/>
      </c>
      <c r="B173" s="34" t="str">
        <f aca="false">IFERROR(INDEX('Fund Research'!$A$6:$A$505,MATCH(168,'Fund Research'!$U$6:$U$505,0)),"")</f>
        <v/>
      </c>
      <c r="C173" s="34" t="str">
        <f aca="false">IFERROR(INDEX('Fund Research'!$B$6:$B$505,MATCH(168,'Fund Research'!$U$6:$U$505,0)),"")</f>
        <v/>
      </c>
      <c r="D173" s="34" t="str">
        <f aca="false">IFERROR(INDEX('Fund Research'!$C$6:$C$505,MATCH(168,'Fund Research'!$U$6:$U$505,0)),"")</f>
        <v/>
      </c>
      <c r="E173" s="35" t="str">
        <f aca="false">IFERROR(INDEX('Fund Research'!$G$6:$G$505,MATCH(168,'Fund Research'!$U$6:$U$505,0)),"")</f>
        <v/>
      </c>
      <c r="F173" s="35" t="str">
        <f aca="false">IFERROR(INDEX('Fund Research'!$H$6:$H$505,MATCH(168,'Fund Research'!$U$6:$U$505,0)),"")</f>
        <v/>
      </c>
      <c r="G173" s="35" t="str">
        <f aca="false">IFERROR(INDEX('Fund Research'!$I$6:$I$505,MATCH(168,'Fund Research'!$U$6:$U$505,0)),"")</f>
        <v/>
      </c>
      <c r="H173" s="36" t="str">
        <f aca="false">IFERROR(INDEX('Fund Research'!$J$6:$J$505,MATCH(168,'Fund Research'!$U$6:$U$505,0)),"")</f>
        <v/>
      </c>
      <c r="I173" s="37" t="str">
        <f aca="false">IFERROR(INDEX('Fund Research'!$L$6:$L$505,MATCH(168,'Fund Research'!$U$6:$U$505,0)),"")</f>
        <v/>
      </c>
      <c r="J173" s="36" t="str">
        <f aca="false">IFERROR(INDEX('Fund Research'!$N$6:$N$505,MATCH(168,'Fund Research'!$U$6:$U$505,0)),"")</f>
        <v/>
      </c>
      <c r="K173" s="36" t="str">
        <f aca="false">IFERROR(INDEX('Fund Research'!$P$6:$P$505,MATCH(168,'Fund Research'!$U$6:$U$505,0)),"")</f>
        <v/>
      </c>
      <c r="L173" s="34" t="str">
        <f aca="false">IFERROR(INDEX('Fund Research'!$S$6:$S$505,MATCH(168,'Fund Research'!$U$6:$U$505,0)),"")</f>
        <v/>
      </c>
      <c r="M173" s="34" t="str">
        <f aca="false">IFERROR(INDEX('Fund Research'!$T$6:$T$505,MATCH(168,'Fund Research'!$U$6:$U$505,0)),"")</f>
        <v/>
      </c>
    </row>
    <row r="174" customFormat="false" ht="15" hidden="false" customHeight="true" outlineLevel="0" collapsed="false">
      <c r="A174" s="33" t="str">
        <f aca="false">IFERROR(IF(INDEX('Fund Research'!$B$6:$B$505,MATCH(169,'Fund Research'!$U$6:$U$505,0))="","",169),"")</f>
        <v/>
      </c>
      <c r="B174" s="34" t="str">
        <f aca="false">IFERROR(INDEX('Fund Research'!$A$6:$A$505,MATCH(169,'Fund Research'!$U$6:$U$505,0)),"")</f>
        <v/>
      </c>
      <c r="C174" s="34" t="str">
        <f aca="false">IFERROR(INDEX('Fund Research'!$B$6:$B$505,MATCH(169,'Fund Research'!$U$6:$U$505,0)),"")</f>
        <v/>
      </c>
      <c r="D174" s="34" t="str">
        <f aca="false">IFERROR(INDEX('Fund Research'!$C$6:$C$505,MATCH(169,'Fund Research'!$U$6:$U$505,0)),"")</f>
        <v/>
      </c>
      <c r="E174" s="35" t="str">
        <f aca="false">IFERROR(INDEX('Fund Research'!$G$6:$G$505,MATCH(169,'Fund Research'!$U$6:$U$505,0)),"")</f>
        <v/>
      </c>
      <c r="F174" s="35" t="str">
        <f aca="false">IFERROR(INDEX('Fund Research'!$H$6:$H$505,MATCH(169,'Fund Research'!$U$6:$U$505,0)),"")</f>
        <v/>
      </c>
      <c r="G174" s="35" t="str">
        <f aca="false">IFERROR(INDEX('Fund Research'!$I$6:$I$505,MATCH(169,'Fund Research'!$U$6:$U$505,0)),"")</f>
        <v/>
      </c>
      <c r="H174" s="36" t="str">
        <f aca="false">IFERROR(INDEX('Fund Research'!$J$6:$J$505,MATCH(169,'Fund Research'!$U$6:$U$505,0)),"")</f>
        <v/>
      </c>
      <c r="I174" s="37" t="str">
        <f aca="false">IFERROR(INDEX('Fund Research'!$L$6:$L$505,MATCH(169,'Fund Research'!$U$6:$U$505,0)),"")</f>
        <v/>
      </c>
      <c r="J174" s="36" t="str">
        <f aca="false">IFERROR(INDEX('Fund Research'!$N$6:$N$505,MATCH(169,'Fund Research'!$U$6:$U$505,0)),"")</f>
        <v/>
      </c>
      <c r="K174" s="36" t="str">
        <f aca="false">IFERROR(INDEX('Fund Research'!$P$6:$P$505,MATCH(169,'Fund Research'!$U$6:$U$505,0)),"")</f>
        <v/>
      </c>
      <c r="L174" s="34" t="str">
        <f aca="false">IFERROR(INDEX('Fund Research'!$S$6:$S$505,MATCH(169,'Fund Research'!$U$6:$U$505,0)),"")</f>
        <v/>
      </c>
      <c r="M174" s="34" t="str">
        <f aca="false">IFERROR(INDEX('Fund Research'!$T$6:$T$505,MATCH(169,'Fund Research'!$U$6:$U$505,0)),"")</f>
        <v/>
      </c>
    </row>
    <row r="175" customFormat="false" ht="15" hidden="false" customHeight="true" outlineLevel="0" collapsed="false">
      <c r="A175" s="33" t="str">
        <f aca="false">IFERROR(IF(INDEX('Fund Research'!$B$6:$B$505,MATCH(170,'Fund Research'!$U$6:$U$505,0))="","",170),"")</f>
        <v/>
      </c>
      <c r="B175" s="34" t="str">
        <f aca="false">IFERROR(INDEX('Fund Research'!$A$6:$A$505,MATCH(170,'Fund Research'!$U$6:$U$505,0)),"")</f>
        <v/>
      </c>
      <c r="C175" s="34" t="str">
        <f aca="false">IFERROR(INDEX('Fund Research'!$B$6:$B$505,MATCH(170,'Fund Research'!$U$6:$U$505,0)),"")</f>
        <v/>
      </c>
      <c r="D175" s="34" t="str">
        <f aca="false">IFERROR(INDEX('Fund Research'!$C$6:$C$505,MATCH(170,'Fund Research'!$U$6:$U$505,0)),"")</f>
        <v/>
      </c>
      <c r="E175" s="35" t="str">
        <f aca="false">IFERROR(INDEX('Fund Research'!$G$6:$G$505,MATCH(170,'Fund Research'!$U$6:$U$505,0)),"")</f>
        <v/>
      </c>
      <c r="F175" s="35" t="str">
        <f aca="false">IFERROR(INDEX('Fund Research'!$H$6:$H$505,MATCH(170,'Fund Research'!$U$6:$U$505,0)),"")</f>
        <v/>
      </c>
      <c r="G175" s="35" t="str">
        <f aca="false">IFERROR(INDEX('Fund Research'!$I$6:$I$505,MATCH(170,'Fund Research'!$U$6:$U$505,0)),"")</f>
        <v/>
      </c>
      <c r="H175" s="36" t="str">
        <f aca="false">IFERROR(INDEX('Fund Research'!$J$6:$J$505,MATCH(170,'Fund Research'!$U$6:$U$505,0)),"")</f>
        <v/>
      </c>
      <c r="I175" s="37" t="str">
        <f aca="false">IFERROR(INDEX('Fund Research'!$L$6:$L$505,MATCH(170,'Fund Research'!$U$6:$U$505,0)),"")</f>
        <v/>
      </c>
      <c r="J175" s="36" t="str">
        <f aca="false">IFERROR(INDEX('Fund Research'!$N$6:$N$505,MATCH(170,'Fund Research'!$U$6:$U$505,0)),"")</f>
        <v/>
      </c>
      <c r="K175" s="36" t="str">
        <f aca="false">IFERROR(INDEX('Fund Research'!$P$6:$P$505,MATCH(170,'Fund Research'!$U$6:$U$505,0)),"")</f>
        <v/>
      </c>
      <c r="L175" s="34" t="str">
        <f aca="false">IFERROR(INDEX('Fund Research'!$S$6:$S$505,MATCH(170,'Fund Research'!$U$6:$U$505,0)),"")</f>
        <v/>
      </c>
      <c r="M175" s="34" t="str">
        <f aca="false">IFERROR(INDEX('Fund Research'!$T$6:$T$505,MATCH(170,'Fund Research'!$U$6:$U$505,0)),"")</f>
        <v/>
      </c>
    </row>
    <row r="176" customFormat="false" ht="15" hidden="false" customHeight="true" outlineLevel="0" collapsed="false">
      <c r="A176" s="33" t="str">
        <f aca="false">IFERROR(IF(INDEX('Fund Research'!$B$6:$B$505,MATCH(171,'Fund Research'!$U$6:$U$505,0))="","",171),"")</f>
        <v/>
      </c>
      <c r="B176" s="34" t="str">
        <f aca="false">IFERROR(INDEX('Fund Research'!$A$6:$A$505,MATCH(171,'Fund Research'!$U$6:$U$505,0)),"")</f>
        <v/>
      </c>
      <c r="C176" s="34" t="str">
        <f aca="false">IFERROR(INDEX('Fund Research'!$B$6:$B$505,MATCH(171,'Fund Research'!$U$6:$U$505,0)),"")</f>
        <v/>
      </c>
      <c r="D176" s="34" t="str">
        <f aca="false">IFERROR(INDEX('Fund Research'!$C$6:$C$505,MATCH(171,'Fund Research'!$U$6:$U$505,0)),"")</f>
        <v/>
      </c>
      <c r="E176" s="35" t="str">
        <f aca="false">IFERROR(INDEX('Fund Research'!$G$6:$G$505,MATCH(171,'Fund Research'!$U$6:$U$505,0)),"")</f>
        <v/>
      </c>
      <c r="F176" s="35" t="str">
        <f aca="false">IFERROR(INDEX('Fund Research'!$H$6:$H$505,MATCH(171,'Fund Research'!$U$6:$U$505,0)),"")</f>
        <v/>
      </c>
      <c r="G176" s="35" t="str">
        <f aca="false">IFERROR(INDEX('Fund Research'!$I$6:$I$505,MATCH(171,'Fund Research'!$U$6:$U$505,0)),"")</f>
        <v/>
      </c>
      <c r="H176" s="36" t="str">
        <f aca="false">IFERROR(INDEX('Fund Research'!$J$6:$J$505,MATCH(171,'Fund Research'!$U$6:$U$505,0)),"")</f>
        <v/>
      </c>
      <c r="I176" s="37" t="str">
        <f aca="false">IFERROR(INDEX('Fund Research'!$L$6:$L$505,MATCH(171,'Fund Research'!$U$6:$U$505,0)),"")</f>
        <v/>
      </c>
      <c r="J176" s="36" t="str">
        <f aca="false">IFERROR(INDEX('Fund Research'!$N$6:$N$505,MATCH(171,'Fund Research'!$U$6:$U$505,0)),"")</f>
        <v/>
      </c>
      <c r="K176" s="36" t="str">
        <f aca="false">IFERROR(INDEX('Fund Research'!$P$6:$P$505,MATCH(171,'Fund Research'!$U$6:$U$505,0)),"")</f>
        <v/>
      </c>
      <c r="L176" s="34" t="str">
        <f aca="false">IFERROR(INDEX('Fund Research'!$S$6:$S$505,MATCH(171,'Fund Research'!$U$6:$U$505,0)),"")</f>
        <v/>
      </c>
      <c r="M176" s="34" t="str">
        <f aca="false">IFERROR(INDEX('Fund Research'!$T$6:$T$505,MATCH(171,'Fund Research'!$U$6:$U$505,0)),"")</f>
        <v/>
      </c>
    </row>
    <row r="177" customFormat="false" ht="15" hidden="false" customHeight="true" outlineLevel="0" collapsed="false">
      <c r="A177" s="33" t="str">
        <f aca="false">IFERROR(IF(INDEX('Fund Research'!$B$6:$B$505,MATCH(172,'Fund Research'!$U$6:$U$505,0))="","",172),"")</f>
        <v/>
      </c>
      <c r="B177" s="34" t="str">
        <f aca="false">IFERROR(INDEX('Fund Research'!$A$6:$A$505,MATCH(172,'Fund Research'!$U$6:$U$505,0)),"")</f>
        <v/>
      </c>
      <c r="C177" s="34" t="str">
        <f aca="false">IFERROR(INDEX('Fund Research'!$B$6:$B$505,MATCH(172,'Fund Research'!$U$6:$U$505,0)),"")</f>
        <v/>
      </c>
      <c r="D177" s="34" t="str">
        <f aca="false">IFERROR(INDEX('Fund Research'!$C$6:$C$505,MATCH(172,'Fund Research'!$U$6:$U$505,0)),"")</f>
        <v/>
      </c>
      <c r="E177" s="35" t="str">
        <f aca="false">IFERROR(INDEX('Fund Research'!$G$6:$G$505,MATCH(172,'Fund Research'!$U$6:$U$505,0)),"")</f>
        <v/>
      </c>
      <c r="F177" s="35" t="str">
        <f aca="false">IFERROR(INDEX('Fund Research'!$H$6:$H$505,MATCH(172,'Fund Research'!$U$6:$U$505,0)),"")</f>
        <v/>
      </c>
      <c r="G177" s="35" t="str">
        <f aca="false">IFERROR(INDEX('Fund Research'!$I$6:$I$505,MATCH(172,'Fund Research'!$U$6:$U$505,0)),"")</f>
        <v/>
      </c>
      <c r="H177" s="36" t="str">
        <f aca="false">IFERROR(INDEX('Fund Research'!$J$6:$J$505,MATCH(172,'Fund Research'!$U$6:$U$505,0)),"")</f>
        <v/>
      </c>
      <c r="I177" s="37" t="str">
        <f aca="false">IFERROR(INDEX('Fund Research'!$L$6:$L$505,MATCH(172,'Fund Research'!$U$6:$U$505,0)),"")</f>
        <v/>
      </c>
      <c r="J177" s="36" t="str">
        <f aca="false">IFERROR(INDEX('Fund Research'!$N$6:$N$505,MATCH(172,'Fund Research'!$U$6:$U$505,0)),"")</f>
        <v/>
      </c>
      <c r="K177" s="36" t="str">
        <f aca="false">IFERROR(INDEX('Fund Research'!$P$6:$P$505,MATCH(172,'Fund Research'!$U$6:$U$505,0)),"")</f>
        <v/>
      </c>
      <c r="L177" s="34" t="str">
        <f aca="false">IFERROR(INDEX('Fund Research'!$S$6:$S$505,MATCH(172,'Fund Research'!$U$6:$U$505,0)),"")</f>
        <v/>
      </c>
      <c r="M177" s="34" t="str">
        <f aca="false">IFERROR(INDEX('Fund Research'!$T$6:$T$505,MATCH(172,'Fund Research'!$U$6:$U$505,0)),"")</f>
        <v/>
      </c>
    </row>
    <row r="178" customFormat="false" ht="15" hidden="false" customHeight="true" outlineLevel="0" collapsed="false">
      <c r="A178" s="33" t="str">
        <f aca="false">IFERROR(IF(INDEX('Fund Research'!$B$6:$B$505,MATCH(173,'Fund Research'!$U$6:$U$505,0))="","",173),"")</f>
        <v/>
      </c>
      <c r="B178" s="34" t="str">
        <f aca="false">IFERROR(INDEX('Fund Research'!$A$6:$A$505,MATCH(173,'Fund Research'!$U$6:$U$505,0)),"")</f>
        <v/>
      </c>
      <c r="C178" s="34" t="str">
        <f aca="false">IFERROR(INDEX('Fund Research'!$B$6:$B$505,MATCH(173,'Fund Research'!$U$6:$U$505,0)),"")</f>
        <v/>
      </c>
      <c r="D178" s="34" t="str">
        <f aca="false">IFERROR(INDEX('Fund Research'!$C$6:$C$505,MATCH(173,'Fund Research'!$U$6:$U$505,0)),"")</f>
        <v/>
      </c>
      <c r="E178" s="35" t="str">
        <f aca="false">IFERROR(INDEX('Fund Research'!$G$6:$G$505,MATCH(173,'Fund Research'!$U$6:$U$505,0)),"")</f>
        <v/>
      </c>
      <c r="F178" s="35" t="str">
        <f aca="false">IFERROR(INDEX('Fund Research'!$H$6:$H$505,MATCH(173,'Fund Research'!$U$6:$U$505,0)),"")</f>
        <v/>
      </c>
      <c r="G178" s="35" t="str">
        <f aca="false">IFERROR(INDEX('Fund Research'!$I$6:$I$505,MATCH(173,'Fund Research'!$U$6:$U$505,0)),"")</f>
        <v/>
      </c>
      <c r="H178" s="36" t="str">
        <f aca="false">IFERROR(INDEX('Fund Research'!$J$6:$J$505,MATCH(173,'Fund Research'!$U$6:$U$505,0)),"")</f>
        <v/>
      </c>
      <c r="I178" s="37" t="str">
        <f aca="false">IFERROR(INDEX('Fund Research'!$L$6:$L$505,MATCH(173,'Fund Research'!$U$6:$U$505,0)),"")</f>
        <v/>
      </c>
      <c r="J178" s="36" t="str">
        <f aca="false">IFERROR(INDEX('Fund Research'!$N$6:$N$505,MATCH(173,'Fund Research'!$U$6:$U$505,0)),"")</f>
        <v/>
      </c>
      <c r="K178" s="36" t="str">
        <f aca="false">IFERROR(INDEX('Fund Research'!$P$6:$P$505,MATCH(173,'Fund Research'!$U$6:$U$505,0)),"")</f>
        <v/>
      </c>
      <c r="L178" s="34" t="str">
        <f aca="false">IFERROR(INDEX('Fund Research'!$S$6:$S$505,MATCH(173,'Fund Research'!$U$6:$U$505,0)),"")</f>
        <v/>
      </c>
      <c r="M178" s="34" t="str">
        <f aca="false">IFERROR(INDEX('Fund Research'!$T$6:$T$505,MATCH(173,'Fund Research'!$U$6:$U$505,0)),"")</f>
        <v/>
      </c>
    </row>
    <row r="179" customFormat="false" ht="15" hidden="false" customHeight="true" outlineLevel="0" collapsed="false">
      <c r="A179" s="33" t="str">
        <f aca="false">IFERROR(IF(INDEX('Fund Research'!$B$6:$B$505,MATCH(174,'Fund Research'!$U$6:$U$505,0))="","",174),"")</f>
        <v/>
      </c>
      <c r="B179" s="34" t="str">
        <f aca="false">IFERROR(INDEX('Fund Research'!$A$6:$A$505,MATCH(174,'Fund Research'!$U$6:$U$505,0)),"")</f>
        <v/>
      </c>
      <c r="C179" s="34" t="str">
        <f aca="false">IFERROR(INDEX('Fund Research'!$B$6:$B$505,MATCH(174,'Fund Research'!$U$6:$U$505,0)),"")</f>
        <v/>
      </c>
      <c r="D179" s="34" t="str">
        <f aca="false">IFERROR(INDEX('Fund Research'!$C$6:$C$505,MATCH(174,'Fund Research'!$U$6:$U$505,0)),"")</f>
        <v/>
      </c>
      <c r="E179" s="35" t="str">
        <f aca="false">IFERROR(INDEX('Fund Research'!$G$6:$G$505,MATCH(174,'Fund Research'!$U$6:$U$505,0)),"")</f>
        <v/>
      </c>
      <c r="F179" s="35" t="str">
        <f aca="false">IFERROR(INDEX('Fund Research'!$H$6:$H$505,MATCH(174,'Fund Research'!$U$6:$U$505,0)),"")</f>
        <v/>
      </c>
      <c r="G179" s="35" t="str">
        <f aca="false">IFERROR(INDEX('Fund Research'!$I$6:$I$505,MATCH(174,'Fund Research'!$U$6:$U$505,0)),"")</f>
        <v/>
      </c>
      <c r="H179" s="36" t="str">
        <f aca="false">IFERROR(INDEX('Fund Research'!$J$6:$J$505,MATCH(174,'Fund Research'!$U$6:$U$505,0)),"")</f>
        <v/>
      </c>
      <c r="I179" s="37" t="str">
        <f aca="false">IFERROR(INDEX('Fund Research'!$L$6:$L$505,MATCH(174,'Fund Research'!$U$6:$U$505,0)),"")</f>
        <v/>
      </c>
      <c r="J179" s="36" t="str">
        <f aca="false">IFERROR(INDEX('Fund Research'!$N$6:$N$505,MATCH(174,'Fund Research'!$U$6:$U$505,0)),"")</f>
        <v/>
      </c>
      <c r="K179" s="36" t="str">
        <f aca="false">IFERROR(INDEX('Fund Research'!$P$6:$P$505,MATCH(174,'Fund Research'!$U$6:$U$505,0)),"")</f>
        <v/>
      </c>
      <c r="L179" s="34" t="str">
        <f aca="false">IFERROR(INDEX('Fund Research'!$S$6:$S$505,MATCH(174,'Fund Research'!$U$6:$U$505,0)),"")</f>
        <v/>
      </c>
      <c r="M179" s="34" t="str">
        <f aca="false">IFERROR(INDEX('Fund Research'!$T$6:$T$505,MATCH(174,'Fund Research'!$U$6:$U$505,0)),"")</f>
        <v/>
      </c>
    </row>
    <row r="180" customFormat="false" ht="15" hidden="false" customHeight="true" outlineLevel="0" collapsed="false">
      <c r="A180" s="33" t="str">
        <f aca="false">IFERROR(IF(INDEX('Fund Research'!$B$6:$B$505,MATCH(175,'Fund Research'!$U$6:$U$505,0))="","",175),"")</f>
        <v/>
      </c>
      <c r="B180" s="34" t="str">
        <f aca="false">IFERROR(INDEX('Fund Research'!$A$6:$A$505,MATCH(175,'Fund Research'!$U$6:$U$505,0)),"")</f>
        <v/>
      </c>
      <c r="C180" s="34" t="str">
        <f aca="false">IFERROR(INDEX('Fund Research'!$B$6:$B$505,MATCH(175,'Fund Research'!$U$6:$U$505,0)),"")</f>
        <v/>
      </c>
      <c r="D180" s="34" t="str">
        <f aca="false">IFERROR(INDEX('Fund Research'!$C$6:$C$505,MATCH(175,'Fund Research'!$U$6:$U$505,0)),"")</f>
        <v/>
      </c>
      <c r="E180" s="35" t="str">
        <f aca="false">IFERROR(INDEX('Fund Research'!$G$6:$G$505,MATCH(175,'Fund Research'!$U$6:$U$505,0)),"")</f>
        <v/>
      </c>
      <c r="F180" s="35" t="str">
        <f aca="false">IFERROR(INDEX('Fund Research'!$H$6:$H$505,MATCH(175,'Fund Research'!$U$6:$U$505,0)),"")</f>
        <v/>
      </c>
      <c r="G180" s="35" t="str">
        <f aca="false">IFERROR(INDEX('Fund Research'!$I$6:$I$505,MATCH(175,'Fund Research'!$U$6:$U$505,0)),"")</f>
        <v/>
      </c>
      <c r="H180" s="36" t="str">
        <f aca="false">IFERROR(INDEX('Fund Research'!$J$6:$J$505,MATCH(175,'Fund Research'!$U$6:$U$505,0)),"")</f>
        <v/>
      </c>
      <c r="I180" s="37" t="str">
        <f aca="false">IFERROR(INDEX('Fund Research'!$L$6:$L$505,MATCH(175,'Fund Research'!$U$6:$U$505,0)),"")</f>
        <v/>
      </c>
      <c r="J180" s="36" t="str">
        <f aca="false">IFERROR(INDEX('Fund Research'!$N$6:$N$505,MATCH(175,'Fund Research'!$U$6:$U$505,0)),"")</f>
        <v/>
      </c>
      <c r="K180" s="36" t="str">
        <f aca="false">IFERROR(INDEX('Fund Research'!$P$6:$P$505,MATCH(175,'Fund Research'!$U$6:$U$505,0)),"")</f>
        <v/>
      </c>
      <c r="L180" s="34" t="str">
        <f aca="false">IFERROR(INDEX('Fund Research'!$S$6:$S$505,MATCH(175,'Fund Research'!$U$6:$U$505,0)),"")</f>
        <v/>
      </c>
      <c r="M180" s="34" t="str">
        <f aca="false">IFERROR(INDEX('Fund Research'!$T$6:$T$505,MATCH(175,'Fund Research'!$U$6:$U$505,0)),"")</f>
        <v/>
      </c>
    </row>
    <row r="181" customFormat="false" ht="15" hidden="false" customHeight="true" outlineLevel="0" collapsed="false">
      <c r="A181" s="33" t="str">
        <f aca="false">IFERROR(IF(INDEX('Fund Research'!$B$6:$B$505,MATCH(176,'Fund Research'!$U$6:$U$505,0))="","",176),"")</f>
        <v/>
      </c>
      <c r="B181" s="34" t="str">
        <f aca="false">IFERROR(INDEX('Fund Research'!$A$6:$A$505,MATCH(176,'Fund Research'!$U$6:$U$505,0)),"")</f>
        <v/>
      </c>
      <c r="C181" s="34" t="str">
        <f aca="false">IFERROR(INDEX('Fund Research'!$B$6:$B$505,MATCH(176,'Fund Research'!$U$6:$U$505,0)),"")</f>
        <v/>
      </c>
      <c r="D181" s="34" t="str">
        <f aca="false">IFERROR(INDEX('Fund Research'!$C$6:$C$505,MATCH(176,'Fund Research'!$U$6:$U$505,0)),"")</f>
        <v/>
      </c>
      <c r="E181" s="35" t="str">
        <f aca="false">IFERROR(INDEX('Fund Research'!$G$6:$G$505,MATCH(176,'Fund Research'!$U$6:$U$505,0)),"")</f>
        <v/>
      </c>
      <c r="F181" s="35" t="str">
        <f aca="false">IFERROR(INDEX('Fund Research'!$H$6:$H$505,MATCH(176,'Fund Research'!$U$6:$U$505,0)),"")</f>
        <v/>
      </c>
      <c r="G181" s="35" t="str">
        <f aca="false">IFERROR(INDEX('Fund Research'!$I$6:$I$505,MATCH(176,'Fund Research'!$U$6:$U$505,0)),"")</f>
        <v/>
      </c>
      <c r="H181" s="36" t="str">
        <f aca="false">IFERROR(INDEX('Fund Research'!$J$6:$J$505,MATCH(176,'Fund Research'!$U$6:$U$505,0)),"")</f>
        <v/>
      </c>
      <c r="I181" s="37" t="str">
        <f aca="false">IFERROR(INDEX('Fund Research'!$L$6:$L$505,MATCH(176,'Fund Research'!$U$6:$U$505,0)),"")</f>
        <v/>
      </c>
      <c r="J181" s="36" t="str">
        <f aca="false">IFERROR(INDEX('Fund Research'!$N$6:$N$505,MATCH(176,'Fund Research'!$U$6:$U$505,0)),"")</f>
        <v/>
      </c>
      <c r="K181" s="36" t="str">
        <f aca="false">IFERROR(INDEX('Fund Research'!$P$6:$P$505,MATCH(176,'Fund Research'!$U$6:$U$505,0)),"")</f>
        <v/>
      </c>
      <c r="L181" s="34" t="str">
        <f aca="false">IFERROR(INDEX('Fund Research'!$S$6:$S$505,MATCH(176,'Fund Research'!$U$6:$U$505,0)),"")</f>
        <v/>
      </c>
      <c r="M181" s="34" t="str">
        <f aca="false">IFERROR(INDEX('Fund Research'!$T$6:$T$505,MATCH(176,'Fund Research'!$U$6:$U$505,0)),"")</f>
        <v/>
      </c>
    </row>
    <row r="182" customFormat="false" ht="15" hidden="false" customHeight="true" outlineLevel="0" collapsed="false">
      <c r="A182" s="33" t="str">
        <f aca="false">IFERROR(IF(INDEX('Fund Research'!$B$6:$B$505,MATCH(177,'Fund Research'!$U$6:$U$505,0))="","",177),"")</f>
        <v/>
      </c>
      <c r="B182" s="34" t="str">
        <f aca="false">IFERROR(INDEX('Fund Research'!$A$6:$A$505,MATCH(177,'Fund Research'!$U$6:$U$505,0)),"")</f>
        <v/>
      </c>
      <c r="C182" s="34" t="str">
        <f aca="false">IFERROR(INDEX('Fund Research'!$B$6:$B$505,MATCH(177,'Fund Research'!$U$6:$U$505,0)),"")</f>
        <v/>
      </c>
      <c r="D182" s="34" t="str">
        <f aca="false">IFERROR(INDEX('Fund Research'!$C$6:$C$505,MATCH(177,'Fund Research'!$U$6:$U$505,0)),"")</f>
        <v/>
      </c>
      <c r="E182" s="35" t="str">
        <f aca="false">IFERROR(INDEX('Fund Research'!$G$6:$G$505,MATCH(177,'Fund Research'!$U$6:$U$505,0)),"")</f>
        <v/>
      </c>
      <c r="F182" s="35" t="str">
        <f aca="false">IFERROR(INDEX('Fund Research'!$H$6:$H$505,MATCH(177,'Fund Research'!$U$6:$U$505,0)),"")</f>
        <v/>
      </c>
      <c r="G182" s="35" t="str">
        <f aca="false">IFERROR(INDEX('Fund Research'!$I$6:$I$505,MATCH(177,'Fund Research'!$U$6:$U$505,0)),"")</f>
        <v/>
      </c>
      <c r="H182" s="36" t="str">
        <f aca="false">IFERROR(INDEX('Fund Research'!$J$6:$J$505,MATCH(177,'Fund Research'!$U$6:$U$505,0)),"")</f>
        <v/>
      </c>
      <c r="I182" s="37" t="str">
        <f aca="false">IFERROR(INDEX('Fund Research'!$L$6:$L$505,MATCH(177,'Fund Research'!$U$6:$U$505,0)),"")</f>
        <v/>
      </c>
      <c r="J182" s="36" t="str">
        <f aca="false">IFERROR(INDEX('Fund Research'!$N$6:$N$505,MATCH(177,'Fund Research'!$U$6:$U$505,0)),"")</f>
        <v/>
      </c>
      <c r="K182" s="36" t="str">
        <f aca="false">IFERROR(INDEX('Fund Research'!$P$6:$P$505,MATCH(177,'Fund Research'!$U$6:$U$505,0)),"")</f>
        <v/>
      </c>
      <c r="L182" s="34" t="str">
        <f aca="false">IFERROR(INDEX('Fund Research'!$S$6:$S$505,MATCH(177,'Fund Research'!$U$6:$U$505,0)),"")</f>
        <v/>
      </c>
      <c r="M182" s="34" t="str">
        <f aca="false">IFERROR(INDEX('Fund Research'!$T$6:$T$505,MATCH(177,'Fund Research'!$U$6:$U$505,0)),"")</f>
        <v/>
      </c>
    </row>
    <row r="183" customFormat="false" ht="15" hidden="false" customHeight="true" outlineLevel="0" collapsed="false">
      <c r="A183" s="33" t="str">
        <f aca="false">IFERROR(IF(INDEX('Fund Research'!$B$6:$B$505,MATCH(178,'Fund Research'!$U$6:$U$505,0))="","",178),"")</f>
        <v/>
      </c>
      <c r="B183" s="34" t="str">
        <f aca="false">IFERROR(INDEX('Fund Research'!$A$6:$A$505,MATCH(178,'Fund Research'!$U$6:$U$505,0)),"")</f>
        <v/>
      </c>
      <c r="C183" s="34" t="str">
        <f aca="false">IFERROR(INDEX('Fund Research'!$B$6:$B$505,MATCH(178,'Fund Research'!$U$6:$U$505,0)),"")</f>
        <v/>
      </c>
      <c r="D183" s="34" t="str">
        <f aca="false">IFERROR(INDEX('Fund Research'!$C$6:$C$505,MATCH(178,'Fund Research'!$U$6:$U$505,0)),"")</f>
        <v/>
      </c>
      <c r="E183" s="35" t="str">
        <f aca="false">IFERROR(INDEX('Fund Research'!$G$6:$G$505,MATCH(178,'Fund Research'!$U$6:$U$505,0)),"")</f>
        <v/>
      </c>
      <c r="F183" s="35" t="str">
        <f aca="false">IFERROR(INDEX('Fund Research'!$H$6:$H$505,MATCH(178,'Fund Research'!$U$6:$U$505,0)),"")</f>
        <v/>
      </c>
      <c r="G183" s="35" t="str">
        <f aca="false">IFERROR(INDEX('Fund Research'!$I$6:$I$505,MATCH(178,'Fund Research'!$U$6:$U$505,0)),"")</f>
        <v/>
      </c>
      <c r="H183" s="36" t="str">
        <f aca="false">IFERROR(INDEX('Fund Research'!$J$6:$J$505,MATCH(178,'Fund Research'!$U$6:$U$505,0)),"")</f>
        <v/>
      </c>
      <c r="I183" s="37" t="str">
        <f aca="false">IFERROR(INDEX('Fund Research'!$L$6:$L$505,MATCH(178,'Fund Research'!$U$6:$U$505,0)),"")</f>
        <v/>
      </c>
      <c r="J183" s="36" t="str">
        <f aca="false">IFERROR(INDEX('Fund Research'!$N$6:$N$505,MATCH(178,'Fund Research'!$U$6:$U$505,0)),"")</f>
        <v/>
      </c>
      <c r="K183" s="36" t="str">
        <f aca="false">IFERROR(INDEX('Fund Research'!$P$6:$P$505,MATCH(178,'Fund Research'!$U$6:$U$505,0)),"")</f>
        <v/>
      </c>
      <c r="L183" s="34" t="str">
        <f aca="false">IFERROR(INDEX('Fund Research'!$S$6:$S$505,MATCH(178,'Fund Research'!$U$6:$U$505,0)),"")</f>
        <v/>
      </c>
      <c r="M183" s="34" t="str">
        <f aca="false">IFERROR(INDEX('Fund Research'!$T$6:$T$505,MATCH(178,'Fund Research'!$U$6:$U$505,0)),"")</f>
        <v/>
      </c>
    </row>
    <row r="184" customFormat="false" ht="15" hidden="false" customHeight="true" outlineLevel="0" collapsed="false">
      <c r="A184" s="33" t="str">
        <f aca="false">IFERROR(IF(INDEX('Fund Research'!$B$6:$B$505,MATCH(179,'Fund Research'!$U$6:$U$505,0))="","",179),"")</f>
        <v/>
      </c>
      <c r="B184" s="34" t="str">
        <f aca="false">IFERROR(INDEX('Fund Research'!$A$6:$A$505,MATCH(179,'Fund Research'!$U$6:$U$505,0)),"")</f>
        <v/>
      </c>
      <c r="C184" s="34" t="str">
        <f aca="false">IFERROR(INDEX('Fund Research'!$B$6:$B$505,MATCH(179,'Fund Research'!$U$6:$U$505,0)),"")</f>
        <v/>
      </c>
      <c r="D184" s="34" t="str">
        <f aca="false">IFERROR(INDEX('Fund Research'!$C$6:$C$505,MATCH(179,'Fund Research'!$U$6:$U$505,0)),"")</f>
        <v/>
      </c>
      <c r="E184" s="35" t="str">
        <f aca="false">IFERROR(INDEX('Fund Research'!$G$6:$G$505,MATCH(179,'Fund Research'!$U$6:$U$505,0)),"")</f>
        <v/>
      </c>
      <c r="F184" s="35" t="str">
        <f aca="false">IFERROR(INDEX('Fund Research'!$H$6:$H$505,MATCH(179,'Fund Research'!$U$6:$U$505,0)),"")</f>
        <v/>
      </c>
      <c r="G184" s="35" t="str">
        <f aca="false">IFERROR(INDEX('Fund Research'!$I$6:$I$505,MATCH(179,'Fund Research'!$U$6:$U$505,0)),"")</f>
        <v/>
      </c>
      <c r="H184" s="36" t="str">
        <f aca="false">IFERROR(INDEX('Fund Research'!$J$6:$J$505,MATCH(179,'Fund Research'!$U$6:$U$505,0)),"")</f>
        <v/>
      </c>
      <c r="I184" s="37" t="str">
        <f aca="false">IFERROR(INDEX('Fund Research'!$L$6:$L$505,MATCH(179,'Fund Research'!$U$6:$U$505,0)),"")</f>
        <v/>
      </c>
      <c r="J184" s="36" t="str">
        <f aca="false">IFERROR(INDEX('Fund Research'!$N$6:$N$505,MATCH(179,'Fund Research'!$U$6:$U$505,0)),"")</f>
        <v/>
      </c>
      <c r="K184" s="36" t="str">
        <f aca="false">IFERROR(INDEX('Fund Research'!$P$6:$P$505,MATCH(179,'Fund Research'!$U$6:$U$505,0)),"")</f>
        <v/>
      </c>
      <c r="L184" s="34" t="str">
        <f aca="false">IFERROR(INDEX('Fund Research'!$S$6:$S$505,MATCH(179,'Fund Research'!$U$6:$U$505,0)),"")</f>
        <v/>
      </c>
      <c r="M184" s="34" t="str">
        <f aca="false">IFERROR(INDEX('Fund Research'!$T$6:$T$505,MATCH(179,'Fund Research'!$U$6:$U$505,0)),"")</f>
        <v/>
      </c>
    </row>
    <row r="185" customFormat="false" ht="15" hidden="false" customHeight="true" outlineLevel="0" collapsed="false">
      <c r="A185" s="33" t="str">
        <f aca="false">IFERROR(IF(INDEX('Fund Research'!$B$6:$B$505,MATCH(180,'Fund Research'!$U$6:$U$505,0))="","",180),"")</f>
        <v/>
      </c>
      <c r="B185" s="34" t="str">
        <f aca="false">IFERROR(INDEX('Fund Research'!$A$6:$A$505,MATCH(180,'Fund Research'!$U$6:$U$505,0)),"")</f>
        <v/>
      </c>
      <c r="C185" s="34" t="str">
        <f aca="false">IFERROR(INDEX('Fund Research'!$B$6:$B$505,MATCH(180,'Fund Research'!$U$6:$U$505,0)),"")</f>
        <v/>
      </c>
      <c r="D185" s="34" t="str">
        <f aca="false">IFERROR(INDEX('Fund Research'!$C$6:$C$505,MATCH(180,'Fund Research'!$U$6:$U$505,0)),"")</f>
        <v/>
      </c>
      <c r="E185" s="35" t="str">
        <f aca="false">IFERROR(INDEX('Fund Research'!$G$6:$G$505,MATCH(180,'Fund Research'!$U$6:$U$505,0)),"")</f>
        <v/>
      </c>
      <c r="F185" s="35" t="str">
        <f aca="false">IFERROR(INDEX('Fund Research'!$H$6:$H$505,MATCH(180,'Fund Research'!$U$6:$U$505,0)),"")</f>
        <v/>
      </c>
      <c r="G185" s="35" t="str">
        <f aca="false">IFERROR(INDEX('Fund Research'!$I$6:$I$505,MATCH(180,'Fund Research'!$U$6:$U$505,0)),"")</f>
        <v/>
      </c>
      <c r="H185" s="36" t="str">
        <f aca="false">IFERROR(INDEX('Fund Research'!$J$6:$J$505,MATCH(180,'Fund Research'!$U$6:$U$505,0)),"")</f>
        <v/>
      </c>
      <c r="I185" s="37" t="str">
        <f aca="false">IFERROR(INDEX('Fund Research'!$L$6:$L$505,MATCH(180,'Fund Research'!$U$6:$U$505,0)),"")</f>
        <v/>
      </c>
      <c r="J185" s="36" t="str">
        <f aca="false">IFERROR(INDEX('Fund Research'!$N$6:$N$505,MATCH(180,'Fund Research'!$U$6:$U$505,0)),"")</f>
        <v/>
      </c>
      <c r="K185" s="36" t="str">
        <f aca="false">IFERROR(INDEX('Fund Research'!$P$6:$P$505,MATCH(180,'Fund Research'!$U$6:$U$505,0)),"")</f>
        <v/>
      </c>
      <c r="L185" s="34" t="str">
        <f aca="false">IFERROR(INDEX('Fund Research'!$S$6:$S$505,MATCH(180,'Fund Research'!$U$6:$U$505,0)),"")</f>
        <v/>
      </c>
      <c r="M185" s="34" t="str">
        <f aca="false">IFERROR(INDEX('Fund Research'!$T$6:$T$505,MATCH(180,'Fund Research'!$U$6:$U$505,0)),"")</f>
        <v/>
      </c>
    </row>
    <row r="186" customFormat="false" ht="15" hidden="false" customHeight="true" outlineLevel="0" collapsed="false">
      <c r="A186" s="33" t="str">
        <f aca="false">IFERROR(IF(INDEX('Fund Research'!$B$6:$B$505,MATCH(181,'Fund Research'!$U$6:$U$505,0))="","",181),"")</f>
        <v/>
      </c>
      <c r="B186" s="34" t="str">
        <f aca="false">IFERROR(INDEX('Fund Research'!$A$6:$A$505,MATCH(181,'Fund Research'!$U$6:$U$505,0)),"")</f>
        <v/>
      </c>
      <c r="C186" s="34" t="str">
        <f aca="false">IFERROR(INDEX('Fund Research'!$B$6:$B$505,MATCH(181,'Fund Research'!$U$6:$U$505,0)),"")</f>
        <v/>
      </c>
      <c r="D186" s="34" t="str">
        <f aca="false">IFERROR(INDEX('Fund Research'!$C$6:$C$505,MATCH(181,'Fund Research'!$U$6:$U$505,0)),"")</f>
        <v/>
      </c>
      <c r="E186" s="35" t="str">
        <f aca="false">IFERROR(INDEX('Fund Research'!$G$6:$G$505,MATCH(181,'Fund Research'!$U$6:$U$505,0)),"")</f>
        <v/>
      </c>
      <c r="F186" s="35" t="str">
        <f aca="false">IFERROR(INDEX('Fund Research'!$H$6:$H$505,MATCH(181,'Fund Research'!$U$6:$U$505,0)),"")</f>
        <v/>
      </c>
      <c r="G186" s="35" t="str">
        <f aca="false">IFERROR(INDEX('Fund Research'!$I$6:$I$505,MATCH(181,'Fund Research'!$U$6:$U$505,0)),"")</f>
        <v/>
      </c>
      <c r="H186" s="36" t="str">
        <f aca="false">IFERROR(INDEX('Fund Research'!$J$6:$J$505,MATCH(181,'Fund Research'!$U$6:$U$505,0)),"")</f>
        <v/>
      </c>
      <c r="I186" s="37" t="str">
        <f aca="false">IFERROR(INDEX('Fund Research'!$L$6:$L$505,MATCH(181,'Fund Research'!$U$6:$U$505,0)),"")</f>
        <v/>
      </c>
      <c r="J186" s="36" t="str">
        <f aca="false">IFERROR(INDEX('Fund Research'!$N$6:$N$505,MATCH(181,'Fund Research'!$U$6:$U$505,0)),"")</f>
        <v/>
      </c>
      <c r="K186" s="36" t="str">
        <f aca="false">IFERROR(INDEX('Fund Research'!$P$6:$P$505,MATCH(181,'Fund Research'!$U$6:$U$505,0)),"")</f>
        <v/>
      </c>
      <c r="L186" s="34" t="str">
        <f aca="false">IFERROR(INDEX('Fund Research'!$S$6:$S$505,MATCH(181,'Fund Research'!$U$6:$U$505,0)),"")</f>
        <v/>
      </c>
      <c r="M186" s="34" t="str">
        <f aca="false">IFERROR(INDEX('Fund Research'!$T$6:$T$505,MATCH(181,'Fund Research'!$U$6:$U$505,0)),"")</f>
        <v/>
      </c>
    </row>
    <row r="187" customFormat="false" ht="15" hidden="false" customHeight="true" outlineLevel="0" collapsed="false">
      <c r="A187" s="33" t="str">
        <f aca="false">IFERROR(IF(INDEX('Fund Research'!$B$6:$B$505,MATCH(182,'Fund Research'!$U$6:$U$505,0))="","",182),"")</f>
        <v/>
      </c>
      <c r="B187" s="34" t="str">
        <f aca="false">IFERROR(INDEX('Fund Research'!$A$6:$A$505,MATCH(182,'Fund Research'!$U$6:$U$505,0)),"")</f>
        <v/>
      </c>
      <c r="C187" s="34" t="str">
        <f aca="false">IFERROR(INDEX('Fund Research'!$B$6:$B$505,MATCH(182,'Fund Research'!$U$6:$U$505,0)),"")</f>
        <v/>
      </c>
      <c r="D187" s="34" t="str">
        <f aca="false">IFERROR(INDEX('Fund Research'!$C$6:$C$505,MATCH(182,'Fund Research'!$U$6:$U$505,0)),"")</f>
        <v/>
      </c>
      <c r="E187" s="35" t="str">
        <f aca="false">IFERROR(INDEX('Fund Research'!$G$6:$G$505,MATCH(182,'Fund Research'!$U$6:$U$505,0)),"")</f>
        <v/>
      </c>
      <c r="F187" s="35" t="str">
        <f aca="false">IFERROR(INDEX('Fund Research'!$H$6:$H$505,MATCH(182,'Fund Research'!$U$6:$U$505,0)),"")</f>
        <v/>
      </c>
      <c r="G187" s="35" t="str">
        <f aca="false">IFERROR(INDEX('Fund Research'!$I$6:$I$505,MATCH(182,'Fund Research'!$U$6:$U$505,0)),"")</f>
        <v/>
      </c>
      <c r="H187" s="36" t="str">
        <f aca="false">IFERROR(INDEX('Fund Research'!$J$6:$J$505,MATCH(182,'Fund Research'!$U$6:$U$505,0)),"")</f>
        <v/>
      </c>
      <c r="I187" s="37" t="str">
        <f aca="false">IFERROR(INDEX('Fund Research'!$L$6:$L$505,MATCH(182,'Fund Research'!$U$6:$U$505,0)),"")</f>
        <v/>
      </c>
      <c r="J187" s="36" t="str">
        <f aca="false">IFERROR(INDEX('Fund Research'!$N$6:$N$505,MATCH(182,'Fund Research'!$U$6:$U$505,0)),"")</f>
        <v/>
      </c>
      <c r="K187" s="36" t="str">
        <f aca="false">IFERROR(INDEX('Fund Research'!$P$6:$P$505,MATCH(182,'Fund Research'!$U$6:$U$505,0)),"")</f>
        <v/>
      </c>
      <c r="L187" s="34" t="str">
        <f aca="false">IFERROR(INDEX('Fund Research'!$S$6:$S$505,MATCH(182,'Fund Research'!$U$6:$U$505,0)),"")</f>
        <v/>
      </c>
      <c r="M187" s="34" t="str">
        <f aca="false">IFERROR(INDEX('Fund Research'!$T$6:$T$505,MATCH(182,'Fund Research'!$U$6:$U$505,0)),"")</f>
        <v/>
      </c>
    </row>
    <row r="188" customFormat="false" ht="15" hidden="false" customHeight="true" outlineLevel="0" collapsed="false">
      <c r="A188" s="33" t="str">
        <f aca="false">IFERROR(IF(INDEX('Fund Research'!$B$6:$B$505,MATCH(183,'Fund Research'!$U$6:$U$505,0))="","",183),"")</f>
        <v/>
      </c>
      <c r="B188" s="34" t="str">
        <f aca="false">IFERROR(INDEX('Fund Research'!$A$6:$A$505,MATCH(183,'Fund Research'!$U$6:$U$505,0)),"")</f>
        <v/>
      </c>
      <c r="C188" s="34" t="str">
        <f aca="false">IFERROR(INDEX('Fund Research'!$B$6:$B$505,MATCH(183,'Fund Research'!$U$6:$U$505,0)),"")</f>
        <v/>
      </c>
      <c r="D188" s="34" t="str">
        <f aca="false">IFERROR(INDEX('Fund Research'!$C$6:$C$505,MATCH(183,'Fund Research'!$U$6:$U$505,0)),"")</f>
        <v/>
      </c>
      <c r="E188" s="35" t="str">
        <f aca="false">IFERROR(INDEX('Fund Research'!$G$6:$G$505,MATCH(183,'Fund Research'!$U$6:$U$505,0)),"")</f>
        <v/>
      </c>
      <c r="F188" s="35" t="str">
        <f aca="false">IFERROR(INDEX('Fund Research'!$H$6:$H$505,MATCH(183,'Fund Research'!$U$6:$U$505,0)),"")</f>
        <v/>
      </c>
      <c r="G188" s="35" t="str">
        <f aca="false">IFERROR(INDEX('Fund Research'!$I$6:$I$505,MATCH(183,'Fund Research'!$U$6:$U$505,0)),"")</f>
        <v/>
      </c>
      <c r="H188" s="36" t="str">
        <f aca="false">IFERROR(INDEX('Fund Research'!$J$6:$J$505,MATCH(183,'Fund Research'!$U$6:$U$505,0)),"")</f>
        <v/>
      </c>
      <c r="I188" s="37" t="str">
        <f aca="false">IFERROR(INDEX('Fund Research'!$L$6:$L$505,MATCH(183,'Fund Research'!$U$6:$U$505,0)),"")</f>
        <v/>
      </c>
      <c r="J188" s="36" t="str">
        <f aca="false">IFERROR(INDEX('Fund Research'!$N$6:$N$505,MATCH(183,'Fund Research'!$U$6:$U$505,0)),"")</f>
        <v/>
      </c>
      <c r="K188" s="36" t="str">
        <f aca="false">IFERROR(INDEX('Fund Research'!$P$6:$P$505,MATCH(183,'Fund Research'!$U$6:$U$505,0)),"")</f>
        <v/>
      </c>
      <c r="L188" s="34" t="str">
        <f aca="false">IFERROR(INDEX('Fund Research'!$S$6:$S$505,MATCH(183,'Fund Research'!$U$6:$U$505,0)),"")</f>
        <v/>
      </c>
      <c r="M188" s="34" t="str">
        <f aca="false">IFERROR(INDEX('Fund Research'!$T$6:$T$505,MATCH(183,'Fund Research'!$U$6:$U$505,0)),"")</f>
        <v/>
      </c>
    </row>
    <row r="189" customFormat="false" ht="15" hidden="false" customHeight="true" outlineLevel="0" collapsed="false">
      <c r="A189" s="33" t="str">
        <f aca="false">IFERROR(IF(INDEX('Fund Research'!$B$6:$B$505,MATCH(184,'Fund Research'!$U$6:$U$505,0))="","",184),"")</f>
        <v/>
      </c>
      <c r="B189" s="34" t="str">
        <f aca="false">IFERROR(INDEX('Fund Research'!$A$6:$A$505,MATCH(184,'Fund Research'!$U$6:$U$505,0)),"")</f>
        <v/>
      </c>
      <c r="C189" s="34" t="str">
        <f aca="false">IFERROR(INDEX('Fund Research'!$B$6:$B$505,MATCH(184,'Fund Research'!$U$6:$U$505,0)),"")</f>
        <v/>
      </c>
      <c r="D189" s="34" t="str">
        <f aca="false">IFERROR(INDEX('Fund Research'!$C$6:$C$505,MATCH(184,'Fund Research'!$U$6:$U$505,0)),"")</f>
        <v/>
      </c>
      <c r="E189" s="35" t="str">
        <f aca="false">IFERROR(INDEX('Fund Research'!$G$6:$G$505,MATCH(184,'Fund Research'!$U$6:$U$505,0)),"")</f>
        <v/>
      </c>
      <c r="F189" s="35" t="str">
        <f aca="false">IFERROR(INDEX('Fund Research'!$H$6:$H$505,MATCH(184,'Fund Research'!$U$6:$U$505,0)),"")</f>
        <v/>
      </c>
      <c r="G189" s="35" t="str">
        <f aca="false">IFERROR(INDEX('Fund Research'!$I$6:$I$505,MATCH(184,'Fund Research'!$U$6:$U$505,0)),"")</f>
        <v/>
      </c>
      <c r="H189" s="36" t="str">
        <f aca="false">IFERROR(INDEX('Fund Research'!$J$6:$J$505,MATCH(184,'Fund Research'!$U$6:$U$505,0)),"")</f>
        <v/>
      </c>
      <c r="I189" s="37" t="str">
        <f aca="false">IFERROR(INDEX('Fund Research'!$L$6:$L$505,MATCH(184,'Fund Research'!$U$6:$U$505,0)),"")</f>
        <v/>
      </c>
      <c r="J189" s="36" t="str">
        <f aca="false">IFERROR(INDEX('Fund Research'!$N$6:$N$505,MATCH(184,'Fund Research'!$U$6:$U$505,0)),"")</f>
        <v/>
      </c>
      <c r="K189" s="36" t="str">
        <f aca="false">IFERROR(INDEX('Fund Research'!$P$6:$P$505,MATCH(184,'Fund Research'!$U$6:$U$505,0)),"")</f>
        <v/>
      </c>
      <c r="L189" s="34" t="str">
        <f aca="false">IFERROR(INDEX('Fund Research'!$S$6:$S$505,MATCH(184,'Fund Research'!$U$6:$U$505,0)),"")</f>
        <v/>
      </c>
      <c r="M189" s="34" t="str">
        <f aca="false">IFERROR(INDEX('Fund Research'!$T$6:$T$505,MATCH(184,'Fund Research'!$U$6:$U$505,0)),"")</f>
        <v/>
      </c>
    </row>
    <row r="190" customFormat="false" ht="15" hidden="false" customHeight="true" outlineLevel="0" collapsed="false">
      <c r="A190" s="33" t="str">
        <f aca="false">IFERROR(IF(INDEX('Fund Research'!$B$6:$B$505,MATCH(185,'Fund Research'!$U$6:$U$505,0))="","",185),"")</f>
        <v/>
      </c>
      <c r="B190" s="34" t="str">
        <f aca="false">IFERROR(INDEX('Fund Research'!$A$6:$A$505,MATCH(185,'Fund Research'!$U$6:$U$505,0)),"")</f>
        <v/>
      </c>
      <c r="C190" s="34" t="str">
        <f aca="false">IFERROR(INDEX('Fund Research'!$B$6:$B$505,MATCH(185,'Fund Research'!$U$6:$U$505,0)),"")</f>
        <v/>
      </c>
      <c r="D190" s="34" t="str">
        <f aca="false">IFERROR(INDEX('Fund Research'!$C$6:$C$505,MATCH(185,'Fund Research'!$U$6:$U$505,0)),"")</f>
        <v/>
      </c>
      <c r="E190" s="35" t="str">
        <f aca="false">IFERROR(INDEX('Fund Research'!$G$6:$G$505,MATCH(185,'Fund Research'!$U$6:$U$505,0)),"")</f>
        <v/>
      </c>
      <c r="F190" s="35" t="str">
        <f aca="false">IFERROR(INDEX('Fund Research'!$H$6:$H$505,MATCH(185,'Fund Research'!$U$6:$U$505,0)),"")</f>
        <v/>
      </c>
      <c r="G190" s="35" t="str">
        <f aca="false">IFERROR(INDEX('Fund Research'!$I$6:$I$505,MATCH(185,'Fund Research'!$U$6:$U$505,0)),"")</f>
        <v/>
      </c>
      <c r="H190" s="36" t="str">
        <f aca="false">IFERROR(INDEX('Fund Research'!$J$6:$J$505,MATCH(185,'Fund Research'!$U$6:$U$505,0)),"")</f>
        <v/>
      </c>
      <c r="I190" s="37" t="str">
        <f aca="false">IFERROR(INDEX('Fund Research'!$L$6:$L$505,MATCH(185,'Fund Research'!$U$6:$U$505,0)),"")</f>
        <v/>
      </c>
      <c r="J190" s="36" t="str">
        <f aca="false">IFERROR(INDEX('Fund Research'!$N$6:$N$505,MATCH(185,'Fund Research'!$U$6:$U$505,0)),"")</f>
        <v/>
      </c>
      <c r="K190" s="36" t="str">
        <f aca="false">IFERROR(INDEX('Fund Research'!$P$6:$P$505,MATCH(185,'Fund Research'!$U$6:$U$505,0)),"")</f>
        <v/>
      </c>
      <c r="L190" s="34" t="str">
        <f aca="false">IFERROR(INDEX('Fund Research'!$S$6:$S$505,MATCH(185,'Fund Research'!$U$6:$U$505,0)),"")</f>
        <v/>
      </c>
      <c r="M190" s="34" t="str">
        <f aca="false">IFERROR(INDEX('Fund Research'!$T$6:$T$505,MATCH(185,'Fund Research'!$U$6:$U$505,0)),"")</f>
        <v/>
      </c>
    </row>
    <row r="191" customFormat="false" ht="15" hidden="false" customHeight="true" outlineLevel="0" collapsed="false">
      <c r="A191" s="33" t="str">
        <f aca="false">IFERROR(IF(INDEX('Fund Research'!$B$6:$B$505,MATCH(186,'Fund Research'!$U$6:$U$505,0))="","",186),"")</f>
        <v/>
      </c>
      <c r="B191" s="34" t="str">
        <f aca="false">IFERROR(INDEX('Fund Research'!$A$6:$A$505,MATCH(186,'Fund Research'!$U$6:$U$505,0)),"")</f>
        <v/>
      </c>
      <c r="C191" s="34" t="str">
        <f aca="false">IFERROR(INDEX('Fund Research'!$B$6:$B$505,MATCH(186,'Fund Research'!$U$6:$U$505,0)),"")</f>
        <v/>
      </c>
      <c r="D191" s="34" t="str">
        <f aca="false">IFERROR(INDEX('Fund Research'!$C$6:$C$505,MATCH(186,'Fund Research'!$U$6:$U$505,0)),"")</f>
        <v/>
      </c>
      <c r="E191" s="35" t="str">
        <f aca="false">IFERROR(INDEX('Fund Research'!$G$6:$G$505,MATCH(186,'Fund Research'!$U$6:$U$505,0)),"")</f>
        <v/>
      </c>
      <c r="F191" s="35" t="str">
        <f aca="false">IFERROR(INDEX('Fund Research'!$H$6:$H$505,MATCH(186,'Fund Research'!$U$6:$U$505,0)),"")</f>
        <v/>
      </c>
      <c r="G191" s="35" t="str">
        <f aca="false">IFERROR(INDEX('Fund Research'!$I$6:$I$505,MATCH(186,'Fund Research'!$U$6:$U$505,0)),"")</f>
        <v/>
      </c>
      <c r="H191" s="36" t="str">
        <f aca="false">IFERROR(INDEX('Fund Research'!$J$6:$J$505,MATCH(186,'Fund Research'!$U$6:$U$505,0)),"")</f>
        <v/>
      </c>
      <c r="I191" s="37" t="str">
        <f aca="false">IFERROR(INDEX('Fund Research'!$L$6:$L$505,MATCH(186,'Fund Research'!$U$6:$U$505,0)),"")</f>
        <v/>
      </c>
      <c r="J191" s="36" t="str">
        <f aca="false">IFERROR(INDEX('Fund Research'!$N$6:$N$505,MATCH(186,'Fund Research'!$U$6:$U$505,0)),"")</f>
        <v/>
      </c>
      <c r="K191" s="36" t="str">
        <f aca="false">IFERROR(INDEX('Fund Research'!$P$6:$P$505,MATCH(186,'Fund Research'!$U$6:$U$505,0)),"")</f>
        <v/>
      </c>
      <c r="L191" s="34" t="str">
        <f aca="false">IFERROR(INDEX('Fund Research'!$S$6:$S$505,MATCH(186,'Fund Research'!$U$6:$U$505,0)),"")</f>
        <v/>
      </c>
      <c r="M191" s="34" t="str">
        <f aca="false">IFERROR(INDEX('Fund Research'!$T$6:$T$505,MATCH(186,'Fund Research'!$U$6:$U$505,0)),"")</f>
        <v/>
      </c>
    </row>
    <row r="192" customFormat="false" ht="15" hidden="false" customHeight="true" outlineLevel="0" collapsed="false">
      <c r="A192" s="33" t="str">
        <f aca="false">IFERROR(IF(INDEX('Fund Research'!$B$6:$B$505,MATCH(187,'Fund Research'!$U$6:$U$505,0))="","",187),"")</f>
        <v/>
      </c>
      <c r="B192" s="34" t="str">
        <f aca="false">IFERROR(INDEX('Fund Research'!$A$6:$A$505,MATCH(187,'Fund Research'!$U$6:$U$505,0)),"")</f>
        <v/>
      </c>
      <c r="C192" s="34" t="str">
        <f aca="false">IFERROR(INDEX('Fund Research'!$B$6:$B$505,MATCH(187,'Fund Research'!$U$6:$U$505,0)),"")</f>
        <v/>
      </c>
      <c r="D192" s="34" t="str">
        <f aca="false">IFERROR(INDEX('Fund Research'!$C$6:$C$505,MATCH(187,'Fund Research'!$U$6:$U$505,0)),"")</f>
        <v/>
      </c>
      <c r="E192" s="35" t="str">
        <f aca="false">IFERROR(INDEX('Fund Research'!$G$6:$G$505,MATCH(187,'Fund Research'!$U$6:$U$505,0)),"")</f>
        <v/>
      </c>
      <c r="F192" s="35" t="str">
        <f aca="false">IFERROR(INDEX('Fund Research'!$H$6:$H$505,MATCH(187,'Fund Research'!$U$6:$U$505,0)),"")</f>
        <v/>
      </c>
      <c r="G192" s="35" t="str">
        <f aca="false">IFERROR(INDEX('Fund Research'!$I$6:$I$505,MATCH(187,'Fund Research'!$U$6:$U$505,0)),"")</f>
        <v/>
      </c>
      <c r="H192" s="36" t="str">
        <f aca="false">IFERROR(INDEX('Fund Research'!$J$6:$J$505,MATCH(187,'Fund Research'!$U$6:$U$505,0)),"")</f>
        <v/>
      </c>
      <c r="I192" s="37" t="str">
        <f aca="false">IFERROR(INDEX('Fund Research'!$L$6:$L$505,MATCH(187,'Fund Research'!$U$6:$U$505,0)),"")</f>
        <v/>
      </c>
      <c r="J192" s="36" t="str">
        <f aca="false">IFERROR(INDEX('Fund Research'!$N$6:$N$505,MATCH(187,'Fund Research'!$U$6:$U$505,0)),"")</f>
        <v/>
      </c>
      <c r="K192" s="36" t="str">
        <f aca="false">IFERROR(INDEX('Fund Research'!$P$6:$P$505,MATCH(187,'Fund Research'!$U$6:$U$505,0)),"")</f>
        <v/>
      </c>
      <c r="L192" s="34" t="str">
        <f aca="false">IFERROR(INDEX('Fund Research'!$S$6:$S$505,MATCH(187,'Fund Research'!$U$6:$U$505,0)),"")</f>
        <v/>
      </c>
      <c r="M192" s="34" t="str">
        <f aca="false">IFERROR(INDEX('Fund Research'!$T$6:$T$505,MATCH(187,'Fund Research'!$U$6:$U$505,0)),"")</f>
        <v/>
      </c>
    </row>
    <row r="193" customFormat="false" ht="15" hidden="false" customHeight="true" outlineLevel="0" collapsed="false">
      <c r="A193" s="33" t="str">
        <f aca="false">IFERROR(IF(INDEX('Fund Research'!$B$6:$B$505,MATCH(188,'Fund Research'!$U$6:$U$505,0))="","",188),"")</f>
        <v/>
      </c>
      <c r="B193" s="34" t="str">
        <f aca="false">IFERROR(INDEX('Fund Research'!$A$6:$A$505,MATCH(188,'Fund Research'!$U$6:$U$505,0)),"")</f>
        <v/>
      </c>
      <c r="C193" s="34" t="str">
        <f aca="false">IFERROR(INDEX('Fund Research'!$B$6:$B$505,MATCH(188,'Fund Research'!$U$6:$U$505,0)),"")</f>
        <v/>
      </c>
      <c r="D193" s="34" t="str">
        <f aca="false">IFERROR(INDEX('Fund Research'!$C$6:$C$505,MATCH(188,'Fund Research'!$U$6:$U$505,0)),"")</f>
        <v/>
      </c>
      <c r="E193" s="35" t="str">
        <f aca="false">IFERROR(INDEX('Fund Research'!$G$6:$G$505,MATCH(188,'Fund Research'!$U$6:$U$505,0)),"")</f>
        <v/>
      </c>
      <c r="F193" s="35" t="str">
        <f aca="false">IFERROR(INDEX('Fund Research'!$H$6:$H$505,MATCH(188,'Fund Research'!$U$6:$U$505,0)),"")</f>
        <v/>
      </c>
      <c r="G193" s="35" t="str">
        <f aca="false">IFERROR(INDEX('Fund Research'!$I$6:$I$505,MATCH(188,'Fund Research'!$U$6:$U$505,0)),"")</f>
        <v/>
      </c>
      <c r="H193" s="36" t="str">
        <f aca="false">IFERROR(INDEX('Fund Research'!$J$6:$J$505,MATCH(188,'Fund Research'!$U$6:$U$505,0)),"")</f>
        <v/>
      </c>
      <c r="I193" s="37" t="str">
        <f aca="false">IFERROR(INDEX('Fund Research'!$L$6:$L$505,MATCH(188,'Fund Research'!$U$6:$U$505,0)),"")</f>
        <v/>
      </c>
      <c r="J193" s="36" t="str">
        <f aca="false">IFERROR(INDEX('Fund Research'!$N$6:$N$505,MATCH(188,'Fund Research'!$U$6:$U$505,0)),"")</f>
        <v/>
      </c>
      <c r="K193" s="36" t="str">
        <f aca="false">IFERROR(INDEX('Fund Research'!$P$6:$P$505,MATCH(188,'Fund Research'!$U$6:$U$505,0)),"")</f>
        <v/>
      </c>
      <c r="L193" s="34" t="str">
        <f aca="false">IFERROR(INDEX('Fund Research'!$S$6:$S$505,MATCH(188,'Fund Research'!$U$6:$U$505,0)),"")</f>
        <v/>
      </c>
      <c r="M193" s="34" t="str">
        <f aca="false">IFERROR(INDEX('Fund Research'!$T$6:$T$505,MATCH(188,'Fund Research'!$U$6:$U$505,0)),"")</f>
        <v/>
      </c>
    </row>
    <row r="194" customFormat="false" ht="15" hidden="false" customHeight="true" outlineLevel="0" collapsed="false">
      <c r="A194" s="33" t="str">
        <f aca="false">IFERROR(IF(INDEX('Fund Research'!$B$6:$B$505,MATCH(189,'Fund Research'!$U$6:$U$505,0))="","",189),"")</f>
        <v/>
      </c>
      <c r="B194" s="34" t="str">
        <f aca="false">IFERROR(INDEX('Fund Research'!$A$6:$A$505,MATCH(189,'Fund Research'!$U$6:$U$505,0)),"")</f>
        <v/>
      </c>
      <c r="C194" s="34" t="str">
        <f aca="false">IFERROR(INDEX('Fund Research'!$B$6:$B$505,MATCH(189,'Fund Research'!$U$6:$U$505,0)),"")</f>
        <v/>
      </c>
      <c r="D194" s="34" t="str">
        <f aca="false">IFERROR(INDEX('Fund Research'!$C$6:$C$505,MATCH(189,'Fund Research'!$U$6:$U$505,0)),"")</f>
        <v/>
      </c>
      <c r="E194" s="35" t="str">
        <f aca="false">IFERROR(INDEX('Fund Research'!$G$6:$G$505,MATCH(189,'Fund Research'!$U$6:$U$505,0)),"")</f>
        <v/>
      </c>
      <c r="F194" s="35" t="str">
        <f aca="false">IFERROR(INDEX('Fund Research'!$H$6:$H$505,MATCH(189,'Fund Research'!$U$6:$U$505,0)),"")</f>
        <v/>
      </c>
      <c r="G194" s="35" t="str">
        <f aca="false">IFERROR(INDEX('Fund Research'!$I$6:$I$505,MATCH(189,'Fund Research'!$U$6:$U$505,0)),"")</f>
        <v/>
      </c>
      <c r="H194" s="36" t="str">
        <f aca="false">IFERROR(INDEX('Fund Research'!$J$6:$J$505,MATCH(189,'Fund Research'!$U$6:$U$505,0)),"")</f>
        <v/>
      </c>
      <c r="I194" s="37" t="str">
        <f aca="false">IFERROR(INDEX('Fund Research'!$L$6:$L$505,MATCH(189,'Fund Research'!$U$6:$U$505,0)),"")</f>
        <v/>
      </c>
      <c r="J194" s="36" t="str">
        <f aca="false">IFERROR(INDEX('Fund Research'!$N$6:$N$505,MATCH(189,'Fund Research'!$U$6:$U$505,0)),"")</f>
        <v/>
      </c>
      <c r="K194" s="36" t="str">
        <f aca="false">IFERROR(INDEX('Fund Research'!$P$6:$P$505,MATCH(189,'Fund Research'!$U$6:$U$505,0)),"")</f>
        <v/>
      </c>
      <c r="L194" s="34" t="str">
        <f aca="false">IFERROR(INDEX('Fund Research'!$S$6:$S$505,MATCH(189,'Fund Research'!$U$6:$U$505,0)),"")</f>
        <v/>
      </c>
      <c r="M194" s="34" t="str">
        <f aca="false">IFERROR(INDEX('Fund Research'!$T$6:$T$505,MATCH(189,'Fund Research'!$U$6:$U$505,0)),"")</f>
        <v/>
      </c>
    </row>
    <row r="195" customFormat="false" ht="15" hidden="false" customHeight="true" outlineLevel="0" collapsed="false">
      <c r="A195" s="33" t="str">
        <f aca="false">IFERROR(IF(INDEX('Fund Research'!$B$6:$B$505,MATCH(190,'Fund Research'!$U$6:$U$505,0))="","",190),"")</f>
        <v/>
      </c>
      <c r="B195" s="34" t="str">
        <f aca="false">IFERROR(INDEX('Fund Research'!$A$6:$A$505,MATCH(190,'Fund Research'!$U$6:$U$505,0)),"")</f>
        <v/>
      </c>
      <c r="C195" s="34" t="str">
        <f aca="false">IFERROR(INDEX('Fund Research'!$B$6:$B$505,MATCH(190,'Fund Research'!$U$6:$U$505,0)),"")</f>
        <v/>
      </c>
      <c r="D195" s="34" t="str">
        <f aca="false">IFERROR(INDEX('Fund Research'!$C$6:$C$505,MATCH(190,'Fund Research'!$U$6:$U$505,0)),"")</f>
        <v/>
      </c>
      <c r="E195" s="35" t="str">
        <f aca="false">IFERROR(INDEX('Fund Research'!$G$6:$G$505,MATCH(190,'Fund Research'!$U$6:$U$505,0)),"")</f>
        <v/>
      </c>
      <c r="F195" s="35" t="str">
        <f aca="false">IFERROR(INDEX('Fund Research'!$H$6:$H$505,MATCH(190,'Fund Research'!$U$6:$U$505,0)),"")</f>
        <v/>
      </c>
      <c r="G195" s="35" t="str">
        <f aca="false">IFERROR(INDEX('Fund Research'!$I$6:$I$505,MATCH(190,'Fund Research'!$U$6:$U$505,0)),"")</f>
        <v/>
      </c>
      <c r="H195" s="36" t="str">
        <f aca="false">IFERROR(INDEX('Fund Research'!$J$6:$J$505,MATCH(190,'Fund Research'!$U$6:$U$505,0)),"")</f>
        <v/>
      </c>
      <c r="I195" s="37" t="str">
        <f aca="false">IFERROR(INDEX('Fund Research'!$L$6:$L$505,MATCH(190,'Fund Research'!$U$6:$U$505,0)),"")</f>
        <v/>
      </c>
      <c r="J195" s="36" t="str">
        <f aca="false">IFERROR(INDEX('Fund Research'!$N$6:$N$505,MATCH(190,'Fund Research'!$U$6:$U$505,0)),"")</f>
        <v/>
      </c>
      <c r="K195" s="36" t="str">
        <f aca="false">IFERROR(INDEX('Fund Research'!$P$6:$P$505,MATCH(190,'Fund Research'!$U$6:$U$505,0)),"")</f>
        <v/>
      </c>
      <c r="L195" s="34" t="str">
        <f aca="false">IFERROR(INDEX('Fund Research'!$S$6:$S$505,MATCH(190,'Fund Research'!$U$6:$U$505,0)),"")</f>
        <v/>
      </c>
      <c r="M195" s="34" t="str">
        <f aca="false">IFERROR(INDEX('Fund Research'!$T$6:$T$505,MATCH(190,'Fund Research'!$U$6:$U$505,0)),"")</f>
        <v/>
      </c>
    </row>
    <row r="196" customFormat="false" ht="15" hidden="false" customHeight="true" outlineLevel="0" collapsed="false">
      <c r="A196" s="33" t="str">
        <f aca="false">IFERROR(IF(INDEX('Fund Research'!$B$6:$B$505,MATCH(191,'Fund Research'!$U$6:$U$505,0))="","",191),"")</f>
        <v/>
      </c>
      <c r="B196" s="34" t="str">
        <f aca="false">IFERROR(INDEX('Fund Research'!$A$6:$A$505,MATCH(191,'Fund Research'!$U$6:$U$505,0)),"")</f>
        <v/>
      </c>
      <c r="C196" s="34" t="str">
        <f aca="false">IFERROR(INDEX('Fund Research'!$B$6:$B$505,MATCH(191,'Fund Research'!$U$6:$U$505,0)),"")</f>
        <v/>
      </c>
      <c r="D196" s="34" t="str">
        <f aca="false">IFERROR(INDEX('Fund Research'!$C$6:$C$505,MATCH(191,'Fund Research'!$U$6:$U$505,0)),"")</f>
        <v/>
      </c>
      <c r="E196" s="35" t="str">
        <f aca="false">IFERROR(INDEX('Fund Research'!$G$6:$G$505,MATCH(191,'Fund Research'!$U$6:$U$505,0)),"")</f>
        <v/>
      </c>
      <c r="F196" s="35" t="str">
        <f aca="false">IFERROR(INDEX('Fund Research'!$H$6:$H$505,MATCH(191,'Fund Research'!$U$6:$U$505,0)),"")</f>
        <v/>
      </c>
      <c r="G196" s="35" t="str">
        <f aca="false">IFERROR(INDEX('Fund Research'!$I$6:$I$505,MATCH(191,'Fund Research'!$U$6:$U$505,0)),"")</f>
        <v/>
      </c>
      <c r="H196" s="36" t="str">
        <f aca="false">IFERROR(INDEX('Fund Research'!$J$6:$J$505,MATCH(191,'Fund Research'!$U$6:$U$505,0)),"")</f>
        <v/>
      </c>
      <c r="I196" s="37" t="str">
        <f aca="false">IFERROR(INDEX('Fund Research'!$L$6:$L$505,MATCH(191,'Fund Research'!$U$6:$U$505,0)),"")</f>
        <v/>
      </c>
      <c r="J196" s="36" t="str">
        <f aca="false">IFERROR(INDEX('Fund Research'!$N$6:$N$505,MATCH(191,'Fund Research'!$U$6:$U$505,0)),"")</f>
        <v/>
      </c>
      <c r="K196" s="36" t="str">
        <f aca="false">IFERROR(INDEX('Fund Research'!$P$6:$P$505,MATCH(191,'Fund Research'!$U$6:$U$505,0)),"")</f>
        <v/>
      </c>
      <c r="L196" s="34" t="str">
        <f aca="false">IFERROR(INDEX('Fund Research'!$S$6:$S$505,MATCH(191,'Fund Research'!$U$6:$U$505,0)),"")</f>
        <v/>
      </c>
      <c r="M196" s="34" t="str">
        <f aca="false">IFERROR(INDEX('Fund Research'!$T$6:$T$505,MATCH(191,'Fund Research'!$U$6:$U$505,0)),"")</f>
        <v/>
      </c>
    </row>
    <row r="197" customFormat="false" ht="15" hidden="false" customHeight="true" outlineLevel="0" collapsed="false">
      <c r="A197" s="33" t="str">
        <f aca="false">IFERROR(IF(INDEX('Fund Research'!$B$6:$B$505,MATCH(192,'Fund Research'!$U$6:$U$505,0))="","",192),"")</f>
        <v/>
      </c>
      <c r="B197" s="34" t="str">
        <f aca="false">IFERROR(INDEX('Fund Research'!$A$6:$A$505,MATCH(192,'Fund Research'!$U$6:$U$505,0)),"")</f>
        <v/>
      </c>
      <c r="C197" s="34" t="str">
        <f aca="false">IFERROR(INDEX('Fund Research'!$B$6:$B$505,MATCH(192,'Fund Research'!$U$6:$U$505,0)),"")</f>
        <v/>
      </c>
      <c r="D197" s="34" t="str">
        <f aca="false">IFERROR(INDEX('Fund Research'!$C$6:$C$505,MATCH(192,'Fund Research'!$U$6:$U$505,0)),"")</f>
        <v/>
      </c>
      <c r="E197" s="35" t="str">
        <f aca="false">IFERROR(INDEX('Fund Research'!$G$6:$G$505,MATCH(192,'Fund Research'!$U$6:$U$505,0)),"")</f>
        <v/>
      </c>
      <c r="F197" s="35" t="str">
        <f aca="false">IFERROR(INDEX('Fund Research'!$H$6:$H$505,MATCH(192,'Fund Research'!$U$6:$U$505,0)),"")</f>
        <v/>
      </c>
      <c r="G197" s="35" t="str">
        <f aca="false">IFERROR(INDEX('Fund Research'!$I$6:$I$505,MATCH(192,'Fund Research'!$U$6:$U$505,0)),"")</f>
        <v/>
      </c>
      <c r="H197" s="36" t="str">
        <f aca="false">IFERROR(INDEX('Fund Research'!$J$6:$J$505,MATCH(192,'Fund Research'!$U$6:$U$505,0)),"")</f>
        <v/>
      </c>
      <c r="I197" s="37" t="str">
        <f aca="false">IFERROR(INDEX('Fund Research'!$L$6:$L$505,MATCH(192,'Fund Research'!$U$6:$U$505,0)),"")</f>
        <v/>
      </c>
      <c r="J197" s="36" t="str">
        <f aca="false">IFERROR(INDEX('Fund Research'!$N$6:$N$505,MATCH(192,'Fund Research'!$U$6:$U$505,0)),"")</f>
        <v/>
      </c>
      <c r="K197" s="36" t="str">
        <f aca="false">IFERROR(INDEX('Fund Research'!$P$6:$P$505,MATCH(192,'Fund Research'!$U$6:$U$505,0)),"")</f>
        <v/>
      </c>
      <c r="L197" s="34" t="str">
        <f aca="false">IFERROR(INDEX('Fund Research'!$S$6:$S$505,MATCH(192,'Fund Research'!$U$6:$U$505,0)),"")</f>
        <v/>
      </c>
      <c r="M197" s="34" t="str">
        <f aca="false">IFERROR(INDEX('Fund Research'!$T$6:$T$505,MATCH(192,'Fund Research'!$U$6:$U$505,0)),"")</f>
        <v/>
      </c>
    </row>
    <row r="198" customFormat="false" ht="15" hidden="false" customHeight="true" outlineLevel="0" collapsed="false">
      <c r="A198" s="33" t="str">
        <f aca="false">IFERROR(IF(INDEX('Fund Research'!$B$6:$B$505,MATCH(193,'Fund Research'!$U$6:$U$505,0))="","",193),"")</f>
        <v/>
      </c>
      <c r="B198" s="34" t="str">
        <f aca="false">IFERROR(INDEX('Fund Research'!$A$6:$A$505,MATCH(193,'Fund Research'!$U$6:$U$505,0)),"")</f>
        <v/>
      </c>
      <c r="C198" s="34" t="str">
        <f aca="false">IFERROR(INDEX('Fund Research'!$B$6:$B$505,MATCH(193,'Fund Research'!$U$6:$U$505,0)),"")</f>
        <v/>
      </c>
      <c r="D198" s="34" t="str">
        <f aca="false">IFERROR(INDEX('Fund Research'!$C$6:$C$505,MATCH(193,'Fund Research'!$U$6:$U$505,0)),"")</f>
        <v/>
      </c>
      <c r="E198" s="35" t="str">
        <f aca="false">IFERROR(INDEX('Fund Research'!$G$6:$G$505,MATCH(193,'Fund Research'!$U$6:$U$505,0)),"")</f>
        <v/>
      </c>
      <c r="F198" s="35" t="str">
        <f aca="false">IFERROR(INDEX('Fund Research'!$H$6:$H$505,MATCH(193,'Fund Research'!$U$6:$U$505,0)),"")</f>
        <v/>
      </c>
      <c r="G198" s="35" t="str">
        <f aca="false">IFERROR(INDEX('Fund Research'!$I$6:$I$505,MATCH(193,'Fund Research'!$U$6:$U$505,0)),"")</f>
        <v/>
      </c>
      <c r="H198" s="36" t="str">
        <f aca="false">IFERROR(INDEX('Fund Research'!$J$6:$J$505,MATCH(193,'Fund Research'!$U$6:$U$505,0)),"")</f>
        <v/>
      </c>
      <c r="I198" s="37" t="str">
        <f aca="false">IFERROR(INDEX('Fund Research'!$L$6:$L$505,MATCH(193,'Fund Research'!$U$6:$U$505,0)),"")</f>
        <v/>
      </c>
      <c r="J198" s="36" t="str">
        <f aca="false">IFERROR(INDEX('Fund Research'!$N$6:$N$505,MATCH(193,'Fund Research'!$U$6:$U$505,0)),"")</f>
        <v/>
      </c>
      <c r="K198" s="36" t="str">
        <f aca="false">IFERROR(INDEX('Fund Research'!$P$6:$P$505,MATCH(193,'Fund Research'!$U$6:$U$505,0)),"")</f>
        <v/>
      </c>
      <c r="L198" s="34" t="str">
        <f aca="false">IFERROR(INDEX('Fund Research'!$S$6:$S$505,MATCH(193,'Fund Research'!$U$6:$U$505,0)),"")</f>
        <v/>
      </c>
      <c r="M198" s="34" t="str">
        <f aca="false">IFERROR(INDEX('Fund Research'!$T$6:$T$505,MATCH(193,'Fund Research'!$U$6:$U$505,0)),"")</f>
        <v/>
      </c>
    </row>
    <row r="199" customFormat="false" ht="15" hidden="false" customHeight="true" outlineLevel="0" collapsed="false">
      <c r="A199" s="33" t="str">
        <f aca="false">IFERROR(IF(INDEX('Fund Research'!$B$6:$B$505,MATCH(194,'Fund Research'!$U$6:$U$505,0))="","",194),"")</f>
        <v/>
      </c>
      <c r="B199" s="34" t="str">
        <f aca="false">IFERROR(INDEX('Fund Research'!$A$6:$A$505,MATCH(194,'Fund Research'!$U$6:$U$505,0)),"")</f>
        <v/>
      </c>
      <c r="C199" s="34" t="str">
        <f aca="false">IFERROR(INDEX('Fund Research'!$B$6:$B$505,MATCH(194,'Fund Research'!$U$6:$U$505,0)),"")</f>
        <v/>
      </c>
      <c r="D199" s="34" t="str">
        <f aca="false">IFERROR(INDEX('Fund Research'!$C$6:$C$505,MATCH(194,'Fund Research'!$U$6:$U$505,0)),"")</f>
        <v/>
      </c>
      <c r="E199" s="35" t="str">
        <f aca="false">IFERROR(INDEX('Fund Research'!$G$6:$G$505,MATCH(194,'Fund Research'!$U$6:$U$505,0)),"")</f>
        <v/>
      </c>
      <c r="F199" s="35" t="str">
        <f aca="false">IFERROR(INDEX('Fund Research'!$H$6:$H$505,MATCH(194,'Fund Research'!$U$6:$U$505,0)),"")</f>
        <v/>
      </c>
      <c r="G199" s="35" t="str">
        <f aca="false">IFERROR(INDEX('Fund Research'!$I$6:$I$505,MATCH(194,'Fund Research'!$U$6:$U$505,0)),"")</f>
        <v/>
      </c>
      <c r="H199" s="36" t="str">
        <f aca="false">IFERROR(INDEX('Fund Research'!$J$6:$J$505,MATCH(194,'Fund Research'!$U$6:$U$505,0)),"")</f>
        <v/>
      </c>
      <c r="I199" s="37" t="str">
        <f aca="false">IFERROR(INDEX('Fund Research'!$L$6:$L$505,MATCH(194,'Fund Research'!$U$6:$U$505,0)),"")</f>
        <v/>
      </c>
      <c r="J199" s="36" t="str">
        <f aca="false">IFERROR(INDEX('Fund Research'!$N$6:$N$505,MATCH(194,'Fund Research'!$U$6:$U$505,0)),"")</f>
        <v/>
      </c>
      <c r="K199" s="36" t="str">
        <f aca="false">IFERROR(INDEX('Fund Research'!$P$6:$P$505,MATCH(194,'Fund Research'!$U$6:$U$505,0)),"")</f>
        <v/>
      </c>
      <c r="L199" s="34" t="str">
        <f aca="false">IFERROR(INDEX('Fund Research'!$S$6:$S$505,MATCH(194,'Fund Research'!$U$6:$U$505,0)),"")</f>
        <v/>
      </c>
      <c r="M199" s="34" t="str">
        <f aca="false">IFERROR(INDEX('Fund Research'!$T$6:$T$505,MATCH(194,'Fund Research'!$U$6:$U$505,0)),"")</f>
        <v/>
      </c>
    </row>
    <row r="200" customFormat="false" ht="15" hidden="false" customHeight="true" outlineLevel="0" collapsed="false">
      <c r="A200" s="33" t="str">
        <f aca="false">IFERROR(IF(INDEX('Fund Research'!$B$6:$B$505,MATCH(195,'Fund Research'!$U$6:$U$505,0))="","",195),"")</f>
        <v/>
      </c>
      <c r="B200" s="34" t="str">
        <f aca="false">IFERROR(INDEX('Fund Research'!$A$6:$A$505,MATCH(195,'Fund Research'!$U$6:$U$505,0)),"")</f>
        <v/>
      </c>
      <c r="C200" s="34" t="str">
        <f aca="false">IFERROR(INDEX('Fund Research'!$B$6:$B$505,MATCH(195,'Fund Research'!$U$6:$U$505,0)),"")</f>
        <v/>
      </c>
      <c r="D200" s="34" t="str">
        <f aca="false">IFERROR(INDEX('Fund Research'!$C$6:$C$505,MATCH(195,'Fund Research'!$U$6:$U$505,0)),"")</f>
        <v/>
      </c>
      <c r="E200" s="35" t="str">
        <f aca="false">IFERROR(INDEX('Fund Research'!$G$6:$G$505,MATCH(195,'Fund Research'!$U$6:$U$505,0)),"")</f>
        <v/>
      </c>
      <c r="F200" s="35" t="str">
        <f aca="false">IFERROR(INDEX('Fund Research'!$H$6:$H$505,MATCH(195,'Fund Research'!$U$6:$U$505,0)),"")</f>
        <v/>
      </c>
      <c r="G200" s="35" t="str">
        <f aca="false">IFERROR(INDEX('Fund Research'!$I$6:$I$505,MATCH(195,'Fund Research'!$U$6:$U$505,0)),"")</f>
        <v/>
      </c>
      <c r="H200" s="36" t="str">
        <f aca="false">IFERROR(INDEX('Fund Research'!$J$6:$J$505,MATCH(195,'Fund Research'!$U$6:$U$505,0)),"")</f>
        <v/>
      </c>
      <c r="I200" s="37" t="str">
        <f aca="false">IFERROR(INDEX('Fund Research'!$L$6:$L$505,MATCH(195,'Fund Research'!$U$6:$U$505,0)),"")</f>
        <v/>
      </c>
      <c r="J200" s="36" t="str">
        <f aca="false">IFERROR(INDEX('Fund Research'!$N$6:$N$505,MATCH(195,'Fund Research'!$U$6:$U$505,0)),"")</f>
        <v/>
      </c>
      <c r="K200" s="36" t="str">
        <f aca="false">IFERROR(INDEX('Fund Research'!$P$6:$P$505,MATCH(195,'Fund Research'!$U$6:$U$505,0)),"")</f>
        <v/>
      </c>
      <c r="L200" s="34" t="str">
        <f aca="false">IFERROR(INDEX('Fund Research'!$S$6:$S$505,MATCH(195,'Fund Research'!$U$6:$U$505,0)),"")</f>
        <v/>
      </c>
      <c r="M200" s="34" t="str">
        <f aca="false">IFERROR(INDEX('Fund Research'!$T$6:$T$505,MATCH(195,'Fund Research'!$U$6:$U$505,0)),"")</f>
        <v/>
      </c>
    </row>
    <row r="201" customFormat="false" ht="15" hidden="false" customHeight="true" outlineLevel="0" collapsed="false">
      <c r="A201" s="33" t="str">
        <f aca="false">IFERROR(IF(INDEX('Fund Research'!$B$6:$B$505,MATCH(196,'Fund Research'!$U$6:$U$505,0))="","",196),"")</f>
        <v/>
      </c>
      <c r="B201" s="34" t="str">
        <f aca="false">IFERROR(INDEX('Fund Research'!$A$6:$A$505,MATCH(196,'Fund Research'!$U$6:$U$505,0)),"")</f>
        <v/>
      </c>
      <c r="C201" s="34" t="str">
        <f aca="false">IFERROR(INDEX('Fund Research'!$B$6:$B$505,MATCH(196,'Fund Research'!$U$6:$U$505,0)),"")</f>
        <v/>
      </c>
      <c r="D201" s="34" t="str">
        <f aca="false">IFERROR(INDEX('Fund Research'!$C$6:$C$505,MATCH(196,'Fund Research'!$U$6:$U$505,0)),"")</f>
        <v/>
      </c>
      <c r="E201" s="35" t="str">
        <f aca="false">IFERROR(INDEX('Fund Research'!$G$6:$G$505,MATCH(196,'Fund Research'!$U$6:$U$505,0)),"")</f>
        <v/>
      </c>
      <c r="F201" s="35" t="str">
        <f aca="false">IFERROR(INDEX('Fund Research'!$H$6:$H$505,MATCH(196,'Fund Research'!$U$6:$U$505,0)),"")</f>
        <v/>
      </c>
      <c r="G201" s="35" t="str">
        <f aca="false">IFERROR(INDEX('Fund Research'!$I$6:$I$505,MATCH(196,'Fund Research'!$U$6:$U$505,0)),"")</f>
        <v/>
      </c>
      <c r="H201" s="36" t="str">
        <f aca="false">IFERROR(INDEX('Fund Research'!$J$6:$J$505,MATCH(196,'Fund Research'!$U$6:$U$505,0)),"")</f>
        <v/>
      </c>
      <c r="I201" s="37" t="str">
        <f aca="false">IFERROR(INDEX('Fund Research'!$L$6:$L$505,MATCH(196,'Fund Research'!$U$6:$U$505,0)),"")</f>
        <v/>
      </c>
      <c r="J201" s="36" t="str">
        <f aca="false">IFERROR(INDEX('Fund Research'!$N$6:$N$505,MATCH(196,'Fund Research'!$U$6:$U$505,0)),"")</f>
        <v/>
      </c>
      <c r="K201" s="36" t="str">
        <f aca="false">IFERROR(INDEX('Fund Research'!$P$6:$P$505,MATCH(196,'Fund Research'!$U$6:$U$505,0)),"")</f>
        <v/>
      </c>
      <c r="L201" s="34" t="str">
        <f aca="false">IFERROR(INDEX('Fund Research'!$S$6:$S$505,MATCH(196,'Fund Research'!$U$6:$U$505,0)),"")</f>
        <v/>
      </c>
      <c r="M201" s="34" t="str">
        <f aca="false">IFERROR(INDEX('Fund Research'!$T$6:$T$505,MATCH(196,'Fund Research'!$U$6:$U$505,0)),"")</f>
        <v/>
      </c>
    </row>
    <row r="202" customFormat="false" ht="15" hidden="false" customHeight="true" outlineLevel="0" collapsed="false">
      <c r="A202" s="33" t="str">
        <f aca="false">IFERROR(IF(INDEX('Fund Research'!$B$6:$B$505,MATCH(197,'Fund Research'!$U$6:$U$505,0))="","",197),"")</f>
        <v/>
      </c>
      <c r="B202" s="34" t="str">
        <f aca="false">IFERROR(INDEX('Fund Research'!$A$6:$A$505,MATCH(197,'Fund Research'!$U$6:$U$505,0)),"")</f>
        <v/>
      </c>
      <c r="C202" s="34" t="str">
        <f aca="false">IFERROR(INDEX('Fund Research'!$B$6:$B$505,MATCH(197,'Fund Research'!$U$6:$U$505,0)),"")</f>
        <v/>
      </c>
      <c r="D202" s="34" t="str">
        <f aca="false">IFERROR(INDEX('Fund Research'!$C$6:$C$505,MATCH(197,'Fund Research'!$U$6:$U$505,0)),"")</f>
        <v/>
      </c>
      <c r="E202" s="35" t="str">
        <f aca="false">IFERROR(INDEX('Fund Research'!$G$6:$G$505,MATCH(197,'Fund Research'!$U$6:$U$505,0)),"")</f>
        <v/>
      </c>
      <c r="F202" s="35" t="str">
        <f aca="false">IFERROR(INDEX('Fund Research'!$H$6:$H$505,MATCH(197,'Fund Research'!$U$6:$U$505,0)),"")</f>
        <v/>
      </c>
      <c r="G202" s="35" t="str">
        <f aca="false">IFERROR(INDEX('Fund Research'!$I$6:$I$505,MATCH(197,'Fund Research'!$U$6:$U$505,0)),"")</f>
        <v/>
      </c>
      <c r="H202" s="36" t="str">
        <f aca="false">IFERROR(INDEX('Fund Research'!$J$6:$J$505,MATCH(197,'Fund Research'!$U$6:$U$505,0)),"")</f>
        <v/>
      </c>
      <c r="I202" s="37" t="str">
        <f aca="false">IFERROR(INDEX('Fund Research'!$L$6:$L$505,MATCH(197,'Fund Research'!$U$6:$U$505,0)),"")</f>
        <v/>
      </c>
      <c r="J202" s="36" t="str">
        <f aca="false">IFERROR(INDEX('Fund Research'!$N$6:$N$505,MATCH(197,'Fund Research'!$U$6:$U$505,0)),"")</f>
        <v/>
      </c>
      <c r="K202" s="36" t="str">
        <f aca="false">IFERROR(INDEX('Fund Research'!$P$6:$P$505,MATCH(197,'Fund Research'!$U$6:$U$505,0)),"")</f>
        <v/>
      </c>
      <c r="L202" s="34" t="str">
        <f aca="false">IFERROR(INDEX('Fund Research'!$S$6:$S$505,MATCH(197,'Fund Research'!$U$6:$U$505,0)),"")</f>
        <v/>
      </c>
      <c r="M202" s="34" t="str">
        <f aca="false">IFERROR(INDEX('Fund Research'!$T$6:$T$505,MATCH(197,'Fund Research'!$U$6:$U$505,0)),"")</f>
        <v/>
      </c>
    </row>
    <row r="203" customFormat="false" ht="15" hidden="false" customHeight="true" outlineLevel="0" collapsed="false">
      <c r="A203" s="33" t="str">
        <f aca="false">IFERROR(IF(INDEX('Fund Research'!$B$6:$B$505,MATCH(198,'Fund Research'!$U$6:$U$505,0))="","",198),"")</f>
        <v/>
      </c>
      <c r="B203" s="34" t="str">
        <f aca="false">IFERROR(INDEX('Fund Research'!$A$6:$A$505,MATCH(198,'Fund Research'!$U$6:$U$505,0)),"")</f>
        <v/>
      </c>
      <c r="C203" s="34" t="str">
        <f aca="false">IFERROR(INDEX('Fund Research'!$B$6:$B$505,MATCH(198,'Fund Research'!$U$6:$U$505,0)),"")</f>
        <v/>
      </c>
      <c r="D203" s="34" t="str">
        <f aca="false">IFERROR(INDEX('Fund Research'!$C$6:$C$505,MATCH(198,'Fund Research'!$U$6:$U$505,0)),"")</f>
        <v/>
      </c>
      <c r="E203" s="35" t="str">
        <f aca="false">IFERROR(INDEX('Fund Research'!$G$6:$G$505,MATCH(198,'Fund Research'!$U$6:$U$505,0)),"")</f>
        <v/>
      </c>
      <c r="F203" s="35" t="str">
        <f aca="false">IFERROR(INDEX('Fund Research'!$H$6:$H$505,MATCH(198,'Fund Research'!$U$6:$U$505,0)),"")</f>
        <v/>
      </c>
      <c r="G203" s="35" t="str">
        <f aca="false">IFERROR(INDEX('Fund Research'!$I$6:$I$505,MATCH(198,'Fund Research'!$U$6:$U$505,0)),"")</f>
        <v/>
      </c>
      <c r="H203" s="36" t="str">
        <f aca="false">IFERROR(INDEX('Fund Research'!$J$6:$J$505,MATCH(198,'Fund Research'!$U$6:$U$505,0)),"")</f>
        <v/>
      </c>
      <c r="I203" s="37" t="str">
        <f aca="false">IFERROR(INDEX('Fund Research'!$L$6:$L$505,MATCH(198,'Fund Research'!$U$6:$U$505,0)),"")</f>
        <v/>
      </c>
      <c r="J203" s="36" t="str">
        <f aca="false">IFERROR(INDEX('Fund Research'!$N$6:$N$505,MATCH(198,'Fund Research'!$U$6:$U$505,0)),"")</f>
        <v/>
      </c>
      <c r="K203" s="36" t="str">
        <f aca="false">IFERROR(INDEX('Fund Research'!$P$6:$P$505,MATCH(198,'Fund Research'!$U$6:$U$505,0)),"")</f>
        <v/>
      </c>
      <c r="L203" s="34" t="str">
        <f aca="false">IFERROR(INDEX('Fund Research'!$S$6:$S$505,MATCH(198,'Fund Research'!$U$6:$U$505,0)),"")</f>
        <v/>
      </c>
      <c r="M203" s="34" t="str">
        <f aca="false">IFERROR(INDEX('Fund Research'!$T$6:$T$505,MATCH(198,'Fund Research'!$U$6:$U$505,0)),"")</f>
        <v/>
      </c>
    </row>
    <row r="204" customFormat="false" ht="15" hidden="false" customHeight="true" outlineLevel="0" collapsed="false">
      <c r="A204" s="33" t="str">
        <f aca="false">IFERROR(IF(INDEX('Fund Research'!$B$6:$B$505,MATCH(199,'Fund Research'!$U$6:$U$505,0))="","",199),"")</f>
        <v/>
      </c>
      <c r="B204" s="34" t="str">
        <f aca="false">IFERROR(INDEX('Fund Research'!$A$6:$A$505,MATCH(199,'Fund Research'!$U$6:$U$505,0)),"")</f>
        <v/>
      </c>
      <c r="C204" s="34" t="str">
        <f aca="false">IFERROR(INDEX('Fund Research'!$B$6:$B$505,MATCH(199,'Fund Research'!$U$6:$U$505,0)),"")</f>
        <v/>
      </c>
      <c r="D204" s="34" t="str">
        <f aca="false">IFERROR(INDEX('Fund Research'!$C$6:$C$505,MATCH(199,'Fund Research'!$U$6:$U$505,0)),"")</f>
        <v/>
      </c>
      <c r="E204" s="35" t="str">
        <f aca="false">IFERROR(INDEX('Fund Research'!$G$6:$G$505,MATCH(199,'Fund Research'!$U$6:$U$505,0)),"")</f>
        <v/>
      </c>
      <c r="F204" s="35" t="str">
        <f aca="false">IFERROR(INDEX('Fund Research'!$H$6:$H$505,MATCH(199,'Fund Research'!$U$6:$U$505,0)),"")</f>
        <v/>
      </c>
      <c r="G204" s="35" t="str">
        <f aca="false">IFERROR(INDEX('Fund Research'!$I$6:$I$505,MATCH(199,'Fund Research'!$U$6:$U$505,0)),"")</f>
        <v/>
      </c>
      <c r="H204" s="36" t="str">
        <f aca="false">IFERROR(INDEX('Fund Research'!$J$6:$J$505,MATCH(199,'Fund Research'!$U$6:$U$505,0)),"")</f>
        <v/>
      </c>
      <c r="I204" s="37" t="str">
        <f aca="false">IFERROR(INDEX('Fund Research'!$L$6:$L$505,MATCH(199,'Fund Research'!$U$6:$U$505,0)),"")</f>
        <v/>
      </c>
      <c r="J204" s="36" t="str">
        <f aca="false">IFERROR(INDEX('Fund Research'!$N$6:$N$505,MATCH(199,'Fund Research'!$U$6:$U$505,0)),"")</f>
        <v/>
      </c>
      <c r="K204" s="36" t="str">
        <f aca="false">IFERROR(INDEX('Fund Research'!$P$6:$P$505,MATCH(199,'Fund Research'!$U$6:$U$505,0)),"")</f>
        <v/>
      </c>
      <c r="L204" s="34" t="str">
        <f aca="false">IFERROR(INDEX('Fund Research'!$S$6:$S$505,MATCH(199,'Fund Research'!$U$6:$U$505,0)),"")</f>
        <v/>
      </c>
      <c r="M204" s="34" t="str">
        <f aca="false">IFERROR(INDEX('Fund Research'!$T$6:$T$505,MATCH(199,'Fund Research'!$U$6:$U$505,0)),"")</f>
        <v/>
      </c>
    </row>
    <row r="205" customFormat="false" ht="15" hidden="false" customHeight="true" outlineLevel="0" collapsed="false">
      <c r="A205" s="33" t="str">
        <f aca="false">IFERROR(IF(INDEX('Fund Research'!$B$6:$B$505,MATCH(200,'Fund Research'!$U$6:$U$505,0))="","",200),"")</f>
        <v/>
      </c>
      <c r="B205" s="34" t="str">
        <f aca="false">IFERROR(INDEX('Fund Research'!$A$6:$A$505,MATCH(200,'Fund Research'!$U$6:$U$505,0)),"")</f>
        <v/>
      </c>
      <c r="C205" s="34" t="str">
        <f aca="false">IFERROR(INDEX('Fund Research'!$B$6:$B$505,MATCH(200,'Fund Research'!$U$6:$U$505,0)),"")</f>
        <v/>
      </c>
      <c r="D205" s="34" t="str">
        <f aca="false">IFERROR(INDEX('Fund Research'!$C$6:$C$505,MATCH(200,'Fund Research'!$U$6:$U$505,0)),"")</f>
        <v/>
      </c>
      <c r="E205" s="35" t="str">
        <f aca="false">IFERROR(INDEX('Fund Research'!$G$6:$G$505,MATCH(200,'Fund Research'!$U$6:$U$505,0)),"")</f>
        <v/>
      </c>
      <c r="F205" s="35" t="str">
        <f aca="false">IFERROR(INDEX('Fund Research'!$H$6:$H$505,MATCH(200,'Fund Research'!$U$6:$U$505,0)),"")</f>
        <v/>
      </c>
      <c r="G205" s="35" t="str">
        <f aca="false">IFERROR(INDEX('Fund Research'!$I$6:$I$505,MATCH(200,'Fund Research'!$U$6:$U$505,0)),"")</f>
        <v/>
      </c>
      <c r="H205" s="36" t="str">
        <f aca="false">IFERROR(INDEX('Fund Research'!$J$6:$J$505,MATCH(200,'Fund Research'!$U$6:$U$505,0)),"")</f>
        <v/>
      </c>
      <c r="I205" s="37" t="str">
        <f aca="false">IFERROR(INDEX('Fund Research'!$L$6:$L$505,MATCH(200,'Fund Research'!$U$6:$U$505,0)),"")</f>
        <v/>
      </c>
      <c r="J205" s="36" t="str">
        <f aca="false">IFERROR(INDEX('Fund Research'!$N$6:$N$505,MATCH(200,'Fund Research'!$U$6:$U$505,0)),"")</f>
        <v/>
      </c>
      <c r="K205" s="36" t="str">
        <f aca="false">IFERROR(INDEX('Fund Research'!$P$6:$P$505,MATCH(200,'Fund Research'!$U$6:$U$505,0)),"")</f>
        <v/>
      </c>
      <c r="L205" s="34" t="str">
        <f aca="false">IFERROR(INDEX('Fund Research'!$S$6:$S$505,MATCH(200,'Fund Research'!$U$6:$U$505,0)),"")</f>
        <v/>
      </c>
      <c r="M205" s="34" t="str">
        <f aca="false">IFERROR(INDEX('Fund Research'!$T$6:$T$505,MATCH(200,'Fund Research'!$U$6:$U$505,0)),"")</f>
        <v/>
      </c>
    </row>
  </sheetData>
  <autoFilter ref="A5:M205"/>
  <mergeCells count="3">
    <mergeCell ref="A1:M1"/>
    <mergeCell ref="A2:M2"/>
    <mergeCell ref="A4:M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44"/>
    <col collapsed="false" customWidth="true" hidden="false" outlineLevel="0" max="4" min="4" style="0" width="30"/>
    <col collapsed="false" customWidth="true" hidden="false" outlineLevel="0" max="6" min="5" style="0" width="16"/>
    <col collapsed="false" customWidth="true" hidden="false" outlineLevel="0" max="7" min="7" style="0" width="15"/>
    <col collapsed="false" customWidth="true" hidden="false" outlineLevel="0" max="8" min="8" style="0" width="11"/>
    <col collapsed="false" customWidth="true" hidden="false" outlineLevel="0" max="9" min="9" style="0" width="12"/>
    <col collapsed="false" customWidth="true" hidden="false" outlineLevel="0" max="10" min="10" style="0" width="13"/>
    <col collapsed="false" customWidth="true" hidden="false" outlineLevel="0" max="11" min="11" style="0" width="12"/>
    <col collapsed="false" customWidth="true" hidden="false" outlineLevel="0" max="12" min="12" style="0" width="26"/>
    <col collapsed="false" customWidth="true" hidden="false" outlineLevel="0" max="13" min="13" style="0" width="46"/>
  </cols>
  <sheetData>
    <row r="1" customFormat="false" ht="25.5" hidden="false" customHeight="true" outlineLevel="0" collapsed="false">
      <c r="A1" s="1" t="s">
        <v>80</v>
      </c>
      <c r="B1" s="1"/>
      <c r="C1" s="1"/>
      <c r="D1" s="1"/>
      <c r="E1" s="1"/>
      <c r="F1" s="1"/>
      <c r="G1" s="1"/>
      <c r="H1" s="1"/>
      <c r="I1" s="1"/>
      <c r="J1" s="1"/>
      <c r="K1" s="1"/>
      <c r="L1" s="1"/>
      <c r="M1" s="1"/>
    </row>
    <row r="2" customFormat="false" ht="15.75" hidden="false" customHeight="true" outlineLevel="0" collapsed="false">
      <c r="A2" s="2" t="s">
        <v>81</v>
      </c>
      <c r="B2" s="2"/>
      <c r="C2" s="2"/>
      <c r="D2" s="2"/>
      <c r="E2" s="2"/>
      <c r="F2" s="2"/>
      <c r="G2" s="2"/>
      <c r="H2" s="2"/>
      <c r="I2" s="2"/>
      <c r="J2" s="2"/>
      <c r="K2" s="2"/>
      <c r="L2" s="2"/>
      <c r="M2" s="2"/>
    </row>
    <row r="3" customFormat="false" ht="15" hidden="false" customHeight="false" outlineLevel="0" collapsed="false">
      <c r="A3" s="4" t="s">
        <v>74</v>
      </c>
      <c r="B3" s="21" t="n">
        <f aca="false">COUNTIF('Fund Research'!$R$6:$R$505,"Need to Improve")</f>
        <v>0</v>
      </c>
      <c r="C3" s="20" t="s">
        <v>75</v>
      </c>
      <c r="D3" s="30" t="n">
        <f aca="false">SUMIF('Fund Research'!$R$6:$R$505,"Need to Improve",'Fund Research'!$H$6:$H$505)</f>
        <v>0</v>
      </c>
      <c r="E3" s="20" t="s">
        <v>76</v>
      </c>
      <c r="F3" s="30" t="n">
        <f aca="false">SUMIF('Fund Research'!$R$6:$R$505,"Need to Improve",'Fund Research'!$G$6:$G$505)</f>
        <v>0</v>
      </c>
      <c r="G3" s="20" t="s">
        <v>77</v>
      </c>
      <c r="H3" s="17" t="str">
        <f aca="false">IFERROR(AVERAGEIF('Fund Research'!$R$6:$R$505,"Need to Improve",'Fund Research'!$L$6:$L$505),"")</f>
        <v/>
      </c>
    </row>
    <row r="4" customFormat="false" ht="15" hidden="false" customHeight="false" outlineLevel="0" collapsed="false">
      <c r="A4" s="24" t="s">
        <v>82</v>
      </c>
      <c r="B4" s="24"/>
      <c r="C4" s="24"/>
      <c r="D4" s="24"/>
      <c r="E4" s="24"/>
      <c r="F4" s="24"/>
      <c r="G4" s="24"/>
      <c r="H4" s="24"/>
      <c r="I4" s="24"/>
      <c r="J4" s="24"/>
      <c r="K4" s="24"/>
      <c r="L4" s="24"/>
      <c r="M4" s="24"/>
    </row>
    <row r="5" customFormat="false" ht="31.5" hidden="false" customHeight="true" outlineLevel="0" collapsed="false">
      <c r="A5" s="25" t="s">
        <v>79</v>
      </c>
      <c r="B5" s="25" t="s">
        <v>45</v>
      </c>
      <c r="C5" s="25" t="s">
        <v>46</v>
      </c>
      <c r="D5" s="25" t="s">
        <v>47</v>
      </c>
      <c r="E5" s="25" t="s">
        <v>51</v>
      </c>
      <c r="F5" s="25" t="s">
        <v>52</v>
      </c>
      <c r="G5" s="25" t="s">
        <v>53</v>
      </c>
      <c r="H5" s="25" t="s">
        <v>54</v>
      </c>
      <c r="I5" s="25" t="s">
        <v>56</v>
      </c>
      <c r="J5" s="25" t="s">
        <v>58</v>
      </c>
      <c r="K5" s="25" t="s">
        <v>60</v>
      </c>
      <c r="L5" s="25" t="s">
        <v>62</v>
      </c>
      <c r="M5" s="25" t="s">
        <v>63</v>
      </c>
    </row>
    <row r="6" customFormat="false" ht="15" hidden="false" customHeight="true" outlineLevel="0" collapsed="false">
      <c r="A6" s="33" t="str">
        <f aca="false">IFERROR(IF(INDEX('Fund Research'!$B$6:$B$505,MATCH(1,'Fund Research'!$V$6:$V$505,0))="","",1),"")</f>
        <v/>
      </c>
      <c r="B6" s="34" t="str">
        <f aca="false">IFERROR(INDEX('Fund Research'!$A$6:$A$505,MATCH(1,'Fund Research'!$V$6:$V$505,0)),"")</f>
        <v/>
      </c>
      <c r="C6" s="34" t="str">
        <f aca="false">IFERROR(INDEX('Fund Research'!$B$6:$B$505,MATCH(1,'Fund Research'!$V$6:$V$505,0)),"")</f>
        <v/>
      </c>
      <c r="D6" s="34" t="str">
        <f aca="false">IFERROR(INDEX('Fund Research'!$C$6:$C$505,MATCH(1,'Fund Research'!$V$6:$V$505,0)),"")</f>
        <v/>
      </c>
      <c r="E6" s="35" t="str">
        <f aca="false">IFERROR(INDEX('Fund Research'!$G$6:$G$505,MATCH(1,'Fund Research'!$V$6:$V$505,0)),"")</f>
        <v/>
      </c>
      <c r="F6" s="35" t="str">
        <f aca="false">IFERROR(INDEX('Fund Research'!$H$6:$H$505,MATCH(1,'Fund Research'!$V$6:$V$505,0)),"")</f>
        <v/>
      </c>
      <c r="G6" s="35" t="str">
        <f aca="false">IFERROR(INDEX('Fund Research'!$I$6:$I$505,MATCH(1,'Fund Research'!$V$6:$V$505,0)),"")</f>
        <v/>
      </c>
      <c r="H6" s="36" t="str">
        <f aca="false">IFERROR(INDEX('Fund Research'!$J$6:$J$505,MATCH(1,'Fund Research'!$V$6:$V$505,0)),"")</f>
        <v/>
      </c>
      <c r="I6" s="38" t="str">
        <f aca="false">IFERROR(INDEX('Fund Research'!$L$6:$L$505,MATCH(1,'Fund Research'!$V$6:$V$505,0)),"")</f>
        <v/>
      </c>
      <c r="J6" s="36" t="str">
        <f aca="false">IFERROR(INDEX('Fund Research'!$N$6:$N$505,MATCH(1,'Fund Research'!$V$6:$V$505,0)),"")</f>
        <v/>
      </c>
      <c r="K6" s="36" t="str">
        <f aca="false">IFERROR(INDEX('Fund Research'!$P$6:$P$505,MATCH(1,'Fund Research'!$V$6:$V$505,0)),"")</f>
        <v/>
      </c>
      <c r="L6" s="34" t="str">
        <f aca="false">IFERROR(INDEX('Fund Research'!$S$6:$S$505,MATCH(1,'Fund Research'!$V$6:$V$505,0)),"")</f>
        <v/>
      </c>
      <c r="M6" s="34" t="str">
        <f aca="false">IFERROR(INDEX('Fund Research'!$T$6:$T$505,MATCH(1,'Fund Research'!$V$6:$V$505,0)),"")</f>
        <v/>
      </c>
    </row>
    <row r="7" customFormat="false" ht="15" hidden="false" customHeight="true" outlineLevel="0" collapsed="false">
      <c r="A7" s="33" t="str">
        <f aca="false">IFERROR(IF(INDEX('Fund Research'!$B$6:$B$505,MATCH(2,'Fund Research'!$V$6:$V$505,0))="","",2),"")</f>
        <v/>
      </c>
      <c r="B7" s="34" t="str">
        <f aca="false">IFERROR(INDEX('Fund Research'!$A$6:$A$505,MATCH(2,'Fund Research'!$V$6:$V$505,0)),"")</f>
        <v/>
      </c>
      <c r="C7" s="34" t="str">
        <f aca="false">IFERROR(INDEX('Fund Research'!$B$6:$B$505,MATCH(2,'Fund Research'!$V$6:$V$505,0)),"")</f>
        <v/>
      </c>
      <c r="D7" s="34" t="str">
        <f aca="false">IFERROR(INDEX('Fund Research'!$C$6:$C$505,MATCH(2,'Fund Research'!$V$6:$V$505,0)),"")</f>
        <v/>
      </c>
      <c r="E7" s="35" t="str">
        <f aca="false">IFERROR(INDEX('Fund Research'!$G$6:$G$505,MATCH(2,'Fund Research'!$V$6:$V$505,0)),"")</f>
        <v/>
      </c>
      <c r="F7" s="35" t="str">
        <f aca="false">IFERROR(INDEX('Fund Research'!$H$6:$H$505,MATCH(2,'Fund Research'!$V$6:$V$505,0)),"")</f>
        <v/>
      </c>
      <c r="G7" s="35" t="str">
        <f aca="false">IFERROR(INDEX('Fund Research'!$I$6:$I$505,MATCH(2,'Fund Research'!$V$6:$V$505,0)),"")</f>
        <v/>
      </c>
      <c r="H7" s="36" t="str">
        <f aca="false">IFERROR(INDEX('Fund Research'!$J$6:$J$505,MATCH(2,'Fund Research'!$V$6:$V$505,0)),"")</f>
        <v/>
      </c>
      <c r="I7" s="38" t="str">
        <f aca="false">IFERROR(INDEX('Fund Research'!$L$6:$L$505,MATCH(2,'Fund Research'!$V$6:$V$505,0)),"")</f>
        <v/>
      </c>
      <c r="J7" s="36" t="str">
        <f aca="false">IFERROR(INDEX('Fund Research'!$N$6:$N$505,MATCH(2,'Fund Research'!$V$6:$V$505,0)),"")</f>
        <v/>
      </c>
      <c r="K7" s="36" t="str">
        <f aca="false">IFERROR(INDEX('Fund Research'!$P$6:$P$505,MATCH(2,'Fund Research'!$V$6:$V$505,0)),"")</f>
        <v/>
      </c>
      <c r="L7" s="34" t="str">
        <f aca="false">IFERROR(INDEX('Fund Research'!$S$6:$S$505,MATCH(2,'Fund Research'!$V$6:$V$505,0)),"")</f>
        <v/>
      </c>
      <c r="M7" s="34" t="str">
        <f aca="false">IFERROR(INDEX('Fund Research'!$T$6:$T$505,MATCH(2,'Fund Research'!$V$6:$V$505,0)),"")</f>
        <v/>
      </c>
    </row>
    <row r="8" customFormat="false" ht="15" hidden="false" customHeight="true" outlineLevel="0" collapsed="false">
      <c r="A8" s="33" t="str">
        <f aca="false">IFERROR(IF(INDEX('Fund Research'!$B$6:$B$505,MATCH(3,'Fund Research'!$V$6:$V$505,0))="","",3),"")</f>
        <v/>
      </c>
      <c r="B8" s="34" t="str">
        <f aca="false">IFERROR(INDEX('Fund Research'!$A$6:$A$505,MATCH(3,'Fund Research'!$V$6:$V$505,0)),"")</f>
        <v/>
      </c>
      <c r="C8" s="34" t="str">
        <f aca="false">IFERROR(INDEX('Fund Research'!$B$6:$B$505,MATCH(3,'Fund Research'!$V$6:$V$505,0)),"")</f>
        <v/>
      </c>
      <c r="D8" s="34" t="str">
        <f aca="false">IFERROR(INDEX('Fund Research'!$C$6:$C$505,MATCH(3,'Fund Research'!$V$6:$V$505,0)),"")</f>
        <v/>
      </c>
      <c r="E8" s="35" t="str">
        <f aca="false">IFERROR(INDEX('Fund Research'!$G$6:$G$505,MATCH(3,'Fund Research'!$V$6:$V$505,0)),"")</f>
        <v/>
      </c>
      <c r="F8" s="35" t="str">
        <f aca="false">IFERROR(INDEX('Fund Research'!$H$6:$H$505,MATCH(3,'Fund Research'!$V$6:$V$505,0)),"")</f>
        <v/>
      </c>
      <c r="G8" s="35" t="str">
        <f aca="false">IFERROR(INDEX('Fund Research'!$I$6:$I$505,MATCH(3,'Fund Research'!$V$6:$V$505,0)),"")</f>
        <v/>
      </c>
      <c r="H8" s="36" t="str">
        <f aca="false">IFERROR(INDEX('Fund Research'!$J$6:$J$505,MATCH(3,'Fund Research'!$V$6:$V$505,0)),"")</f>
        <v/>
      </c>
      <c r="I8" s="38" t="str">
        <f aca="false">IFERROR(INDEX('Fund Research'!$L$6:$L$505,MATCH(3,'Fund Research'!$V$6:$V$505,0)),"")</f>
        <v/>
      </c>
      <c r="J8" s="36" t="str">
        <f aca="false">IFERROR(INDEX('Fund Research'!$N$6:$N$505,MATCH(3,'Fund Research'!$V$6:$V$505,0)),"")</f>
        <v/>
      </c>
      <c r="K8" s="36" t="str">
        <f aca="false">IFERROR(INDEX('Fund Research'!$P$6:$P$505,MATCH(3,'Fund Research'!$V$6:$V$505,0)),"")</f>
        <v/>
      </c>
      <c r="L8" s="34" t="str">
        <f aca="false">IFERROR(INDEX('Fund Research'!$S$6:$S$505,MATCH(3,'Fund Research'!$V$6:$V$505,0)),"")</f>
        <v/>
      </c>
      <c r="M8" s="34" t="str">
        <f aca="false">IFERROR(INDEX('Fund Research'!$T$6:$T$505,MATCH(3,'Fund Research'!$V$6:$V$505,0)),"")</f>
        <v/>
      </c>
    </row>
    <row r="9" customFormat="false" ht="15" hidden="false" customHeight="true" outlineLevel="0" collapsed="false">
      <c r="A9" s="33" t="str">
        <f aca="false">IFERROR(IF(INDEX('Fund Research'!$B$6:$B$505,MATCH(4,'Fund Research'!$V$6:$V$505,0))="","",4),"")</f>
        <v/>
      </c>
      <c r="B9" s="34" t="str">
        <f aca="false">IFERROR(INDEX('Fund Research'!$A$6:$A$505,MATCH(4,'Fund Research'!$V$6:$V$505,0)),"")</f>
        <v/>
      </c>
      <c r="C9" s="34" t="str">
        <f aca="false">IFERROR(INDEX('Fund Research'!$B$6:$B$505,MATCH(4,'Fund Research'!$V$6:$V$505,0)),"")</f>
        <v/>
      </c>
      <c r="D9" s="34" t="str">
        <f aca="false">IFERROR(INDEX('Fund Research'!$C$6:$C$505,MATCH(4,'Fund Research'!$V$6:$V$505,0)),"")</f>
        <v/>
      </c>
      <c r="E9" s="35" t="str">
        <f aca="false">IFERROR(INDEX('Fund Research'!$G$6:$G$505,MATCH(4,'Fund Research'!$V$6:$V$505,0)),"")</f>
        <v/>
      </c>
      <c r="F9" s="35" t="str">
        <f aca="false">IFERROR(INDEX('Fund Research'!$H$6:$H$505,MATCH(4,'Fund Research'!$V$6:$V$505,0)),"")</f>
        <v/>
      </c>
      <c r="G9" s="35" t="str">
        <f aca="false">IFERROR(INDEX('Fund Research'!$I$6:$I$505,MATCH(4,'Fund Research'!$V$6:$V$505,0)),"")</f>
        <v/>
      </c>
      <c r="H9" s="36" t="str">
        <f aca="false">IFERROR(INDEX('Fund Research'!$J$6:$J$505,MATCH(4,'Fund Research'!$V$6:$V$505,0)),"")</f>
        <v/>
      </c>
      <c r="I9" s="38" t="str">
        <f aca="false">IFERROR(INDEX('Fund Research'!$L$6:$L$505,MATCH(4,'Fund Research'!$V$6:$V$505,0)),"")</f>
        <v/>
      </c>
      <c r="J9" s="36" t="str">
        <f aca="false">IFERROR(INDEX('Fund Research'!$N$6:$N$505,MATCH(4,'Fund Research'!$V$6:$V$505,0)),"")</f>
        <v/>
      </c>
      <c r="K9" s="36" t="str">
        <f aca="false">IFERROR(INDEX('Fund Research'!$P$6:$P$505,MATCH(4,'Fund Research'!$V$6:$V$505,0)),"")</f>
        <v/>
      </c>
      <c r="L9" s="34" t="str">
        <f aca="false">IFERROR(INDEX('Fund Research'!$S$6:$S$505,MATCH(4,'Fund Research'!$V$6:$V$505,0)),"")</f>
        <v/>
      </c>
      <c r="M9" s="34" t="str">
        <f aca="false">IFERROR(INDEX('Fund Research'!$T$6:$T$505,MATCH(4,'Fund Research'!$V$6:$V$505,0)),"")</f>
        <v/>
      </c>
    </row>
    <row r="10" customFormat="false" ht="15" hidden="false" customHeight="true" outlineLevel="0" collapsed="false">
      <c r="A10" s="33" t="str">
        <f aca="false">IFERROR(IF(INDEX('Fund Research'!$B$6:$B$505,MATCH(5,'Fund Research'!$V$6:$V$505,0))="","",5),"")</f>
        <v/>
      </c>
      <c r="B10" s="34" t="str">
        <f aca="false">IFERROR(INDEX('Fund Research'!$A$6:$A$505,MATCH(5,'Fund Research'!$V$6:$V$505,0)),"")</f>
        <v/>
      </c>
      <c r="C10" s="34" t="str">
        <f aca="false">IFERROR(INDEX('Fund Research'!$B$6:$B$505,MATCH(5,'Fund Research'!$V$6:$V$505,0)),"")</f>
        <v/>
      </c>
      <c r="D10" s="34" t="str">
        <f aca="false">IFERROR(INDEX('Fund Research'!$C$6:$C$505,MATCH(5,'Fund Research'!$V$6:$V$505,0)),"")</f>
        <v/>
      </c>
      <c r="E10" s="35" t="str">
        <f aca="false">IFERROR(INDEX('Fund Research'!$G$6:$G$505,MATCH(5,'Fund Research'!$V$6:$V$505,0)),"")</f>
        <v/>
      </c>
      <c r="F10" s="35" t="str">
        <f aca="false">IFERROR(INDEX('Fund Research'!$H$6:$H$505,MATCH(5,'Fund Research'!$V$6:$V$505,0)),"")</f>
        <v/>
      </c>
      <c r="G10" s="35" t="str">
        <f aca="false">IFERROR(INDEX('Fund Research'!$I$6:$I$505,MATCH(5,'Fund Research'!$V$6:$V$505,0)),"")</f>
        <v/>
      </c>
      <c r="H10" s="36" t="str">
        <f aca="false">IFERROR(INDEX('Fund Research'!$J$6:$J$505,MATCH(5,'Fund Research'!$V$6:$V$505,0)),"")</f>
        <v/>
      </c>
      <c r="I10" s="38" t="str">
        <f aca="false">IFERROR(INDEX('Fund Research'!$L$6:$L$505,MATCH(5,'Fund Research'!$V$6:$V$505,0)),"")</f>
        <v/>
      </c>
      <c r="J10" s="36" t="str">
        <f aca="false">IFERROR(INDEX('Fund Research'!$N$6:$N$505,MATCH(5,'Fund Research'!$V$6:$V$505,0)),"")</f>
        <v/>
      </c>
      <c r="K10" s="36" t="str">
        <f aca="false">IFERROR(INDEX('Fund Research'!$P$6:$P$505,MATCH(5,'Fund Research'!$V$6:$V$505,0)),"")</f>
        <v/>
      </c>
      <c r="L10" s="34" t="str">
        <f aca="false">IFERROR(INDEX('Fund Research'!$S$6:$S$505,MATCH(5,'Fund Research'!$V$6:$V$505,0)),"")</f>
        <v/>
      </c>
      <c r="M10" s="34" t="str">
        <f aca="false">IFERROR(INDEX('Fund Research'!$T$6:$T$505,MATCH(5,'Fund Research'!$V$6:$V$505,0)),"")</f>
        <v/>
      </c>
    </row>
    <row r="11" customFormat="false" ht="15" hidden="false" customHeight="true" outlineLevel="0" collapsed="false">
      <c r="A11" s="33" t="str">
        <f aca="false">IFERROR(IF(INDEX('Fund Research'!$B$6:$B$505,MATCH(6,'Fund Research'!$V$6:$V$505,0))="","",6),"")</f>
        <v/>
      </c>
      <c r="B11" s="34" t="str">
        <f aca="false">IFERROR(INDEX('Fund Research'!$A$6:$A$505,MATCH(6,'Fund Research'!$V$6:$V$505,0)),"")</f>
        <v/>
      </c>
      <c r="C11" s="34" t="str">
        <f aca="false">IFERROR(INDEX('Fund Research'!$B$6:$B$505,MATCH(6,'Fund Research'!$V$6:$V$505,0)),"")</f>
        <v/>
      </c>
      <c r="D11" s="34" t="str">
        <f aca="false">IFERROR(INDEX('Fund Research'!$C$6:$C$505,MATCH(6,'Fund Research'!$V$6:$V$505,0)),"")</f>
        <v/>
      </c>
      <c r="E11" s="35" t="str">
        <f aca="false">IFERROR(INDEX('Fund Research'!$G$6:$G$505,MATCH(6,'Fund Research'!$V$6:$V$505,0)),"")</f>
        <v/>
      </c>
      <c r="F11" s="35" t="str">
        <f aca="false">IFERROR(INDEX('Fund Research'!$H$6:$H$505,MATCH(6,'Fund Research'!$V$6:$V$505,0)),"")</f>
        <v/>
      </c>
      <c r="G11" s="35" t="str">
        <f aca="false">IFERROR(INDEX('Fund Research'!$I$6:$I$505,MATCH(6,'Fund Research'!$V$6:$V$505,0)),"")</f>
        <v/>
      </c>
      <c r="H11" s="36" t="str">
        <f aca="false">IFERROR(INDEX('Fund Research'!$J$6:$J$505,MATCH(6,'Fund Research'!$V$6:$V$505,0)),"")</f>
        <v/>
      </c>
      <c r="I11" s="38" t="str">
        <f aca="false">IFERROR(INDEX('Fund Research'!$L$6:$L$505,MATCH(6,'Fund Research'!$V$6:$V$505,0)),"")</f>
        <v/>
      </c>
      <c r="J11" s="36" t="str">
        <f aca="false">IFERROR(INDEX('Fund Research'!$N$6:$N$505,MATCH(6,'Fund Research'!$V$6:$V$505,0)),"")</f>
        <v/>
      </c>
      <c r="K11" s="36" t="str">
        <f aca="false">IFERROR(INDEX('Fund Research'!$P$6:$P$505,MATCH(6,'Fund Research'!$V$6:$V$505,0)),"")</f>
        <v/>
      </c>
      <c r="L11" s="34" t="str">
        <f aca="false">IFERROR(INDEX('Fund Research'!$S$6:$S$505,MATCH(6,'Fund Research'!$V$6:$V$505,0)),"")</f>
        <v/>
      </c>
      <c r="M11" s="34" t="str">
        <f aca="false">IFERROR(INDEX('Fund Research'!$T$6:$T$505,MATCH(6,'Fund Research'!$V$6:$V$505,0)),"")</f>
        <v/>
      </c>
    </row>
    <row r="12" customFormat="false" ht="15" hidden="false" customHeight="true" outlineLevel="0" collapsed="false">
      <c r="A12" s="33" t="str">
        <f aca="false">IFERROR(IF(INDEX('Fund Research'!$B$6:$B$505,MATCH(7,'Fund Research'!$V$6:$V$505,0))="","",7),"")</f>
        <v/>
      </c>
      <c r="B12" s="34" t="str">
        <f aca="false">IFERROR(INDEX('Fund Research'!$A$6:$A$505,MATCH(7,'Fund Research'!$V$6:$V$505,0)),"")</f>
        <v/>
      </c>
      <c r="C12" s="34" t="str">
        <f aca="false">IFERROR(INDEX('Fund Research'!$B$6:$B$505,MATCH(7,'Fund Research'!$V$6:$V$505,0)),"")</f>
        <v/>
      </c>
      <c r="D12" s="34" t="str">
        <f aca="false">IFERROR(INDEX('Fund Research'!$C$6:$C$505,MATCH(7,'Fund Research'!$V$6:$V$505,0)),"")</f>
        <v/>
      </c>
      <c r="E12" s="35" t="str">
        <f aca="false">IFERROR(INDEX('Fund Research'!$G$6:$G$505,MATCH(7,'Fund Research'!$V$6:$V$505,0)),"")</f>
        <v/>
      </c>
      <c r="F12" s="35" t="str">
        <f aca="false">IFERROR(INDEX('Fund Research'!$H$6:$H$505,MATCH(7,'Fund Research'!$V$6:$V$505,0)),"")</f>
        <v/>
      </c>
      <c r="G12" s="35" t="str">
        <f aca="false">IFERROR(INDEX('Fund Research'!$I$6:$I$505,MATCH(7,'Fund Research'!$V$6:$V$505,0)),"")</f>
        <v/>
      </c>
      <c r="H12" s="36" t="str">
        <f aca="false">IFERROR(INDEX('Fund Research'!$J$6:$J$505,MATCH(7,'Fund Research'!$V$6:$V$505,0)),"")</f>
        <v/>
      </c>
      <c r="I12" s="38" t="str">
        <f aca="false">IFERROR(INDEX('Fund Research'!$L$6:$L$505,MATCH(7,'Fund Research'!$V$6:$V$505,0)),"")</f>
        <v/>
      </c>
      <c r="J12" s="36" t="str">
        <f aca="false">IFERROR(INDEX('Fund Research'!$N$6:$N$505,MATCH(7,'Fund Research'!$V$6:$V$505,0)),"")</f>
        <v/>
      </c>
      <c r="K12" s="36" t="str">
        <f aca="false">IFERROR(INDEX('Fund Research'!$P$6:$P$505,MATCH(7,'Fund Research'!$V$6:$V$505,0)),"")</f>
        <v/>
      </c>
      <c r="L12" s="34" t="str">
        <f aca="false">IFERROR(INDEX('Fund Research'!$S$6:$S$505,MATCH(7,'Fund Research'!$V$6:$V$505,0)),"")</f>
        <v/>
      </c>
      <c r="M12" s="34" t="str">
        <f aca="false">IFERROR(INDEX('Fund Research'!$T$6:$T$505,MATCH(7,'Fund Research'!$V$6:$V$505,0)),"")</f>
        <v/>
      </c>
    </row>
    <row r="13" customFormat="false" ht="15" hidden="false" customHeight="true" outlineLevel="0" collapsed="false">
      <c r="A13" s="33" t="str">
        <f aca="false">IFERROR(IF(INDEX('Fund Research'!$B$6:$B$505,MATCH(8,'Fund Research'!$V$6:$V$505,0))="","",8),"")</f>
        <v/>
      </c>
      <c r="B13" s="34" t="str">
        <f aca="false">IFERROR(INDEX('Fund Research'!$A$6:$A$505,MATCH(8,'Fund Research'!$V$6:$V$505,0)),"")</f>
        <v/>
      </c>
      <c r="C13" s="34" t="str">
        <f aca="false">IFERROR(INDEX('Fund Research'!$B$6:$B$505,MATCH(8,'Fund Research'!$V$6:$V$505,0)),"")</f>
        <v/>
      </c>
      <c r="D13" s="34" t="str">
        <f aca="false">IFERROR(INDEX('Fund Research'!$C$6:$C$505,MATCH(8,'Fund Research'!$V$6:$V$505,0)),"")</f>
        <v/>
      </c>
      <c r="E13" s="35" t="str">
        <f aca="false">IFERROR(INDEX('Fund Research'!$G$6:$G$505,MATCH(8,'Fund Research'!$V$6:$V$505,0)),"")</f>
        <v/>
      </c>
      <c r="F13" s="35" t="str">
        <f aca="false">IFERROR(INDEX('Fund Research'!$H$6:$H$505,MATCH(8,'Fund Research'!$V$6:$V$505,0)),"")</f>
        <v/>
      </c>
      <c r="G13" s="35" t="str">
        <f aca="false">IFERROR(INDEX('Fund Research'!$I$6:$I$505,MATCH(8,'Fund Research'!$V$6:$V$505,0)),"")</f>
        <v/>
      </c>
      <c r="H13" s="36" t="str">
        <f aca="false">IFERROR(INDEX('Fund Research'!$J$6:$J$505,MATCH(8,'Fund Research'!$V$6:$V$505,0)),"")</f>
        <v/>
      </c>
      <c r="I13" s="38" t="str">
        <f aca="false">IFERROR(INDEX('Fund Research'!$L$6:$L$505,MATCH(8,'Fund Research'!$V$6:$V$505,0)),"")</f>
        <v/>
      </c>
      <c r="J13" s="36" t="str">
        <f aca="false">IFERROR(INDEX('Fund Research'!$N$6:$N$505,MATCH(8,'Fund Research'!$V$6:$V$505,0)),"")</f>
        <v/>
      </c>
      <c r="K13" s="36" t="str">
        <f aca="false">IFERROR(INDEX('Fund Research'!$P$6:$P$505,MATCH(8,'Fund Research'!$V$6:$V$505,0)),"")</f>
        <v/>
      </c>
      <c r="L13" s="34" t="str">
        <f aca="false">IFERROR(INDEX('Fund Research'!$S$6:$S$505,MATCH(8,'Fund Research'!$V$6:$V$505,0)),"")</f>
        <v/>
      </c>
      <c r="M13" s="34" t="str">
        <f aca="false">IFERROR(INDEX('Fund Research'!$T$6:$T$505,MATCH(8,'Fund Research'!$V$6:$V$505,0)),"")</f>
        <v/>
      </c>
    </row>
    <row r="14" customFormat="false" ht="15" hidden="false" customHeight="true" outlineLevel="0" collapsed="false">
      <c r="A14" s="33" t="str">
        <f aca="false">IFERROR(IF(INDEX('Fund Research'!$B$6:$B$505,MATCH(9,'Fund Research'!$V$6:$V$505,0))="","",9),"")</f>
        <v/>
      </c>
      <c r="B14" s="34" t="str">
        <f aca="false">IFERROR(INDEX('Fund Research'!$A$6:$A$505,MATCH(9,'Fund Research'!$V$6:$V$505,0)),"")</f>
        <v/>
      </c>
      <c r="C14" s="34" t="str">
        <f aca="false">IFERROR(INDEX('Fund Research'!$B$6:$B$505,MATCH(9,'Fund Research'!$V$6:$V$505,0)),"")</f>
        <v/>
      </c>
      <c r="D14" s="34" t="str">
        <f aca="false">IFERROR(INDEX('Fund Research'!$C$6:$C$505,MATCH(9,'Fund Research'!$V$6:$V$505,0)),"")</f>
        <v/>
      </c>
      <c r="E14" s="35" t="str">
        <f aca="false">IFERROR(INDEX('Fund Research'!$G$6:$G$505,MATCH(9,'Fund Research'!$V$6:$V$505,0)),"")</f>
        <v/>
      </c>
      <c r="F14" s="35" t="str">
        <f aca="false">IFERROR(INDEX('Fund Research'!$H$6:$H$505,MATCH(9,'Fund Research'!$V$6:$V$505,0)),"")</f>
        <v/>
      </c>
      <c r="G14" s="35" t="str">
        <f aca="false">IFERROR(INDEX('Fund Research'!$I$6:$I$505,MATCH(9,'Fund Research'!$V$6:$V$505,0)),"")</f>
        <v/>
      </c>
      <c r="H14" s="36" t="str">
        <f aca="false">IFERROR(INDEX('Fund Research'!$J$6:$J$505,MATCH(9,'Fund Research'!$V$6:$V$505,0)),"")</f>
        <v/>
      </c>
      <c r="I14" s="38" t="str">
        <f aca="false">IFERROR(INDEX('Fund Research'!$L$6:$L$505,MATCH(9,'Fund Research'!$V$6:$V$505,0)),"")</f>
        <v/>
      </c>
      <c r="J14" s="36" t="str">
        <f aca="false">IFERROR(INDEX('Fund Research'!$N$6:$N$505,MATCH(9,'Fund Research'!$V$6:$V$505,0)),"")</f>
        <v/>
      </c>
      <c r="K14" s="36" t="str">
        <f aca="false">IFERROR(INDEX('Fund Research'!$P$6:$P$505,MATCH(9,'Fund Research'!$V$6:$V$505,0)),"")</f>
        <v/>
      </c>
      <c r="L14" s="34" t="str">
        <f aca="false">IFERROR(INDEX('Fund Research'!$S$6:$S$505,MATCH(9,'Fund Research'!$V$6:$V$505,0)),"")</f>
        <v/>
      </c>
      <c r="M14" s="34" t="str">
        <f aca="false">IFERROR(INDEX('Fund Research'!$T$6:$T$505,MATCH(9,'Fund Research'!$V$6:$V$505,0)),"")</f>
        <v/>
      </c>
    </row>
    <row r="15" customFormat="false" ht="15" hidden="false" customHeight="true" outlineLevel="0" collapsed="false">
      <c r="A15" s="33" t="str">
        <f aca="false">IFERROR(IF(INDEX('Fund Research'!$B$6:$B$505,MATCH(10,'Fund Research'!$V$6:$V$505,0))="","",10),"")</f>
        <v/>
      </c>
      <c r="B15" s="34" t="str">
        <f aca="false">IFERROR(INDEX('Fund Research'!$A$6:$A$505,MATCH(10,'Fund Research'!$V$6:$V$505,0)),"")</f>
        <v/>
      </c>
      <c r="C15" s="34" t="str">
        <f aca="false">IFERROR(INDEX('Fund Research'!$B$6:$B$505,MATCH(10,'Fund Research'!$V$6:$V$505,0)),"")</f>
        <v/>
      </c>
      <c r="D15" s="34" t="str">
        <f aca="false">IFERROR(INDEX('Fund Research'!$C$6:$C$505,MATCH(10,'Fund Research'!$V$6:$V$505,0)),"")</f>
        <v/>
      </c>
      <c r="E15" s="35" t="str">
        <f aca="false">IFERROR(INDEX('Fund Research'!$G$6:$G$505,MATCH(10,'Fund Research'!$V$6:$V$505,0)),"")</f>
        <v/>
      </c>
      <c r="F15" s="35" t="str">
        <f aca="false">IFERROR(INDEX('Fund Research'!$H$6:$H$505,MATCH(10,'Fund Research'!$V$6:$V$505,0)),"")</f>
        <v/>
      </c>
      <c r="G15" s="35" t="str">
        <f aca="false">IFERROR(INDEX('Fund Research'!$I$6:$I$505,MATCH(10,'Fund Research'!$V$6:$V$505,0)),"")</f>
        <v/>
      </c>
      <c r="H15" s="36" t="str">
        <f aca="false">IFERROR(INDEX('Fund Research'!$J$6:$J$505,MATCH(10,'Fund Research'!$V$6:$V$505,0)),"")</f>
        <v/>
      </c>
      <c r="I15" s="38" t="str">
        <f aca="false">IFERROR(INDEX('Fund Research'!$L$6:$L$505,MATCH(10,'Fund Research'!$V$6:$V$505,0)),"")</f>
        <v/>
      </c>
      <c r="J15" s="36" t="str">
        <f aca="false">IFERROR(INDEX('Fund Research'!$N$6:$N$505,MATCH(10,'Fund Research'!$V$6:$V$505,0)),"")</f>
        <v/>
      </c>
      <c r="K15" s="36" t="str">
        <f aca="false">IFERROR(INDEX('Fund Research'!$P$6:$P$505,MATCH(10,'Fund Research'!$V$6:$V$505,0)),"")</f>
        <v/>
      </c>
      <c r="L15" s="34" t="str">
        <f aca="false">IFERROR(INDEX('Fund Research'!$S$6:$S$505,MATCH(10,'Fund Research'!$V$6:$V$505,0)),"")</f>
        <v/>
      </c>
      <c r="M15" s="34" t="str">
        <f aca="false">IFERROR(INDEX('Fund Research'!$T$6:$T$505,MATCH(10,'Fund Research'!$V$6:$V$505,0)),"")</f>
        <v/>
      </c>
    </row>
    <row r="16" customFormat="false" ht="15" hidden="false" customHeight="true" outlineLevel="0" collapsed="false">
      <c r="A16" s="33" t="str">
        <f aca="false">IFERROR(IF(INDEX('Fund Research'!$B$6:$B$505,MATCH(11,'Fund Research'!$V$6:$V$505,0))="","",11),"")</f>
        <v/>
      </c>
      <c r="B16" s="34" t="str">
        <f aca="false">IFERROR(INDEX('Fund Research'!$A$6:$A$505,MATCH(11,'Fund Research'!$V$6:$V$505,0)),"")</f>
        <v/>
      </c>
      <c r="C16" s="34" t="str">
        <f aca="false">IFERROR(INDEX('Fund Research'!$B$6:$B$505,MATCH(11,'Fund Research'!$V$6:$V$505,0)),"")</f>
        <v/>
      </c>
      <c r="D16" s="34" t="str">
        <f aca="false">IFERROR(INDEX('Fund Research'!$C$6:$C$505,MATCH(11,'Fund Research'!$V$6:$V$505,0)),"")</f>
        <v/>
      </c>
      <c r="E16" s="35" t="str">
        <f aca="false">IFERROR(INDEX('Fund Research'!$G$6:$G$505,MATCH(11,'Fund Research'!$V$6:$V$505,0)),"")</f>
        <v/>
      </c>
      <c r="F16" s="35" t="str">
        <f aca="false">IFERROR(INDEX('Fund Research'!$H$6:$H$505,MATCH(11,'Fund Research'!$V$6:$V$505,0)),"")</f>
        <v/>
      </c>
      <c r="G16" s="35" t="str">
        <f aca="false">IFERROR(INDEX('Fund Research'!$I$6:$I$505,MATCH(11,'Fund Research'!$V$6:$V$505,0)),"")</f>
        <v/>
      </c>
      <c r="H16" s="36" t="str">
        <f aca="false">IFERROR(INDEX('Fund Research'!$J$6:$J$505,MATCH(11,'Fund Research'!$V$6:$V$505,0)),"")</f>
        <v/>
      </c>
      <c r="I16" s="38" t="str">
        <f aca="false">IFERROR(INDEX('Fund Research'!$L$6:$L$505,MATCH(11,'Fund Research'!$V$6:$V$505,0)),"")</f>
        <v/>
      </c>
      <c r="J16" s="36" t="str">
        <f aca="false">IFERROR(INDEX('Fund Research'!$N$6:$N$505,MATCH(11,'Fund Research'!$V$6:$V$505,0)),"")</f>
        <v/>
      </c>
      <c r="K16" s="36" t="str">
        <f aca="false">IFERROR(INDEX('Fund Research'!$P$6:$P$505,MATCH(11,'Fund Research'!$V$6:$V$505,0)),"")</f>
        <v/>
      </c>
      <c r="L16" s="34" t="str">
        <f aca="false">IFERROR(INDEX('Fund Research'!$S$6:$S$505,MATCH(11,'Fund Research'!$V$6:$V$505,0)),"")</f>
        <v/>
      </c>
      <c r="M16" s="34" t="str">
        <f aca="false">IFERROR(INDEX('Fund Research'!$T$6:$T$505,MATCH(11,'Fund Research'!$V$6:$V$505,0)),"")</f>
        <v/>
      </c>
    </row>
    <row r="17" customFormat="false" ht="15" hidden="false" customHeight="true" outlineLevel="0" collapsed="false">
      <c r="A17" s="33" t="str">
        <f aca="false">IFERROR(IF(INDEX('Fund Research'!$B$6:$B$505,MATCH(12,'Fund Research'!$V$6:$V$505,0))="","",12),"")</f>
        <v/>
      </c>
      <c r="B17" s="34" t="str">
        <f aca="false">IFERROR(INDEX('Fund Research'!$A$6:$A$505,MATCH(12,'Fund Research'!$V$6:$V$505,0)),"")</f>
        <v/>
      </c>
      <c r="C17" s="34" t="str">
        <f aca="false">IFERROR(INDEX('Fund Research'!$B$6:$B$505,MATCH(12,'Fund Research'!$V$6:$V$505,0)),"")</f>
        <v/>
      </c>
      <c r="D17" s="34" t="str">
        <f aca="false">IFERROR(INDEX('Fund Research'!$C$6:$C$505,MATCH(12,'Fund Research'!$V$6:$V$505,0)),"")</f>
        <v/>
      </c>
      <c r="E17" s="35" t="str">
        <f aca="false">IFERROR(INDEX('Fund Research'!$G$6:$G$505,MATCH(12,'Fund Research'!$V$6:$V$505,0)),"")</f>
        <v/>
      </c>
      <c r="F17" s="35" t="str">
        <f aca="false">IFERROR(INDEX('Fund Research'!$H$6:$H$505,MATCH(12,'Fund Research'!$V$6:$V$505,0)),"")</f>
        <v/>
      </c>
      <c r="G17" s="35" t="str">
        <f aca="false">IFERROR(INDEX('Fund Research'!$I$6:$I$505,MATCH(12,'Fund Research'!$V$6:$V$505,0)),"")</f>
        <v/>
      </c>
      <c r="H17" s="36" t="str">
        <f aca="false">IFERROR(INDEX('Fund Research'!$J$6:$J$505,MATCH(12,'Fund Research'!$V$6:$V$505,0)),"")</f>
        <v/>
      </c>
      <c r="I17" s="38" t="str">
        <f aca="false">IFERROR(INDEX('Fund Research'!$L$6:$L$505,MATCH(12,'Fund Research'!$V$6:$V$505,0)),"")</f>
        <v/>
      </c>
      <c r="J17" s="36" t="str">
        <f aca="false">IFERROR(INDEX('Fund Research'!$N$6:$N$505,MATCH(12,'Fund Research'!$V$6:$V$505,0)),"")</f>
        <v/>
      </c>
      <c r="K17" s="36" t="str">
        <f aca="false">IFERROR(INDEX('Fund Research'!$P$6:$P$505,MATCH(12,'Fund Research'!$V$6:$V$505,0)),"")</f>
        <v/>
      </c>
      <c r="L17" s="34" t="str">
        <f aca="false">IFERROR(INDEX('Fund Research'!$S$6:$S$505,MATCH(12,'Fund Research'!$V$6:$V$505,0)),"")</f>
        <v/>
      </c>
      <c r="M17" s="34" t="str">
        <f aca="false">IFERROR(INDEX('Fund Research'!$T$6:$T$505,MATCH(12,'Fund Research'!$V$6:$V$505,0)),"")</f>
        <v/>
      </c>
    </row>
    <row r="18" customFormat="false" ht="15" hidden="false" customHeight="true" outlineLevel="0" collapsed="false">
      <c r="A18" s="33" t="str">
        <f aca="false">IFERROR(IF(INDEX('Fund Research'!$B$6:$B$505,MATCH(13,'Fund Research'!$V$6:$V$505,0))="","",13),"")</f>
        <v/>
      </c>
      <c r="B18" s="34" t="str">
        <f aca="false">IFERROR(INDEX('Fund Research'!$A$6:$A$505,MATCH(13,'Fund Research'!$V$6:$V$505,0)),"")</f>
        <v/>
      </c>
      <c r="C18" s="34" t="str">
        <f aca="false">IFERROR(INDEX('Fund Research'!$B$6:$B$505,MATCH(13,'Fund Research'!$V$6:$V$505,0)),"")</f>
        <v/>
      </c>
      <c r="D18" s="34" t="str">
        <f aca="false">IFERROR(INDEX('Fund Research'!$C$6:$C$505,MATCH(13,'Fund Research'!$V$6:$V$505,0)),"")</f>
        <v/>
      </c>
      <c r="E18" s="35" t="str">
        <f aca="false">IFERROR(INDEX('Fund Research'!$G$6:$G$505,MATCH(13,'Fund Research'!$V$6:$V$505,0)),"")</f>
        <v/>
      </c>
      <c r="F18" s="35" t="str">
        <f aca="false">IFERROR(INDEX('Fund Research'!$H$6:$H$505,MATCH(13,'Fund Research'!$V$6:$V$505,0)),"")</f>
        <v/>
      </c>
      <c r="G18" s="35" t="str">
        <f aca="false">IFERROR(INDEX('Fund Research'!$I$6:$I$505,MATCH(13,'Fund Research'!$V$6:$V$505,0)),"")</f>
        <v/>
      </c>
      <c r="H18" s="36" t="str">
        <f aca="false">IFERROR(INDEX('Fund Research'!$J$6:$J$505,MATCH(13,'Fund Research'!$V$6:$V$505,0)),"")</f>
        <v/>
      </c>
      <c r="I18" s="38" t="str">
        <f aca="false">IFERROR(INDEX('Fund Research'!$L$6:$L$505,MATCH(13,'Fund Research'!$V$6:$V$505,0)),"")</f>
        <v/>
      </c>
      <c r="J18" s="36" t="str">
        <f aca="false">IFERROR(INDEX('Fund Research'!$N$6:$N$505,MATCH(13,'Fund Research'!$V$6:$V$505,0)),"")</f>
        <v/>
      </c>
      <c r="K18" s="36" t="str">
        <f aca="false">IFERROR(INDEX('Fund Research'!$P$6:$P$505,MATCH(13,'Fund Research'!$V$6:$V$505,0)),"")</f>
        <v/>
      </c>
      <c r="L18" s="34" t="str">
        <f aca="false">IFERROR(INDEX('Fund Research'!$S$6:$S$505,MATCH(13,'Fund Research'!$V$6:$V$505,0)),"")</f>
        <v/>
      </c>
      <c r="M18" s="34" t="str">
        <f aca="false">IFERROR(INDEX('Fund Research'!$T$6:$T$505,MATCH(13,'Fund Research'!$V$6:$V$505,0)),"")</f>
        <v/>
      </c>
    </row>
    <row r="19" customFormat="false" ht="15" hidden="false" customHeight="true" outlineLevel="0" collapsed="false">
      <c r="A19" s="33" t="str">
        <f aca="false">IFERROR(IF(INDEX('Fund Research'!$B$6:$B$505,MATCH(14,'Fund Research'!$V$6:$V$505,0))="","",14),"")</f>
        <v/>
      </c>
      <c r="B19" s="34" t="str">
        <f aca="false">IFERROR(INDEX('Fund Research'!$A$6:$A$505,MATCH(14,'Fund Research'!$V$6:$V$505,0)),"")</f>
        <v/>
      </c>
      <c r="C19" s="34" t="str">
        <f aca="false">IFERROR(INDEX('Fund Research'!$B$6:$B$505,MATCH(14,'Fund Research'!$V$6:$V$505,0)),"")</f>
        <v/>
      </c>
      <c r="D19" s="34" t="str">
        <f aca="false">IFERROR(INDEX('Fund Research'!$C$6:$C$505,MATCH(14,'Fund Research'!$V$6:$V$505,0)),"")</f>
        <v/>
      </c>
      <c r="E19" s="35" t="str">
        <f aca="false">IFERROR(INDEX('Fund Research'!$G$6:$G$505,MATCH(14,'Fund Research'!$V$6:$V$505,0)),"")</f>
        <v/>
      </c>
      <c r="F19" s="35" t="str">
        <f aca="false">IFERROR(INDEX('Fund Research'!$H$6:$H$505,MATCH(14,'Fund Research'!$V$6:$V$505,0)),"")</f>
        <v/>
      </c>
      <c r="G19" s="35" t="str">
        <f aca="false">IFERROR(INDEX('Fund Research'!$I$6:$I$505,MATCH(14,'Fund Research'!$V$6:$V$505,0)),"")</f>
        <v/>
      </c>
      <c r="H19" s="36" t="str">
        <f aca="false">IFERROR(INDEX('Fund Research'!$J$6:$J$505,MATCH(14,'Fund Research'!$V$6:$V$505,0)),"")</f>
        <v/>
      </c>
      <c r="I19" s="38" t="str">
        <f aca="false">IFERROR(INDEX('Fund Research'!$L$6:$L$505,MATCH(14,'Fund Research'!$V$6:$V$505,0)),"")</f>
        <v/>
      </c>
      <c r="J19" s="36" t="str">
        <f aca="false">IFERROR(INDEX('Fund Research'!$N$6:$N$505,MATCH(14,'Fund Research'!$V$6:$V$505,0)),"")</f>
        <v/>
      </c>
      <c r="K19" s="36" t="str">
        <f aca="false">IFERROR(INDEX('Fund Research'!$P$6:$P$505,MATCH(14,'Fund Research'!$V$6:$V$505,0)),"")</f>
        <v/>
      </c>
      <c r="L19" s="34" t="str">
        <f aca="false">IFERROR(INDEX('Fund Research'!$S$6:$S$505,MATCH(14,'Fund Research'!$V$6:$V$505,0)),"")</f>
        <v/>
      </c>
      <c r="M19" s="34" t="str">
        <f aca="false">IFERROR(INDEX('Fund Research'!$T$6:$T$505,MATCH(14,'Fund Research'!$V$6:$V$505,0)),"")</f>
        <v/>
      </c>
    </row>
    <row r="20" customFormat="false" ht="15" hidden="false" customHeight="true" outlineLevel="0" collapsed="false">
      <c r="A20" s="33" t="str">
        <f aca="false">IFERROR(IF(INDEX('Fund Research'!$B$6:$B$505,MATCH(15,'Fund Research'!$V$6:$V$505,0))="","",15),"")</f>
        <v/>
      </c>
      <c r="B20" s="34" t="str">
        <f aca="false">IFERROR(INDEX('Fund Research'!$A$6:$A$505,MATCH(15,'Fund Research'!$V$6:$V$505,0)),"")</f>
        <v/>
      </c>
      <c r="C20" s="34" t="str">
        <f aca="false">IFERROR(INDEX('Fund Research'!$B$6:$B$505,MATCH(15,'Fund Research'!$V$6:$V$505,0)),"")</f>
        <v/>
      </c>
      <c r="D20" s="34" t="str">
        <f aca="false">IFERROR(INDEX('Fund Research'!$C$6:$C$505,MATCH(15,'Fund Research'!$V$6:$V$505,0)),"")</f>
        <v/>
      </c>
      <c r="E20" s="35" t="str">
        <f aca="false">IFERROR(INDEX('Fund Research'!$G$6:$G$505,MATCH(15,'Fund Research'!$V$6:$V$505,0)),"")</f>
        <v/>
      </c>
      <c r="F20" s="35" t="str">
        <f aca="false">IFERROR(INDEX('Fund Research'!$H$6:$H$505,MATCH(15,'Fund Research'!$V$6:$V$505,0)),"")</f>
        <v/>
      </c>
      <c r="G20" s="35" t="str">
        <f aca="false">IFERROR(INDEX('Fund Research'!$I$6:$I$505,MATCH(15,'Fund Research'!$V$6:$V$505,0)),"")</f>
        <v/>
      </c>
      <c r="H20" s="36" t="str">
        <f aca="false">IFERROR(INDEX('Fund Research'!$J$6:$J$505,MATCH(15,'Fund Research'!$V$6:$V$505,0)),"")</f>
        <v/>
      </c>
      <c r="I20" s="38" t="str">
        <f aca="false">IFERROR(INDEX('Fund Research'!$L$6:$L$505,MATCH(15,'Fund Research'!$V$6:$V$505,0)),"")</f>
        <v/>
      </c>
      <c r="J20" s="36" t="str">
        <f aca="false">IFERROR(INDEX('Fund Research'!$N$6:$N$505,MATCH(15,'Fund Research'!$V$6:$V$505,0)),"")</f>
        <v/>
      </c>
      <c r="K20" s="36" t="str">
        <f aca="false">IFERROR(INDEX('Fund Research'!$P$6:$P$505,MATCH(15,'Fund Research'!$V$6:$V$505,0)),"")</f>
        <v/>
      </c>
      <c r="L20" s="34" t="str">
        <f aca="false">IFERROR(INDEX('Fund Research'!$S$6:$S$505,MATCH(15,'Fund Research'!$V$6:$V$505,0)),"")</f>
        <v/>
      </c>
      <c r="M20" s="34" t="str">
        <f aca="false">IFERROR(INDEX('Fund Research'!$T$6:$T$505,MATCH(15,'Fund Research'!$V$6:$V$505,0)),"")</f>
        <v/>
      </c>
    </row>
    <row r="21" customFormat="false" ht="15" hidden="false" customHeight="true" outlineLevel="0" collapsed="false">
      <c r="A21" s="33" t="str">
        <f aca="false">IFERROR(IF(INDEX('Fund Research'!$B$6:$B$505,MATCH(16,'Fund Research'!$V$6:$V$505,0))="","",16),"")</f>
        <v/>
      </c>
      <c r="B21" s="34" t="str">
        <f aca="false">IFERROR(INDEX('Fund Research'!$A$6:$A$505,MATCH(16,'Fund Research'!$V$6:$V$505,0)),"")</f>
        <v/>
      </c>
      <c r="C21" s="34" t="str">
        <f aca="false">IFERROR(INDEX('Fund Research'!$B$6:$B$505,MATCH(16,'Fund Research'!$V$6:$V$505,0)),"")</f>
        <v/>
      </c>
      <c r="D21" s="34" t="str">
        <f aca="false">IFERROR(INDEX('Fund Research'!$C$6:$C$505,MATCH(16,'Fund Research'!$V$6:$V$505,0)),"")</f>
        <v/>
      </c>
      <c r="E21" s="35" t="str">
        <f aca="false">IFERROR(INDEX('Fund Research'!$G$6:$G$505,MATCH(16,'Fund Research'!$V$6:$V$505,0)),"")</f>
        <v/>
      </c>
      <c r="F21" s="35" t="str">
        <f aca="false">IFERROR(INDEX('Fund Research'!$H$6:$H$505,MATCH(16,'Fund Research'!$V$6:$V$505,0)),"")</f>
        <v/>
      </c>
      <c r="G21" s="35" t="str">
        <f aca="false">IFERROR(INDEX('Fund Research'!$I$6:$I$505,MATCH(16,'Fund Research'!$V$6:$V$505,0)),"")</f>
        <v/>
      </c>
      <c r="H21" s="36" t="str">
        <f aca="false">IFERROR(INDEX('Fund Research'!$J$6:$J$505,MATCH(16,'Fund Research'!$V$6:$V$505,0)),"")</f>
        <v/>
      </c>
      <c r="I21" s="38" t="str">
        <f aca="false">IFERROR(INDEX('Fund Research'!$L$6:$L$505,MATCH(16,'Fund Research'!$V$6:$V$505,0)),"")</f>
        <v/>
      </c>
      <c r="J21" s="36" t="str">
        <f aca="false">IFERROR(INDEX('Fund Research'!$N$6:$N$505,MATCH(16,'Fund Research'!$V$6:$V$505,0)),"")</f>
        <v/>
      </c>
      <c r="K21" s="36" t="str">
        <f aca="false">IFERROR(INDEX('Fund Research'!$P$6:$P$505,MATCH(16,'Fund Research'!$V$6:$V$505,0)),"")</f>
        <v/>
      </c>
      <c r="L21" s="34" t="str">
        <f aca="false">IFERROR(INDEX('Fund Research'!$S$6:$S$505,MATCH(16,'Fund Research'!$V$6:$V$505,0)),"")</f>
        <v/>
      </c>
      <c r="M21" s="34" t="str">
        <f aca="false">IFERROR(INDEX('Fund Research'!$T$6:$T$505,MATCH(16,'Fund Research'!$V$6:$V$505,0)),"")</f>
        <v/>
      </c>
    </row>
    <row r="22" customFormat="false" ht="15" hidden="false" customHeight="true" outlineLevel="0" collapsed="false">
      <c r="A22" s="33" t="str">
        <f aca="false">IFERROR(IF(INDEX('Fund Research'!$B$6:$B$505,MATCH(17,'Fund Research'!$V$6:$V$505,0))="","",17),"")</f>
        <v/>
      </c>
      <c r="B22" s="34" t="str">
        <f aca="false">IFERROR(INDEX('Fund Research'!$A$6:$A$505,MATCH(17,'Fund Research'!$V$6:$V$505,0)),"")</f>
        <v/>
      </c>
      <c r="C22" s="34" t="str">
        <f aca="false">IFERROR(INDEX('Fund Research'!$B$6:$B$505,MATCH(17,'Fund Research'!$V$6:$V$505,0)),"")</f>
        <v/>
      </c>
      <c r="D22" s="34" t="str">
        <f aca="false">IFERROR(INDEX('Fund Research'!$C$6:$C$505,MATCH(17,'Fund Research'!$V$6:$V$505,0)),"")</f>
        <v/>
      </c>
      <c r="E22" s="35" t="str">
        <f aca="false">IFERROR(INDEX('Fund Research'!$G$6:$G$505,MATCH(17,'Fund Research'!$V$6:$V$505,0)),"")</f>
        <v/>
      </c>
      <c r="F22" s="35" t="str">
        <f aca="false">IFERROR(INDEX('Fund Research'!$H$6:$H$505,MATCH(17,'Fund Research'!$V$6:$V$505,0)),"")</f>
        <v/>
      </c>
      <c r="G22" s="35" t="str">
        <f aca="false">IFERROR(INDEX('Fund Research'!$I$6:$I$505,MATCH(17,'Fund Research'!$V$6:$V$505,0)),"")</f>
        <v/>
      </c>
      <c r="H22" s="36" t="str">
        <f aca="false">IFERROR(INDEX('Fund Research'!$J$6:$J$505,MATCH(17,'Fund Research'!$V$6:$V$505,0)),"")</f>
        <v/>
      </c>
      <c r="I22" s="38" t="str">
        <f aca="false">IFERROR(INDEX('Fund Research'!$L$6:$L$505,MATCH(17,'Fund Research'!$V$6:$V$505,0)),"")</f>
        <v/>
      </c>
      <c r="J22" s="36" t="str">
        <f aca="false">IFERROR(INDEX('Fund Research'!$N$6:$N$505,MATCH(17,'Fund Research'!$V$6:$V$505,0)),"")</f>
        <v/>
      </c>
      <c r="K22" s="36" t="str">
        <f aca="false">IFERROR(INDEX('Fund Research'!$P$6:$P$505,MATCH(17,'Fund Research'!$V$6:$V$505,0)),"")</f>
        <v/>
      </c>
      <c r="L22" s="34" t="str">
        <f aca="false">IFERROR(INDEX('Fund Research'!$S$6:$S$505,MATCH(17,'Fund Research'!$V$6:$V$505,0)),"")</f>
        <v/>
      </c>
      <c r="M22" s="34" t="str">
        <f aca="false">IFERROR(INDEX('Fund Research'!$T$6:$T$505,MATCH(17,'Fund Research'!$V$6:$V$505,0)),"")</f>
        <v/>
      </c>
    </row>
    <row r="23" customFormat="false" ht="15" hidden="false" customHeight="true" outlineLevel="0" collapsed="false">
      <c r="A23" s="33" t="str">
        <f aca="false">IFERROR(IF(INDEX('Fund Research'!$B$6:$B$505,MATCH(18,'Fund Research'!$V$6:$V$505,0))="","",18),"")</f>
        <v/>
      </c>
      <c r="B23" s="34" t="str">
        <f aca="false">IFERROR(INDEX('Fund Research'!$A$6:$A$505,MATCH(18,'Fund Research'!$V$6:$V$505,0)),"")</f>
        <v/>
      </c>
      <c r="C23" s="34" t="str">
        <f aca="false">IFERROR(INDEX('Fund Research'!$B$6:$B$505,MATCH(18,'Fund Research'!$V$6:$V$505,0)),"")</f>
        <v/>
      </c>
      <c r="D23" s="34" t="str">
        <f aca="false">IFERROR(INDEX('Fund Research'!$C$6:$C$505,MATCH(18,'Fund Research'!$V$6:$V$505,0)),"")</f>
        <v/>
      </c>
      <c r="E23" s="35" t="str">
        <f aca="false">IFERROR(INDEX('Fund Research'!$G$6:$G$505,MATCH(18,'Fund Research'!$V$6:$V$505,0)),"")</f>
        <v/>
      </c>
      <c r="F23" s="35" t="str">
        <f aca="false">IFERROR(INDEX('Fund Research'!$H$6:$H$505,MATCH(18,'Fund Research'!$V$6:$V$505,0)),"")</f>
        <v/>
      </c>
      <c r="G23" s="35" t="str">
        <f aca="false">IFERROR(INDEX('Fund Research'!$I$6:$I$505,MATCH(18,'Fund Research'!$V$6:$V$505,0)),"")</f>
        <v/>
      </c>
      <c r="H23" s="36" t="str">
        <f aca="false">IFERROR(INDEX('Fund Research'!$J$6:$J$505,MATCH(18,'Fund Research'!$V$6:$V$505,0)),"")</f>
        <v/>
      </c>
      <c r="I23" s="38" t="str">
        <f aca="false">IFERROR(INDEX('Fund Research'!$L$6:$L$505,MATCH(18,'Fund Research'!$V$6:$V$505,0)),"")</f>
        <v/>
      </c>
      <c r="J23" s="36" t="str">
        <f aca="false">IFERROR(INDEX('Fund Research'!$N$6:$N$505,MATCH(18,'Fund Research'!$V$6:$V$505,0)),"")</f>
        <v/>
      </c>
      <c r="K23" s="36" t="str">
        <f aca="false">IFERROR(INDEX('Fund Research'!$P$6:$P$505,MATCH(18,'Fund Research'!$V$6:$V$505,0)),"")</f>
        <v/>
      </c>
      <c r="L23" s="34" t="str">
        <f aca="false">IFERROR(INDEX('Fund Research'!$S$6:$S$505,MATCH(18,'Fund Research'!$V$6:$V$505,0)),"")</f>
        <v/>
      </c>
      <c r="M23" s="34" t="str">
        <f aca="false">IFERROR(INDEX('Fund Research'!$T$6:$T$505,MATCH(18,'Fund Research'!$V$6:$V$505,0)),"")</f>
        <v/>
      </c>
    </row>
    <row r="24" customFormat="false" ht="15" hidden="false" customHeight="true" outlineLevel="0" collapsed="false">
      <c r="A24" s="33" t="str">
        <f aca="false">IFERROR(IF(INDEX('Fund Research'!$B$6:$B$505,MATCH(19,'Fund Research'!$V$6:$V$505,0))="","",19),"")</f>
        <v/>
      </c>
      <c r="B24" s="34" t="str">
        <f aca="false">IFERROR(INDEX('Fund Research'!$A$6:$A$505,MATCH(19,'Fund Research'!$V$6:$V$505,0)),"")</f>
        <v/>
      </c>
      <c r="C24" s="34" t="str">
        <f aca="false">IFERROR(INDEX('Fund Research'!$B$6:$B$505,MATCH(19,'Fund Research'!$V$6:$V$505,0)),"")</f>
        <v/>
      </c>
      <c r="D24" s="34" t="str">
        <f aca="false">IFERROR(INDEX('Fund Research'!$C$6:$C$505,MATCH(19,'Fund Research'!$V$6:$V$505,0)),"")</f>
        <v/>
      </c>
      <c r="E24" s="35" t="str">
        <f aca="false">IFERROR(INDEX('Fund Research'!$G$6:$G$505,MATCH(19,'Fund Research'!$V$6:$V$505,0)),"")</f>
        <v/>
      </c>
      <c r="F24" s="35" t="str">
        <f aca="false">IFERROR(INDEX('Fund Research'!$H$6:$H$505,MATCH(19,'Fund Research'!$V$6:$V$505,0)),"")</f>
        <v/>
      </c>
      <c r="G24" s="35" t="str">
        <f aca="false">IFERROR(INDEX('Fund Research'!$I$6:$I$505,MATCH(19,'Fund Research'!$V$6:$V$505,0)),"")</f>
        <v/>
      </c>
      <c r="H24" s="36" t="str">
        <f aca="false">IFERROR(INDEX('Fund Research'!$J$6:$J$505,MATCH(19,'Fund Research'!$V$6:$V$505,0)),"")</f>
        <v/>
      </c>
      <c r="I24" s="38" t="str">
        <f aca="false">IFERROR(INDEX('Fund Research'!$L$6:$L$505,MATCH(19,'Fund Research'!$V$6:$V$505,0)),"")</f>
        <v/>
      </c>
      <c r="J24" s="36" t="str">
        <f aca="false">IFERROR(INDEX('Fund Research'!$N$6:$N$505,MATCH(19,'Fund Research'!$V$6:$V$505,0)),"")</f>
        <v/>
      </c>
      <c r="K24" s="36" t="str">
        <f aca="false">IFERROR(INDEX('Fund Research'!$P$6:$P$505,MATCH(19,'Fund Research'!$V$6:$V$505,0)),"")</f>
        <v/>
      </c>
      <c r="L24" s="34" t="str">
        <f aca="false">IFERROR(INDEX('Fund Research'!$S$6:$S$505,MATCH(19,'Fund Research'!$V$6:$V$505,0)),"")</f>
        <v/>
      </c>
      <c r="M24" s="34" t="str">
        <f aca="false">IFERROR(INDEX('Fund Research'!$T$6:$T$505,MATCH(19,'Fund Research'!$V$6:$V$505,0)),"")</f>
        <v/>
      </c>
    </row>
    <row r="25" customFormat="false" ht="15" hidden="false" customHeight="true" outlineLevel="0" collapsed="false">
      <c r="A25" s="33" t="str">
        <f aca="false">IFERROR(IF(INDEX('Fund Research'!$B$6:$B$505,MATCH(20,'Fund Research'!$V$6:$V$505,0))="","",20),"")</f>
        <v/>
      </c>
      <c r="B25" s="34" t="str">
        <f aca="false">IFERROR(INDEX('Fund Research'!$A$6:$A$505,MATCH(20,'Fund Research'!$V$6:$V$505,0)),"")</f>
        <v/>
      </c>
      <c r="C25" s="34" t="str">
        <f aca="false">IFERROR(INDEX('Fund Research'!$B$6:$B$505,MATCH(20,'Fund Research'!$V$6:$V$505,0)),"")</f>
        <v/>
      </c>
      <c r="D25" s="34" t="str">
        <f aca="false">IFERROR(INDEX('Fund Research'!$C$6:$C$505,MATCH(20,'Fund Research'!$V$6:$V$505,0)),"")</f>
        <v/>
      </c>
      <c r="E25" s="35" t="str">
        <f aca="false">IFERROR(INDEX('Fund Research'!$G$6:$G$505,MATCH(20,'Fund Research'!$V$6:$V$505,0)),"")</f>
        <v/>
      </c>
      <c r="F25" s="35" t="str">
        <f aca="false">IFERROR(INDEX('Fund Research'!$H$6:$H$505,MATCH(20,'Fund Research'!$V$6:$V$505,0)),"")</f>
        <v/>
      </c>
      <c r="G25" s="35" t="str">
        <f aca="false">IFERROR(INDEX('Fund Research'!$I$6:$I$505,MATCH(20,'Fund Research'!$V$6:$V$505,0)),"")</f>
        <v/>
      </c>
      <c r="H25" s="36" t="str">
        <f aca="false">IFERROR(INDEX('Fund Research'!$J$6:$J$505,MATCH(20,'Fund Research'!$V$6:$V$505,0)),"")</f>
        <v/>
      </c>
      <c r="I25" s="38" t="str">
        <f aca="false">IFERROR(INDEX('Fund Research'!$L$6:$L$505,MATCH(20,'Fund Research'!$V$6:$V$505,0)),"")</f>
        <v/>
      </c>
      <c r="J25" s="36" t="str">
        <f aca="false">IFERROR(INDEX('Fund Research'!$N$6:$N$505,MATCH(20,'Fund Research'!$V$6:$V$505,0)),"")</f>
        <v/>
      </c>
      <c r="K25" s="36" t="str">
        <f aca="false">IFERROR(INDEX('Fund Research'!$P$6:$P$505,MATCH(20,'Fund Research'!$V$6:$V$505,0)),"")</f>
        <v/>
      </c>
      <c r="L25" s="34" t="str">
        <f aca="false">IFERROR(INDEX('Fund Research'!$S$6:$S$505,MATCH(20,'Fund Research'!$V$6:$V$505,0)),"")</f>
        <v/>
      </c>
      <c r="M25" s="34" t="str">
        <f aca="false">IFERROR(INDEX('Fund Research'!$T$6:$T$505,MATCH(20,'Fund Research'!$V$6:$V$505,0)),"")</f>
        <v/>
      </c>
    </row>
    <row r="26" customFormat="false" ht="15" hidden="false" customHeight="true" outlineLevel="0" collapsed="false">
      <c r="A26" s="33" t="str">
        <f aca="false">IFERROR(IF(INDEX('Fund Research'!$B$6:$B$505,MATCH(21,'Fund Research'!$V$6:$V$505,0))="","",21),"")</f>
        <v/>
      </c>
      <c r="B26" s="34" t="str">
        <f aca="false">IFERROR(INDEX('Fund Research'!$A$6:$A$505,MATCH(21,'Fund Research'!$V$6:$V$505,0)),"")</f>
        <v/>
      </c>
      <c r="C26" s="34" t="str">
        <f aca="false">IFERROR(INDEX('Fund Research'!$B$6:$B$505,MATCH(21,'Fund Research'!$V$6:$V$505,0)),"")</f>
        <v/>
      </c>
      <c r="D26" s="34" t="str">
        <f aca="false">IFERROR(INDEX('Fund Research'!$C$6:$C$505,MATCH(21,'Fund Research'!$V$6:$V$505,0)),"")</f>
        <v/>
      </c>
      <c r="E26" s="35" t="str">
        <f aca="false">IFERROR(INDEX('Fund Research'!$G$6:$G$505,MATCH(21,'Fund Research'!$V$6:$V$505,0)),"")</f>
        <v/>
      </c>
      <c r="F26" s="35" t="str">
        <f aca="false">IFERROR(INDEX('Fund Research'!$H$6:$H$505,MATCH(21,'Fund Research'!$V$6:$V$505,0)),"")</f>
        <v/>
      </c>
      <c r="G26" s="35" t="str">
        <f aca="false">IFERROR(INDEX('Fund Research'!$I$6:$I$505,MATCH(21,'Fund Research'!$V$6:$V$505,0)),"")</f>
        <v/>
      </c>
      <c r="H26" s="36" t="str">
        <f aca="false">IFERROR(INDEX('Fund Research'!$J$6:$J$505,MATCH(21,'Fund Research'!$V$6:$V$505,0)),"")</f>
        <v/>
      </c>
      <c r="I26" s="38" t="str">
        <f aca="false">IFERROR(INDEX('Fund Research'!$L$6:$L$505,MATCH(21,'Fund Research'!$V$6:$V$505,0)),"")</f>
        <v/>
      </c>
      <c r="J26" s="36" t="str">
        <f aca="false">IFERROR(INDEX('Fund Research'!$N$6:$N$505,MATCH(21,'Fund Research'!$V$6:$V$505,0)),"")</f>
        <v/>
      </c>
      <c r="K26" s="36" t="str">
        <f aca="false">IFERROR(INDEX('Fund Research'!$P$6:$P$505,MATCH(21,'Fund Research'!$V$6:$V$505,0)),"")</f>
        <v/>
      </c>
      <c r="L26" s="34" t="str">
        <f aca="false">IFERROR(INDEX('Fund Research'!$S$6:$S$505,MATCH(21,'Fund Research'!$V$6:$V$505,0)),"")</f>
        <v/>
      </c>
      <c r="M26" s="34" t="str">
        <f aca="false">IFERROR(INDEX('Fund Research'!$T$6:$T$505,MATCH(21,'Fund Research'!$V$6:$V$505,0)),"")</f>
        <v/>
      </c>
    </row>
    <row r="27" customFormat="false" ht="15" hidden="false" customHeight="true" outlineLevel="0" collapsed="false">
      <c r="A27" s="33" t="str">
        <f aca="false">IFERROR(IF(INDEX('Fund Research'!$B$6:$B$505,MATCH(22,'Fund Research'!$V$6:$V$505,0))="","",22),"")</f>
        <v/>
      </c>
      <c r="B27" s="34" t="str">
        <f aca="false">IFERROR(INDEX('Fund Research'!$A$6:$A$505,MATCH(22,'Fund Research'!$V$6:$V$505,0)),"")</f>
        <v/>
      </c>
      <c r="C27" s="34" t="str">
        <f aca="false">IFERROR(INDEX('Fund Research'!$B$6:$B$505,MATCH(22,'Fund Research'!$V$6:$V$505,0)),"")</f>
        <v/>
      </c>
      <c r="D27" s="34" t="str">
        <f aca="false">IFERROR(INDEX('Fund Research'!$C$6:$C$505,MATCH(22,'Fund Research'!$V$6:$V$505,0)),"")</f>
        <v/>
      </c>
      <c r="E27" s="35" t="str">
        <f aca="false">IFERROR(INDEX('Fund Research'!$G$6:$G$505,MATCH(22,'Fund Research'!$V$6:$V$505,0)),"")</f>
        <v/>
      </c>
      <c r="F27" s="35" t="str">
        <f aca="false">IFERROR(INDEX('Fund Research'!$H$6:$H$505,MATCH(22,'Fund Research'!$V$6:$V$505,0)),"")</f>
        <v/>
      </c>
      <c r="G27" s="35" t="str">
        <f aca="false">IFERROR(INDEX('Fund Research'!$I$6:$I$505,MATCH(22,'Fund Research'!$V$6:$V$505,0)),"")</f>
        <v/>
      </c>
      <c r="H27" s="36" t="str">
        <f aca="false">IFERROR(INDEX('Fund Research'!$J$6:$J$505,MATCH(22,'Fund Research'!$V$6:$V$505,0)),"")</f>
        <v/>
      </c>
      <c r="I27" s="38" t="str">
        <f aca="false">IFERROR(INDEX('Fund Research'!$L$6:$L$505,MATCH(22,'Fund Research'!$V$6:$V$505,0)),"")</f>
        <v/>
      </c>
      <c r="J27" s="36" t="str">
        <f aca="false">IFERROR(INDEX('Fund Research'!$N$6:$N$505,MATCH(22,'Fund Research'!$V$6:$V$505,0)),"")</f>
        <v/>
      </c>
      <c r="K27" s="36" t="str">
        <f aca="false">IFERROR(INDEX('Fund Research'!$P$6:$P$505,MATCH(22,'Fund Research'!$V$6:$V$505,0)),"")</f>
        <v/>
      </c>
      <c r="L27" s="34" t="str">
        <f aca="false">IFERROR(INDEX('Fund Research'!$S$6:$S$505,MATCH(22,'Fund Research'!$V$6:$V$505,0)),"")</f>
        <v/>
      </c>
      <c r="M27" s="34" t="str">
        <f aca="false">IFERROR(INDEX('Fund Research'!$T$6:$T$505,MATCH(22,'Fund Research'!$V$6:$V$505,0)),"")</f>
        <v/>
      </c>
    </row>
    <row r="28" customFormat="false" ht="15" hidden="false" customHeight="true" outlineLevel="0" collapsed="false">
      <c r="A28" s="33" t="str">
        <f aca="false">IFERROR(IF(INDEX('Fund Research'!$B$6:$B$505,MATCH(23,'Fund Research'!$V$6:$V$505,0))="","",23),"")</f>
        <v/>
      </c>
      <c r="B28" s="34" t="str">
        <f aca="false">IFERROR(INDEX('Fund Research'!$A$6:$A$505,MATCH(23,'Fund Research'!$V$6:$V$505,0)),"")</f>
        <v/>
      </c>
      <c r="C28" s="34" t="str">
        <f aca="false">IFERROR(INDEX('Fund Research'!$B$6:$B$505,MATCH(23,'Fund Research'!$V$6:$V$505,0)),"")</f>
        <v/>
      </c>
      <c r="D28" s="34" t="str">
        <f aca="false">IFERROR(INDEX('Fund Research'!$C$6:$C$505,MATCH(23,'Fund Research'!$V$6:$V$505,0)),"")</f>
        <v/>
      </c>
      <c r="E28" s="35" t="str">
        <f aca="false">IFERROR(INDEX('Fund Research'!$G$6:$G$505,MATCH(23,'Fund Research'!$V$6:$V$505,0)),"")</f>
        <v/>
      </c>
      <c r="F28" s="35" t="str">
        <f aca="false">IFERROR(INDEX('Fund Research'!$H$6:$H$505,MATCH(23,'Fund Research'!$V$6:$V$505,0)),"")</f>
        <v/>
      </c>
      <c r="G28" s="35" t="str">
        <f aca="false">IFERROR(INDEX('Fund Research'!$I$6:$I$505,MATCH(23,'Fund Research'!$V$6:$V$505,0)),"")</f>
        <v/>
      </c>
      <c r="H28" s="36" t="str">
        <f aca="false">IFERROR(INDEX('Fund Research'!$J$6:$J$505,MATCH(23,'Fund Research'!$V$6:$V$505,0)),"")</f>
        <v/>
      </c>
      <c r="I28" s="38" t="str">
        <f aca="false">IFERROR(INDEX('Fund Research'!$L$6:$L$505,MATCH(23,'Fund Research'!$V$6:$V$505,0)),"")</f>
        <v/>
      </c>
      <c r="J28" s="36" t="str">
        <f aca="false">IFERROR(INDEX('Fund Research'!$N$6:$N$505,MATCH(23,'Fund Research'!$V$6:$V$505,0)),"")</f>
        <v/>
      </c>
      <c r="K28" s="36" t="str">
        <f aca="false">IFERROR(INDEX('Fund Research'!$P$6:$P$505,MATCH(23,'Fund Research'!$V$6:$V$505,0)),"")</f>
        <v/>
      </c>
      <c r="L28" s="34" t="str">
        <f aca="false">IFERROR(INDEX('Fund Research'!$S$6:$S$505,MATCH(23,'Fund Research'!$V$6:$V$505,0)),"")</f>
        <v/>
      </c>
      <c r="M28" s="34" t="str">
        <f aca="false">IFERROR(INDEX('Fund Research'!$T$6:$T$505,MATCH(23,'Fund Research'!$V$6:$V$505,0)),"")</f>
        <v/>
      </c>
    </row>
    <row r="29" customFormat="false" ht="15" hidden="false" customHeight="true" outlineLevel="0" collapsed="false">
      <c r="A29" s="33" t="str">
        <f aca="false">IFERROR(IF(INDEX('Fund Research'!$B$6:$B$505,MATCH(24,'Fund Research'!$V$6:$V$505,0))="","",24),"")</f>
        <v/>
      </c>
      <c r="B29" s="34" t="str">
        <f aca="false">IFERROR(INDEX('Fund Research'!$A$6:$A$505,MATCH(24,'Fund Research'!$V$6:$V$505,0)),"")</f>
        <v/>
      </c>
      <c r="C29" s="34" t="str">
        <f aca="false">IFERROR(INDEX('Fund Research'!$B$6:$B$505,MATCH(24,'Fund Research'!$V$6:$V$505,0)),"")</f>
        <v/>
      </c>
      <c r="D29" s="34" t="str">
        <f aca="false">IFERROR(INDEX('Fund Research'!$C$6:$C$505,MATCH(24,'Fund Research'!$V$6:$V$505,0)),"")</f>
        <v/>
      </c>
      <c r="E29" s="35" t="str">
        <f aca="false">IFERROR(INDEX('Fund Research'!$G$6:$G$505,MATCH(24,'Fund Research'!$V$6:$V$505,0)),"")</f>
        <v/>
      </c>
      <c r="F29" s="35" t="str">
        <f aca="false">IFERROR(INDEX('Fund Research'!$H$6:$H$505,MATCH(24,'Fund Research'!$V$6:$V$505,0)),"")</f>
        <v/>
      </c>
      <c r="G29" s="35" t="str">
        <f aca="false">IFERROR(INDEX('Fund Research'!$I$6:$I$505,MATCH(24,'Fund Research'!$V$6:$V$505,0)),"")</f>
        <v/>
      </c>
      <c r="H29" s="36" t="str">
        <f aca="false">IFERROR(INDEX('Fund Research'!$J$6:$J$505,MATCH(24,'Fund Research'!$V$6:$V$505,0)),"")</f>
        <v/>
      </c>
      <c r="I29" s="38" t="str">
        <f aca="false">IFERROR(INDEX('Fund Research'!$L$6:$L$505,MATCH(24,'Fund Research'!$V$6:$V$505,0)),"")</f>
        <v/>
      </c>
      <c r="J29" s="36" t="str">
        <f aca="false">IFERROR(INDEX('Fund Research'!$N$6:$N$505,MATCH(24,'Fund Research'!$V$6:$V$505,0)),"")</f>
        <v/>
      </c>
      <c r="K29" s="36" t="str">
        <f aca="false">IFERROR(INDEX('Fund Research'!$P$6:$P$505,MATCH(24,'Fund Research'!$V$6:$V$505,0)),"")</f>
        <v/>
      </c>
      <c r="L29" s="34" t="str">
        <f aca="false">IFERROR(INDEX('Fund Research'!$S$6:$S$505,MATCH(24,'Fund Research'!$V$6:$V$505,0)),"")</f>
        <v/>
      </c>
      <c r="M29" s="34" t="str">
        <f aca="false">IFERROR(INDEX('Fund Research'!$T$6:$T$505,MATCH(24,'Fund Research'!$V$6:$V$505,0)),"")</f>
        <v/>
      </c>
    </row>
    <row r="30" customFormat="false" ht="15" hidden="false" customHeight="true" outlineLevel="0" collapsed="false">
      <c r="A30" s="33" t="str">
        <f aca="false">IFERROR(IF(INDEX('Fund Research'!$B$6:$B$505,MATCH(25,'Fund Research'!$V$6:$V$505,0))="","",25),"")</f>
        <v/>
      </c>
      <c r="B30" s="34" t="str">
        <f aca="false">IFERROR(INDEX('Fund Research'!$A$6:$A$505,MATCH(25,'Fund Research'!$V$6:$V$505,0)),"")</f>
        <v/>
      </c>
      <c r="C30" s="34" t="str">
        <f aca="false">IFERROR(INDEX('Fund Research'!$B$6:$B$505,MATCH(25,'Fund Research'!$V$6:$V$505,0)),"")</f>
        <v/>
      </c>
      <c r="D30" s="34" t="str">
        <f aca="false">IFERROR(INDEX('Fund Research'!$C$6:$C$505,MATCH(25,'Fund Research'!$V$6:$V$505,0)),"")</f>
        <v/>
      </c>
      <c r="E30" s="35" t="str">
        <f aca="false">IFERROR(INDEX('Fund Research'!$G$6:$G$505,MATCH(25,'Fund Research'!$V$6:$V$505,0)),"")</f>
        <v/>
      </c>
      <c r="F30" s="35" t="str">
        <f aca="false">IFERROR(INDEX('Fund Research'!$H$6:$H$505,MATCH(25,'Fund Research'!$V$6:$V$505,0)),"")</f>
        <v/>
      </c>
      <c r="G30" s="35" t="str">
        <f aca="false">IFERROR(INDEX('Fund Research'!$I$6:$I$505,MATCH(25,'Fund Research'!$V$6:$V$505,0)),"")</f>
        <v/>
      </c>
      <c r="H30" s="36" t="str">
        <f aca="false">IFERROR(INDEX('Fund Research'!$J$6:$J$505,MATCH(25,'Fund Research'!$V$6:$V$505,0)),"")</f>
        <v/>
      </c>
      <c r="I30" s="38" t="str">
        <f aca="false">IFERROR(INDEX('Fund Research'!$L$6:$L$505,MATCH(25,'Fund Research'!$V$6:$V$505,0)),"")</f>
        <v/>
      </c>
      <c r="J30" s="36" t="str">
        <f aca="false">IFERROR(INDEX('Fund Research'!$N$6:$N$505,MATCH(25,'Fund Research'!$V$6:$V$505,0)),"")</f>
        <v/>
      </c>
      <c r="K30" s="36" t="str">
        <f aca="false">IFERROR(INDEX('Fund Research'!$P$6:$P$505,MATCH(25,'Fund Research'!$V$6:$V$505,0)),"")</f>
        <v/>
      </c>
      <c r="L30" s="34" t="str">
        <f aca="false">IFERROR(INDEX('Fund Research'!$S$6:$S$505,MATCH(25,'Fund Research'!$V$6:$V$505,0)),"")</f>
        <v/>
      </c>
      <c r="M30" s="34" t="str">
        <f aca="false">IFERROR(INDEX('Fund Research'!$T$6:$T$505,MATCH(25,'Fund Research'!$V$6:$V$505,0)),"")</f>
        <v/>
      </c>
    </row>
    <row r="31" customFormat="false" ht="15" hidden="false" customHeight="true" outlineLevel="0" collapsed="false">
      <c r="A31" s="33" t="str">
        <f aca="false">IFERROR(IF(INDEX('Fund Research'!$B$6:$B$505,MATCH(26,'Fund Research'!$V$6:$V$505,0))="","",26),"")</f>
        <v/>
      </c>
      <c r="B31" s="34" t="str">
        <f aca="false">IFERROR(INDEX('Fund Research'!$A$6:$A$505,MATCH(26,'Fund Research'!$V$6:$V$505,0)),"")</f>
        <v/>
      </c>
      <c r="C31" s="34" t="str">
        <f aca="false">IFERROR(INDEX('Fund Research'!$B$6:$B$505,MATCH(26,'Fund Research'!$V$6:$V$505,0)),"")</f>
        <v/>
      </c>
      <c r="D31" s="34" t="str">
        <f aca="false">IFERROR(INDEX('Fund Research'!$C$6:$C$505,MATCH(26,'Fund Research'!$V$6:$V$505,0)),"")</f>
        <v/>
      </c>
      <c r="E31" s="35" t="str">
        <f aca="false">IFERROR(INDEX('Fund Research'!$G$6:$G$505,MATCH(26,'Fund Research'!$V$6:$V$505,0)),"")</f>
        <v/>
      </c>
      <c r="F31" s="35" t="str">
        <f aca="false">IFERROR(INDEX('Fund Research'!$H$6:$H$505,MATCH(26,'Fund Research'!$V$6:$V$505,0)),"")</f>
        <v/>
      </c>
      <c r="G31" s="35" t="str">
        <f aca="false">IFERROR(INDEX('Fund Research'!$I$6:$I$505,MATCH(26,'Fund Research'!$V$6:$V$505,0)),"")</f>
        <v/>
      </c>
      <c r="H31" s="36" t="str">
        <f aca="false">IFERROR(INDEX('Fund Research'!$J$6:$J$505,MATCH(26,'Fund Research'!$V$6:$V$505,0)),"")</f>
        <v/>
      </c>
      <c r="I31" s="38" t="str">
        <f aca="false">IFERROR(INDEX('Fund Research'!$L$6:$L$505,MATCH(26,'Fund Research'!$V$6:$V$505,0)),"")</f>
        <v/>
      </c>
      <c r="J31" s="36" t="str">
        <f aca="false">IFERROR(INDEX('Fund Research'!$N$6:$N$505,MATCH(26,'Fund Research'!$V$6:$V$505,0)),"")</f>
        <v/>
      </c>
      <c r="K31" s="36" t="str">
        <f aca="false">IFERROR(INDEX('Fund Research'!$P$6:$P$505,MATCH(26,'Fund Research'!$V$6:$V$505,0)),"")</f>
        <v/>
      </c>
      <c r="L31" s="34" t="str">
        <f aca="false">IFERROR(INDEX('Fund Research'!$S$6:$S$505,MATCH(26,'Fund Research'!$V$6:$V$505,0)),"")</f>
        <v/>
      </c>
      <c r="M31" s="34" t="str">
        <f aca="false">IFERROR(INDEX('Fund Research'!$T$6:$T$505,MATCH(26,'Fund Research'!$V$6:$V$505,0)),"")</f>
        <v/>
      </c>
    </row>
    <row r="32" customFormat="false" ht="15" hidden="false" customHeight="true" outlineLevel="0" collapsed="false">
      <c r="A32" s="33" t="str">
        <f aca="false">IFERROR(IF(INDEX('Fund Research'!$B$6:$B$505,MATCH(27,'Fund Research'!$V$6:$V$505,0))="","",27),"")</f>
        <v/>
      </c>
      <c r="B32" s="34" t="str">
        <f aca="false">IFERROR(INDEX('Fund Research'!$A$6:$A$505,MATCH(27,'Fund Research'!$V$6:$V$505,0)),"")</f>
        <v/>
      </c>
      <c r="C32" s="34" t="str">
        <f aca="false">IFERROR(INDEX('Fund Research'!$B$6:$B$505,MATCH(27,'Fund Research'!$V$6:$V$505,0)),"")</f>
        <v/>
      </c>
      <c r="D32" s="34" t="str">
        <f aca="false">IFERROR(INDEX('Fund Research'!$C$6:$C$505,MATCH(27,'Fund Research'!$V$6:$V$505,0)),"")</f>
        <v/>
      </c>
      <c r="E32" s="35" t="str">
        <f aca="false">IFERROR(INDEX('Fund Research'!$G$6:$G$505,MATCH(27,'Fund Research'!$V$6:$V$505,0)),"")</f>
        <v/>
      </c>
      <c r="F32" s="35" t="str">
        <f aca="false">IFERROR(INDEX('Fund Research'!$H$6:$H$505,MATCH(27,'Fund Research'!$V$6:$V$505,0)),"")</f>
        <v/>
      </c>
      <c r="G32" s="35" t="str">
        <f aca="false">IFERROR(INDEX('Fund Research'!$I$6:$I$505,MATCH(27,'Fund Research'!$V$6:$V$505,0)),"")</f>
        <v/>
      </c>
      <c r="H32" s="36" t="str">
        <f aca="false">IFERROR(INDEX('Fund Research'!$J$6:$J$505,MATCH(27,'Fund Research'!$V$6:$V$505,0)),"")</f>
        <v/>
      </c>
      <c r="I32" s="38" t="str">
        <f aca="false">IFERROR(INDEX('Fund Research'!$L$6:$L$505,MATCH(27,'Fund Research'!$V$6:$V$505,0)),"")</f>
        <v/>
      </c>
      <c r="J32" s="36" t="str">
        <f aca="false">IFERROR(INDEX('Fund Research'!$N$6:$N$505,MATCH(27,'Fund Research'!$V$6:$V$505,0)),"")</f>
        <v/>
      </c>
      <c r="K32" s="36" t="str">
        <f aca="false">IFERROR(INDEX('Fund Research'!$P$6:$P$505,MATCH(27,'Fund Research'!$V$6:$V$505,0)),"")</f>
        <v/>
      </c>
      <c r="L32" s="34" t="str">
        <f aca="false">IFERROR(INDEX('Fund Research'!$S$6:$S$505,MATCH(27,'Fund Research'!$V$6:$V$505,0)),"")</f>
        <v/>
      </c>
      <c r="M32" s="34" t="str">
        <f aca="false">IFERROR(INDEX('Fund Research'!$T$6:$T$505,MATCH(27,'Fund Research'!$V$6:$V$505,0)),"")</f>
        <v/>
      </c>
    </row>
    <row r="33" customFormat="false" ht="15" hidden="false" customHeight="true" outlineLevel="0" collapsed="false">
      <c r="A33" s="33" t="str">
        <f aca="false">IFERROR(IF(INDEX('Fund Research'!$B$6:$B$505,MATCH(28,'Fund Research'!$V$6:$V$505,0))="","",28),"")</f>
        <v/>
      </c>
      <c r="B33" s="34" t="str">
        <f aca="false">IFERROR(INDEX('Fund Research'!$A$6:$A$505,MATCH(28,'Fund Research'!$V$6:$V$505,0)),"")</f>
        <v/>
      </c>
      <c r="C33" s="34" t="str">
        <f aca="false">IFERROR(INDEX('Fund Research'!$B$6:$B$505,MATCH(28,'Fund Research'!$V$6:$V$505,0)),"")</f>
        <v/>
      </c>
      <c r="D33" s="34" t="str">
        <f aca="false">IFERROR(INDEX('Fund Research'!$C$6:$C$505,MATCH(28,'Fund Research'!$V$6:$V$505,0)),"")</f>
        <v/>
      </c>
      <c r="E33" s="35" t="str">
        <f aca="false">IFERROR(INDEX('Fund Research'!$G$6:$G$505,MATCH(28,'Fund Research'!$V$6:$V$505,0)),"")</f>
        <v/>
      </c>
      <c r="F33" s="35" t="str">
        <f aca="false">IFERROR(INDEX('Fund Research'!$H$6:$H$505,MATCH(28,'Fund Research'!$V$6:$V$505,0)),"")</f>
        <v/>
      </c>
      <c r="G33" s="35" t="str">
        <f aca="false">IFERROR(INDEX('Fund Research'!$I$6:$I$505,MATCH(28,'Fund Research'!$V$6:$V$505,0)),"")</f>
        <v/>
      </c>
      <c r="H33" s="36" t="str">
        <f aca="false">IFERROR(INDEX('Fund Research'!$J$6:$J$505,MATCH(28,'Fund Research'!$V$6:$V$505,0)),"")</f>
        <v/>
      </c>
      <c r="I33" s="38" t="str">
        <f aca="false">IFERROR(INDEX('Fund Research'!$L$6:$L$505,MATCH(28,'Fund Research'!$V$6:$V$505,0)),"")</f>
        <v/>
      </c>
      <c r="J33" s="36" t="str">
        <f aca="false">IFERROR(INDEX('Fund Research'!$N$6:$N$505,MATCH(28,'Fund Research'!$V$6:$V$505,0)),"")</f>
        <v/>
      </c>
      <c r="K33" s="36" t="str">
        <f aca="false">IFERROR(INDEX('Fund Research'!$P$6:$P$505,MATCH(28,'Fund Research'!$V$6:$V$505,0)),"")</f>
        <v/>
      </c>
      <c r="L33" s="34" t="str">
        <f aca="false">IFERROR(INDEX('Fund Research'!$S$6:$S$505,MATCH(28,'Fund Research'!$V$6:$V$505,0)),"")</f>
        <v/>
      </c>
      <c r="M33" s="34" t="str">
        <f aca="false">IFERROR(INDEX('Fund Research'!$T$6:$T$505,MATCH(28,'Fund Research'!$V$6:$V$505,0)),"")</f>
        <v/>
      </c>
    </row>
    <row r="34" customFormat="false" ht="15" hidden="false" customHeight="true" outlineLevel="0" collapsed="false">
      <c r="A34" s="33" t="str">
        <f aca="false">IFERROR(IF(INDEX('Fund Research'!$B$6:$B$505,MATCH(29,'Fund Research'!$V$6:$V$505,0))="","",29),"")</f>
        <v/>
      </c>
      <c r="B34" s="34" t="str">
        <f aca="false">IFERROR(INDEX('Fund Research'!$A$6:$A$505,MATCH(29,'Fund Research'!$V$6:$V$505,0)),"")</f>
        <v/>
      </c>
      <c r="C34" s="34" t="str">
        <f aca="false">IFERROR(INDEX('Fund Research'!$B$6:$B$505,MATCH(29,'Fund Research'!$V$6:$V$505,0)),"")</f>
        <v/>
      </c>
      <c r="D34" s="34" t="str">
        <f aca="false">IFERROR(INDEX('Fund Research'!$C$6:$C$505,MATCH(29,'Fund Research'!$V$6:$V$505,0)),"")</f>
        <v/>
      </c>
      <c r="E34" s="35" t="str">
        <f aca="false">IFERROR(INDEX('Fund Research'!$G$6:$G$505,MATCH(29,'Fund Research'!$V$6:$V$505,0)),"")</f>
        <v/>
      </c>
      <c r="F34" s="35" t="str">
        <f aca="false">IFERROR(INDEX('Fund Research'!$H$6:$H$505,MATCH(29,'Fund Research'!$V$6:$V$505,0)),"")</f>
        <v/>
      </c>
      <c r="G34" s="35" t="str">
        <f aca="false">IFERROR(INDEX('Fund Research'!$I$6:$I$505,MATCH(29,'Fund Research'!$V$6:$V$505,0)),"")</f>
        <v/>
      </c>
      <c r="H34" s="36" t="str">
        <f aca="false">IFERROR(INDEX('Fund Research'!$J$6:$J$505,MATCH(29,'Fund Research'!$V$6:$V$505,0)),"")</f>
        <v/>
      </c>
      <c r="I34" s="38" t="str">
        <f aca="false">IFERROR(INDEX('Fund Research'!$L$6:$L$505,MATCH(29,'Fund Research'!$V$6:$V$505,0)),"")</f>
        <v/>
      </c>
      <c r="J34" s="36" t="str">
        <f aca="false">IFERROR(INDEX('Fund Research'!$N$6:$N$505,MATCH(29,'Fund Research'!$V$6:$V$505,0)),"")</f>
        <v/>
      </c>
      <c r="K34" s="36" t="str">
        <f aca="false">IFERROR(INDEX('Fund Research'!$P$6:$P$505,MATCH(29,'Fund Research'!$V$6:$V$505,0)),"")</f>
        <v/>
      </c>
      <c r="L34" s="34" t="str">
        <f aca="false">IFERROR(INDEX('Fund Research'!$S$6:$S$505,MATCH(29,'Fund Research'!$V$6:$V$505,0)),"")</f>
        <v/>
      </c>
      <c r="M34" s="34" t="str">
        <f aca="false">IFERROR(INDEX('Fund Research'!$T$6:$T$505,MATCH(29,'Fund Research'!$V$6:$V$505,0)),"")</f>
        <v/>
      </c>
    </row>
    <row r="35" customFormat="false" ht="15" hidden="false" customHeight="true" outlineLevel="0" collapsed="false">
      <c r="A35" s="33" t="str">
        <f aca="false">IFERROR(IF(INDEX('Fund Research'!$B$6:$B$505,MATCH(30,'Fund Research'!$V$6:$V$505,0))="","",30),"")</f>
        <v/>
      </c>
      <c r="B35" s="34" t="str">
        <f aca="false">IFERROR(INDEX('Fund Research'!$A$6:$A$505,MATCH(30,'Fund Research'!$V$6:$V$505,0)),"")</f>
        <v/>
      </c>
      <c r="C35" s="34" t="str">
        <f aca="false">IFERROR(INDEX('Fund Research'!$B$6:$B$505,MATCH(30,'Fund Research'!$V$6:$V$505,0)),"")</f>
        <v/>
      </c>
      <c r="D35" s="34" t="str">
        <f aca="false">IFERROR(INDEX('Fund Research'!$C$6:$C$505,MATCH(30,'Fund Research'!$V$6:$V$505,0)),"")</f>
        <v/>
      </c>
      <c r="E35" s="35" t="str">
        <f aca="false">IFERROR(INDEX('Fund Research'!$G$6:$G$505,MATCH(30,'Fund Research'!$V$6:$V$505,0)),"")</f>
        <v/>
      </c>
      <c r="F35" s="35" t="str">
        <f aca="false">IFERROR(INDEX('Fund Research'!$H$6:$H$505,MATCH(30,'Fund Research'!$V$6:$V$505,0)),"")</f>
        <v/>
      </c>
      <c r="G35" s="35" t="str">
        <f aca="false">IFERROR(INDEX('Fund Research'!$I$6:$I$505,MATCH(30,'Fund Research'!$V$6:$V$505,0)),"")</f>
        <v/>
      </c>
      <c r="H35" s="36" t="str">
        <f aca="false">IFERROR(INDEX('Fund Research'!$J$6:$J$505,MATCH(30,'Fund Research'!$V$6:$V$505,0)),"")</f>
        <v/>
      </c>
      <c r="I35" s="38" t="str">
        <f aca="false">IFERROR(INDEX('Fund Research'!$L$6:$L$505,MATCH(30,'Fund Research'!$V$6:$V$505,0)),"")</f>
        <v/>
      </c>
      <c r="J35" s="36" t="str">
        <f aca="false">IFERROR(INDEX('Fund Research'!$N$6:$N$505,MATCH(30,'Fund Research'!$V$6:$V$505,0)),"")</f>
        <v/>
      </c>
      <c r="K35" s="36" t="str">
        <f aca="false">IFERROR(INDEX('Fund Research'!$P$6:$P$505,MATCH(30,'Fund Research'!$V$6:$V$505,0)),"")</f>
        <v/>
      </c>
      <c r="L35" s="34" t="str">
        <f aca="false">IFERROR(INDEX('Fund Research'!$S$6:$S$505,MATCH(30,'Fund Research'!$V$6:$V$505,0)),"")</f>
        <v/>
      </c>
      <c r="M35" s="34" t="str">
        <f aca="false">IFERROR(INDEX('Fund Research'!$T$6:$T$505,MATCH(30,'Fund Research'!$V$6:$V$505,0)),"")</f>
        <v/>
      </c>
    </row>
    <row r="36" customFormat="false" ht="15" hidden="false" customHeight="true" outlineLevel="0" collapsed="false">
      <c r="A36" s="33" t="str">
        <f aca="false">IFERROR(IF(INDEX('Fund Research'!$B$6:$B$505,MATCH(31,'Fund Research'!$V$6:$V$505,0))="","",31),"")</f>
        <v/>
      </c>
      <c r="B36" s="34" t="str">
        <f aca="false">IFERROR(INDEX('Fund Research'!$A$6:$A$505,MATCH(31,'Fund Research'!$V$6:$V$505,0)),"")</f>
        <v/>
      </c>
      <c r="C36" s="34" t="str">
        <f aca="false">IFERROR(INDEX('Fund Research'!$B$6:$B$505,MATCH(31,'Fund Research'!$V$6:$V$505,0)),"")</f>
        <v/>
      </c>
      <c r="D36" s="34" t="str">
        <f aca="false">IFERROR(INDEX('Fund Research'!$C$6:$C$505,MATCH(31,'Fund Research'!$V$6:$V$505,0)),"")</f>
        <v/>
      </c>
      <c r="E36" s="35" t="str">
        <f aca="false">IFERROR(INDEX('Fund Research'!$G$6:$G$505,MATCH(31,'Fund Research'!$V$6:$V$505,0)),"")</f>
        <v/>
      </c>
      <c r="F36" s="35" t="str">
        <f aca="false">IFERROR(INDEX('Fund Research'!$H$6:$H$505,MATCH(31,'Fund Research'!$V$6:$V$505,0)),"")</f>
        <v/>
      </c>
      <c r="G36" s="35" t="str">
        <f aca="false">IFERROR(INDEX('Fund Research'!$I$6:$I$505,MATCH(31,'Fund Research'!$V$6:$V$505,0)),"")</f>
        <v/>
      </c>
      <c r="H36" s="36" t="str">
        <f aca="false">IFERROR(INDEX('Fund Research'!$J$6:$J$505,MATCH(31,'Fund Research'!$V$6:$V$505,0)),"")</f>
        <v/>
      </c>
      <c r="I36" s="38" t="str">
        <f aca="false">IFERROR(INDEX('Fund Research'!$L$6:$L$505,MATCH(31,'Fund Research'!$V$6:$V$505,0)),"")</f>
        <v/>
      </c>
      <c r="J36" s="36" t="str">
        <f aca="false">IFERROR(INDEX('Fund Research'!$N$6:$N$505,MATCH(31,'Fund Research'!$V$6:$V$505,0)),"")</f>
        <v/>
      </c>
      <c r="K36" s="36" t="str">
        <f aca="false">IFERROR(INDEX('Fund Research'!$P$6:$P$505,MATCH(31,'Fund Research'!$V$6:$V$505,0)),"")</f>
        <v/>
      </c>
      <c r="L36" s="34" t="str">
        <f aca="false">IFERROR(INDEX('Fund Research'!$S$6:$S$505,MATCH(31,'Fund Research'!$V$6:$V$505,0)),"")</f>
        <v/>
      </c>
      <c r="M36" s="34" t="str">
        <f aca="false">IFERROR(INDEX('Fund Research'!$T$6:$T$505,MATCH(31,'Fund Research'!$V$6:$V$505,0)),"")</f>
        <v/>
      </c>
    </row>
    <row r="37" customFormat="false" ht="15" hidden="false" customHeight="true" outlineLevel="0" collapsed="false">
      <c r="A37" s="33" t="str">
        <f aca="false">IFERROR(IF(INDEX('Fund Research'!$B$6:$B$505,MATCH(32,'Fund Research'!$V$6:$V$505,0))="","",32),"")</f>
        <v/>
      </c>
      <c r="B37" s="34" t="str">
        <f aca="false">IFERROR(INDEX('Fund Research'!$A$6:$A$505,MATCH(32,'Fund Research'!$V$6:$V$505,0)),"")</f>
        <v/>
      </c>
      <c r="C37" s="34" t="str">
        <f aca="false">IFERROR(INDEX('Fund Research'!$B$6:$B$505,MATCH(32,'Fund Research'!$V$6:$V$505,0)),"")</f>
        <v/>
      </c>
      <c r="D37" s="34" t="str">
        <f aca="false">IFERROR(INDEX('Fund Research'!$C$6:$C$505,MATCH(32,'Fund Research'!$V$6:$V$505,0)),"")</f>
        <v/>
      </c>
      <c r="E37" s="35" t="str">
        <f aca="false">IFERROR(INDEX('Fund Research'!$G$6:$G$505,MATCH(32,'Fund Research'!$V$6:$V$505,0)),"")</f>
        <v/>
      </c>
      <c r="F37" s="35" t="str">
        <f aca="false">IFERROR(INDEX('Fund Research'!$H$6:$H$505,MATCH(32,'Fund Research'!$V$6:$V$505,0)),"")</f>
        <v/>
      </c>
      <c r="G37" s="35" t="str">
        <f aca="false">IFERROR(INDEX('Fund Research'!$I$6:$I$505,MATCH(32,'Fund Research'!$V$6:$V$505,0)),"")</f>
        <v/>
      </c>
      <c r="H37" s="36" t="str">
        <f aca="false">IFERROR(INDEX('Fund Research'!$J$6:$J$505,MATCH(32,'Fund Research'!$V$6:$V$505,0)),"")</f>
        <v/>
      </c>
      <c r="I37" s="38" t="str">
        <f aca="false">IFERROR(INDEX('Fund Research'!$L$6:$L$505,MATCH(32,'Fund Research'!$V$6:$V$505,0)),"")</f>
        <v/>
      </c>
      <c r="J37" s="36" t="str">
        <f aca="false">IFERROR(INDEX('Fund Research'!$N$6:$N$505,MATCH(32,'Fund Research'!$V$6:$V$505,0)),"")</f>
        <v/>
      </c>
      <c r="K37" s="36" t="str">
        <f aca="false">IFERROR(INDEX('Fund Research'!$P$6:$P$505,MATCH(32,'Fund Research'!$V$6:$V$505,0)),"")</f>
        <v/>
      </c>
      <c r="L37" s="34" t="str">
        <f aca="false">IFERROR(INDEX('Fund Research'!$S$6:$S$505,MATCH(32,'Fund Research'!$V$6:$V$505,0)),"")</f>
        <v/>
      </c>
      <c r="M37" s="34" t="str">
        <f aca="false">IFERROR(INDEX('Fund Research'!$T$6:$T$505,MATCH(32,'Fund Research'!$V$6:$V$505,0)),"")</f>
        <v/>
      </c>
    </row>
    <row r="38" customFormat="false" ht="15" hidden="false" customHeight="true" outlineLevel="0" collapsed="false">
      <c r="A38" s="33" t="str">
        <f aca="false">IFERROR(IF(INDEX('Fund Research'!$B$6:$B$505,MATCH(33,'Fund Research'!$V$6:$V$505,0))="","",33),"")</f>
        <v/>
      </c>
      <c r="B38" s="34" t="str">
        <f aca="false">IFERROR(INDEX('Fund Research'!$A$6:$A$505,MATCH(33,'Fund Research'!$V$6:$V$505,0)),"")</f>
        <v/>
      </c>
      <c r="C38" s="34" t="str">
        <f aca="false">IFERROR(INDEX('Fund Research'!$B$6:$B$505,MATCH(33,'Fund Research'!$V$6:$V$505,0)),"")</f>
        <v/>
      </c>
      <c r="D38" s="34" t="str">
        <f aca="false">IFERROR(INDEX('Fund Research'!$C$6:$C$505,MATCH(33,'Fund Research'!$V$6:$V$505,0)),"")</f>
        <v/>
      </c>
      <c r="E38" s="35" t="str">
        <f aca="false">IFERROR(INDEX('Fund Research'!$G$6:$G$505,MATCH(33,'Fund Research'!$V$6:$V$505,0)),"")</f>
        <v/>
      </c>
      <c r="F38" s="35" t="str">
        <f aca="false">IFERROR(INDEX('Fund Research'!$H$6:$H$505,MATCH(33,'Fund Research'!$V$6:$V$505,0)),"")</f>
        <v/>
      </c>
      <c r="G38" s="35" t="str">
        <f aca="false">IFERROR(INDEX('Fund Research'!$I$6:$I$505,MATCH(33,'Fund Research'!$V$6:$V$505,0)),"")</f>
        <v/>
      </c>
      <c r="H38" s="36" t="str">
        <f aca="false">IFERROR(INDEX('Fund Research'!$J$6:$J$505,MATCH(33,'Fund Research'!$V$6:$V$505,0)),"")</f>
        <v/>
      </c>
      <c r="I38" s="38" t="str">
        <f aca="false">IFERROR(INDEX('Fund Research'!$L$6:$L$505,MATCH(33,'Fund Research'!$V$6:$V$505,0)),"")</f>
        <v/>
      </c>
      <c r="J38" s="36" t="str">
        <f aca="false">IFERROR(INDEX('Fund Research'!$N$6:$N$505,MATCH(33,'Fund Research'!$V$6:$V$505,0)),"")</f>
        <v/>
      </c>
      <c r="K38" s="36" t="str">
        <f aca="false">IFERROR(INDEX('Fund Research'!$P$6:$P$505,MATCH(33,'Fund Research'!$V$6:$V$505,0)),"")</f>
        <v/>
      </c>
      <c r="L38" s="34" t="str">
        <f aca="false">IFERROR(INDEX('Fund Research'!$S$6:$S$505,MATCH(33,'Fund Research'!$V$6:$V$505,0)),"")</f>
        <v/>
      </c>
      <c r="M38" s="34" t="str">
        <f aca="false">IFERROR(INDEX('Fund Research'!$T$6:$T$505,MATCH(33,'Fund Research'!$V$6:$V$505,0)),"")</f>
        <v/>
      </c>
    </row>
    <row r="39" customFormat="false" ht="15" hidden="false" customHeight="true" outlineLevel="0" collapsed="false">
      <c r="A39" s="33" t="str">
        <f aca="false">IFERROR(IF(INDEX('Fund Research'!$B$6:$B$505,MATCH(34,'Fund Research'!$V$6:$V$505,0))="","",34),"")</f>
        <v/>
      </c>
      <c r="B39" s="34" t="str">
        <f aca="false">IFERROR(INDEX('Fund Research'!$A$6:$A$505,MATCH(34,'Fund Research'!$V$6:$V$505,0)),"")</f>
        <v/>
      </c>
      <c r="C39" s="34" t="str">
        <f aca="false">IFERROR(INDEX('Fund Research'!$B$6:$B$505,MATCH(34,'Fund Research'!$V$6:$V$505,0)),"")</f>
        <v/>
      </c>
      <c r="D39" s="34" t="str">
        <f aca="false">IFERROR(INDEX('Fund Research'!$C$6:$C$505,MATCH(34,'Fund Research'!$V$6:$V$505,0)),"")</f>
        <v/>
      </c>
      <c r="E39" s="35" t="str">
        <f aca="false">IFERROR(INDEX('Fund Research'!$G$6:$G$505,MATCH(34,'Fund Research'!$V$6:$V$505,0)),"")</f>
        <v/>
      </c>
      <c r="F39" s="35" t="str">
        <f aca="false">IFERROR(INDEX('Fund Research'!$H$6:$H$505,MATCH(34,'Fund Research'!$V$6:$V$505,0)),"")</f>
        <v/>
      </c>
      <c r="G39" s="35" t="str">
        <f aca="false">IFERROR(INDEX('Fund Research'!$I$6:$I$505,MATCH(34,'Fund Research'!$V$6:$V$505,0)),"")</f>
        <v/>
      </c>
      <c r="H39" s="36" t="str">
        <f aca="false">IFERROR(INDEX('Fund Research'!$J$6:$J$505,MATCH(34,'Fund Research'!$V$6:$V$505,0)),"")</f>
        <v/>
      </c>
      <c r="I39" s="38" t="str">
        <f aca="false">IFERROR(INDEX('Fund Research'!$L$6:$L$505,MATCH(34,'Fund Research'!$V$6:$V$505,0)),"")</f>
        <v/>
      </c>
      <c r="J39" s="36" t="str">
        <f aca="false">IFERROR(INDEX('Fund Research'!$N$6:$N$505,MATCH(34,'Fund Research'!$V$6:$V$505,0)),"")</f>
        <v/>
      </c>
      <c r="K39" s="36" t="str">
        <f aca="false">IFERROR(INDEX('Fund Research'!$P$6:$P$505,MATCH(34,'Fund Research'!$V$6:$V$505,0)),"")</f>
        <v/>
      </c>
      <c r="L39" s="34" t="str">
        <f aca="false">IFERROR(INDEX('Fund Research'!$S$6:$S$505,MATCH(34,'Fund Research'!$V$6:$V$505,0)),"")</f>
        <v/>
      </c>
      <c r="M39" s="34" t="str">
        <f aca="false">IFERROR(INDEX('Fund Research'!$T$6:$T$505,MATCH(34,'Fund Research'!$V$6:$V$505,0)),"")</f>
        <v/>
      </c>
    </row>
    <row r="40" customFormat="false" ht="15" hidden="false" customHeight="true" outlineLevel="0" collapsed="false">
      <c r="A40" s="33" t="str">
        <f aca="false">IFERROR(IF(INDEX('Fund Research'!$B$6:$B$505,MATCH(35,'Fund Research'!$V$6:$V$505,0))="","",35),"")</f>
        <v/>
      </c>
      <c r="B40" s="34" t="str">
        <f aca="false">IFERROR(INDEX('Fund Research'!$A$6:$A$505,MATCH(35,'Fund Research'!$V$6:$V$505,0)),"")</f>
        <v/>
      </c>
      <c r="C40" s="34" t="str">
        <f aca="false">IFERROR(INDEX('Fund Research'!$B$6:$B$505,MATCH(35,'Fund Research'!$V$6:$V$505,0)),"")</f>
        <v/>
      </c>
      <c r="D40" s="34" t="str">
        <f aca="false">IFERROR(INDEX('Fund Research'!$C$6:$C$505,MATCH(35,'Fund Research'!$V$6:$V$505,0)),"")</f>
        <v/>
      </c>
      <c r="E40" s="35" t="str">
        <f aca="false">IFERROR(INDEX('Fund Research'!$G$6:$G$505,MATCH(35,'Fund Research'!$V$6:$V$505,0)),"")</f>
        <v/>
      </c>
      <c r="F40" s="35" t="str">
        <f aca="false">IFERROR(INDEX('Fund Research'!$H$6:$H$505,MATCH(35,'Fund Research'!$V$6:$V$505,0)),"")</f>
        <v/>
      </c>
      <c r="G40" s="35" t="str">
        <f aca="false">IFERROR(INDEX('Fund Research'!$I$6:$I$505,MATCH(35,'Fund Research'!$V$6:$V$505,0)),"")</f>
        <v/>
      </c>
      <c r="H40" s="36" t="str">
        <f aca="false">IFERROR(INDEX('Fund Research'!$J$6:$J$505,MATCH(35,'Fund Research'!$V$6:$V$505,0)),"")</f>
        <v/>
      </c>
      <c r="I40" s="38" t="str">
        <f aca="false">IFERROR(INDEX('Fund Research'!$L$6:$L$505,MATCH(35,'Fund Research'!$V$6:$V$505,0)),"")</f>
        <v/>
      </c>
      <c r="J40" s="36" t="str">
        <f aca="false">IFERROR(INDEX('Fund Research'!$N$6:$N$505,MATCH(35,'Fund Research'!$V$6:$V$505,0)),"")</f>
        <v/>
      </c>
      <c r="K40" s="36" t="str">
        <f aca="false">IFERROR(INDEX('Fund Research'!$P$6:$P$505,MATCH(35,'Fund Research'!$V$6:$V$505,0)),"")</f>
        <v/>
      </c>
      <c r="L40" s="34" t="str">
        <f aca="false">IFERROR(INDEX('Fund Research'!$S$6:$S$505,MATCH(35,'Fund Research'!$V$6:$V$505,0)),"")</f>
        <v/>
      </c>
      <c r="M40" s="34" t="str">
        <f aca="false">IFERROR(INDEX('Fund Research'!$T$6:$T$505,MATCH(35,'Fund Research'!$V$6:$V$505,0)),"")</f>
        <v/>
      </c>
    </row>
    <row r="41" customFormat="false" ht="15" hidden="false" customHeight="true" outlineLevel="0" collapsed="false">
      <c r="A41" s="33" t="str">
        <f aca="false">IFERROR(IF(INDEX('Fund Research'!$B$6:$B$505,MATCH(36,'Fund Research'!$V$6:$V$505,0))="","",36),"")</f>
        <v/>
      </c>
      <c r="B41" s="34" t="str">
        <f aca="false">IFERROR(INDEX('Fund Research'!$A$6:$A$505,MATCH(36,'Fund Research'!$V$6:$V$505,0)),"")</f>
        <v/>
      </c>
      <c r="C41" s="34" t="str">
        <f aca="false">IFERROR(INDEX('Fund Research'!$B$6:$B$505,MATCH(36,'Fund Research'!$V$6:$V$505,0)),"")</f>
        <v/>
      </c>
      <c r="D41" s="34" t="str">
        <f aca="false">IFERROR(INDEX('Fund Research'!$C$6:$C$505,MATCH(36,'Fund Research'!$V$6:$V$505,0)),"")</f>
        <v/>
      </c>
      <c r="E41" s="35" t="str">
        <f aca="false">IFERROR(INDEX('Fund Research'!$G$6:$G$505,MATCH(36,'Fund Research'!$V$6:$V$505,0)),"")</f>
        <v/>
      </c>
      <c r="F41" s="35" t="str">
        <f aca="false">IFERROR(INDEX('Fund Research'!$H$6:$H$505,MATCH(36,'Fund Research'!$V$6:$V$505,0)),"")</f>
        <v/>
      </c>
      <c r="G41" s="35" t="str">
        <f aca="false">IFERROR(INDEX('Fund Research'!$I$6:$I$505,MATCH(36,'Fund Research'!$V$6:$V$505,0)),"")</f>
        <v/>
      </c>
      <c r="H41" s="36" t="str">
        <f aca="false">IFERROR(INDEX('Fund Research'!$J$6:$J$505,MATCH(36,'Fund Research'!$V$6:$V$505,0)),"")</f>
        <v/>
      </c>
      <c r="I41" s="38" t="str">
        <f aca="false">IFERROR(INDEX('Fund Research'!$L$6:$L$505,MATCH(36,'Fund Research'!$V$6:$V$505,0)),"")</f>
        <v/>
      </c>
      <c r="J41" s="36" t="str">
        <f aca="false">IFERROR(INDEX('Fund Research'!$N$6:$N$505,MATCH(36,'Fund Research'!$V$6:$V$505,0)),"")</f>
        <v/>
      </c>
      <c r="K41" s="36" t="str">
        <f aca="false">IFERROR(INDEX('Fund Research'!$P$6:$P$505,MATCH(36,'Fund Research'!$V$6:$V$505,0)),"")</f>
        <v/>
      </c>
      <c r="L41" s="34" t="str">
        <f aca="false">IFERROR(INDEX('Fund Research'!$S$6:$S$505,MATCH(36,'Fund Research'!$V$6:$V$505,0)),"")</f>
        <v/>
      </c>
      <c r="M41" s="34" t="str">
        <f aca="false">IFERROR(INDEX('Fund Research'!$T$6:$T$505,MATCH(36,'Fund Research'!$V$6:$V$505,0)),"")</f>
        <v/>
      </c>
    </row>
    <row r="42" customFormat="false" ht="15" hidden="false" customHeight="true" outlineLevel="0" collapsed="false">
      <c r="A42" s="33" t="str">
        <f aca="false">IFERROR(IF(INDEX('Fund Research'!$B$6:$B$505,MATCH(37,'Fund Research'!$V$6:$V$505,0))="","",37),"")</f>
        <v/>
      </c>
      <c r="B42" s="34" t="str">
        <f aca="false">IFERROR(INDEX('Fund Research'!$A$6:$A$505,MATCH(37,'Fund Research'!$V$6:$V$505,0)),"")</f>
        <v/>
      </c>
      <c r="C42" s="34" t="str">
        <f aca="false">IFERROR(INDEX('Fund Research'!$B$6:$B$505,MATCH(37,'Fund Research'!$V$6:$V$505,0)),"")</f>
        <v/>
      </c>
      <c r="D42" s="34" t="str">
        <f aca="false">IFERROR(INDEX('Fund Research'!$C$6:$C$505,MATCH(37,'Fund Research'!$V$6:$V$505,0)),"")</f>
        <v/>
      </c>
      <c r="E42" s="35" t="str">
        <f aca="false">IFERROR(INDEX('Fund Research'!$G$6:$G$505,MATCH(37,'Fund Research'!$V$6:$V$505,0)),"")</f>
        <v/>
      </c>
      <c r="F42" s="35" t="str">
        <f aca="false">IFERROR(INDEX('Fund Research'!$H$6:$H$505,MATCH(37,'Fund Research'!$V$6:$V$505,0)),"")</f>
        <v/>
      </c>
      <c r="G42" s="35" t="str">
        <f aca="false">IFERROR(INDEX('Fund Research'!$I$6:$I$505,MATCH(37,'Fund Research'!$V$6:$V$505,0)),"")</f>
        <v/>
      </c>
      <c r="H42" s="36" t="str">
        <f aca="false">IFERROR(INDEX('Fund Research'!$J$6:$J$505,MATCH(37,'Fund Research'!$V$6:$V$505,0)),"")</f>
        <v/>
      </c>
      <c r="I42" s="38" t="str">
        <f aca="false">IFERROR(INDEX('Fund Research'!$L$6:$L$505,MATCH(37,'Fund Research'!$V$6:$V$505,0)),"")</f>
        <v/>
      </c>
      <c r="J42" s="36" t="str">
        <f aca="false">IFERROR(INDEX('Fund Research'!$N$6:$N$505,MATCH(37,'Fund Research'!$V$6:$V$505,0)),"")</f>
        <v/>
      </c>
      <c r="K42" s="36" t="str">
        <f aca="false">IFERROR(INDEX('Fund Research'!$P$6:$P$505,MATCH(37,'Fund Research'!$V$6:$V$505,0)),"")</f>
        <v/>
      </c>
      <c r="L42" s="34" t="str">
        <f aca="false">IFERROR(INDEX('Fund Research'!$S$6:$S$505,MATCH(37,'Fund Research'!$V$6:$V$505,0)),"")</f>
        <v/>
      </c>
      <c r="M42" s="34" t="str">
        <f aca="false">IFERROR(INDEX('Fund Research'!$T$6:$T$505,MATCH(37,'Fund Research'!$V$6:$V$505,0)),"")</f>
        <v/>
      </c>
    </row>
    <row r="43" customFormat="false" ht="15" hidden="false" customHeight="true" outlineLevel="0" collapsed="false">
      <c r="A43" s="33" t="str">
        <f aca="false">IFERROR(IF(INDEX('Fund Research'!$B$6:$B$505,MATCH(38,'Fund Research'!$V$6:$V$505,0))="","",38),"")</f>
        <v/>
      </c>
      <c r="B43" s="34" t="str">
        <f aca="false">IFERROR(INDEX('Fund Research'!$A$6:$A$505,MATCH(38,'Fund Research'!$V$6:$V$505,0)),"")</f>
        <v/>
      </c>
      <c r="C43" s="34" t="str">
        <f aca="false">IFERROR(INDEX('Fund Research'!$B$6:$B$505,MATCH(38,'Fund Research'!$V$6:$V$505,0)),"")</f>
        <v/>
      </c>
      <c r="D43" s="34" t="str">
        <f aca="false">IFERROR(INDEX('Fund Research'!$C$6:$C$505,MATCH(38,'Fund Research'!$V$6:$V$505,0)),"")</f>
        <v/>
      </c>
      <c r="E43" s="35" t="str">
        <f aca="false">IFERROR(INDEX('Fund Research'!$G$6:$G$505,MATCH(38,'Fund Research'!$V$6:$V$505,0)),"")</f>
        <v/>
      </c>
      <c r="F43" s="35" t="str">
        <f aca="false">IFERROR(INDEX('Fund Research'!$H$6:$H$505,MATCH(38,'Fund Research'!$V$6:$V$505,0)),"")</f>
        <v/>
      </c>
      <c r="G43" s="35" t="str">
        <f aca="false">IFERROR(INDEX('Fund Research'!$I$6:$I$505,MATCH(38,'Fund Research'!$V$6:$V$505,0)),"")</f>
        <v/>
      </c>
      <c r="H43" s="36" t="str">
        <f aca="false">IFERROR(INDEX('Fund Research'!$J$6:$J$505,MATCH(38,'Fund Research'!$V$6:$V$505,0)),"")</f>
        <v/>
      </c>
      <c r="I43" s="38" t="str">
        <f aca="false">IFERROR(INDEX('Fund Research'!$L$6:$L$505,MATCH(38,'Fund Research'!$V$6:$V$505,0)),"")</f>
        <v/>
      </c>
      <c r="J43" s="36" t="str">
        <f aca="false">IFERROR(INDEX('Fund Research'!$N$6:$N$505,MATCH(38,'Fund Research'!$V$6:$V$505,0)),"")</f>
        <v/>
      </c>
      <c r="K43" s="36" t="str">
        <f aca="false">IFERROR(INDEX('Fund Research'!$P$6:$P$505,MATCH(38,'Fund Research'!$V$6:$V$505,0)),"")</f>
        <v/>
      </c>
      <c r="L43" s="34" t="str">
        <f aca="false">IFERROR(INDEX('Fund Research'!$S$6:$S$505,MATCH(38,'Fund Research'!$V$6:$V$505,0)),"")</f>
        <v/>
      </c>
      <c r="M43" s="34" t="str">
        <f aca="false">IFERROR(INDEX('Fund Research'!$T$6:$T$505,MATCH(38,'Fund Research'!$V$6:$V$505,0)),"")</f>
        <v/>
      </c>
    </row>
    <row r="44" customFormat="false" ht="15" hidden="false" customHeight="true" outlineLevel="0" collapsed="false">
      <c r="A44" s="33" t="str">
        <f aca="false">IFERROR(IF(INDEX('Fund Research'!$B$6:$B$505,MATCH(39,'Fund Research'!$V$6:$V$505,0))="","",39),"")</f>
        <v/>
      </c>
      <c r="B44" s="34" t="str">
        <f aca="false">IFERROR(INDEX('Fund Research'!$A$6:$A$505,MATCH(39,'Fund Research'!$V$6:$V$505,0)),"")</f>
        <v/>
      </c>
      <c r="C44" s="34" t="str">
        <f aca="false">IFERROR(INDEX('Fund Research'!$B$6:$B$505,MATCH(39,'Fund Research'!$V$6:$V$505,0)),"")</f>
        <v/>
      </c>
      <c r="D44" s="34" t="str">
        <f aca="false">IFERROR(INDEX('Fund Research'!$C$6:$C$505,MATCH(39,'Fund Research'!$V$6:$V$505,0)),"")</f>
        <v/>
      </c>
      <c r="E44" s="35" t="str">
        <f aca="false">IFERROR(INDEX('Fund Research'!$G$6:$G$505,MATCH(39,'Fund Research'!$V$6:$V$505,0)),"")</f>
        <v/>
      </c>
      <c r="F44" s="35" t="str">
        <f aca="false">IFERROR(INDEX('Fund Research'!$H$6:$H$505,MATCH(39,'Fund Research'!$V$6:$V$505,0)),"")</f>
        <v/>
      </c>
      <c r="G44" s="35" t="str">
        <f aca="false">IFERROR(INDEX('Fund Research'!$I$6:$I$505,MATCH(39,'Fund Research'!$V$6:$V$505,0)),"")</f>
        <v/>
      </c>
      <c r="H44" s="36" t="str">
        <f aca="false">IFERROR(INDEX('Fund Research'!$J$6:$J$505,MATCH(39,'Fund Research'!$V$6:$V$505,0)),"")</f>
        <v/>
      </c>
      <c r="I44" s="38" t="str">
        <f aca="false">IFERROR(INDEX('Fund Research'!$L$6:$L$505,MATCH(39,'Fund Research'!$V$6:$V$505,0)),"")</f>
        <v/>
      </c>
      <c r="J44" s="36" t="str">
        <f aca="false">IFERROR(INDEX('Fund Research'!$N$6:$N$505,MATCH(39,'Fund Research'!$V$6:$V$505,0)),"")</f>
        <v/>
      </c>
      <c r="K44" s="36" t="str">
        <f aca="false">IFERROR(INDEX('Fund Research'!$P$6:$P$505,MATCH(39,'Fund Research'!$V$6:$V$505,0)),"")</f>
        <v/>
      </c>
      <c r="L44" s="34" t="str">
        <f aca="false">IFERROR(INDEX('Fund Research'!$S$6:$S$505,MATCH(39,'Fund Research'!$V$6:$V$505,0)),"")</f>
        <v/>
      </c>
      <c r="M44" s="34" t="str">
        <f aca="false">IFERROR(INDEX('Fund Research'!$T$6:$T$505,MATCH(39,'Fund Research'!$V$6:$V$505,0)),"")</f>
        <v/>
      </c>
    </row>
    <row r="45" customFormat="false" ht="15" hidden="false" customHeight="true" outlineLevel="0" collapsed="false">
      <c r="A45" s="33" t="str">
        <f aca="false">IFERROR(IF(INDEX('Fund Research'!$B$6:$B$505,MATCH(40,'Fund Research'!$V$6:$V$505,0))="","",40),"")</f>
        <v/>
      </c>
      <c r="B45" s="34" t="str">
        <f aca="false">IFERROR(INDEX('Fund Research'!$A$6:$A$505,MATCH(40,'Fund Research'!$V$6:$V$505,0)),"")</f>
        <v/>
      </c>
      <c r="C45" s="34" t="str">
        <f aca="false">IFERROR(INDEX('Fund Research'!$B$6:$B$505,MATCH(40,'Fund Research'!$V$6:$V$505,0)),"")</f>
        <v/>
      </c>
      <c r="D45" s="34" t="str">
        <f aca="false">IFERROR(INDEX('Fund Research'!$C$6:$C$505,MATCH(40,'Fund Research'!$V$6:$V$505,0)),"")</f>
        <v/>
      </c>
      <c r="E45" s="35" t="str">
        <f aca="false">IFERROR(INDEX('Fund Research'!$G$6:$G$505,MATCH(40,'Fund Research'!$V$6:$V$505,0)),"")</f>
        <v/>
      </c>
      <c r="F45" s="35" t="str">
        <f aca="false">IFERROR(INDEX('Fund Research'!$H$6:$H$505,MATCH(40,'Fund Research'!$V$6:$V$505,0)),"")</f>
        <v/>
      </c>
      <c r="G45" s="35" t="str">
        <f aca="false">IFERROR(INDEX('Fund Research'!$I$6:$I$505,MATCH(40,'Fund Research'!$V$6:$V$505,0)),"")</f>
        <v/>
      </c>
      <c r="H45" s="36" t="str">
        <f aca="false">IFERROR(INDEX('Fund Research'!$J$6:$J$505,MATCH(40,'Fund Research'!$V$6:$V$505,0)),"")</f>
        <v/>
      </c>
      <c r="I45" s="38" t="str">
        <f aca="false">IFERROR(INDEX('Fund Research'!$L$6:$L$505,MATCH(40,'Fund Research'!$V$6:$V$505,0)),"")</f>
        <v/>
      </c>
      <c r="J45" s="36" t="str">
        <f aca="false">IFERROR(INDEX('Fund Research'!$N$6:$N$505,MATCH(40,'Fund Research'!$V$6:$V$505,0)),"")</f>
        <v/>
      </c>
      <c r="K45" s="36" t="str">
        <f aca="false">IFERROR(INDEX('Fund Research'!$P$6:$P$505,MATCH(40,'Fund Research'!$V$6:$V$505,0)),"")</f>
        <v/>
      </c>
      <c r="L45" s="34" t="str">
        <f aca="false">IFERROR(INDEX('Fund Research'!$S$6:$S$505,MATCH(40,'Fund Research'!$V$6:$V$505,0)),"")</f>
        <v/>
      </c>
      <c r="M45" s="34" t="str">
        <f aca="false">IFERROR(INDEX('Fund Research'!$T$6:$T$505,MATCH(40,'Fund Research'!$V$6:$V$505,0)),"")</f>
        <v/>
      </c>
    </row>
    <row r="46" customFormat="false" ht="15" hidden="false" customHeight="true" outlineLevel="0" collapsed="false">
      <c r="A46" s="33" t="str">
        <f aca="false">IFERROR(IF(INDEX('Fund Research'!$B$6:$B$505,MATCH(41,'Fund Research'!$V$6:$V$505,0))="","",41),"")</f>
        <v/>
      </c>
      <c r="B46" s="34" t="str">
        <f aca="false">IFERROR(INDEX('Fund Research'!$A$6:$A$505,MATCH(41,'Fund Research'!$V$6:$V$505,0)),"")</f>
        <v/>
      </c>
      <c r="C46" s="34" t="str">
        <f aca="false">IFERROR(INDEX('Fund Research'!$B$6:$B$505,MATCH(41,'Fund Research'!$V$6:$V$505,0)),"")</f>
        <v/>
      </c>
      <c r="D46" s="34" t="str">
        <f aca="false">IFERROR(INDEX('Fund Research'!$C$6:$C$505,MATCH(41,'Fund Research'!$V$6:$V$505,0)),"")</f>
        <v/>
      </c>
      <c r="E46" s="35" t="str">
        <f aca="false">IFERROR(INDEX('Fund Research'!$G$6:$G$505,MATCH(41,'Fund Research'!$V$6:$V$505,0)),"")</f>
        <v/>
      </c>
      <c r="F46" s="35" t="str">
        <f aca="false">IFERROR(INDEX('Fund Research'!$H$6:$H$505,MATCH(41,'Fund Research'!$V$6:$V$505,0)),"")</f>
        <v/>
      </c>
      <c r="G46" s="35" t="str">
        <f aca="false">IFERROR(INDEX('Fund Research'!$I$6:$I$505,MATCH(41,'Fund Research'!$V$6:$V$505,0)),"")</f>
        <v/>
      </c>
      <c r="H46" s="36" t="str">
        <f aca="false">IFERROR(INDEX('Fund Research'!$J$6:$J$505,MATCH(41,'Fund Research'!$V$6:$V$505,0)),"")</f>
        <v/>
      </c>
      <c r="I46" s="38" t="str">
        <f aca="false">IFERROR(INDEX('Fund Research'!$L$6:$L$505,MATCH(41,'Fund Research'!$V$6:$V$505,0)),"")</f>
        <v/>
      </c>
      <c r="J46" s="36" t="str">
        <f aca="false">IFERROR(INDEX('Fund Research'!$N$6:$N$505,MATCH(41,'Fund Research'!$V$6:$V$505,0)),"")</f>
        <v/>
      </c>
      <c r="K46" s="36" t="str">
        <f aca="false">IFERROR(INDEX('Fund Research'!$P$6:$P$505,MATCH(41,'Fund Research'!$V$6:$V$505,0)),"")</f>
        <v/>
      </c>
      <c r="L46" s="34" t="str">
        <f aca="false">IFERROR(INDEX('Fund Research'!$S$6:$S$505,MATCH(41,'Fund Research'!$V$6:$V$505,0)),"")</f>
        <v/>
      </c>
      <c r="M46" s="34" t="str">
        <f aca="false">IFERROR(INDEX('Fund Research'!$T$6:$T$505,MATCH(41,'Fund Research'!$V$6:$V$505,0)),"")</f>
        <v/>
      </c>
    </row>
    <row r="47" customFormat="false" ht="15" hidden="false" customHeight="true" outlineLevel="0" collapsed="false">
      <c r="A47" s="33" t="str">
        <f aca="false">IFERROR(IF(INDEX('Fund Research'!$B$6:$B$505,MATCH(42,'Fund Research'!$V$6:$V$505,0))="","",42),"")</f>
        <v/>
      </c>
      <c r="B47" s="34" t="str">
        <f aca="false">IFERROR(INDEX('Fund Research'!$A$6:$A$505,MATCH(42,'Fund Research'!$V$6:$V$505,0)),"")</f>
        <v/>
      </c>
      <c r="C47" s="34" t="str">
        <f aca="false">IFERROR(INDEX('Fund Research'!$B$6:$B$505,MATCH(42,'Fund Research'!$V$6:$V$505,0)),"")</f>
        <v/>
      </c>
      <c r="D47" s="34" t="str">
        <f aca="false">IFERROR(INDEX('Fund Research'!$C$6:$C$505,MATCH(42,'Fund Research'!$V$6:$V$505,0)),"")</f>
        <v/>
      </c>
      <c r="E47" s="35" t="str">
        <f aca="false">IFERROR(INDEX('Fund Research'!$G$6:$G$505,MATCH(42,'Fund Research'!$V$6:$V$505,0)),"")</f>
        <v/>
      </c>
      <c r="F47" s="35" t="str">
        <f aca="false">IFERROR(INDEX('Fund Research'!$H$6:$H$505,MATCH(42,'Fund Research'!$V$6:$V$505,0)),"")</f>
        <v/>
      </c>
      <c r="G47" s="35" t="str">
        <f aca="false">IFERROR(INDEX('Fund Research'!$I$6:$I$505,MATCH(42,'Fund Research'!$V$6:$V$505,0)),"")</f>
        <v/>
      </c>
      <c r="H47" s="36" t="str">
        <f aca="false">IFERROR(INDEX('Fund Research'!$J$6:$J$505,MATCH(42,'Fund Research'!$V$6:$V$505,0)),"")</f>
        <v/>
      </c>
      <c r="I47" s="38" t="str">
        <f aca="false">IFERROR(INDEX('Fund Research'!$L$6:$L$505,MATCH(42,'Fund Research'!$V$6:$V$505,0)),"")</f>
        <v/>
      </c>
      <c r="J47" s="36" t="str">
        <f aca="false">IFERROR(INDEX('Fund Research'!$N$6:$N$505,MATCH(42,'Fund Research'!$V$6:$V$505,0)),"")</f>
        <v/>
      </c>
      <c r="K47" s="36" t="str">
        <f aca="false">IFERROR(INDEX('Fund Research'!$P$6:$P$505,MATCH(42,'Fund Research'!$V$6:$V$505,0)),"")</f>
        <v/>
      </c>
      <c r="L47" s="34" t="str">
        <f aca="false">IFERROR(INDEX('Fund Research'!$S$6:$S$505,MATCH(42,'Fund Research'!$V$6:$V$505,0)),"")</f>
        <v/>
      </c>
      <c r="M47" s="34" t="str">
        <f aca="false">IFERROR(INDEX('Fund Research'!$T$6:$T$505,MATCH(42,'Fund Research'!$V$6:$V$505,0)),"")</f>
        <v/>
      </c>
    </row>
    <row r="48" customFormat="false" ht="15" hidden="false" customHeight="true" outlineLevel="0" collapsed="false">
      <c r="A48" s="33" t="str">
        <f aca="false">IFERROR(IF(INDEX('Fund Research'!$B$6:$B$505,MATCH(43,'Fund Research'!$V$6:$V$505,0))="","",43),"")</f>
        <v/>
      </c>
      <c r="B48" s="34" t="str">
        <f aca="false">IFERROR(INDEX('Fund Research'!$A$6:$A$505,MATCH(43,'Fund Research'!$V$6:$V$505,0)),"")</f>
        <v/>
      </c>
      <c r="C48" s="34" t="str">
        <f aca="false">IFERROR(INDEX('Fund Research'!$B$6:$B$505,MATCH(43,'Fund Research'!$V$6:$V$505,0)),"")</f>
        <v/>
      </c>
      <c r="D48" s="34" t="str">
        <f aca="false">IFERROR(INDEX('Fund Research'!$C$6:$C$505,MATCH(43,'Fund Research'!$V$6:$V$505,0)),"")</f>
        <v/>
      </c>
      <c r="E48" s="35" t="str">
        <f aca="false">IFERROR(INDEX('Fund Research'!$G$6:$G$505,MATCH(43,'Fund Research'!$V$6:$V$505,0)),"")</f>
        <v/>
      </c>
      <c r="F48" s="35" t="str">
        <f aca="false">IFERROR(INDEX('Fund Research'!$H$6:$H$505,MATCH(43,'Fund Research'!$V$6:$V$505,0)),"")</f>
        <v/>
      </c>
      <c r="G48" s="35" t="str">
        <f aca="false">IFERROR(INDEX('Fund Research'!$I$6:$I$505,MATCH(43,'Fund Research'!$V$6:$V$505,0)),"")</f>
        <v/>
      </c>
      <c r="H48" s="36" t="str">
        <f aca="false">IFERROR(INDEX('Fund Research'!$J$6:$J$505,MATCH(43,'Fund Research'!$V$6:$V$505,0)),"")</f>
        <v/>
      </c>
      <c r="I48" s="38" t="str">
        <f aca="false">IFERROR(INDEX('Fund Research'!$L$6:$L$505,MATCH(43,'Fund Research'!$V$6:$V$505,0)),"")</f>
        <v/>
      </c>
      <c r="J48" s="36" t="str">
        <f aca="false">IFERROR(INDEX('Fund Research'!$N$6:$N$505,MATCH(43,'Fund Research'!$V$6:$V$505,0)),"")</f>
        <v/>
      </c>
      <c r="K48" s="36" t="str">
        <f aca="false">IFERROR(INDEX('Fund Research'!$P$6:$P$505,MATCH(43,'Fund Research'!$V$6:$V$505,0)),"")</f>
        <v/>
      </c>
      <c r="L48" s="34" t="str">
        <f aca="false">IFERROR(INDEX('Fund Research'!$S$6:$S$505,MATCH(43,'Fund Research'!$V$6:$V$505,0)),"")</f>
        <v/>
      </c>
      <c r="M48" s="34" t="str">
        <f aca="false">IFERROR(INDEX('Fund Research'!$T$6:$T$505,MATCH(43,'Fund Research'!$V$6:$V$505,0)),"")</f>
        <v/>
      </c>
    </row>
    <row r="49" customFormat="false" ht="15" hidden="false" customHeight="true" outlineLevel="0" collapsed="false">
      <c r="A49" s="33" t="str">
        <f aca="false">IFERROR(IF(INDEX('Fund Research'!$B$6:$B$505,MATCH(44,'Fund Research'!$V$6:$V$505,0))="","",44),"")</f>
        <v/>
      </c>
      <c r="B49" s="34" t="str">
        <f aca="false">IFERROR(INDEX('Fund Research'!$A$6:$A$505,MATCH(44,'Fund Research'!$V$6:$V$505,0)),"")</f>
        <v/>
      </c>
      <c r="C49" s="34" t="str">
        <f aca="false">IFERROR(INDEX('Fund Research'!$B$6:$B$505,MATCH(44,'Fund Research'!$V$6:$V$505,0)),"")</f>
        <v/>
      </c>
      <c r="D49" s="34" t="str">
        <f aca="false">IFERROR(INDEX('Fund Research'!$C$6:$C$505,MATCH(44,'Fund Research'!$V$6:$V$505,0)),"")</f>
        <v/>
      </c>
      <c r="E49" s="35" t="str">
        <f aca="false">IFERROR(INDEX('Fund Research'!$G$6:$G$505,MATCH(44,'Fund Research'!$V$6:$V$505,0)),"")</f>
        <v/>
      </c>
      <c r="F49" s="35" t="str">
        <f aca="false">IFERROR(INDEX('Fund Research'!$H$6:$H$505,MATCH(44,'Fund Research'!$V$6:$V$505,0)),"")</f>
        <v/>
      </c>
      <c r="G49" s="35" t="str">
        <f aca="false">IFERROR(INDEX('Fund Research'!$I$6:$I$505,MATCH(44,'Fund Research'!$V$6:$V$505,0)),"")</f>
        <v/>
      </c>
      <c r="H49" s="36" t="str">
        <f aca="false">IFERROR(INDEX('Fund Research'!$J$6:$J$505,MATCH(44,'Fund Research'!$V$6:$V$505,0)),"")</f>
        <v/>
      </c>
      <c r="I49" s="38" t="str">
        <f aca="false">IFERROR(INDEX('Fund Research'!$L$6:$L$505,MATCH(44,'Fund Research'!$V$6:$V$505,0)),"")</f>
        <v/>
      </c>
      <c r="J49" s="36" t="str">
        <f aca="false">IFERROR(INDEX('Fund Research'!$N$6:$N$505,MATCH(44,'Fund Research'!$V$6:$V$505,0)),"")</f>
        <v/>
      </c>
      <c r="K49" s="36" t="str">
        <f aca="false">IFERROR(INDEX('Fund Research'!$P$6:$P$505,MATCH(44,'Fund Research'!$V$6:$V$505,0)),"")</f>
        <v/>
      </c>
      <c r="L49" s="34" t="str">
        <f aca="false">IFERROR(INDEX('Fund Research'!$S$6:$S$505,MATCH(44,'Fund Research'!$V$6:$V$505,0)),"")</f>
        <v/>
      </c>
      <c r="M49" s="34" t="str">
        <f aca="false">IFERROR(INDEX('Fund Research'!$T$6:$T$505,MATCH(44,'Fund Research'!$V$6:$V$505,0)),"")</f>
        <v/>
      </c>
    </row>
    <row r="50" customFormat="false" ht="15" hidden="false" customHeight="true" outlineLevel="0" collapsed="false">
      <c r="A50" s="33" t="str">
        <f aca="false">IFERROR(IF(INDEX('Fund Research'!$B$6:$B$505,MATCH(45,'Fund Research'!$V$6:$V$505,0))="","",45),"")</f>
        <v/>
      </c>
      <c r="B50" s="34" t="str">
        <f aca="false">IFERROR(INDEX('Fund Research'!$A$6:$A$505,MATCH(45,'Fund Research'!$V$6:$V$505,0)),"")</f>
        <v/>
      </c>
      <c r="C50" s="34" t="str">
        <f aca="false">IFERROR(INDEX('Fund Research'!$B$6:$B$505,MATCH(45,'Fund Research'!$V$6:$V$505,0)),"")</f>
        <v/>
      </c>
      <c r="D50" s="34" t="str">
        <f aca="false">IFERROR(INDEX('Fund Research'!$C$6:$C$505,MATCH(45,'Fund Research'!$V$6:$V$505,0)),"")</f>
        <v/>
      </c>
      <c r="E50" s="35" t="str">
        <f aca="false">IFERROR(INDEX('Fund Research'!$G$6:$G$505,MATCH(45,'Fund Research'!$V$6:$V$505,0)),"")</f>
        <v/>
      </c>
      <c r="F50" s="35" t="str">
        <f aca="false">IFERROR(INDEX('Fund Research'!$H$6:$H$505,MATCH(45,'Fund Research'!$V$6:$V$505,0)),"")</f>
        <v/>
      </c>
      <c r="G50" s="35" t="str">
        <f aca="false">IFERROR(INDEX('Fund Research'!$I$6:$I$505,MATCH(45,'Fund Research'!$V$6:$V$505,0)),"")</f>
        <v/>
      </c>
      <c r="H50" s="36" t="str">
        <f aca="false">IFERROR(INDEX('Fund Research'!$J$6:$J$505,MATCH(45,'Fund Research'!$V$6:$V$505,0)),"")</f>
        <v/>
      </c>
      <c r="I50" s="38" t="str">
        <f aca="false">IFERROR(INDEX('Fund Research'!$L$6:$L$505,MATCH(45,'Fund Research'!$V$6:$V$505,0)),"")</f>
        <v/>
      </c>
      <c r="J50" s="36" t="str">
        <f aca="false">IFERROR(INDEX('Fund Research'!$N$6:$N$505,MATCH(45,'Fund Research'!$V$6:$V$505,0)),"")</f>
        <v/>
      </c>
      <c r="K50" s="36" t="str">
        <f aca="false">IFERROR(INDEX('Fund Research'!$P$6:$P$505,MATCH(45,'Fund Research'!$V$6:$V$505,0)),"")</f>
        <v/>
      </c>
      <c r="L50" s="34" t="str">
        <f aca="false">IFERROR(INDEX('Fund Research'!$S$6:$S$505,MATCH(45,'Fund Research'!$V$6:$V$505,0)),"")</f>
        <v/>
      </c>
      <c r="M50" s="34" t="str">
        <f aca="false">IFERROR(INDEX('Fund Research'!$T$6:$T$505,MATCH(45,'Fund Research'!$V$6:$V$505,0)),"")</f>
        <v/>
      </c>
    </row>
    <row r="51" customFormat="false" ht="15" hidden="false" customHeight="true" outlineLevel="0" collapsed="false">
      <c r="A51" s="33" t="str">
        <f aca="false">IFERROR(IF(INDEX('Fund Research'!$B$6:$B$505,MATCH(46,'Fund Research'!$V$6:$V$505,0))="","",46),"")</f>
        <v/>
      </c>
      <c r="B51" s="34" t="str">
        <f aca="false">IFERROR(INDEX('Fund Research'!$A$6:$A$505,MATCH(46,'Fund Research'!$V$6:$V$505,0)),"")</f>
        <v/>
      </c>
      <c r="C51" s="34" t="str">
        <f aca="false">IFERROR(INDEX('Fund Research'!$B$6:$B$505,MATCH(46,'Fund Research'!$V$6:$V$505,0)),"")</f>
        <v/>
      </c>
      <c r="D51" s="34" t="str">
        <f aca="false">IFERROR(INDEX('Fund Research'!$C$6:$C$505,MATCH(46,'Fund Research'!$V$6:$V$505,0)),"")</f>
        <v/>
      </c>
      <c r="E51" s="35" t="str">
        <f aca="false">IFERROR(INDEX('Fund Research'!$G$6:$G$505,MATCH(46,'Fund Research'!$V$6:$V$505,0)),"")</f>
        <v/>
      </c>
      <c r="F51" s="35" t="str">
        <f aca="false">IFERROR(INDEX('Fund Research'!$H$6:$H$505,MATCH(46,'Fund Research'!$V$6:$V$505,0)),"")</f>
        <v/>
      </c>
      <c r="G51" s="35" t="str">
        <f aca="false">IFERROR(INDEX('Fund Research'!$I$6:$I$505,MATCH(46,'Fund Research'!$V$6:$V$505,0)),"")</f>
        <v/>
      </c>
      <c r="H51" s="36" t="str">
        <f aca="false">IFERROR(INDEX('Fund Research'!$J$6:$J$505,MATCH(46,'Fund Research'!$V$6:$V$505,0)),"")</f>
        <v/>
      </c>
      <c r="I51" s="38" t="str">
        <f aca="false">IFERROR(INDEX('Fund Research'!$L$6:$L$505,MATCH(46,'Fund Research'!$V$6:$V$505,0)),"")</f>
        <v/>
      </c>
      <c r="J51" s="36" t="str">
        <f aca="false">IFERROR(INDEX('Fund Research'!$N$6:$N$505,MATCH(46,'Fund Research'!$V$6:$V$505,0)),"")</f>
        <v/>
      </c>
      <c r="K51" s="36" t="str">
        <f aca="false">IFERROR(INDEX('Fund Research'!$P$6:$P$505,MATCH(46,'Fund Research'!$V$6:$V$505,0)),"")</f>
        <v/>
      </c>
      <c r="L51" s="34" t="str">
        <f aca="false">IFERROR(INDEX('Fund Research'!$S$6:$S$505,MATCH(46,'Fund Research'!$V$6:$V$505,0)),"")</f>
        <v/>
      </c>
      <c r="M51" s="34" t="str">
        <f aca="false">IFERROR(INDEX('Fund Research'!$T$6:$T$505,MATCH(46,'Fund Research'!$V$6:$V$505,0)),"")</f>
        <v/>
      </c>
    </row>
    <row r="52" customFormat="false" ht="15" hidden="false" customHeight="true" outlineLevel="0" collapsed="false">
      <c r="A52" s="33" t="str">
        <f aca="false">IFERROR(IF(INDEX('Fund Research'!$B$6:$B$505,MATCH(47,'Fund Research'!$V$6:$V$505,0))="","",47),"")</f>
        <v/>
      </c>
      <c r="B52" s="34" t="str">
        <f aca="false">IFERROR(INDEX('Fund Research'!$A$6:$A$505,MATCH(47,'Fund Research'!$V$6:$V$505,0)),"")</f>
        <v/>
      </c>
      <c r="C52" s="34" t="str">
        <f aca="false">IFERROR(INDEX('Fund Research'!$B$6:$B$505,MATCH(47,'Fund Research'!$V$6:$V$505,0)),"")</f>
        <v/>
      </c>
      <c r="D52" s="34" t="str">
        <f aca="false">IFERROR(INDEX('Fund Research'!$C$6:$C$505,MATCH(47,'Fund Research'!$V$6:$V$505,0)),"")</f>
        <v/>
      </c>
      <c r="E52" s="35" t="str">
        <f aca="false">IFERROR(INDEX('Fund Research'!$G$6:$G$505,MATCH(47,'Fund Research'!$V$6:$V$505,0)),"")</f>
        <v/>
      </c>
      <c r="F52" s="35" t="str">
        <f aca="false">IFERROR(INDEX('Fund Research'!$H$6:$H$505,MATCH(47,'Fund Research'!$V$6:$V$505,0)),"")</f>
        <v/>
      </c>
      <c r="G52" s="35" t="str">
        <f aca="false">IFERROR(INDEX('Fund Research'!$I$6:$I$505,MATCH(47,'Fund Research'!$V$6:$V$505,0)),"")</f>
        <v/>
      </c>
      <c r="H52" s="36" t="str">
        <f aca="false">IFERROR(INDEX('Fund Research'!$J$6:$J$505,MATCH(47,'Fund Research'!$V$6:$V$505,0)),"")</f>
        <v/>
      </c>
      <c r="I52" s="38" t="str">
        <f aca="false">IFERROR(INDEX('Fund Research'!$L$6:$L$505,MATCH(47,'Fund Research'!$V$6:$V$505,0)),"")</f>
        <v/>
      </c>
      <c r="J52" s="36" t="str">
        <f aca="false">IFERROR(INDEX('Fund Research'!$N$6:$N$505,MATCH(47,'Fund Research'!$V$6:$V$505,0)),"")</f>
        <v/>
      </c>
      <c r="K52" s="36" t="str">
        <f aca="false">IFERROR(INDEX('Fund Research'!$P$6:$P$505,MATCH(47,'Fund Research'!$V$6:$V$505,0)),"")</f>
        <v/>
      </c>
      <c r="L52" s="34" t="str">
        <f aca="false">IFERROR(INDEX('Fund Research'!$S$6:$S$505,MATCH(47,'Fund Research'!$V$6:$V$505,0)),"")</f>
        <v/>
      </c>
      <c r="M52" s="34" t="str">
        <f aca="false">IFERROR(INDEX('Fund Research'!$T$6:$T$505,MATCH(47,'Fund Research'!$V$6:$V$505,0)),"")</f>
        <v/>
      </c>
    </row>
    <row r="53" customFormat="false" ht="15" hidden="false" customHeight="true" outlineLevel="0" collapsed="false">
      <c r="A53" s="33" t="str">
        <f aca="false">IFERROR(IF(INDEX('Fund Research'!$B$6:$B$505,MATCH(48,'Fund Research'!$V$6:$V$505,0))="","",48),"")</f>
        <v/>
      </c>
      <c r="B53" s="34" t="str">
        <f aca="false">IFERROR(INDEX('Fund Research'!$A$6:$A$505,MATCH(48,'Fund Research'!$V$6:$V$505,0)),"")</f>
        <v/>
      </c>
      <c r="C53" s="34" t="str">
        <f aca="false">IFERROR(INDEX('Fund Research'!$B$6:$B$505,MATCH(48,'Fund Research'!$V$6:$V$505,0)),"")</f>
        <v/>
      </c>
      <c r="D53" s="34" t="str">
        <f aca="false">IFERROR(INDEX('Fund Research'!$C$6:$C$505,MATCH(48,'Fund Research'!$V$6:$V$505,0)),"")</f>
        <v/>
      </c>
      <c r="E53" s="35" t="str">
        <f aca="false">IFERROR(INDEX('Fund Research'!$G$6:$G$505,MATCH(48,'Fund Research'!$V$6:$V$505,0)),"")</f>
        <v/>
      </c>
      <c r="F53" s="35" t="str">
        <f aca="false">IFERROR(INDEX('Fund Research'!$H$6:$H$505,MATCH(48,'Fund Research'!$V$6:$V$505,0)),"")</f>
        <v/>
      </c>
      <c r="G53" s="35" t="str">
        <f aca="false">IFERROR(INDEX('Fund Research'!$I$6:$I$505,MATCH(48,'Fund Research'!$V$6:$V$505,0)),"")</f>
        <v/>
      </c>
      <c r="H53" s="36" t="str">
        <f aca="false">IFERROR(INDEX('Fund Research'!$J$6:$J$505,MATCH(48,'Fund Research'!$V$6:$V$505,0)),"")</f>
        <v/>
      </c>
      <c r="I53" s="38" t="str">
        <f aca="false">IFERROR(INDEX('Fund Research'!$L$6:$L$505,MATCH(48,'Fund Research'!$V$6:$V$505,0)),"")</f>
        <v/>
      </c>
      <c r="J53" s="36" t="str">
        <f aca="false">IFERROR(INDEX('Fund Research'!$N$6:$N$505,MATCH(48,'Fund Research'!$V$6:$V$505,0)),"")</f>
        <v/>
      </c>
      <c r="K53" s="36" t="str">
        <f aca="false">IFERROR(INDEX('Fund Research'!$P$6:$P$505,MATCH(48,'Fund Research'!$V$6:$V$505,0)),"")</f>
        <v/>
      </c>
      <c r="L53" s="34" t="str">
        <f aca="false">IFERROR(INDEX('Fund Research'!$S$6:$S$505,MATCH(48,'Fund Research'!$V$6:$V$505,0)),"")</f>
        <v/>
      </c>
      <c r="M53" s="34" t="str">
        <f aca="false">IFERROR(INDEX('Fund Research'!$T$6:$T$505,MATCH(48,'Fund Research'!$V$6:$V$505,0)),"")</f>
        <v/>
      </c>
    </row>
    <row r="54" customFormat="false" ht="15" hidden="false" customHeight="true" outlineLevel="0" collapsed="false">
      <c r="A54" s="33" t="str">
        <f aca="false">IFERROR(IF(INDEX('Fund Research'!$B$6:$B$505,MATCH(49,'Fund Research'!$V$6:$V$505,0))="","",49),"")</f>
        <v/>
      </c>
      <c r="B54" s="34" t="str">
        <f aca="false">IFERROR(INDEX('Fund Research'!$A$6:$A$505,MATCH(49,'Fund Research'!$V$6:$V$505,0)),"")</f>
        <v/>
      </c>
      <c r="C54" s="34" t="str">
        <f aca="false">IFERROR(INDEX('Fund Research'!$B$6:$B$505,MATCH(49,'Fund Research'!$V$6:$V$505,0)),"")</f>
        <v/>
      </c>
      <c r="D54" s="34" t="str">
        <f aca="false">IFERROR(INDEX('Fund Research'!$C$6:$C$505,MATCH(49,'Fund Research'!$V$6:$V$505,0)),"")</f>
        <v/>
      </c>
      <c r="E54" s="35" t="str">
        <f aca="false">IFERROR(INDEX('Fund Research'!$G$6:$G$505,MATCH(49,'Fund Research'!$V$6:$V$505,0)),"")</f>
        <v/>
      </c>
      <c r="F54" s="35" t="str">
        <f aca="false">IFERROR(INDEX('Fund Research'!$H$6:$H$505,MATCH(49,'Fund Research'!$V$6:$V$505,0)),"")</f>
        <v/>
      </c>
      <c r="G54" s="35" t="str">
        <f aca="false">IFERROR(INDEX('Fund Research'!$I$6:$I$505,MATCH(49,'Fund Research'!$V$6:$V$505,0)),"")</f>
        <v/>
      </c>
      <c r="H54" s="36" t="str">
        <f aca="false">IFERROR(INDEX('Fund Research'!$J$6:$J$505,MATCH(49,'Fund Research'!$V$6:$V$505,0)),"")</f>
        <v/>
      </c>
      <c r="I54" s="38" t="str">
        <f aca="false">IFERROR(INDEX('Fund Research'!$L$6:$L$505,MATCH(49,'Fund Research'!$V$6:$V$505,0)),"")</f>
        <v/>
      </c>
      <c r="J54" s="36" t="str">
        <f aca="false">IFERROR(INDEX('Fund Research'!$N$6:$N$505,MATCH(49,'Fund Research'!$V$6:$V$505,0)),"")</f>
        <v/>
      </c>
      <c r="K54" s="36" t="str">
        <f aca="false">IFERROR(INDEX('Fund Research'!$P$6:$P$505,MATCH(49,'Fund Research'!$V$6:$V$505,0)),"")</f>
        <v/>
      </c>
      <c r="L54" s="34" t="str">
        <f aca="false">IFERROR(INDEX('Fund Research'!$S$6:$S$505,MATCH(49,'Fund Research'!$V$6:$V$505,0)),"")</f>
        <v/>
      </c>
      <c r="M54" s="34" t="str">
        <f aca="false">IFERROR(INDEX('Fund Research'!$T$6:$T$505,MATCH(49,'Fund Research'!$V$6:$V$505,0)),"")</f>
        <v/>
      </c>
    </row>
    <row r="55" customFormat="false" ht="15" hidden="false" customHeight="true" outlineLevel="0" collapsed="false">
      <c r="A55" s="33" t="str">
        <f aca="false">IFERROR(IF(INDEX('Fund Research'!$B$6:$B$505,MATCH(50,'Fund Research'!$V$6:$V$505,0))="","",50),"")</f>
        <v/>
      </c>
      <c r="B55" s="34" t="str">
        <f aca="false">IFERROR(INDEX('Fund Research'!$A$6:$A$505,MATCH(50,'Fund Research'!$V$6:$V$505,0)),"")</f>
        <v/>
      </c>
      <c r="C55" s="34" t="str">
        <f aca="false">IFERROR(INDEX('Fund Research'!$B$6:$B$505,MATCH(50,'Fund Research'!$V$6:$V$505,0)),"")</f>
        <v/>
      </c>
      <c r="D55" s="34" t="str">
        <f aca="false">IFERROR(INDEX('Fund Research'!$C$6:$C$505,MATCH(50,'Fund Research'!$V$6:$V$505,0)),"")</f>
        <v/>
      </c>
      <c r="E55" s="35" t="str">
        <f aca="false">IFERROR(INDEX('Fund Research'!$G$6:$G$505,MATCH(50,'Fund Research'!$V$6:$V$505,0)),"")</f>
        <v/>
      </c>
      <c r="F55" s="35" t="str">
        <f aca="false">IFERROR(INDEX('Fund Research'!$H$6:$H$505,MATCH(50,'Fund Research'!$V$6:$V$505,0)),"")</f>
        <v/>
      </c>
      <c r="G55" s="35" t="str">
        <f aca="false">IFERROR(INDEX('Fund Research'!$I$6:$I$505,MATCH(50,'Fund Research'!$V$6:$V$505,0)),"")</f>
        <v/>
      </c>
      <c r="H55" s="36" t="str">
        <f aca="false">IFERROR(INDEX('Fund Research'!$J$6:$J$505,MATCH(50,'Fund Research'!$V$6:$V$505,0)),"")</f>
        <v/>
      </c>
      <c r="I55" s="38" t="str">
        <f aca="false">IFERROR(INDEX('Fund Research'!$L$6:$L$505,MATCH(50,'Fund Research'!$V$6:$V$505,0)),"")</f>
        <v/>
      </c>
      <c r="J55" s="36" t="str">
        <f aca="false">IFERROR(INDEX('Fund Research'!$N$6:$N$505,MATCH(50,'Fund Research'!$V$6:$V$505,0)),"")</f>
        <v/>
      </c>
      <c r="K55" s="36" t="str">
        <f aca="false">IFERROR(INDEX('Fund Research'!$P$6:$P$505,MATCH(50,'Fund Research'!$V$6:$V$505,0)),"")</f>
        <v/>
      </c>
      <c r="L55" s="34" t="str">
        <f aca="false">IFERROR(INDEX('Fund Research'!$S$6:$S$505,MATCH(50,'Fund Research'!$V$6:$V$505,0)),"")</f>
        <v/>
      </c>
      <c r="M55" s="34" t="str">
        <f aca="false">IFERROR(INDEX('Fund Research'!$T$6:$T$505,MATCH(50,'Fund Research'!$V$6:$V$505,0)),"")</f>
        <v/>
      </c>
    </row>
    <row r="56" customFormat="false" ht="15" hidden="false" customHeight="true" outlineLevel="0" collapsed="false">
      <c r="A56" s="33" t="str">
        <f aca="false">IFERROR(IF(INDEX('Fund Research'!$B$6:$B$505,MATCH(51,'Fund Research'!$V$6:$V$505,0))="","",51),"")</f>
        <v/>
      </c>
      <c r="B56" s="34" t="str">
        <f aca="false">IFERROR(INDEX('Fund Research'!$A$6:$A$505,MATCH(51,'Fund Research'!$V$6:$V$505,0)),"")</f>
        <v/>
      </c>
      <c r="C56" s="34" t="str">
        <f aca="false">IFERROR(INDEX('Fund Research'!$B$6:$B$505,MATCH(51,'Fund Research'!$V$6:$V$505,0)),"")</f>
        <v/>
      </c>
      <c r="D56" s="34" t="str">
        <f aca="false">IFERROR(INDEX('Fund Research'!$C$6:$C$505,MATCH(51,'Fund Research'!$V$6:$V$505,0)),"")</f>
        <v/>
      </c>
      <c r="E56" s="35" t="str">
        <f aca="false">IFERROR(INDEX('Fund Research'!$G$6:$G$505,MATCH(51,'Fund Research'!$V$6:$V$505,0)),"")</f>
        <v/>
      </c>
      <c r="F56" s="35" t="str">
        <f aca="false">IFERROR(INDEX('Fund Research'!$H$6:$H$505,MATCH(51,'Fund Research'!$V$6:$V$505,0)),"")</f>
        <v/>
      </c>
      <c r="G56" s="35" t="str">
        <f aca="false">IFERROR(INDEX('Fund Research'!$I$6:$I$505,MATCH(51,'Fund Research'!$V$6:$V$505,0)),"")</f>
        <v/>
      </c>
      <c r="H56" s="36" t="str">
        <f aca="false">IFERROR(INDEX('Fund Research'!$J$6:$J$505,MATCH(51,'Fund Research'!$V$6:$V$505,0)),"")</f>
        <v/>
      </c>
      <c r="I56" s="38" t="str">
        <f aca="false">IFERROR(INDEX('Fund Research'!$L$6:$L$505,MATCH(51,'Fund Research'!$V$6:$V$505,0)),"")</f>
        <v/>
      </c>
      <c r="J56" s="36" t="str">
        <f aca="false">IFERROR(INDEX('Fund Research'!$N$6:$N$505,MATCH(51,'Fund Research'!$V$6:$V$505,0)),"")</f>
        <v/>
      </c>
      <c r="K56" s="36" t="str">
        <f aca="false">IFERROR(INDEX('Fund Research'!$P$6:$P$505,MATCH(51,'Fund Research'!$V$6:$V$505,0)),"")</f>
        <v/>
      </c>
      <c r="L56" s="34" t="str">
        <f aca="false">IFERROR(INDEX('Fund Research'!$S$6:$S$505,MATCH(51,'Fund Research'!$V$6:$V$505,0)),"")</f>
        <v/>
      </c>
      <c r="M56" s="34" t="str">
        <f aca="false">IFERROR(INDEX('Fund Research'!$T$6:$T$505,MATCH(51,'Fund Research'!$V$6:$V$505,0)),"")</f>
        <v/>
      </c>
    </row>
    <row r="57" customFormat="false" ht="15" hidden="false" customHeight="true" outlineLevel="0" collapsed="false">
      <c r="A57" s="33" t="str">
        <f aca="false">IFERROR(IF(INDEX('Fund Research'!$B$6:$B$505,MATCH(52,'Fund Research'!$V$6:$V$505,0))="","",52),"")</f>
        <v/>
      </c>
      <c r="B57" s="34" t="str">
        <f aca="false">IFERROR(INDEX('Fund Research'!$A$6:$A$505,MATCH(52,'Fund Research'!$V$6:$V$505,0)),"")</f>
        <v/>
      </c>
      <c r="C57" s="34" t="str">
        <f aca="false">IFERROR(INDEX('Fund Research'!$B$6:$B$505,MATCH(52,'Fund Research'!$V$6:$V$505,0)),"")</f>
        <v/>
      </c>
      <c r="D57" s="34" t="str">
        <f aca="false">IFERROR(INDEX('Fund Research'!$C$6:$C$505,MATCH(52,'Fund Research'!$V$6:$V$505,0)),"")</f>
        <v/>
      </c>
      <c r="E57" s="35" t="str">
        <f aca="false">IFERROR(INDEX('Fund Research'!$G$6:$G$505,MATCH(52,'Fund Research'!$V$6:$V$505,0)),"")</f>
        <v/>
      </c>
      <c r="F57" s="35" t="str">
        <f aca="false">IFERROR(INDEX('Fund Research'!$H$6:$H$505,MATCH(52,'Fund Research'!$V$6:$V$505,0)),"")</f>
        <v/>
      </c>
      <c r="G57" s="35" t="str">
        <f aca="false">IFERROR(INDEX('Fund Research'!$I$6:$I$505,MATCH(52,'Fund Research'!$V$6:$V$505,0)),"")</f>
        <v/>
      </c>
      <c r="H57" s="36" t="str">
        <f aca="false">IFERROR(INDEX('Fund Research'!$J$6:$J$505,MATCH(52,'Fund Research'!$V$6:$V$505,0)),"")</f>
        <v/>
      </c>
      <c r="I57" s="38" t="str">
        <f aca="false">IFERROR(INDEX('Fund Research'!$L$6:$L$505,MATCH(52,'Fund Research'!$V$6:$V$505,0)),"")</f>
        <v/>
      </c>
      <c r="J57" s="36" t="str">
        <f aca="false">IFERROR(INDEX('Fund Research'!$N$6:$N$505,MATCH(52,'Fund Research'!$V$6:$V$505,0)),"")</f>
        <v/>
      </c>
      <c r="K57" s="36" t="str">
        <f aca="false">IFERROR(INDEX('Fund Research'!$P$6:$P$505,MATCH(52,'Fund Research'!$V$6:$V$505,0)),"")</f>
        <v/>
      </c>
      <c r="L57" s="34" t="str">
        <f aca="false">IFERROR(INDEX('Fund Research'!$S$6:$S$505,MATCH(52,'Fund Research'!$V$6:$V$505,0)),"")</f>
        <v/>
      </c>
      <c r="M57" s="34" t="str">
        <f aca="false">IFERROR(INDEX('Fund Research'!$T$6:$T$505,MATCH(52,'Fund Research'!$V$6:$V$505,0)),"")</f>
        <v/>
      </c>
    </row>
    <row r="58" customFormat="false" ht="15" hidden="false" customHeight="true" outlineLevel="0" collapsed="false">
      <c r="A58" s="33" t="str">
        <f aca="false">IFERROR(IF(INDEX('Fund Research'!$B$6:$B$505,MATCH(53,'Fund Research'!$V$6:$V$505,0))="","",53),"")</f>
        <v/>
      </c>
      <c r="B58" s="34" t="str">
        <f aca="false">IFERROR(INDEX('Fund Research'!$A$6:$A$505,MATCH(53,'Fund Research'!$V$6:$V$505,0)),"")</f>
        <v/>
      </c>
      <c r="C58" s="34" t="str">
        <f aca="false">IFERROR(INDEX('Fund Research'!$B$6:$B$505,MATCH(53,'Fund Research'!$V$6:$V$505,0)),"")</f>
        <v/>
      </c>
      <c r="D58" s="34" t="str">
        <f aca="false">IFERROR(INDEX('Fund Research'!$C$6:$C$505,MATCH(53,'Fund Research'!$V$6:$V$505,0)),"")</f>
        <v/>
      </c>
      <c r="E58" s="35" t="str">
        <f aca="false">IFERROR(INDEX('Fund Research'!$G$6:$G$505,MATCH(53,'Fund Research'!$V$6:$V$505,0)),"")</f>
        <v/>
      </c>
      <c r="F58" s="35" t="str">
        <f aca="false">IFERROR(INDEX('Fund Research'!$H$6:$H$505,MATCH(53,'Fund Research'!$V$6:$V$505,0)),"")</f>
        <v/>
      </c>
      <c r="G58" s="35" t="str">
        <f aca="false">IFERROR(INDEX('Fund Research'!$I$6:$I$505,MATCH(53,'Fund Research'!$V$6:$V$505,0)),"")</f>
        <v/>
      </c>
      <c r="H58" s="36" t="str">
        <f aca="false">IFERROR(INDEX('Fund Research'!$J$6:$J$505,MATCH(53,'Fund Research'!$V$6:$V$505,0)),"")</f>
        <v/>
      </c>
      <c r="I58" s="38" t="str">
        <f aca="false">IFERROR(INDEX('Fund Research'!$L$6:$L$505,MATCH(53,'Fund Research'!$V$6:$V$505,0)),"")</f>
        <v/>
      </c>
      <c r="J58" s="36" t="str">
        <f aca="false">IFERROR(INDEX('Fund Research'!$N$6:$N$505,MATCH(53,'Fund Research'!$V$6:$V$505,0)),"")</f>
        <v/>
      </c>
      <c r="K58" s="36" t="str">
        <f aca="false">IFERROR(INDEX('Fund Research'!$P$6:$P$505,MATCH(53,'Fund Research'!$V$6:$V$505,0)),"")</f>
        <v/>
      </c>
      <c r="L58" s="34" t="str">
        <f aca="false">IFERROR(INDEX('Fund Research'!$S$6:$S$505,MATCH(53,'Fund Research'!$V$6:$V$505,0)),"")</f>
        <v/>
      </c>
      <c r="M58" s="34" t="str">
        <f aca="false">IFERROR(INDEX('Fund Research'!$T$6:$T$505,MATCH(53,'Fund Research'!$V$6:$V$505,0)),"")</f>
        <v/>
      </c>
    </row>
    <row r="59" customFormat="false" ht="15" hidden="false" customHeight="true" outlineLevel="0" collapsed="false">
      <c r="A59" s="33" t="str">
        <f aca="false">IFERROR(IF(INDEX('Fund Research'!$B$6:$B$505,MATCH(54,'Fund Research'!$V$6:$V$505,0))="","",54),"")</f>
        <v/>
      </c>
      <c r="B59" s="34" t="str">
        <f aca="false">IFERROR(INDEX('Fund Research'!$A$6:$A$505,MATCH(54,'Fund Research'!$V$6:$V$505,0)),"")</f>
        <v/>
      </c>
      <c r="C59" s="34" t="str">
        <f aca="false">IFERROR(INDEX('Fund Research'!$B$6:$B$505,MATCH(54,'Fund Research'!$V$6:$V$505,0)),"")</f>
        <v/>
      </c>
      <c r="D59" s="34" t="str">
        <f aca="false">IFERROR(INDEX('Fund Research'!$C$6:$C$505,MATCH(54,'Fund Research'!$V$6:$V$505,0)),"")</f>
        <v/>
      </c>
      <c r="E59" s="35" t="str">
        <f aca="false">IFERROR(INDEX('Fund Research'!$G$6:$G$505,MATCH(54,'Fund Research'!$V$6:$V$505,0)),"")</f>
        <v/>
      </c>
      <c r="F59" s="35" t="str">
        <f aca="false">IFERROR(INDEX('Fund Research'!$H$6:$H$505,MATCH(54,'Fund Research'!$V$6:$V$505,0)),"")</f>
        <v/>
      </c>
      <c r="G59" s="35" t="str">
        <f aca="false">IFERROR(INDEX('Fund Research'!$I$6:$I$505,MATCH(54,'Fund Research'!$V$6:$V$505,0)),"")</f>
        <v/>
      </c>
      <c r="H59" s="36" t="str">
        <f aca="false">IFERROR(INDEX('Fund Research'!$J$6:$J$505,MATCH(54,'Fund Research'!$V$6:$V$505,0)),"")</f>
        <v/>
      </c>
      <c r="I59" s="38" t="str">
        <f aca="false">IFERROR(INDEX('Fund Research'!$L$6:$L$505,MATCH(54,'Fund Research'!$V$6:$V$505,0)),"")</f>
        <v/>
      </c>
      <c r="J59" s="36" t="str">
        <f aca="false">IFERROR(INDEX('Fund Research'!$N$6:$N$505,MATCH(54,'Fund Research'!$V$6:$V$505,0)),"")</f>
        <v/>
      </c>
      <c r="K59" s="36" t="str">
        <f aca="false">IFERROR(INDEX('Fund Research'!$P$6:$P$505,MATCH(54,'Fund Research'!$V$6:$V$505,0)),"")</f>
        <v/>
      </c>
      <c r="L59" s="34" t="str">
        <f aca="false">IFERROR(INDEX('Fund Research'!$S$6:$S$505,MATCH(54,'Fund Research'!$V$6:$V$505,0)),"")</f>
        <v/>
      </c>
      <c r="M59" s="34" t="str">
        <f aca="false">IFERROR(INDEX('Fund Research'!$T$6:$T$505,MATCH(54,'Fund Research'!$V$6:$V$505,0)),"")</f>
        <v/>
      </c>
    </row>
    <row r="60" customFormat="false" ht="15" hidden="false" customHeight="true" outlineLevel="0" collapsed="false">
      <c r="A60" s="33" t="str">
        <f aca="false">IFERROR(IF(INDEX('Fund Research'!$B$6:$B$505,MATCH(55,'Fund Research'!$V$6:$V$505,0))="","",55),"")</f>
        <v/>
      </c>
      <c r="B60" s="34" t="str">
        <f aca="false">IFERROR(INDEX('Fund Research'!$A$6:$A$505,MATCH(55,'Fund Research'!$V$6:$V$505,0)),"")</f>
        <v/>
      </c>
      <c r="C60" s="34" t="str">
        <f aca="false">IFERROR(INDEX('Fund Research'!$B$6:$B$505,MATCH(55,'Fund Research'!$V$6:$V$505,0)),"")</f>
        <v/>
      </c>
      <c r="D60" s="34" t="str">
        <f aca="false">IFERROR(INDEX('Fund Research'!$C$6:$C$505,MATCH(55,'Fund Research'!$V$6:$V$505,0)),"")</f>
        <v/>
      </c>
      <c r="E60" s="35" t="str">
        <f aca="false">IFERROR(INDEX('Fund Research'!$G$6:$G$505,MATCH(55,'Fund Research'!$V$6:$V$505,0)),"")</f>
        <v/>
      </c>
      <c r="F60" s="35" t="str">
        <f aca="false">IFERROR(INDEX('Fund Research'!$H$6:$H$505,MATCH(55,'Fund Research'!$V$6:$V$505,0)),"")</f>
        <v/>
      </c>
      <c r="G60" s="35" t="str">
        <f aca="false">IFERROR(INDEX('Fund Research'!$I$6:$I$505,MATCH(55,'Fund Research'!$V$6:$V$505,0)),"")</f>
        <v/>
      </c>
      <c r="H60" s="36" t="str">
        <f aca="false">IFERROR(INDEX('Fund Research'!$J$6:$J$505,MATCH(55,'Fund Research'!$V$6:$V$505,0)),"")</f>
        <v/>
      </c>
      <c r="I60" s="38" t="str">
        <f aca="false">IFERROR(INDEX('Fund Research'!$L$6:$L$505,MATCH(55,'Fund Research'!$V$6:$V$505,0)),"")</f>
        <v/>
      </c>
      <c r="J60" s="36" t="str">
        <f aca="false">IFERROR(INDEX('Fund Research'!$N$6:$N$505,MATCH(55,'Fund Research'!$V$6:$V$505,0)),"")</f>
        <v/>
      </c>
      <c r="K60" s="36" t="str">
        <f aca="false">IFERROR(INDEX('Fund Research'!$P$6:$P$505,MATCH(55,'Fund Research'!$V$6:$V$505,0)),"")</f>
        <v/>
      </c>
      <c r="L60" s="34" t="str">
        <f aca="false">IFERROR(INDEX('Fund Research'!$S$6:$S$505,MATCH(55,'Fund Research'!$V$6:$V$505,0)),"")</f>
        <v/>
      </c>
      <c r="M60" s="34" t="str">
        <f aca="false">IFERROR(INDEX('Fund Research'!$T$6:$T$505,MATCH(55,'Fund Research'!$V$6:$V$505,0)),"")</f>
        <v/>
      </c>
    </row>
    <row r="61" customFormat="false" ht="15" hidden="false" customHeight="true" outlineLevel="0" collapsed="false">
      <c r="A61" s="33" t="str">
        <f aca="false">IFERROR(IF(INDEX('Fund Research'!$B$6:$B$505,MATCH(56,'Fund Research'!$V$6:$V$505,0))="","",56),"")</f>
        <v/>
      </c>
      <c r="B61" s="34" t="str">
        <f aca="false">IFERROR(INDEX('Fund Research'!$A$6:$A$505,MATCH(56,'Fund Research'!$V$6:$V$505,0)),"")</f>
        <v/>
      </c>
      <c r="C61" s="34" t="str">
        <f aca="false">IFERROR(INDEX('Fund Research'!$B$6:$B$505,MATCH(56,'Fund Research'!$V$6:$V$505,0)),"")</f>
        <v/>
      </c>
      <c r="D61" s="34" t="str">
        <f aca="false">IFERROR(INDEX('Fund Research'!$C$6:$C$505,MATCH(56,'Fund Research'!$V$6:$V$505,0)),"")</f>
        <v/>
      </c>
      <c r="E61" s="35" t="str">
        <f aca="false">IFERROR(INDEX('Fund Research'!$G$6:$G$505,MATCH(56,'Fund Research'!$V$6:$V$505,0)),"")</f>
        <v/>
      </c>
      <c r="F61" s="35" t="str">
        <f aca="false">IFERROR(INDEX('Fund Research'!$H$6:$H$505,MATCH(56,'Fund Research'!$V$6:$V$505,0)),"")</f>
        <v/>
      </c>
      <c r="G61" s="35" t="str">
        <f aca="false">IFERROR(INDEX('Fund Research'!$I$6:$I$505,MATCH(56,'Fund Research'!$V$6:$V$505,0)),"")</f>
        <v/>
      </c>
      <c r="H61" s="36" t="str">
        <f aca="false">IFERROR(INDEX('Fund Research'!$J$6:$J$505,MATCH(56,'Fund Research'!$V$6:$V$505,0)),"")</f>
        <v/>
      </c>
      <c r="I61" s="38" t="str">
        <f aca="false">IFERROR(INDEX('Fund Research'!$L$6:$L$505,MATCH(56,'Fund Research'!$V$6:$V$505,0)),"")</f>
        <v/>
      </c>
      <c r="J61" s="36" t="str">
        <f aca="false">IFERROR(INDEX('Fund Research'!$N$6:$N$505,MATCH(56,'Fund Research'!$V$6:$V$505,0)),"")</f>
        <v/>
      </c>
      <c r="K61" s="36" t="str">
        <f aca="false">IFERROR(INDEX('Fund Research'!$P$6:$P$505,MATCH(56,'Fund Research'!$V$6:$V$505,0)),"")</f>
        <v/>
      </c>
      <c r="L61" s="34" t="str">
        <f aca="false">IFERROR(INDEX('Fund Research'!$S$6:$S$505,MATCH(56,'Fund Research'!$V$6:$V$505,0)),"")</f>
        <v/>
      </c>
      <c r="M61" s="34" t="str">
        <f aca="false">IFERROR(INDEX('Fund Research'!$T$6:$T$505,MATCH(56,'Fund Research'!$V$6:$V$505,0)),"")</f>
        <v/>
      </c>
    </row>
    <row r="62" customFormat="false" ht="15" hidden="false" customHeight="true" outlineLevel="0" collapsed="false">
      <c r="A62" s="33" t="str">
        <f aca="false">IFERROR(IF(INDEX('Fund Research'!$B$6:$B$505,MATCH(57,'Fund Research'!$V$6:$V$505,0))="","",57),"")</f>
        <v/>
      </c>
      <c r="B62" s="34" t="str">
        <f aca="false">IFERROR(INDEX('Fund Research'!$A$6:$A$505,MATCH(57,'Fund Research'!$V$6:$V$505,0)),"")</f>
        <v/>
      </c>
      <c r="C62" s="34" t="str">
        <f aca="false">IFERROR(INDEX('Fund Research'!$B$6:$B$505,MATCH(57,'Fund Research'!$V$6:$V$505,0)),"")</f>
        <v/>
      </c>
      <c r="D62" s="34" t="str">
        <f aca="false">IFERROR(INDEX('Fund Research'!$C$6:$C$505,MATCH(57,'Fund Research'!$V$6:$V$505,0)),"")</f>
        <v/>
      </c>
      <c r="E62" s="35" t="str">
        <f aca="false">IFERROR(INDEX('Fund Research'!$G$6:$G$505,MATCH(57,'Fund Research'!$V$6:$V$505,0)),"")</f>
        <v/>
      </c>
      <c r="F62" s="35" t="str">
        <f aca="false">IFERROR(INDEX('Fund Research'!$H$6:$H$505,MATCH(57,'Fund Research'!$V$6:$V$505,0)),"")</f>
        <v/>
      </c>
      <c r="G62" s="35" t="str">
        <f aca="false">IFERROR(INDEX('Fund Research'!$I$6:$I$505,MATCH(57,'Fund Research'!$V$6:$V$505,0)),"")</f>
        <v/>
      </c>
      <c r="H62" s="36" t="str">
        <f aca="false">IFERROR(INDEX('Fund Research'!$J$6:$J$505,MATCH(57,'Fund Research'!$V$6:$V$505,0)),"")</f>
        <v/>
      </c>
      <c r="I62" s="38" t="str">
        <f aca="false">IFERROR(INDEX('Fund Research'!$L$6:$L$505,MATCH(57,'Fund Research'!$V$6:$V$505,0)),"")</f>
        <v/>
      </c>
      <c r="J62" s="36" t="str">
        <f aca="false">IFERROR(INDEX('Fund Research'!$N$6:$N$505,MATCH(57,'Fund Research'!$V$6:$V$505,0)),"")</f>
        <v/>
      </c>
      <c r="K62" s="36" t="str">
        <f aca="false">IFERROR(INDEX('Fund Research'!$P$6:$P$505,MATCH(57,'Fund Research'!$V$6:$V$505,0)),"")</f>
        <v/>
      </c>
      <c r="L62" s="34" t="str">
        <f aca="false">IFERROR(INDEX('Fund Research'!$S$6:$S$505,MATCH(57,'Fund Research'!$V$6:$V$505,0)),"")</f>
        <v/>
      </c>
      <c r="M62" s="34" t="str">
        <f aca="false">IFERROR(INDEX('Fund Research'!$T$6:$T$505,MATCH(57,'Fund Research'!$V$6:$V$505,0)),"")</f>
        <v/>
      </c>
    </row>
    <row r="63" customFormat="false" ht="15" hidden="false" customHeight="true" outlineLevel="0" collapsed="false">
      <c r="A63" s="33" t="str">
        <f aca="false">IFERROR(IF(INDEX('Fund Research'!$B$6:$B$505,MATCH(58,'Fund Research'!$V$6:$V$505,0))="","",58),"")</f>
        <v/>
      </c>
      <c r="B63" s="34" t="str">
        <f aca="false">IFERROR(INDEX('Fund Research'!$A$6:$A$505,MATCH(58,'Fund Research'!$V$6:$V$505,0)),"")</f>
        <v/>
      </c>
      <c r="C63" s="34" t="str">
        <f aca="false">IFERROR(INDEX('Fund Research'!$B$6:$B$505,MATCH(58,'Fund Research'!$V$6:$V$505,0)),"")</f>
        <v/>
      </c>
      <c r="D63" s="34" t="str">
        <f aca="false">IFERROR(INDEX('Fund Research'!$C$6:$C$505,MATCH(58,'Fund Research'!$V$6:$V$505,0)),"")</f>
        <v/>
      </c>
      <c r="E63" s="35" t="str">
        <f aca="false">IFERROR(INDEX('Fund Research'!$G$6:$G$505,MATCH(58,'Fund Research'!$V$6:$V$505,0)),"")</f>
        <v/>
      </c>
      <c r="F63" s="35" t="str">
        <f aca="false">IFERROR(INDEX('Fund Research'!$H$6:$H$505,MATCH(58,'Fund Research'!$V$6:$V$505,0)),"")</f>
        <v/>
      </c>
      <c r="G63" s="35" t="str">
        <f aca="false">IFERROR(INDEX('Fund Research'!$I$6:$I$505,MATCH(58,'Fund Research'!$V$6:$V$505,0)),"")</f>
        <v/>
      </c>
      <c r="H63" s="36" t="str">
        <f aca="false">IFERROR(INDEX('Fund Research'!$J$6:$J$505,MATCH(58,'Fund Research'!$V$6:$V$505,0)),"")</f>
        <v/>
      </c>
      <c r="I63" s="38" t="str">
        <f aca="false">IFERROR(INDEX('Fund Research'!$L$6:$L$505,MATCH(58,'Fund Research'!$V$6:$V$505,0)),"")</f>
        <v/>
      </c>
      <c r="J63" s="36" t="str">
        <f aca="false">IFERROR(INDEX('Fund Research'!$N$6:$N$505,MATCH(58,'Fund Research'!$V$6:$V$505,0)),"")</f>
        <v/>
      </c>
      <c r="K63" s="36" t="str">
        <f aca="false">IFERROR(INDEX('Fund Research'!$P$6:$P$505,MATCH(58,'Fund Research'!$V$6:$V$505,0)),"")</f>
        <v/>
      </c>
      <c r="L63" s="34" t="str">
        <f aca="false">IFERROR(INDEX('Fund Research'!$S$6:$S$505,MATCH(58,'Fund Research'!$V$6:$V$505,0)),"")</f>
        <v/>
      </c>
      <c r="M63" s="34" t="str">
        <f aca="false">IFERROR(INDEX('Fund Research'!$T$6:$T$505,MATCH(58,'Fund Research'!$V$6:$V$505,0)),"")</f>
        <v/>
      </c>
    </row>
    <row r="64" customFormat="false" ht="15" hidden="false" customHeight="true" outlineLevel="0" collapsed="false">
      <c r="A64" s="33" t="str">
        <f aca="false">IFERROR(IF(INDEX('Fund Research'!$B$6:$B$505,MATCH(59,'Fund Research'!$V$6:$V$505,0))="","",59),"")</f>
        <v/>
      </c>
      <c r="B64" s="34" t="str">
        <f aca="false">IFERROR(INDEX('Fund Research'!$A$6:$A$505,MATCH(59,'Fund Research'!$V$6:$V$505,0)),"")</f>
        <v/>
      </c>
      <c r="C64" s="34" t="str">
        <f aca="false">IFERROR(INDEX('Fund Research'!$B$6:$B$505,MATCH(59,'Fund Research'!$V$6:$V$505,0)),"")</f>
        <v/>
      </c>
      <c r="D64" s="34" t="str">
        <f aca="false">IFERROR(INDEX('Fund Research'!$C$6:$C$505,MATCH(59,'Fund Research'!$V$6:$V$505,0)),"")</f>
        <v/>
      </c>
      <c r="E64" s="35" t="str">
        <f aca="false">IFERROR(INDEX('Fund Research'!$G$6:$G$505,MATCH(59,'Fund Research'!$V$6:$V$505,0)),"")</f>
        <v/>
      </c>
      <c r="F64" s="35" t="str">
        <f aca="false">IFERROR(INDEX('Fund Research'!$H$6:$H$505,MATCH(59,'Fund Research'!$V$6:$V$505,0)),"")</f>
        <v/>
      </c>
      <c r="G64" s="35" t="str">
        <f aca="false">IFERROR(INDEX('Fund Research'!$I$6:$I$505,MATCH(59,'Fund Research'!$V$6:$V$505,0)),"")</f>
        <v/>
      </c>
      <c r="H64" s="36" t="str">
        <f aca="false">IFERROR(INDEX('Fund Research'!$J$6:$J$505,MATCH(59,'Fund Research'!$V$6:$V$505,0)),"")</f>
        <v/>
      </c>
      <c r="I64" s="38" t="str">
        <f aca="false">IFERROR(INDEX('Fund Research'!$L$6:$L$505,MATCH(59,'Fund Research'!$V$6:$V$505,0)),"")</f>
        <v/>
      </c>
      <c r="J64" s="36" t="str">
        <f aca="false">IFERROR(INDEX('Fund Research'!$N$6:$N$505,MATCH(59,'Fund Research'!$V$6:$V$505,0)),"")</f>
        <v/>
      </c>
      <c r="K64" s="36" t="str">
        <f aca="false">IFERROR(INDEX('Fund Research'!$P$6:$P$505,MATCH(59,'Fund Research'!$V$6:$V$505,0)),"")</f>
        <v/>
      </c>
      <c r="L64" s="34" t="str">
        <f aca="false">IFERROR(INDEX('Fund Research'!$S$6:$S$505,MATCH(59,'Fund Research'!$V$6:$V$505,0)),"")</f>
        <v/>
      </c>
      <c r="M64" s="34" t="str">
        <f aca="false">IFERROR(INDEX('Fund Research'!$T$6:$T$505,MATCH(59,'Fund Research'!$V$6:$V$505,0)),"")</f>
        <v/>
      </c>
    </row>
    <row r="65" customFormat="false" ht="15" hidden="false" customHeight="true" outlineLevel="0" collapsed="false">
      <c r="A65" s="33" t="str">
        <f aca="false">IFERROR(IF(INDEX('Fund Research'!$B$6:$B$505,MATCH(60,'Fund Research'!$V$6:$V$505,0))="","",60),"")</f>
        <v/>
      </c>
      <c r="B65" s="34" t="str">
        <f aca="false">IFERROR(INDEX('Fund Research'!$A$6:$A$505,MATCH(60,'Fund Research'!$V$6:$V$505,0)),"")</f>
        <v/>
      </c>
      <c r="C65" s="34" t="str">
        <f aca="false">IFERROR(INDEX('Fund Research'!$B$6:$B$505,MATCH(60,'Fund Research'!$V$6:$V$505,0)),"")</f>
        <v/>
      </c>
      <c r="D65" s="34" t="str">
        <f aca="false">IFERROR(INDEX('Fund Research'!$C$6:$C$505,MATCH(60,'Fund Research'!$V$6:$V$505,0)),"")</f>
        <v/>
      </c>
      <c r="E65" s="35" t="str">
        <f aca="false">IFERROR(INDEX('Fund Research'!$G$6:$G$505,MATCH(60,'Fund Research'!$V$6:$V$505,0)),"")</f>
        <v/>
      </c>
      <c r="F65" s="35" t="str">
        <f aca="false">IFERROR(INDEX('Fund Research'!$H$6:$H$505,MATCH(60,'Fund Research'!$V$6:$V$505,0)),"")</f>
        <v/>
      </c>
      <c r="G65" s="35" t="str">
        <f aca="false">IFERROR(INDEX('Fund Research'!$I$6:$I$505,MATCH(60,'Fund Research'!$V$6:$V$505,0)),"")</f>
        <v/>
      </c>
      <c r="H65" s="36" t="str">
        <f aca="false">IFERROR(INDEX('Fund Research'!$J$6:$J$505,MATCH(60,'Fund Research'!$V$6:$V$505,0)),"")</f>
        <v/>
      </c>
      <c r="I65" s="38" t="str">
        <f aca="false">IFERROR(INDEX('Fund Research'!$L$6:$L$505,MATCH(60,'Fund Research'!$V$6:$V$505,0)),"")</f>
        <v/>
      </c>
      <c r="J65" s="36" t="str">
        <f aca="false">IFERROR(INDEX('Fund Research'!$N$6:$N$505,MATCH(60,'Fund Research'!$V$6:$V$505,0)),"")</f>
        <v/>
      </c>
      <c r="K65" s="36" t="str">
        <f aca="false">IFERROR(INDEX('Fund Research'!$P$6:$P$505,MATCH(60,'Fund Research'!$V$6:$V$505,0)),"")</f>
        <v/>
      </c>
      <c r="L65" s="34" t="str">
        <f aca="false">IFERROR(INDEX('Fund Research'!$S$6:$S$505,MATCH(60,'Fund Research'!$V$6:$V$505,0)),"")</f>
        <v/>
      </c>
      <c r="M65" s="34" t="str">
        <f aca="false">IFERROR(INDEX('Fund Research'!$T$6:$T$505,MATCH(60,'Fund Research'!$V$6:$V$505,0)),"")</f>
        <v/>
      </c>
    </row>
    <row r="66" customFormat="false" ht="15" hidden="false" customHeight="true" outlineLevel="0" collapsed="false">
      <c r="A66" s="33" t="str">
        <f aca="false">IFERROR(IF(INDEX('Fund Research'!$B$6:$B$505,MATCH(61,'Fund Research'!$V$6:$V$505,0))="","",61),"")</f>
        <v/>
      </c>
      <c r="B66" s="34" t="str">
        <f aca="false">IFERROR(INDEX('Fund Research'!$A$6:$A$505,MATCH(61,'Fund Research'!$V$6:$V$505,0)),"")</f>
        <v/>
      </c>
      <c r="C66" s="34" t="str">
        <f aca="false">IFERROR(INDEX('Fund Research'!$B$6:$B$505,MATCH(61,'Fund Research'!$V$6:$V$505,0)),"")</f>
        <v/>
      </c>
      <c r="D66" s="34" t="str">
        <f aca="false">IFERROR(INDEX('Fund Research'!$C$6:$C$505,MATCH(61,'Fund Research'!$V$6:$V$505,0)),"")</f>
        <v/>
      </c>
      <c r="E66" s="35" t="str">
        <f aca="false">IFERROR(INDEX('Fund Research'!$G$6:$G$505,MATCH(61,'Fund Research'!$V$6:$V$505,0)),"")</f>
        <v/>
      </c>
      <c r="F66" s="35" t="str">
        <f aca="false">IFERROR(INDEX('Fund Research'!$H$6:$H$505,MATCH(61,'Fund Research'!$V$6:$V$505,0)),"")</f>
        <v/>
      </c>
      <c r="G66" s="35" t="str">
        <f aca="false">IFERROR(INDEX('Fund Research'!$I$6:$I$505,MATCH(61,'Fund Research'!$V$6:$V$505,0)),"")</f>
        <v/>
      </c>
      <c r="H66" s="36" t="str">
        <f aca="false">IFERROR(INDEX('Fund Research'!$J$6:$J$505,MATCH(61,'Fund Research'!$V$6:$V$505,0)),"")</f>
        <v/>
      </c>
      <c r="I66" s="38" t="str">
        <f aca="false">IFERROR(INDEX('Fund Research'!$L$6:$L$505,MATCH(61,'Fund Research'!$V$6:$V$505,0)),"")</f>
        <v/>
      </c>
      <c r="J66" s="36" t="str">
        <f aca="false">IFERROR(INDEX('Fund Research'!$N$6:$N$505,MATCH(61,'Fund Research'!$V$6:$V$505,0)),"")</f>
        <v/>
      </c>
      <c r="K66" s="36" t="str">
        <f aca="false">IFERROR(INDEX('Fund Research'!$P$6:$P$505,MATCH(61,'Fund Research'!$V$6:$V$505,0)),"")</f>
        <v/>
      </c>
      <c r="L66" s="34" t="str">
        <f aca="false">IFERROR(INDEX('Fund Research'!$S$6:$S$505,MATCH(61,'Fund Research'!$V$6:$V$505,0)),"")</f>
        <v/>
      </c>
      <c r="M66" s="34" t="str">
        <f aca="false">IFERROR(INDEX('Fund Research'!$T$6:$T$505,MATCH(61,'Fund Research'!$V$6:$V$505,0)),"")</f>
        <v/>
      </c>
    </row>
    <row r="67" customFormat="false" ht="15" hidden="false" customHeight="true" outlineLevel="0" collapsed="false">
      <c r="A67" s="33" t="str">
        <f aca="false">IFERROR(IF(INDEX('Fund Research'!$B$6:$B$505,MATCH(62,'Fund Research'!$V$6:$V$505,0))="","",62),"")</f>
        <v/>
      </c>
      <c r="B67" s="34" t="str">
        <f aca="false">IFERROR(INDEX('Fund Research'!$A$6:$A$505,MATCH(62,'Fund Research'!$V$6:$V$505,0)),"")</f>
        <v/>
      </c>
      <c r="C67" s="34" t="str">
        <f aca="false">IFERROR(INDEX('Fund Research'!$B$6:$B$505,MATCH(62,'Fund Research'!$V$6:$V$505,0)),"")</f>
        <v/>
      </c>
      <c r="D67" s="34" t="str">
        <f aca="false">IFERROR(INDEX('Fund Research'!$C$6:$C$505,MATCH(62,'Fund Research'!$V$6:$V$505,0)),"")</f>
        <v/>
      </c>
      <c r="E67" s="35" t="str">
        <f aca="false">IFERROR(INDEX('Fund Research'!$G$6:$G$505,MATCH(62,'Fund Research'!$V$6:$V$505,0)),"")</f>
        <v/>
      </c>
      <c r="F67" s="35" t="str">
        <f aca="false">IFERROR(INDEX('Fund Research'!$H$6:$H$505,MATCH(62,'Fund Research'!$V$6:$V$505,0)),"")</f>
        <v/>
      </c>
      <c r="G67" s="35" t="str">
        <f aca="false">IFERROR(INDEX('Fund Research'!$I$6:$I$505,MATCH(62,'Fund Research'!$V$6:$V$505,0)),"")</f>
        <v/>
      </c>
      <c r="H67" s="36" t="str">
        <f aca="false">IFERROR(INDEX('Fund Research'!$J$6:$J$505,MATCH(62,'Fund Research'!$V$6:$V$505,0)),"")</f>
        <v/>
      </c>
      <c r="I67" s="38" t="str">
        <f aca="false">IFERROR(INDEX('Fund Research'!$L$6:$L$505,MATCH(62,'Fund Research'!$V$6:$V$505,0)),"")</f>
        <v/>
      </c>
      <c r="J67" s="36" t="str">
        <f aca="false">IFERROR(INDEX('Fund Research'!$N$6:$N$505,MATCH(62,'Fund Research'!$V$6:$V$505,0)),"")</f>
        <v/>
      </c>
      <c r="K67" s="36" t="str">
        <f aca="false">IFERROR(INDEX('Fund Research'!$P$6:$P$505,MATCH(62,'Fund Research'!$V$6:$V$505,0)),"")</f>
        <v/>
      </c>
      <c r="L67" s="34" t="str">
        <f aca="false">IFERROR(INDEX('Fund Research'!$S$6:$S$505,MATCH(62,'Fund Research'!$V$6:$V$505,0)),"")</f>
        <v/>
      </c>
      <c r="M67" s="34" t="str">
        <f aca="false">IFERROR(INDEX('Fund Research'!$T$6:$T$505,MATCH(62,'Fund Research'!$V$6:$V$505,0)),"")</f>
        <v/>
      </c>
    </row>
    <row r="68" customFormat="false" ht="15" hidden="false" customHeight="true" outlineLevel="0" collapsed="false">
      <c r="A68" s="33" t="str">
        <f aca="false">IFERROR(IF(INDEX('Fund Research'!$B$6:$B$505,MATCH(63,'Fund Research'!$V$6:$V$505,0))="","",63),"")</f>
        <v/>
      </c>
      <c r="B68" s="34" t="str">
        <f aca="false">IFERROR(INDEX('Fund Research'!$A$6:$A$505,MATCH(63,'Fund Research'!$V$6:$V$505,0)),"")</f>
        <v/>
      </c>
      <c r="C68" s="34" t="str">
        <f aca="false">IFERROR(INDEX('Fund Research'!$B$6:$B$505,MATCH(63,'Fund Research'!$V$6:$V$505,0)),"")</f>
        <v/>
      </c>
      <c r="D68" s="34" t="str">
        <f aca="false">IFERROR(INDEX('Fund Research'!$C$6:$C$505,MATCH(63,'Fund Research'!$V$6:$V$505,0)),"")</f>
        <v/>
      </c>
      <c r="E68" s="35" t="str">
        <f aca="false">IFERROR(INDEX('Fund Research'!$G$6:$G$505,MATCH(63,'Fund Research'!$V$6:$V$505,0)),"")</f>
        <v/>
      </c>
      <c r="F68" s="35" t="str">
        <f aca="false">IFERROR(INDEX('Fund Research'!$H$6:$H$505,MATCH(63,'Fund Research'!$V$6:$V$505,0)),"")</f>
        <v/>
      </c>
      <c r="G68" s="35" t="str">
        <f aca="false">IFERROR(INDEX('Fund Research'!$I$6:$I$505,MATCH(63,'Fund Research'!$V$6:$V$505,0)),"")</f>
        <v/>
      </c>
      <c r="H68" s="36" t="str">
        <f aca="false">IFERROR(INDEX('Fund Research'!$J$6:$J$505,MATCH(63,'Fund Research'!$V$6:$V$505,0)),"")</f>
        <v/>
      </c>
      <c r="I68" s="38" t="str">
        <f aca="false">IFERROR(INDEX('Fund Research'!$L$6:$L$505,MATCH(63,'Fund Research'!$V$6:$V$505,0)),"")</f>
        <v/>
      </c>
      <c r="J68" s="36" t="str">
        <f aca="false">IFERROR(INDEX('Fund Research'!$N$6:$N$505,MATCH(63,'Fund Research'!$V$6:$V$505,0)),"")</f>
        <v/>
      </c>
      <c r="K68" s="36" t="str">
        <f aca="false">IFERROR(INDEX('Fund Research'!$P$6:$P$505,MATCH(63,'Fund Research'!$V$6:$V$505,0)),"")</f>
        <v/>
      </c>
      <c r="L68" s="34" t="str">
        <f aca="false">IFERROR(INDEX('Fund Research'!$S$6:$S$505,MATCH(63,'Fund Research'!$V$6:$V$505,0)),"")</f>
        <v/>
      </c>
      <c r="M68" s="34" t="str">
        <f aca="false">IFERROR(INDEX('Fund Research'!$T$6:$T$505,MATCH(63,'Fund Research'!$V$6:$V$505,0)),"")</f>
        <v/>
      </c>
    </row>
    <row r="69" customFormat="false" ht="15" hidden="false" customHeight="true" outlineLevel="0" collapsed="false">
      <c r="A69" s="33" t="str">
        <f aca="false">IFERROR(IF(INDEX('Fund Research'!$B$6:$B$505,MATCH(64,'Fund Research'!$V$6:$V$505,0))="","",64),"")</f>
        <v/>
      </c>
      <c r="B69" s="34" t="str">
        <f aca="false">IFERROR(INDEX('Fund Research'!$A$6:$A$505,MATCH(64,'Fund Research'!$V$6:$V$505,0)),"")</f>
        <v/>
      </c>
      <c r="C69" s="34" t="str">
        <f aca="false">IFERROR(INDEX('Fund Research'!$B$6:$B$505,MATCH(64,'Fund Research'!$V$6:$V$505,0)),"")</f>
        <v/>
      </c>
      <c r="D69" s="34" t="str">
        <f aca="false">IFERROR(INDEX('Fund Research'!$C$6:$C$505,MATCH(64,'Fund Research'!$V$6:$V$505,0)),"")</f>
        <v/>
      </c>
      <c r="E69" s="35" t="str">
        <f aca="false">IFERROR(INDEX('Fund Research'!$G$6:$G$505,MATCH(64,'Fund Research'!$V$6:$V$505,0)),"")</f>
        <v/>
      </c>
      <c r="F69" s="35" t="str">
        <f aca="false">IFERROR(INDEX('Fund Research'!$H$6:$H$505,MATCH(64,'Fund Research'!$V$6:$V$505,0)),"")</f>
        <v/>
      </c>
      <c r="G69" s="35" t="str">
        <f aca="false">IFERROR(INDEX('Fund Research'!$I$6:$I$505,MATCH(64,'Fund Research'!$V$6:$V$505,0)),"")</f>
        <v/>
      </c>
      <c r="H69" s="36" t="str">
        <f aca="false">IFERROR(INDEX('Fund Research'!$J$6:$J$505,MATCH(64,'Fund Research'!$V$6:$V$505,0)),"")</f>
        <v/>
      </c>
      <c r="I69" s="38" t="str">
        <f aca="false">IFERROR(INDEX('Fund Research'!$L$6:$L$505,MATCH(64,'Fund Research'!$V$6:$V$505,0)),"")</f>
        <v/>
      </c>
      <c r="J69" s="36" t="str">
        <f aca="false">IFERROR(INDEX('Fund Research'!$N$6:$N$505,MATCH(64,'Fund Research'!$V$6:$V$505,0)),"")</f>
        <v/>
      </c>
      <c r="K69" s="36" t="str">
        <f aca="false">IFERROR(INDEX('Fund Research'!$P$6:$P$505,MATCH(64,'Fund Research'!$V$6:$V$505,0)),"")</f>
        <v/>
      </c>
      <c r="L69" s="34" t="str">
        <f aca="false">IFERROR(INDEX('Fund Research'!$S$6:$S$505,MATCH(64,'Fund Research'!$V$6:$V$505,0)),"")</f>
        <v/>
      </c>
      <c r="M69" s="34" t="str">
        <f aca="false">IFERROR(INDEX('Fund Research'!$T$6:$T$505,MATCH(64,'Fund Research'!$V$6:$V$505,0)),"")</f>
        <v/>
      </c>
    </row>
    <row r="70" customFormat="false" ht="15" hidden="false" customHeight="true" outlineLevel="0" collapsed="false">
      <c r="A70" s="33" t="str">
        <f aca="false">IFERROR(IF(INDEX('Fund Research'!$B$6:$B$505,MATCH(65,'Fund Research'!$V$6:$V$505,0))="","",65),"")</f>
        <v/>
      </c>
      <c r="B70" s="34" t="str">
        <f aca="false">IFERROR(INDEX('Fund Research'!$A$6:$A$505,MATCH(65,'Fund Research'!$V$6:$V$505,0)),"")</f>
        <v/>
      </c>
      <c r="C70" s="34" t="str">
        <f aca="false">IFERROR(INDEX('Fund Research'!$B$6:$B$505,MATCH(65,'Fund Research'!$V$6:$V$505,0)),"")</f>
        <v/>
      </c>
      <c r="D70" s="34" t="str">
        <f aca="false">IFERROR(INDEX('Fund Research'!$C$6:$C$505,MATCH(65,'Fund Research'!$V$6:$V$505,0)),"")</f>
        <v/>
      </c>
      <c r="E70" s="35" t="str">
        <f aca="false">IFERROR(INDEX('Fund Research'!$G$6:$G$505,MATCH(65,'Fund Research'!$V$6:$V$505,0)),"")</f>
        <v/>
      </c>
      <c r="F70" s="35" t="str">
        <f aca="false">IFERROR(INDEX('Fund Research'!$H$6:$H$505,MATCH(65,'Fund Research'!$V$6:$V$505,0)),"")</f>
        <v/>
      </c>
      <c r="G70" s="35" t="str">
        <f aca="false">IFERROR(INDEX('Fund Research'!$I$6:$I$505,MATCH(65,'Fund Research'!$V$6:$V$505,0)),"")</f>
        <v/>
      </c>
      <c r="H70" s="36" t="str">
        <f aca="false">IFERROR(INDEX('Fund Research'!$J$6:$J$505,MATCH(65,'Fund Research'!$V$6:$V$505,0)),"")</f>
        <v/>
      </c>
      <c r="I70" s="38" t="str">
        <f aca="false">IFERROR(INDEX('Fund Research'!$L$6:$L$505,MATCH(65,'Fund Research'!$V$6:$V$505,0)),"")</f>
        <v/>
      </c>
      <c r="J70" s="36" t="str">
        <f aca="false">IFERROR(INDEX('Fund Research'!$N$6:$N$505,MATCH(65,'Fund Research'!$V$6:$V$505,0)),"")</f>
        <v/>
      </c>
      <c r="K70" s="36" t="str">
        <f aca="false">IFERROR(INDEX('Fund Research'!$P$6:$P$505,MATCH(65,'Fund Research'!$V$6:$V$505,0)),"")</f>
        <v/>
      </c>
      <c r="L70" s="34" t="str">
        <f aca="false">IFERROR(INDEX('Fund Research'!$S$6:$S$505,MATCH(65,'Fund Research'!$V$6:$V$505,0)),"")</f>
        <v/>
      </c>
      <c r="M70" s="34" t="str">
        <f aca="false">IFERROR(INDEX('Fund Research'!$T$6:$T$505,MATCH(65,'Fund Research'!$V$6:$V$505,0)),"")</f>
        <v/>
      </c>
    </row>
    <row r="71" customFormat="false" ht="15" hidden="false" customHeight="true" outlineLevel="0" collapsed="false">
      <c r="A71" s="33" t="str">
        <f aca="false">IFERROR(IF(INDEX('Fund Research'!$B$6:$B$505,MATCH(66,'Fund Research'!$V$6:$V$505,0))="","",66),"")</f>
        <v/>
      </c>
      <c r="B71" s="34" t="str">
        <f aca="false">IFERROR(INDEX('Fund Research'!$A$6:$A$505,MATCH(66,'Fund Research'!$V$6:$V$505,0)),"")</f>
        <v/>
      </c>
      <c r="C71" s="34" t="str">
        <f aca="false">IFERROR(INDEX('Fund Research'!$B$6:$B$505,MATCH(66,'Fund Research'!$V$6:$V$505,0)),"")</f>
        <v/>
      </c>
      <c r="D71" s="34" t="str">
        <f aca="false">IFERROR(INDEX('Fund Research'!$C$6:$C$505,MATCH(66,'Fund Research'!$V$6:$V$505,0)),"")</f>
        <v/>
      </c>
      <c r="E71" s="35" t="str">
        <f aca="false">IFERROR(INDEX('Fund Research'!$G$6:$G$505,MATCH(66,'Fund Research'!$V$6:$V$505,0)),"")</f>
        <v/>
      </c>
      <c r="F71" s="35" t="str">
        <f aca="false">IFERROR(INDEX('Fund Research'!$H$6:$H$505,MATCH(66,'Fund Research'!$V$6:$V$505,0)),"")</f>
        <v/>
      </c>
      <c r="G71" s="35" t="str">
        <f aca="false">IFERROR(INDEX('Fund Research'!$I$6:$I$505,MATCH(66,'Fund Research'!$V$6:$V$505,0)),"")</f>
        <v/>
      </c>
      <c r="H71" s="36" t="str">
        <f aca="false">IFERROR(INDEX('Fund Research'!$J$6:$J$505,MATCH(66,'Fund Research'!$V$6:$V$505,0)),"")</f>
        <v/>
      </c>
      <c r="I71" s="38" t="str">
        <f aca="false">IFERROR(INDEX('Fund Research'!$L$6:$L$505,MATCH(66,'Fund Research'!$V$6:$V$505,0)),"")</f>
        <v/>
      </c>
      <c r="J71" s="36" t="str">
        <f aca="false">IFERROR(INDEX('Fund Research'!$N$6:$N$505,MATCH(66,'Fund Research'!$V$6:$V$505,0)),"")</f>
        <v/>
      </c>
      <c r="K71" s="36" t="str">
        <f aca="false">IFERROR(INDEX('Fund Research'!$P$6:$P$505,MATCH(66,'Fund Research'!$V$6:$V$505,0)),"")</f>
        <v/>
      </c>
      <c r="L71" s="34" t="str">
        <f aca="false">IFERROR(INDEX('Fund Research'!$S$6:$S$505,MATCH(66,'Fund Research'!$V$6:$V$505,0)),"")</f>
        <v/>
      </c>
      <c r="M71" s="34" t="str">
        <f aca="false">IFERROR(INDEX('Fund Research'!$T$6:$T$505,MATCH(66,'Fund Research'!$V$6:$V$505,0)),"")</f>
        <v/>
      </c>
    </row>
    <row r="72" customFormat="false" ht="15" hidden="false" customHeight="true" outlineLevel="0" collapsed="false">
      <c r="A72" s="33" t="str">
        <f aca="false">IFERROR(IF(INDEX('Fund Research'!$B$6:$B$505,MATCH(67,'Fund Research'!$V$6:$V$505,0))="","",67),"")</f>
        <v/>
      </c>
      <c r="B72" s="34" t="str">
        <f aca="false">IFERROR(INDEX('Fund Research'!$A$6:$A$505,MATCH(67,'Fund Research'!$V$6:$V$505,0)),"")</f>
        <v/>
      </c>
      <c r="C72" s="34" t="str">
        <f aca="false">IFERROR(INDEX('Fund Research'!$B$6:$B$505,MATCH(67,'Fund Research'!$V$6:$V$505,0)),"")</f>
        <v/>
      </c>
      <c r="D72" s="34" t="str">
        <f aca="false">IFERROR(INDEX('Fund Research'!$C$6:$C$505,MATCH(67,'Fund Research'!$V$6:$V$505,0)),"")</f>
        <v/>
      </c>
      <c r="E72" s="35" t="str">
        <f aca="false">IFERROR(INDEX('Fund Research'!$G$6:$G$505,MATCH(67,'Fund Research'!$V$6:$V$505,0)),"")</f>
        <v/>
      </c>
      <c r="F72" s="35" t="str">
        <f aca="false">IFERROR(INDEX('Fund Research'!$H$6:$H$505,MATCH(67,'Fund Research'!$V$6:$V$505,0)),"")</f>
        <v/>
      </c>
      <c r="G72" s="35" t="str">
        <f aca="false">IFERROR(INDEX('Fund Research'!$I$6:$I$505,MATCH(67,'Fund Research'!$V$6:$V$505,0)),"")</f>
        <v/>
      </c>
      <c r="H72" s="36" t="str">
        <f aca="false">IFERROR(INDEX('Fund Research'!$J$6:$J$505,MATCH(67,'Fund Research'!$V$6:$V$505,0)),"")</f>
        <v/>
      </c>
      <c r="I72" s="38" t="str">
        <f aca="false">IFERROR(INDEX('Fund Research'!$L$6:$L$505,MATCH(67,'Fund Research'!$V$6:$V$505,0)),"")</f>
        <v/>
      </c>
      <c r="J72" s="36" t="str">
        <f aca="false">IFERROR(INDEX('Fund Research'!$N$6:$N$505,MATCH(67,'Fund Research'!$V$6:$V$505,0)),"")</f>
        <v/>
      </c>
      <c r="K72" s="36" t="str">
        <f aca="false">IFERROR(INDEX('Fund Research'!$P$6:$P$505,MATCH(67,'Fund Research'!$V$6:$V$505,0)),"")</f>
        <v/>
      </c>
      <c r="L72" s="34" t="str">
        <f aca="false">IFERROR(INDEX('Fund Research'!$S$6:$S$505,MATCH(67,'Fund Research'!$V$6:$V$505,0)),"")</f>
        <v/>
      </c>
      <c r="M72" s="34" t="str">
        <f aca="false">IFERROR(INDEX('Fund Research'!$T$6:$T$505,MATCH(67,'Fund Research'!$V$6:$V$505,0)),"")</f>
        <v/>
      </c>
    </row>
    <row r="73" customFormat="false" ht="15" hidden="false" customHeight="true" outlineLevel="0" collapsed="false">
      <c r="A73" s="33" t="str">
        <f aca="false">IFERROR(IF(INDEX('Fund Research'!$B$6:$B$505,MATCH(68,'Fund Research'!$V$6:$V$505,0))="","",68),"")</f>
        <v/>
      </c>
      <c r="B73" s="34" t="str">
        <f aca="false">IFERROR(INDEX('Fund Research'!$A$6:$A$505,MATCH(68,'Fund Research'!$V$6:$V$505,0)),"")</f>
        <v/>
      </c>
      <c r="C73" s="34" t="str">
        <f aca="false">IFERROR(INDEX('Fund Research'!$B$6:$B$505,MATCH(68,'Fund Research'!$V$6:$V$505,0)),"")</f>
        <v/>
      </c>
      <c r="D73" s="34" t="str">
        <f aca="false">IFERROR(INDEX('Fund Research'!$C$6:$C$505,MATCH(68,'Fund Research'!$V$6:$V$505,0)),"")</f>
        <v/>
      </c>
      <c r="E73" s="35" t="str">
        <f aca="false">IFERROR(INDEX('Fund Research'!$G$6:$G$505,MATCH(68,'Fund Research'!$V$6:$V$505,0)),"")</f>
        <v/>
      </c>
      <c r="F73" s="35" t="str">
        <f aca="false">IFERROR(INDEX('Fund Research'!$H$6:$H$505,MATCH(68,'Fund Research'!$V$6:$V$505,0)),"")</f>
        <v/>
      </c>
      <c r="G73" s="35" t="str">
        <f aca="false">IFERROR(INDEX('Fund Research'!$I$6:$I$505,MATCH(68,'Fund Research'!$V$6:$V$505,0)),"")</f>
        <v/>
      </c>
      <c r="H73" s="36" t="str">
        <f aca="false">IFERROR(INDEX('Fund Research'!$J$6:$J$505,MATCH(68,'Fund Research'!$V$6:$V$505,0)),"")</f>
        <v/>
      </c>
      <c r="I73" s="38" t="str">
        <f aca="false">IFERROR(INDEX('Fund Research'!$L$6:$L$505,MATCH(68,'Fund Research'!$V$6:$V$505,0)),"")</f>
        <v/>
      </c>
      <c r="J73" s="36" t="str">
        <f aca="false">IFERROR(INDEX('Fund Research'!$N$6:$N$505,MATCH(68,'Fund Research'!$V$6:$V$505,0)),"")</f>
        <v/>
      </c>
      <c r="K73" s="36" t="str">
        <f aca="false">IFERROR(INDEX('Fund Research'!$P$6:$P$505,MATCH(68,'Fund Research'!$V$6:$V$505,0)),"")</f>
        <v/>
      </c>
      <c r="L73" s="34" t="str">
        <f aca="false">IFERROR(INDEX('Fund Research'!$S$6:$S$505,MATCH(68,'Fund Research'!$V$6:$V$505,0)),"")</f>
        <v/>
      </c>
      <c r="M73" s="34" t="str">
        <f aca="false">IFERROR(INDEX('Fund Research'!$T$6:$T$505,MATCH(68,'Fund Research'!$V$6:$V$505,0)),"")</f>
        <v/>
      </c>
    </row>
    <row r="74" customFormat="false" ht="15" hidden="false" customHeight="true" outlineLevel="0" collapsed="false">
      <c r="A74" s="33" t="str">
        <f aca="false">IFERROR(IF(INDEX('Fund Research'!$B$6:$B$505,MATCH(69,'Fund Research'!$V$6:$V$505,0))="","",69),"")</f>
        <v/>
      </c>
      <c r="B74" s="34" t="str">
        <f aca="false">IFERROR(INDEX('Fund Research'!$A$6:$A$505,MATCH(69,'Fund Research'!$V$6:$V$505,0)),"")</f>
        <v/>
      </c>
      <c r="C74" s="34" t="str">
        <f aca="false">IFERROR(INDEX('Fund Research'!$B$6:$B$505,MATCH(69,'Fund Research'!$V$6:$V$505,0)),"")</f>
        <v/>
      </c>
      <c r="D74" s="34" t="str">
        <f aca="false">IFERROR(INDEX('Fund Research'!$C$6:$C$505,MATCH(69,'Fund Research'!$V$6:$V$505,0)),"")</f>
        <v/>
      </c>
      <c r="E74" s="35" t="str">
        <f aca="false">IFERROR(INDEX('Fund Research'!$G$6:$G$505,MATCH(69,'Fund Research'!$V$6:$V$505,0)),"")</f>
        <v/>
      </c>
      <c r="F74" s="35" t="str">
        <f aca="false">IFERROR(INDEX('Fund Research'!$H$6:$H$505,MATCH(69,'Fund Research'!$V$6:$V$505,0)),"")</f>
        <v/>
      </c>
      <c r="G74" s="35" t="str">
        <f aca="false">IFERROR(INDEX('Fund Research'!$I$6:$I$505,MATCH(69,'Fund Research'!$V$6:$V$505,0)),"")</f>
        <v/>
      </c>
      <c r="H74" s="36" t="str">
        <f aca="false">IFERROR(INDEX('Fund Research'!$J$6:$J$505,MATCH(69,'Fund Research'!$V$6:$V$505,0)),"")</f>
        <v/>
      </c>
      <c r="I74" s="38" t="str">
        <f aca="false">IFERROR(INDEX('Fund Research'!$L$6:$L$505,MATCH(69,'Fund Research'!$V$6:$V$505,0)),"")</f>
        <v/>
      </c>
      <c r="J74" s="36" t="str">
        <f aca="false">IFERROR(INDEX('Fund Research'!$N$6:$N$505,MATCH(69,'Fund Research'!$V$6:$V$505,0)),"")</f>
        <v/>
      </c>
      <c r="K74" s="36" t="str">
        <f aca="false">IFERROR(INDEX('Fund Research'!$P$6:$P$505,MATCH(69,'Fund Research'!$V$6:$V$505,0)),"")</f>
        <v/>
      </c>
      <c r="L74" s="34" t="str">
        <f aca="false">IFERROR(INDEX('Fund Research'!$S$6:$S$505,MATCH(69,'Fund Research'!$V$6:$V$505,0)),"")</f>
        <v/>
      </c>
      <c r="M74" s="34" t="str">
        <f aca="false">IFERROR(INDEX('Fund Research'!$T$6:$T$505,MATCH(69,'Fund Research'!$V$6:$V$505,0)),"")</f>
        <v/>
      </c>
    </row>
    <row r="75" customFormat="false" ht="15" hidden="false" customHeight="true" outlineLevel="0" collapsed="false">
      <c r="A75" s="33" t="str">
        <f aca="false">IFERROR(IF(INDEX('Fund Research'!$B$6:$B$505,MATCH(70,'Fund Research'!$V$6:$V$505,0))="","",70),"")</f>
        <v/>
      </c>
      <c r="B75" s="34" t="str">
        <f aca="false">IFERROR(INDEX('Fund Research'!$A$6:$A$505,MATCH(70,'Fund Research'!$V$6:$V$505,0)),"")</f>
        <v/>
      </c>
      <c r="C75" s="34" t="str">
        <f aca="false">IFERROR(INDEX('Fund Research'!$B$6:$B$505,MATCH(70,'Fund Research'!$V$6:$V$505,0)),"")</f>
        <v/>
      </c>
      <c r="D75" s="34" t="str">
        <f aca="false">IFERROR(INDEX('Fund Research'!$C$6:$C$505,MATCH(70,'Fund Research'!$V$6:$V$505,0)),"")</f>
        <v/>
      </c>
      <c r="E75" s="35" t="str">
        <f aca="false">IFERROR(INDEX('Fund Research'!$G$6:$G$505,MATCH(70,'Fund Research'!$V$6:$V$505,0)),"")</f>
        <v/>
      </c>
      <c r="F75" s="35" t="str">
        <f aca="false">IFERROR(INDEX('Fund Research'!$H$6:$H$505,MATCH(70,'Fund Research'!$V$6:$V$505,0)),"")</f>
        <v/>
      </c>
      <c r="G75" s="35" t="str">
        <f aca="false">IFERROR(INDEX('Fund Research'!$I$6:$I$505,MATCH(70,'Fund Research'!$V$6:$V$505,0)),"")</f>
        <v/>
      </c>
      <c r="H75" s="36" t="str">
        <f aca="false">IFERROR(INDEX('Fund Research'!$J$6:$J$505,MATCH(70,'Fund Research'!$V$6:$V$505,0)),"")</f>
        <v/>
      </c>
      <c r="I75" s="38" t="str">
        <f aca="false">IFERROR(INDEX('Fund Research'!$L$6:$L$505,MATCH(70,'Fund Research'!$V$6:$V$505,0)),"")</f>
        <v/>
      </c>
      <c r="J75" s="36" t="str">
        <f aca="false">IFERROR(INDEX('Fund Research'!$N$6:$N$505,MATCH(70,'Fund Research'!$V$6:$V$505,0)),"")</f>
        <v/>
      </c>
      <c r="K75" s="36" t="str">
        <f aca="false">IFERROR(INDEX('Fund Research'!$P$6:$P$505,MATCH(70,'Fund Research'!$V$6:$V$505,0)),"")</f>
        <v/>
      </c>
      <c r="L75" s="34" t="str">
        <f aca="false">IFERROR(INDEX('Fund Research'!$S$6:$S$505,MATCH(70,'Fund Research'!$V$6:$V$505,0)),"")</f>
        <v/>
      </c>
      <c r="M75" s="34" t="str">
        <f aca="false">IFERROR(INDEX('Fund Research'!$T$6:$T$505,MATCH(70,'Fund Research'!$V$6:$V$505,0)),"")</f>
        <v/>
      </c>
    </row>
    <row r="76" customFormat="false" ht="15" hidden="false" customHeight="true" outlineLevel="0" collapsed="false">
      <c r="A76" s="33" t="str">
        <f aca="false">IFERROR(IF(INDEX('Fund Research'!$B$6:$B$505,MATCH(71,'Fund Research'!$V$6:$V$505,0))="","",71),"")</f>
        <v/>
      </c>
      <c r="B76" s="34" t="str">
        <f aca="false">IFERROR(INDEX('Fund Research'!$A$6:$A$505,MATCH(71,'Fund Research'!$V$6:$V$505,0)),"")</f>
        <v/>
      </c>
      <c r="C76" s="34" t="str">
        <f aca="false">IFERROR(INDEX('Fund Research'!$B$6:$B$505,MATCH(71,'Fund Research'!$V$6:$V$505,0)),"")</f>
        <v/>
      </c>
      <c r="D76" s="34" t="str">
        <f aca="false">IFERROR(INDEX('Fund Research'!$C$6:$C$505,MATCH(71,'Fund Research'!$V$6:$V$505,0)),"")</f>
        <v/>
      </c>
      <c r="E76" s="35" t="str">
        <f aca="false">IFERROR(INDEX('Fund Research'!$G$6:$G$505,MATCH(71,'Fund Research'!$V$6:$V$505,0)),"")</f>
        <v/>
      </c>
      <c r="F76" s="35" t="str">
        <f aca="false">IFERROR(INDEX('Fund Research'!$H$6:$H$505,MATCH(71,'Fund Research'!$V$6:$V$505,0)),"")</f>
        <v/>
      </c>
      <c r="G76" s="35" t="str">
        <f aca="false">IFERROR(INDEX('Fund Research'!$I$6:$I$505,MATCH(71,'Fund Research'!$V$6:$V$505,0)),"")</f>
        <v/>
      </c>
      <c r="H76" s="36" t="str">
        <f aca="false">IFERROR(INDEX('Fund Research'!$J$6:$J$505,MATCH(71,'Fund Research'!$V$6:$V$505,0)),"")</f>
        <v/>
      </c>
      <c r="I76" s="38" t="str">
        <f aca="false">IFERROR(INDEX('Fund Research'!$L$6:$L$505,MATCH(71,'Fund Research'!$V$6:$V$505,0)),"")</f>
        <v/>
      </c>
      <c r="J76" s="36" t="str">
        <f aca="false">IFERROR(INDEX('Fund Research'!$N$6:$N$505,MATCH(71,'Fund Research'!$V$6:$V$505,0)),"")</f>
        <v/>
      </c>
      <c r="K76" s="36" t="str">
        <f aca="false">IFERROR(INDEX('Fund Research'!$P$6:$P$505,MATCH(71,'Fund Research'!$V$6:$V$505,0)),"")</f>
        <v/>
      </c>
      <c r="L76" s="34" t="str">
        <f aca="false">IFERROR(INDEX('Fund Research'!$S$6:$S$505,MATCH(71,'Fund Research'!$V$6:$V$505,0)),"")</f>
        <v/>
      </c>
      <c r="M76" s="34" t="str">
        <f aca="false">IFERROR(INDEX('Fund Research'!$T$6:$T$505,MATCH(71,'Fund Research'!$V$6:$V$505,0)),"")</f>
        <v/>
      </c>
    </row>
    <row r="77" customFormat="false" ht="15" hidden="false" customHeight="true" outlineLevel="0" collapsed="false">
      <c r="A77" s="33" t="str">
        <f aca="false">IFERROR(IF(INDEX('Fund Research'!$B$6:$B$505,MATCH(72,'Fund Research'!$V$6:$V$505,0))="","",72),"")</f>
        <v/>
      </c>
      <c r="B77" s="34" t="str">
        <f aca="false">IFERROR(INDEX('Fund Research'!$A$6:$A$505,MATCH(72,'Fund Research'!$V$6:$V$505,0)),"")</f>
        <v/>
      </c>
      <c r="C77" s="34" t="str">
        <f aca="false">IFERROR(INDEX('Fund Research'!$B$6:$B$505,MATCH(72,'Fund Research'!$V$6:$V$505,0)),"")</f>
        <v/>
      </c>
      <c r="D77" s="34" t="str">
        <f aca="false">IFERROR(INDEX('Fund Research'!$C$6:$C$505,MATCH(72,'Fund Research'!$V$6:$V$505,0)),"")</f>
        <v/>
      </c>
      <c r="E77" s="35" t="str">
        <f aca="false">IFERROR(INDEX('Fund Research'!$G$6:$G$505,MATCH(72,'Fund Research'!$V$6:$V$505,0)),"")</f>
        <v/>
      </c>
      <c r="F77" s="35" t="str">
        <f aca="false">IFERROR(INDEX('Fund Research'!$H$6:$H$505,MATCH(72,'Fund Research'!$V$6:$V$505,0)),"")</f>
        <v/>
      </c>
      <c r="G77" s="35" t="str">
        <f aca="false">IFERROR(INDEX('Fund Research'!$I$6:$I$505,MATCH(72,'Fund Research'!$V$6:$V$505,0)),"")</f>
        <v/>
      </c>
      <c r="H77" s="36" t="str">
        <f aca="false">IFERROR(INDEX('Fund Research'!$J$6:$J$505,MATCH(72,'Fund Research'!$V$6:$V$505,0)),"")</f>
        <v/>
      </c>
      <c r="I77" s="38" t="str">
        <f aca="false">IFERROR(INDEX('Fund Research'!$L$6:$L$505,MATCH(72,'Fund Research'!$V$6:$V$505,0)),"")</f>
        <v/>
      </c>
      <c r="J77" s="36" t="str">
        <f aca="false">IFERROR(INDEX('Fund Research'!$N$6:$N$505,MATCH(72,'Fund Research'!$V$6:$V$505,0)),"")</f>
        <v/>
      </c>
      <c r="K77" s="36" t="str">
        <f aca="false">IFERROR(INDEX('Fund Research'!$P$6:$P$505,MATCH(72,'Fund Research'!$V$6:$V$505,0)),"")</f>
        <v/>
      </c>
      <c r="L77" s="34" t="str">
        <f aca="false">IFERROR(INDEX('Fund Research'!$S$6:$S$505,MATCH(72,'Fund Research'!$V$6:$V$505,0)),"")</f>
        <v/>
      </c>
      <c r="M77" s="34" t="str">
        <f aca="false">IFERROR(INDEX('Fund Research'!$T$6:$T$505,MATCH(72,'Fund Research'!$V$6:$V$505,0)),"")</f>
        <v/>
      </c>
    </row>
    <row r="78" customFormat="false" ht="15" hidden="false" customHeight="true" outlineLevel="0" collapsed="false">
      <c r="A78" s="33" t="str">
        <f aca="false">IFERROR(IF(INDEX('Fund Research'!$B$6:$B$505,MATCH(73,'Fund Research'!$V$6:$V$505,0))="","",73),"")</f>
        <v/>
      </c>
      <c r="B78" s="34" t="str">
        <f aca="false">IFERROR(INDEX('Fund Research'!$A$6:$A$505,MATCH(73,'Fund Research'!$V$6:$V$505,0)),"")</f>
        <v/>
      </c>
      <c r="C78" s="34" t="str">
        <f aca="false">IFERROR(INDEX('Fund Research'!$B$6:$B$505,MATCH(73,'Fund Research'!$V$6:$V$505,0)),"")</f>
        <v/>
      </c>
      <c r="D78" s="34" t="str">
        <f aca="false">IFERROR(INDEX('Fund Research'!$C$6:$C$505,MATCH(73,'Fund Research'!$V$6:$V$505,0)),"")</f>
        <v/>
      </c>
      <c r="E78" s="35" t="str">
        <f aca="false">IFERROR(INDEX('Fund Research'!$G$6:$G$505,MATCH(73,'Fund Research'!$V$6:$V$505,0)),"")</f>
        <v/>
      </c>
      <c r="F78" s="35" t="str">
        <f aca="false">IFERROR(INDEX('Fund Research'!$H$6:$H$505,MATCH(73,'Fund Research'!$V$6:$V$505,0)),"")</f>
        <v/>
      </c>
      <c r="G78" s="35" t="str">
        <f aca="false">IFERROR(INDEX('Fund Research'!$I$6:$I$505,MATCH(73,'Fund Research'!$V$6:$V$505,0)),"")</f>
        <v/>
      </c>
      <c r="H78" s="36" t="str">
        <f aca="false">IFERROR(INDEX('Fund Research'!$J$6:$J$505,MATCH(73,'Fund Research'!$V$6:$V$505,0)),"")</f>
        <v/>
      </c>
      <c r="I78" s="38" t="str">
        <f aca="false">IFERROR(INDEX('Fund Research'!$L$6:$L$505,MATCH(73,'Fund Research'!$V$6:$V$505,0)),"")</f>
        <v/>
      </c>
      <c r="J78" s="36" t="str">
        <f aca="false">IFERROR(INDEX('Fund Research'!$N$6:$N$505,MATCH(73,'Fund Research'!$V$6:$V$505,0)),"")</f>
        <v/>
      </c>
      <c r="K78" s="36" t="str">
        <f aca="false">IFERROR(INDEX('Fund Research'!$P$6:$P$505,MATCH(73,'Fund Research'!$V$6:$V$505,0)),"")</f>
        <v/>
      </c>
      <c r="L78" s="34" t="str">
        <f aca="false">IFERROR(INDEX('Fund Research'!$S$6:$S$505,MATCH(73,'Fund Research'!$V$6:$V$505,0)),"")</f>
        <v/>
      </c>
      <c r="M78" s="34" t="str">
        <f aca="false">IFERROR(INDEX('Fund Research'!$T$6:$T$505,MATCH(73,'Fund Research'!$V$6:$V$505,0)),"")</f>
        <v/>
      </c>
    </row>
    <row r="79" customFormat="false" ht="15" hidden="false" customHeight="true" outlineLevel="0" collapsed="false">
      <c r="A79" s="33" t="str">
        <f aca="false">IFERROR(IF(INDEX('Fund Research'!$B$6:$B$505,MATCH(74,'Fund Research'!$V$6:$V$505,0))="","",74),"")</f>
        <v/>
      </c>
      <c r="B79" s="34" t="str">
        <f aca="false">IFERROR(INDEX('Fund Research'!$A$6:$A$505,MATCH(74,'Fund Research'!$V$6:$V$505,0)),"")</f>
        <v/>
      </c>
      <c r="C79" s="34" t="str">
        <f aca="false">IFERROR(INDEX('Fund Research'!$B$6:$B$505,MATCH(74,'Fund Research'!$V$6:$V$505,0)),"")</f>
        <v/>
      </c>
      <c r="D79" s="34" t="str">
        <f aca="false">IFERROR(INDEX('Fund Research'!$C$6:$C$505,MATCH(74,'Fund Research'!$V$6:$V$505,0)),"")</f>
        <v/>
      </c>
      <c r="E79" s="35" t="str">
        <f aca="false">IFERROR(INDEX('Fund Research'!$G$6:$G$505,MATCH(74,'Fund Research'!$V$6:$V$505,0)),"")</f>
        <v/>
      </c>
      <c r="F79" s="35" t="str">
        <f aca="false">IFERROR(INDEX('Fund Research'!$H$6:$H$505,MATCH(74,'Fund Research'!$V$6:$V$505,0)),"")</f>
        <v/>
      </c>
      <c r="G79" s="35" t="str">
        <f aca="false">IFERROR(INDEX('Fund Research'!$I$6:$I$505,MATCH(74,'Fund Research'!$V$6:$V$505,0)),"")</f>
        <v/>
      </c>
      <c r="H79" s="36" t="str">
        <f aca="false">IFERROR(INDEX('Fund Research'!$J$6:$J$505,MATCH(74,'Fund Research'!$V$6:$V$505,0)),"")</f>
        <v/>
      </c>
      <c r="I79" s="38" t="str">
        <f aca="false">IFERROR(INDEX('Fund Research'!$L$6:$L$505,MATCH(74,'Fund Research'!$V$6:$V$505,0)),"")</f>
        <v/>
      </c>
      <c r="J79" s="36" t="str">
        <f aca="false">IFERROR(INDEX('Fund Research'!$N$6:$N$505,MATCH(74,'Fund Research'!$V$6:$V$505,0)),"")</f>
        <v/>
      </c>
      <c r="K79" s="36" t="str">
        <f aca="false">IFERROR(INDEX('Fund Research'!$P$6:$P$505,MATCH(74,'Fund Research'!$V$6:$V$505,0)),"")</f>
        <v/>
      </c>
      <c r="L79" s="34" t="str">
        <f aca="false">IFERROR(INDEX('Fund Research'!$S$6:$S$505,MATCH(74,'Fund Research'!$V$6:$V$505,0)),"")</f>
        <v/>
      </c>
      <c r="M79" s="34" t="str">
        <f aca="false">IFERROR(INDEX('Fund Research'!$T$6:$T$505,MATCH(74,'Fund Research'!$V$6:$V$505,0)),"")</f>
        <v/>
      </c>
    </row>
    <row r="80" customFormat="false" ht="15" hidden="false" customHeight="true" outlineLevel="0" collapsed="false">
      <c r="A80" s="33" t="str">
        <f aca="false">IFERROR(IF(INDEX('Fund Research'!$B$6:$B$505,MATCH(75,'Fund Research'!$V$6:$V$505,0))="","",75),"")</f>
        <v/>
      </c>
      <c r="B80" s="34" t="str">
        <f aca="false">IFERROR(INDEX('Fund Research'!$A$6:$A$505,MATCH(75,'Fund Research'!$V$6:$V$505,0)),"")</f>
        <v/>
      </c>
      <c r="C80" s="34" t="str">
        <f aca="false">IFERROR(INDEX('Fund Research'!$B$6:$B$505,MATCH(75,'Fund Research'!$V$6:$V$505,0)),"")</f>
        <v/>
      </c>
      <c r="D80" s="34" t="str">
        <f aca="false">IFERROR(INDEX('Fund Research'!$C$6:$C$505,MATCH(75,'Fund Research'!$V$6:$V$505,0)),"")</f>
        <v/>
      </c>
      <c r="E80" s="35" t="str">
        <f aca="false">IFERROR(INDEX('Fund Research'!$G$6:$G$505,MATCH(75,'Fund Research'!$V$6:$V$505,0)),"")</f>
        <v/>
      </c>
      <c r="F80" s="35" t="str">
        <f aca="false">IFERROR(INDEX('Fund Research'!$H$6:$H$505,MATCH(75,'Fund Research'!$V$6:$V$505,0)),"")</f>
        <v/>
      </c>
      <c r="G80" s="35" t="str">
        <f aca="false">IFERROR(INDEX('Fund Research'!$I$6:$I$505,MATCH(75,'Fund Research'!$V$6:$V$505,0)),"")</f>
        <v/>
      </c>
      <c r="H80" s="36" t="str">
        <f aca="false">IFERROR(INDEX('Fund Research'!$J$6:$J$505,MATCH(75,'Fund Research'!$V$6:$V$505,0)),"")</f>
        <v/>
      </c>
      <c r="I80" s="38" t="str">
        <f aca="false">IFERROR(INDEX('Fund Research'!$L$6:$L$505,MATCH(75,'Fund Research'!$V$6:$V$505,0)),"")</f>
        <v/>
      </c>
      <c r="J80" s="36" t="str">
        <f aca="false">IFERROR(INDEX('Fund Research'!$N$6:$N$505,MATCH(75,'Fund Research'!$V$6:$V$505,0)),"")</f>
        <v/>
      </c>
      <c r="K80" s="36" t="str">
        <f aca="false">IFERROR(INDEX('Fund Research'!$P$6:$P$505,MATCH(75,'Fund Research'!$V$6:$V$505,0)),"")</f>
        <v/>
      </c>
      <c r="L80" s="34" t="str">
        <f aca="false">IFERROR(INDEX('Fund Research'!$S$6:$S$505,MATCH(75,'Fund Research'!$V$6:$V$505,0)),"")</f>
        <v/>
      </c>
      <c r="M80" s="34" t="str">
        <f aca="false">IFERROR(INDEX('Fund Research'!$T$6:$T$505,MATCH(75,'Fund Research'!$V$6:$V$505,0)),"")</f>
        <v/>
      </c>
    </row>
    <row r="81" customFormat="false" ht="15" hidden="false" customHeight="true" outlineLevel="0" collapsed="false">
      <c r="A81" s="33" t="str">
        <f aca="false">IFERROR(IF(INDEX('Fund Research'!$B$6:$B$505,MATCH(76,'Fund Research'!$V$6:$V$505,0))="","",76),"")</f>
        <v/>
      </c>
      <c r="B81" s="34" t="str">
        <f aca="false">IFERROR(INDEX('Fund Research'!$A$6:$A$505,MATCH(76,'Fund Research'!$V$6:$V$505,0)),"")</f>
        <v/>
      </c>
      <c r="C81" s="34" t="str">
        <f aca="false">IFERROR(INDEX('Fund Research'!$B$6:$B$505,MATCH(76,'Fund Research'!$V$6:$V$505,0)),"")</f>
        <v/>
      </c>
      <c r="D81" s="34" t="str">
        <f aca="false">IFERROR(INDEX('Fund Research'!$C$6:$C$505,MATCH(76,'Fund Research'!$V$6:$V$505,0)),"")</f>
        <v/>
      </c>
      <c r="E81" s="35" t="str">
        <f aca="false">IFERROR(INDEX('Fund Research'!$G$6:$G$505,MATCH(76,'Fund Research'!$V$6:$V$505,0)),"")</f>
        <v/>
      </c>
      <c r="F81" s="35" t="str">
        <f aca="false">IFERROR(INDEX('Fund Research'!$H$6:$H$505,MATCH(76,'Fund Research'!$V$6:$V$505,0)),"")</f>
        <v/>
      </c>
      <c r="G81" s="35" t="str">
        <f aca="false">IFERROR(INDEX('Fund Research'!$I$6:$I$505,MATCH(76,'Fund Research'!$V$6:$V$505,0)),"")</f>
        <v/>
      </c>
      <c r="H81" s="36" t="str">
        <f aca="false">IFERROR(INDEX('Fund Research'!$J$6:$J$505,MATCH(76,'Fund Research'!$V$6:$V$505,0)),"")</f>
        <v/>
      </c>
      <c r="I81" s="38" t="str">
        <f aca="false">IFERROR(INDEX('Fund Research'!$L$6:$L$505,MATCH(76,'Fund Research'!$V$6:$V$505,0)),"")</f>
        <v/>
      </c>
      <c r="J81" s="36" t="str">
        <f aca="false">IFERROR(INDEX('Fund Research'!$N$6:$N$505,MATCH(76,'Fund Research'!$V$6:$V$505,0)),"")</f>
        <v/>
      </c>
      <c r="K81" s="36" t="str">
        <f aca="false">IFERROR(INDEX('Fund Research'!$P$6:$P$505,MATCH(76,'Fund Research'!$V$6:$V$505,0)),"")</f>
        <v/>
      </c>
      <c r="L81" s="34" t="str">
        <f aca="false">IFERROR(INDEX('Fund Research'!$S$6:$S$505,MATCH(76,'Fund Research'!$V$6:$V$505,0)),"")</f>
        <v/>
      </c>
      <c r="M81" s="34" t="str">
        <f aca="false">IFERROR(INDEX('Fund Research'!$T$6:$T$505,MATCH(76,'Fund Research'!$V$6:$V$505,0)),"")</f>
        <v/>
      </c>
    </row>
    <row r="82" customFormat="false" ht="15" hidden="false" customHeight="true" outlineLevel="0" collapsed="false">
      <c r="A82" s="33" t="str">
        <f aca="false">IFERROR(IF(INDEX('Fund Research'!$B$6:$B$505,MATCH(77,'Fund Research'!$V$6:$V$505,0))="","",77),"")</f>
        <v/>
      </c>
      <c r="B82" s="34" t="str">
        <f aca="false">IFERROR(INDEX('Fund Research'!$A$6:$A$505,MATCH(77,'Fund Research'!$V$6:$V$505,0)),"")</f>
        <v/>
      </c>
      <c r="C82" s="34" t="str">
        <f aca="false">IFERROR(INDEX('Fund Research'!$B$6:$B$505,MATCH(77,'Fund Research'!$V$6:$V$505,0)),"")</f>
        <v/>
      </c>
      <c r="D82" s="34" t="str">
        <f aca="false">IFERROR(INDEX('Fund Research'!$C$6:$C$505,MATCH(77,'Fund Research'!$V$6:$V$505,0)),"")</f>
        <v/>
      </c>
      <c r="E82" s="35" t="str">
        <f aca="false">IFERROR(INDEX('Fund Research'!$G$6:$G$505,MATCH(77,'Fund Research'!$V$6:$V$505,0)),"")</f>
        <v/>
      </c>
      <c r="F82" s="35" t="str">
        <f aca="false">IFERROR(INDEX('Fund Research'!$H$6:$H$505,MATCH(77,'Fund Research'!$V$6:$V$505,0)),"")</f>
        <v/>
      </c>
      <c r="G82" s="35" t="str">
        <f aca="false">IFERROR(INDEX('Fund Research'!$I$6:$I$505,MATCH(77,'Fund Research'!$V$6:$V$505,0)),"")</f>
        <v/>
      </c>
      <c r="H82" s="36" t="str">
        <f aca="false">IFERROR(INDEX('Fund Research'!$J$6:$J$505,MATCH(77,'Fund Research'!$V$6:$V$505,0)),"")</f>
        <v/>
      </c>
      <c r="I82" s="38" t="str">
        <f aca="false">IFERROR(INDEX('Fund Research'!$L$6:$L$505,MATCH(77,'Fund Research'!$V$6:$V$505,0)),"")</f>
        <v/>
      </c>
      <c r="J82" s="36" t="str">
        <f aca="false">IFERROR(INDEX('Fund Research'!$N$6:$N$505,MATCH(77,'Fund Research'!$V$6:$V$505,0)),"")</f>
        <v/>
      </c>
      <c r="K82" s="36" t="str">
        <f aca="false">IFERROR(INDEX('Fund Research'!$P$6:$P$505,MATCH(77,'Fund Research'!$V$6:$V$505,0)),"")</f>
        <v/>
      </c>
      <c r="L82" s="34" t="str">
        <f aca="false">IFERROR(INDEX('Fund Research'!$S$6:$S$505,MATCH(77,'Fund Research'!$V$6:$V$505,0)),"")</f>
        <v/>
      </c>
      <c r="M82" s="34" t="str">
        <f aca="false">IFERROR(INDEX('Fund Research'!$T$6:$T$505,MATCH(77,'Fund Research'!$V$6:$V$505,0)),"")</f>
        <v/>
      </c>
    </row>
    <row r="83" customFormat="false" ht="15" hidden="false" customHeight="true" outlineLevel="0" collapsed="false">
      <c r="A83" s="33" t="str">
        <f aca="false">IFERROR(IF(INDEX('Fund Research'!$B$6:$B$505,MATCH(78,'Fund Research'!$V$6:$V$505,0))="","",78),"")</f>
        <v/>
      </c>
      <c r="B83" s="34" t="str">
        <f aca="false">IFERROR(INDEX('Fund Research'!$A$6:$A$505,MATCH(78,'Fund Research'!$V$6:$V$505,0)),"")</f>
        <v/>
      </c>
      <c r="C83" s="34" t="str">
        <f aca="false">IFERROR(INDEX('Fund Research'!$B$6:$B$505,MATCH(78,'Fund Research'!$V$6:$V$505,0)),"")</f>
        <v/>
      </c>
      <c r="D83" s="34" t="str">
        <f aca="false">IFERROR(INDEX('Fund Research'!$C$6:$C$505,MATCH(78,'Fund Research'!$V$6:$V$505,0)),"")</f>
        <v/>
      </c>
      <c r="E83" s="35" t="str">
        <f aca="false">IFERROR(INDEX('Fund Research'!$G$6:$G$505,MATCH(78,'Fund Research'!$V$6:$V$505,0)),"")</f>
        <v/>
      </c>
      <c r="F83" s="35" t="str">
        <f aca="false">IFERROR(INDEX('Fund Research'!$H$6:$H$505,MATCH(78,'Fund Research'!$V$6:$V$505,0)),"")</f>
        <v/>
      </c>
      <c r="G83" s="35" t="str">
        <f aca="false">IFERROR(INDEX('Fund Research'!$I$6:$I$505,MATCH(78,'Fund Research'!$V$6:$V$505,0)),"")</f>
        <v/>
      </c>
      <c r="H83" s="36" t="str">
        <f aca="false">IFERROR(INDEX('Fund Research'!$J$6:$J$505,MATCH(78,'Fund Research'!$V$6:$V$505,0)),"")</f>
        <v/>
      </c>
      <c r="I83" s="38" t="str">
        <f aca="false">IFERROR(INDEX('Fund Research'!$L$6:$L$505,MATCH(78,'Fund Research'!$V$6:$V$505,0)),"")</f>
        <v/>
      </c>
      <c r="J83" s="36" t="str">
        <f aca="false">IFERROR(INDEX('Fund Research'!$N$6:$N$505,MATCH(78,'Fund Research'!$V$6:$V$505,0)),"")</f>
        <v/>
      </c>
      <c r="K83" s="36" t="str">
        <f aca="false">IFERROR(INDEX('Fund Research'!$P$6:$P$505,MATCH(78,'Fund Research'!$V$6:$V$505,0)),"")</f>
        <v/>
      </c>
      <c r="L83" s="34" t="str">
        <f aca="false">IFERROR(INDEX('Fund Research'!$S$6:$S$505,MATCH(78,'Fund Research'!$V$6:$V$505,0)),"")</f>
        <v/>
      </c>
      <c r="M83" s="34" t="str">
        <f aca="false">IFERROR(INDEX('Fund Research'!$T$6:$T$505,MATCH(78,'Fund Research'!$V$6:$V$505,0)),"")</f>
        <v/>
      </c>
    </row>
    <row r="84" customFormat="false" ht="15" hidden="false" customHeight="true" outlineLevel="0" collapsed="false">
      <c r="A84" s="33" t="str">
        <f aca="false">IFERROR(IF(INDEX('Fund Research'!$B$6:$B$505,MATCH(79,'Fund Research'!$V$6:$V$505,0))="","",79),"")</f>
        <v/>
      </c>
      <c r="B84" s="34" t="str">
        <f aca="false">IFERROR(INDEX('Fund Research'!$A$6:$A$505,MATCH(79,'Fund Research'!$V$6:$V$505,0)),"")</f>
        <v/>
      </c>
      <c r="C84" s="34" t="str">
        <f aca="false">IFERROR(INDEX('Fund Research'!$B$6:$B$505,MATCH(79,'Fund Research'!$V$6:$V$505,0)),"")</f>
        <v/>
      </c>
      <c r="D84" s="34" t="str">
        <f aca="false">IFERROR(INDEX('Fund Research'!$C$6:$C$505,MATCH(79,'Fund Research'!$V$6:$V$505,0)),"")</f>
        <v/>
      </c>
      <c r="E84" s="35" t="str">
        <f aca="false">IFERROR(INDEX('Fund Research'!$G$6:$G$505,MATCH(79,'Fund Research'!$V$6:$V$505,0)),"")</f>
        <v/>
      </c>
      <c r="F84" s="35" t="str">
        <f aca="false">IFERROR(INDEX('Fund Research'!$H$6:$H$505,MATCH(79,'Fund Research'!$V$6:$V$505,0)),"")</f>
        <v/>
      </c>
      <c r="G84" s="35" t="str">
        <f aca="false">IFERROR(INDEX('Fund Research'!$I$6:$I$505,MATCH(79,'Fund Research'!$V$6:$V$505,0)),"")</f>
        <v/>
      </c>
      <c r="H84" s="36" t="str">
        <f aca="false">IFERROR(INDEX('Fund Research'!$J$6:$J$505,MATCH(79,'Fund Research'!$V$6:$V$505,0)),"")</f>
        <v/>
      </c>
      <c r="I84" s="38" t="str">
        <f aca="false">IFERROR(INDEX('Fund Research'!$L$6:$L$505,MATCH(79,'Fund Research'!$V$6:$V$505,0)),"")</f>
        <v/>
      </c>
      <c r="J84" s="36" t="str">
        <f aca="false">IFERROR(INDEX('Fund Research'!$N$6:$N$505,MATCH(79,'Fund Research'!$V$6:$V$505,0)),"")</f>
        <v/>
      </c>
      <c r="K84" s="36" t="str">
        <f aca="false">IFERROR(INDEX('Fund Research'!$P$6:$P$505,MATCH(79,'Fund Research'!$V$6:$V$505,0)),"")</f>
        <v/>
      </c>
      <c r="L84" s="34" t="str">
        <f aca="false">IFERROR(INDEX('Fund Research'!$S$6:$S$505,MATCH(79,'Fund Research'!$V$6:$V$505,0)),"")</f>
        <v/>
      </c>
      <c r="M84" s="34" t="str">
        <f aca="false">IFERROR(INDEX('Fund Research'!$T$6:$T$505,MATCH(79,'Fund Research'!$V$6:$V$505,0)),"")</f>
        <v/>
      </c>
    </row>
    <row r="85" customFormat="false" ht="15" hidden="false" customHeight="true" outlineLevel="0" collapsed="false">
      <c r="A85" s="33" t="str">
        <f aca="false">IFERROR(IF(INDEX('Fund Research'!$B$6:$B$505,MATCH(80,'Fund Research'!$V$6:$V$505,0))="","",80),"")</f>
        <v/>
      </c>
      <c r="B85" s="34" t="str">
        <f aca="false">IFERROR(INDEX('Fund Research'!$A$6:$A$505,MATCH(80,'Fund Research'!$V$6:$V$505,0)),"")</f>
        <v/>
      </c>
      <c r="C85" s="34" t="str">
        <f aca="false">IFERROR(INDEX('Fund Research'!$B$6:$B$505,MATCH(80,'Fund Research'!$V$6:$V$505,0)),"")</f>
        <v/>
      </c>
      <c r="D85" s="34" t="str">
        <f aca="false">IFERROR(INDEX('Fund Research'!$C$6:$C$505,MATCH(80,'Fund Research'!$V$6:$V$505,0)),"")</f>
        <v/>
      </c>
      <c r="E85" s="35" t="str">
        <f aca="false">IFERROR(INDEX('Fund Research'!$G$6:$G$505,MATCH(80,'Fund Research'!$V$6:$V$505,0)),"")</f>
        <v/>
      </c>
      <c r="F85" s="35" t="str">
        <f aca="false">IFERROR(INDEX('Fund Research'!$H$6:$H$505,MATCH(80,'Fund Research'!$V$6:$V$505,0)),"")</f>
        <v/>
      </c>
      <c r="G85" s="35" t="str">
        <f aca="false">IFERROR(INDEX('Fund Research'!$I$6:$I$505,MATCH(80,'Fund Research'!$V$6:$V$505,0)),"")</f>
        <v/>
      </c>
      <c r="H85" s="36" t="str">
        <f aca="false">IFERROR(INDEX('Fund Research'!$J$6:$J$505,MATCH(80,'Fund Research'!$V$6:$V$505,0)),"")</f>
        <v/>
      </c>
      <c r="I85" s="38" t="str">
        <f aca="false">IFERROR(INDEX('Fund Research'!$L$6:$L$505,MATCH(80,'Fund Research'!$V$6:$V$505,0)),"")</f>
        <v/>
      </c>
      <c r="J85" s="36" t="str">
        <f aca="false">IFERROR(INDEX('Fund Research'!$N$6:$N$505,MATCH(80,'Fund Research'!$V$6:$V$505,0)),"")</f>
        <v/>
      </c>
      <c r="K85" s="36" t="str">
        <f aca="false">IFERROR(INDEX('Fund Research'!$P$6:$P$505,MATCH(80,'Fund Research'!$V$6:$V$505,0)),"")</f>
        <v/>
      </c>
      <c r="L85" s="34" t="str">
        <f aca="false">IFERROR(INDEX('Fund Research'!$S$6:$S$505,MATCH(80,'Fund Research'!$V$6:$V$505,0)),"")</f>
        <v/>
      </c>
      <c r="M85" s="34" t="str">
        <f aca="false">IFERROR(INDEX('Fund Research'!$T$6:$T$505,MATCH(80,'Fund Research'!$V$6:$V$505,0)),"")</f>
        <v/>
      </c>
    </row>
    <row r="86" customFormat="false" ht="15" hidden="false" customHeight="true" outlineLevel="0" collapsed="false">
      <c r="A86" s="33" t="str">
        <f aca="false">IFERROR(IF(INDEX('Fund Research'!$B$6:$B$505,MATCH(81,'Fund Research'!$V$6:$V$505,0))="","",81),"")</f>
        <v/>
      </c>
      <c r="B86" s="34" t="str">
        <f aca="false">IFERROR(INDEX('Fund Research'!$A$6:$A$505,MATCH(81,'Fund Research'!$V$6:$V$505,0)),"")</f>
        <v/>
      </c>
      <c r="C86" s="34" t="str">
        <f aca="false">IFERROR(INDEX('Fund Research'!$B$6:$B$505,MATCH(81,'Fund Research'!$V$6:$V$505,0)),"")</f>
        <v/>
      </c>
      <c r="D86" s="34" t="str">
        <f aca="false">IFERROR(INDEX('Fund Research'!$C$6:$C$505,MATCH(81,'Fund Research'!$V$6:$V$505,0)),"")</f>
        <v/>
      </c>
      <c r="E86" s="35" t="str">
        <f aca="false">IFERROR(INDEX('Fund Research'!$G$6:$G$505,MATCH(81,'Fund Research'!$V$6:$V$505,0)),"")</f>
        <v/>
      </c>
      <c r="F86" s="35" t="str">
        <f aca="false">IFERROR(INDEX('Fund Research'!$H$6:$H$505,MATCH(81,'Fund Research'!$V$6:$V$505,0)),"")</f>
        <v/>
      </c>
      <c r="G86" s="35" t="str">
        <f aca="false">IFERROR(INDEX('Fund Research'!$I$6:$I$505,MATCH(81,'Fund Research'!$V$6:$V$505,0)),"")</f>
        <v/>
      </c>
      <c r="H86" s="36" t="str">
        <f aca="false">IFERROR(INDEX('Fund Research'!$J$6:$J$505,MATCH(81,'Fund Research'!$V$6:$V$505,0)),"")</f>
        <v/>
      </c>
      <c r="I86" s="38" t="str">
        <f aca="false">IFERROR(INDEX('Fund Research'!$L$6:$L$505,MATCH(81,'Fund Research'!$V$6:$V$505,0)),"")</f>
        <v/>
      </c>
      <c r="J86" s="36" t="str">
        <f aca="false">IFERROR(INDEX('Fund Research'!$N$6:$N$505,MATCH(81,'Fund Research'!$V$6:$V$505,0)),"")</f>
        <v/>
      </c>
      <c r="K86" s="36" t="str">
        <f aca="false">IFERROR(INDEX('Fund Research'!$P$6:$P$505,MATCH(81,'Fund Research'!$V$6:$V$505,0)),"")</f>
        <v/>
      </c>
      <c r="L86" s="34" t="str">
        <f aca="false">IFERROR(INDEX('Fund Research'!$S$6:$S$505,MATCH(81,'Fund Research'!$V$6:$V$505,0)),"")</f>
        <v/>
      </c>
      <c r="M86" s="34" t="str">
        <f aca="false">IFERROR(INDEX('Fund Research'!$T$6:$T$505,MATCH(81,'Fund Research'!$V$6:$V$505,0)),"")</f>
        <v/>
      </c>
    </row>
    <row r="87" customFormat="false" ht="15" hidden="false" customHeight="true" outlineLevel="0" collapsed="false">
      <c r="A87" s="33" t="str">
        <f aca="false">IFERROR(IF(INDEX('Fund Research'!$B$6:$B$505,MATCH(82,'Fund Research'!$V$6:$V$505,0))="","",82),"")</f>
        <v/>
      </c>
      <c r="B87" s="34" t="str">
        <f aca="false">IFERROR(INDEX('Fund Research'!$A$6:$A$505,MATCH(82,'Fund Research'!$V$6:$V$505,0)),"")</f>
        <v/>
      </c>
      <c r="C87" s="34" t="str">
        <f aca="false">IFERROR(INDEX('Fund Research'!$B$6:$B$505,MATCH(82,'Fund Research'!$V$6:$V$505,0)),"")</f>
        <v/>
      </c>
      <c r="D87" s="34" t="str">
        <f aca="false">IFERROR(INDEX('Fund Research'!$C$6:$C$505,MATCH(82,'Fund Research'!$V$6:$V$505,0)),"")</f>
        <v/>
      </c>
      <c r="E87" s="35" t="str">
        <f aca="false">IFERROR(INDEX('Fund Research'!$G$6:$G$505,MATCH(82,'Fund Research'!$V$6:$V$505,0)),"")</f>
        <v/>
      </c>
      <c r="F87" s="35" t="str">
        <f aca="false">IFERROR(INDEX('Fund Research'!$H$6:$H$505,MATCH(82,'Fund Research'!$V$6:$V$505,0)),"")</f>
        <v/>
      </c>
      <c r="G87" s="35" t="str">
        <f aca="false">IFERROR(INDEX('Fund Research'!$I$6:$I$505,MATCH(82,'Fund Research'!$V$6:$V$505,0)),"")</f>
        <v/>
      </c>
      <c r="H87" s="36" t="str">
        <f aca="false">IFERROR(INDEX('Fund Research'!$J$6:$J$505,MATCH(82,'Fund Research'!$V$6:$V$505,0)),"")</f>
        <v/>
      </c>
      <c r="I87" s="38" t="str">
        <f aca="false">IFERROR(INDEX('Fund Research'!$L$6:$L$505,MATCH(82,'Fund Research'!$V$6:$V$505,0)),"")</f>
        <v/>
      </c>
      <c r="J87" s="36" t="str">
        <f aca="false">IFERROR(INDEX('Fund Research'!$N$6:$N$505,MATCH(82,'Fund Research'!$V$6:$V$505,0)),"")</f>
        <v/>
      </c>
      <c r="K87" s="36" t="str">
        <f aca="false">IFERROR(INDEX('Fund Research'!$P$6:$P$505,MATCH(82,'Fund Research'!$V$6:$V$505,0)),"")</f>
        <v/>
      </c>
      <c r="L87" s="34" t="str">
        <f aca="false">IFERROR(INDEX('Fund Research'!$S$6:$S$505,MATCH(82,'Fund Research'!$V$6:$V$505,0)),"")</f>
        <v/>
      </c>
      <c r="M87" s="34" t="str">
        <f aca="false">IFERROR(INDEX('Fund Research'!$T$6:$T$505,MATCH(82,'Fund Research'!$V$6:$V$505,0)),"")</f>
        <v/>
      </c>
    </row>
    <row r="88" customFormat="false" ht="15" hidden="false" customHeight="true" outlineLevel="0" collapsed="false">
      <c r="A88" s="33" t="str">
        <f aca="false">IFERROR(IF(INDEX('Fund Research'!$B$6:$B$505,MATCH(83,'Fund Research'!$V$6:$V$505,0))="","",83),"")</f>
        <v/>
      </c>
      <c r="B88" s="34" t="str">
        <f aca="false">IFERROR(INDEX('Fund Research'!$A$6:$A$505,MATCH(83,'Fund Research'!$V$6:$V$505,0)),"")</f>
        <v/>
      </c>
      <c r="C88" s="34" t="str">
        <f aca="false">IFERROR(INDEX('Fund Research'!$B$6:$B$505,MATCH(83,'Fund Research'!$V$6:$V$505,0)),"")</f>
        <v/>
      </c>
      <c r="D88" s="34" t="str">
        <f aca="false">IFERROR(INDEX('Fund Research'!$C$6:$C$505,MATCH(83,'Fund Research'!$V$6:$V$505,0)),"")</f>
        <v/>
      </c>
      <c r="E88" s="35" t="str">
        <f aca="false">IFERROR(INDEX('Fund Research'!$G$6:$G$505,MATCH(83,'Fund Research'!$V$6:$V$505,0)),"")</f>
        <v/>
      </c>
      <c r="F88" s="35" t="str">
        <f aca="false">IFERROR(INDEX('Fund Research'!$H$6:$H$505,MATCH(83,'Fund Research'!$V$6:$V$505,0)),"")</f>
        <v/>
      </c>
      <c r="G88" s="35" t="str">
        <f aca="false">IFERROR(INDEX('Fund Research'!$I$6:$I$505,MATCH(83,'Fund Research'!$V$6:$V$505,0)),"")</f>
        <v/>
      </c>
      <c r="H88" s="36" t="str">
        <f aca="false">IFERROR(INDEX('Fund Research'!$J$6:$J$505,MATCH(83,'Fund Research'!$V$6:$V$505,0)),"")</f>
        <v/>
      </c>
      <c r="I88" s="38" t="str">
        <f aca="false">IFERROR(INDEX('Fund Research'!$L$6:$L$505,MATCH(83,'Fund Research'!$V$6:$V$505,0)),"")</f>
        <v/>
      </c>
      <c r="J88" s="36" t="str">
        <f aca="false">IFERROR(INDEX('Fund Research'!$N$6:$N$505,MATCH(83,'Fund Research'!$V$6:$V$505,0)),"")</f>
        <v/>
      </c>
      <c r="K88" s="36" t="str">
        <f aca="false">IFERROR(INDEX('Fund Research'!$P$6:$P$505,MATCH(83,'Fund Research'!$V$6:$V$505,0)),"")</f>
        <v/>
      </c>
      <c r="L88" s="34" t="str">
        <f aca="false">IFERROR(INDEX('Fund Research'!$S$6:$S$505,MATCH(83,'Fund Research'!$V$6:$V$505,0)),"")</f>
        <v/>
      </c>
      <c r="M88" s="34" t="str">
        <f aca="false">IFERROR(INDEX('Fund Research'!$T$6:$T$505,MATCH(83,'Fund Research'!$V$6:$V$505,0)),"")</f>
        <v/>
      </c>
    </row>
    <row r="89" customFormat="false" ht="15" hidden="false" customHeight="true" outlineLevel="0" collapsed="false">
      <c r="A89" s="33" t="str">
        <f aca="false">IFERROR(IF(INDEX('Fund Research'!$B$6:$B$505,MATCH(84,'Fund Research'!$V$6:$V$505,0))="","",84),"")</f>
        <v/>
      </c>
      <c r="B89" s="34" t="str">
        <f aca="false">IFERROR(INDEX('Fund Research'!$A$6:$A$505,MATCH(84,'Fund Research'!$V$6:$V$505,0)),"")</f>
        <v/>
      </c>
      <c r="C89" s="34" t="str">
        <f aca="false">IFERROR(INDEX('Fund Research'!$B$6:$B$505,MATCH(84,'Fund Research'!$V$6:$V$505,0)),"")</f>
        <v/>
      </c>
      <c r="D89" s="34" t="str">
        <f aca="false">IFERROR(INDEX('Fund Research'!$C$6:$C$505,MATCH(84,'Fund Research'!$V$6:$V$505,0)),"")</f>
        <v/>
      </c>
      <c r="E89" s="35" t="str">
        <f aca="false">IFERROR(INDEX('Fund Research'!$G$6:$G$505,MATCH(84,'Fund Research'!$V$6:$V$505,0)),"")</f>
        <v/>
      </c>
      <c r="F89" s="35" t="str">
        <f aca="false">IFERROR(INDEX('Fund Research'!$H$6:$H$505,MATCH(84,'Fund Research'!$V$6:$V$505,0)),"")</f>
        <v/>
      </c>
      <c r="G89" s="35" t="str">
        <f aca="false">IFERROR(INDEX('Fund Research'!$I$6:$I$505,MATCH(84,'Fund Research'!$V$6:$V$505,0)),"")</f>
        <v/>
      </c>
      <c r="H89" s="36" t="str">
        <f aca="false">IFERROR(INDEX('Fund Research'!$J$6:$J$505,MATCH(84,'Fund Research'!$V$6:$V$505,0)),"")</f>
        <v/>
      </c>
      <c r="I89" s="38" t="str">
        <f aca="false">IFERROR(INDEX('Fund Research'!$L$6:$L$505,MATCH(84,'Fund Research'!$V$6:$V$505,0)),"")</f>
        <v/>
      </c>
      <c r="J89" s="36" t="str">
        <f aca="false">IFERROR(INDEX('Fund Research'!$N$6:$N$505,MATCH(84,'Fund Research'!$V$6:$V$505,0)),"")</f>
        <v/>
      </c>
      <c r="K89" s="36" t="str">
        <f aca="false">IFERROR(INDEX('Fund Research'!$P$6:$P$505,MATCH(84,'Fund Research'!$V$6:$V$505,0)),"")</f>
        <v/>
      </c>
      <c r="L89" s="34" t="str">
        <f aca="false">IFERROR(INDEX('Fund Research'!$S$6:$S$505,MATCH(84,'Fund Research'!$V$6:$V$505,0)),"")</f>
        <v/>
      </c>
      <c r="M89" s="34" t="str">
        <f aca="false">IFERROR(INDEX('Fund Research'!$T$6:$T$505,MATCH(84,'Fund Research'!$V$6:$V$505,0)),"")</f>
        <v/>
      </c>
    </row>
    <row r="90" customFormat="false" ht="15" hidden="false" customHeight="true" outlineLevel="0" collapsed="false">
      <c r="A90" s="33" t="str">
        <f aca="false">IFERROR(IF(INDEX('Fund Research'!$B$6:$B$505,MATCH(85,'Fund Research'!$V$6:$V$505,0))="","",85),"")</f>
        <v/>
      </c>
      <c r="B90" s="34" t="str">
        <f aca="false">IFERROR(INDEX('Fund Research'!$A$6:$A$505,MATCH(85,'Fund Research'!$V$6:$V$505,0)),"")</f>
        <v/>
      </c>
      <c r="C90" s="34" t="str">
        <f aca="false">IFERROR(INDEX('Fund Research'!$B$6:$B$505,MATCH(85,'Fund Research'!$V$6:$V$505,0)),"")</f>
        <v/>
      </c>
      <c r="D90" s="34" t="str">
        <f aca="false">IFERROR(INDEX('Fund Research'!$C$6:$C$505,MATCH(85,'Fund Research'!$V$6:$V$505,0)),"")</f>
        <v/>
      </c>
      <c r="E90" s="35" t="str">
        <f aca="false">IFERROR(INDEX('Fund Research'!$G$6:$G$505,MATCH(85,'Fund Research'!$V$6:$V$505,0)),"")</f>
        <v/>
      </c>
      <c r="F90" s="35" t="str">
        <f aca="false">IFERROR(INDEX('Fund Research'!$H$6:$H$505,MATCH(85,'Fund Research'!$V$6:$V$505,0)),"")</f>
        <v/>
      </c>
      <c r="G90" s="35" t="str">
        <f aca="false">IFERROR(INDEX('Fund Research'!$I$6:$I$505,MATCH(85,'Fund Research'!$V$6:$V$505,0)),"")</f>
        <v/>
      </c>
      <c r="H90" s="36" t="str">
        <f aca="false">IFERROR(INDEX('Fund Research'!$J$6:$J$505,MATCH(85,'Fund Research'!$V$6:$V$505,0)),"")</f>
        <v/>
      </c>
      <c r="I90" s="38" t="str">
        <f aca="false">IFERROR(INDEX('Fund Research'!$L$6:$L$505,MATCH(85,'Fund Research'!$V$6:$V$505,0)),"")</f>
        <v/>
      </c>
      <c r="J90" s="36" t="str">
        <f aca="false">IFERROR(INDEX('Fund Research'!$N$6:$N$505,MATCH(85,'Fund Research'!$V$6:$V$505,0)),"")</f>
        <v/>
      </c>
      <c r="K90" s="36" t="str">
        <f aca="false">IFERROR(INDEX('Fund Research'!$P$6:$P$505,MATCH(85,'Fund Research'!$V$6:$V$505,0)),"")</f>
        <v/>
      </c>
      <c r="L90" s="34" t="str">
        <f aca="false">IFERROR(INDEX('Fund Research'!$S$6:$S$505,MATCH(85,'Fund Research'!$V$6:$V$505,0)),"")</f>
        <v/>
      </c>
      <c r="M90" s="34" t="str">
        <f aca="false">IFERROR(INDEX('Fund Research'!$T$6:$T$505,MATCH(85,'Fund Research'!$V$6:$V$505,0)),"")</f>
        <v/>
      </c>
    </row>
    <row r="91" customFormat="false" ht="15" hidden="false" customHeight="true" outlineLevel="0" collapsed="false">
      <c r="A91" s="33" t="str">
        <f aca="false">IFERROR(IF(INDEX('Fund Research'!$B$6:$B$505,MATCH(86,'Fund Research'!$V$6:$V$505,0))="","",86),"")</f>
        <v/>
      </c>
      <c r="B91" s="34" t="str">
        <f aca="false">IFERROR(INDEX('Fund Research'!$A$6:$A$505,MATCH(86,'Fund Research'!$V$6:$V$505,0)),"")</f>
        <v/>
      </c>
      <c r="C91" s="34" t="str">
        <f aca="false">IFERROR(INDEX('Fund Research'!$B$6:$B$505,MATCH(86,'Fund Research'!$V$6:$V$505,0)),"")</f>
        <v/>
      </c>
      <c r="D91" s="34" t="str">
        <f aca="false">IFERROR(INDEX('Fund Research'!$C$6:$C$505,MATCH(86,'Fund Research'!$V$6:$V$505,0)),"")</f>
        <v/>
      </c>
      <c r="E91" s="35" t="str">
        <f aca="false">IFERROR(INDEX('Fund Research'!$G$6:$G$505,MATCH(86,'Fund Research'!$V$6:$V$505,0)),"")</f>
        <v/>
      </c>
      <c r="F91" s="35" t="str">
        <f aca="false">IFERROR(INDEX('Fund Research'!$H$6:$H$505,MATCH(86,'Fund Research'!$V$6:$V$505,0)),"")</f>
        <v/>
      </c>
      <c r="G91" s="35" t="str">
        <f aca="false">IFERROR(INDEX('Fund Research'!$I$6:$I$505,MATCH(86,'Fund Research'!$V$6:$V$505,0)),"")</f>
        <v/>
      </c>
      <c r="H91" s="36" t="str">
        <f aca="false">IFERROR(INDEX('Fund Research'!$J$6:$J$505,MATCH(86,'Fund Research'!$V$6:$V$505,0)),"")</f>
        <v/>
      </c>
      <c r="I91" s="38" t="str">
        <f aca="false">IFERROR(INDEX('Fund Research'!$L$6:$L$505,MATCH(86,'Fund Research'!$V$6:$V$505,0)),"")</f>
        <v/>
      </c>
      <c r="J91" s="36" t="str">
        <f aca="false">IFERROR(INDEX('Fund Research'!$N$6:$N$505,MATCH(86,'Fund Research'!$V$6:$V$505,0)),"")</f>
        <v/>
      </c>
      <c r="K91" s="36" t="str">
        <f aca="false">IFERROR(INDEX('Fund Research'!$P$6:$P$505,MATCH(86,'Fund Research'!$V$6:$V$505,0)),"")</f>
        <v/>
      </c>
      <c r="L91" s="34" t="str">
        <f aca="false">IFERROR(INDEX('Fund Research'!$S$6:$S$505,MATCH(86,'Fund Research'!$V$6:$V$505,0)),"")</f>
        <v/>
      </c>
      <c r="M91" s="34" t="str">
        <f aca="false">IFERROR(INDEX('Fund Research'!$T$6:$T$505,MATCH(86,'Fund Research'!$V$6:$V$505,0)),"")</f>
        <v/>
      </c>
    </row>
    <row r="92" customFormat="false" ht="15" hidden="false" customHeight="true" outlineLevel="0" collapsed="false">
      <c r="A92" s="33" t="str">
        <f aca="false">IFERROR(IF(INDEX('Fund Research'!$B$6:$B$505,MATCH(87,'Fund Research'!$V$6:$V$505,0))="","",87),"")</f>
        <v/>
      </c>
      <c r="B92" s="34" t="str">
        <f aca="false">IFERROR(INDEX('Fund Research'!$A$6:$A$505,MATCH(87,'Fund Research'!$V$6:$V$505,0)),"")</f>
        <v/>
      </c>
      <c r="C92" s="34" t="str">
        <f aca="false">IFERROR(INDEX('Fund Research'!$B$6:$B$505,MATCH(87,'Fund Research'!$V$6:$V$505,0)),"")</f>
        <v/>
      </c>
      <c r="D92" s="34" t="str">
        <f aca="false">IFERROR(INDEX('Fund Research'!$C$6:$C$505,MATCH(87,'Fund Research'!$V$6:$V$505,0)),"")</f>
        <v/>
      </c>
      <c r="E92" s="35" t="str">
        <f aca="false">IFERROR(INDEX('Fund Research'!$G$6:$G$505,MATCH(87,'Fund Research'!$V$6:$V$505,0)),"")</f>
        <v/>
      </c>
      <c r="F92" s="35" t="str">
        <f aca="false">IFERROR(INDEX('Fund Research'!$H$6:$H$505,MATCH(87,'Fund Research'!$V$6:$V$505,0)),"")</f>
        <v/>
      </c>
      <c r="G92" s="35" t="str">
        <f aca="false">IFERROR(INDEX('Fund Research'!$I$6:$I$505,MATCH(87,'Fund Research'!$V$6:$V$505,0)),"")</f>
        <v/>
      </c>
      <c r="H92" s="36" t="str">
        <f aca="false">IFERROR(INDEX('Fund Research'!$J$6:$J$505,MATCH(87,'Fund Research'!$V$6:$V$505,0)),"")</f>
        <v/>
      </c>
      <c r="I92" s="38" t="str">
        <f aca="false">IFERROR(INDEX('Fund Research'!$L$6:$L$505,MATCH(87,'Fund Research'!$V$6:$V$505,0)),"")</f>
        <v/>
      </c>
      <c r="J92" s="36" t="str">
        <f aca="false">IFERROR(INDEX('Fund Research'!$N$6:$N$505,MATCH(87,'Fund Research'!$V$6:$V$505,0)),"")</f>
        <v/>
      </c>
      <c r="K92" s="36" t="str">
        <f aca="false">IFERROR(INDEX('Fund Research'!$P$6:$P$505,MATCH(87,'Fund Research'!$V$6:$V$505,0)),"")</f>
        <v/>
      </c>
      <c r="L92" s="34" t="str">
        <f aca="false">IFERROR(INDEX('Fund Research'!$S$6:$S$505,MATCH(87,'Fund Research'!$V$6:$V$505,0)),"")</f>
        <v/>
      </c>
      <c r="M92" s="34" t="str">
        <f aca="false">IFERROR(INDEX('Fund Research'!$T$6:$T$505,MATCH(87,'Fund Research'!$V$6:$V$505,0)),"")</f>
        <v/>
      </c>
    </row>
    <row r="93" customFormat="false" ht="15" hidden="false" customHeight="true" outlineLevel="0" collapsed="false">
      <c r="A93" s="33" t="str">
        <f aca="false">IFERROR(IF(INDEX('Fund Research'!$B$6:$B$505,MATCH(88,'Fund Research'!$V$6:$V$505,0))="","",88),"")</f>
        <v/>
      </c>
      <c r="B93" s="34" t="str">
        <f aca="false">IFERROR(INDEX('Fund Research'!$A$6:$A$505,MATCH(88,'Fund Research'!$V$6:$V$505,0)),"")</f>
        <v/>
      </c>
      <c r="C93" s="34" t="str">
        <f aca="false">IFERROR(INDEX('Fund Research'!$B$6:$B$505,MATCH(88,'Fund Research'!$V$6:$V$505,0)),"")</f>
        <v/>
      </c>
      <c r="D93" s="34" t="str">
        <f aca="false">IFERROR(INDEX('Fund Research'!$C$6:$C$505,MATCH(88,'Fund Research'!$V$6:$V$505,0)),"")</f>
        <v/>
      </c>
      <c r="E93" s="35" t="str">
        <f aca="false">IFERROR(INDEX('Fund Research'!$G$6:$G$505,MATCH(88,'Fund Research'!$V$6:$V$505,0)),"")</f>
        <v/>
      </c>
      <c r="F93" s="35" t="str">
        <f aca="false">IFERROR(INDEX('Fund Research'!$H$6:$H$505,MATCH(88,'Fund Research'!$V$6:$V$505,0)),"")</f>
        <v/>
      </c>
      <c r="G93" s="35" t="str">
        <f aca="false">IFERROR(INDEX('Fund Research'!$I$6:$I$505,MATCH(88,'Fund Research'!$V$6:$V$505,0)),"")</f>
        <v/>
      </c>
      <c r="H93" s="36" t="str">
        <f aca="false">IFERROR(INDEX('Fund Research'!$J$6:$J$505,MATCH(88,'Fund Research'!$V$6:$V$505,0)),"")</f>
        <v/>
      </c>
      <c r="I93" s="38" t="str">
        <f aca="false">IFERROR(INDEX('Fund Research'!$L$6:$L$505,MATCH(88,'Fund Research'!$V$6:$V$505,0)),"")</f>
        <v/>
      </c>
      <c r="J93" s="36" t="str">
        <f aca="false">IFERROR(INDEX('Fund Research'!$N$6:$N$505,MATCH(88,'Fund Research'!$V$6:$V$505,0)),"")</f>
        <v/>
      </c>
      <c r="K93" s="36" t="str">
        <f aca="false">IFERROR(INDEX('Fund Research'!$P$6:$P$505,MATCH(88,'Fund Research'!$V$6:$V$505,0)),"")</f>
        <v/>
      </c>
      <c r="L93" s="34" t="str">
        <f aca="false">IFERROR(INDEX('Fund Research'!$S$6:$S$505,MATCH(88,'Fund Research'!$V$6:$V$505,0)),"")</f>
        <v/>
      </c>
      <c r="M93" s="34" t="str">
        <f aca="false">IFERROR(INDEX('Fund Research'!$T$6:$T$505,MATCH(88,'Fund Research'!$V$6:$V$505,0)),"")</f>
        <v/>
      </c>
    </row>
    <row r="94" customFormat="false" ht="15" hidden="false" customHeight="true" outlineLevel="0" collapsed="false">
      <c r="A94" s="33" t="str">
        <f aca="false">IFERROR(IF(INDEX('Fund Research'!$B$6:$B$505,MATCH(89,'Fund Research'!$V$6:$V$505,0))="","",89),"")</f>
        <v/>
      </c>
      <c r="B94" s="34" t="str">
        <f aca="false">IFERROR(INDEX('Fund Research'!$A$6:$A$505,MATCH(89,'Fund Research'!$V$6:$V$505,0)),"")</f>
        <v/>
      </c>
      <c r="C94" s="34" t="str">
        <f aca="false">IFERROR(INDEX('Fund Research'!$B$6:$B$505,MATCH(89,'Fund Research'!$V$6:$V$505,0)),"")</f>
        <v/>
      </c>
      <c r="D94" s="34" t="str">
        <f aca="false">IFERROR(INDEX('Fund Research'!$C$6:$C$505,MATCH(89,'Fund Research'!$V$6:$V$505,0)),"")</f>
        <v/>
      </c>
      <c r="E94" s="35" t="str">
        <f aca="false">IFERROR(INDEX('Fund Research'!$G$6:$G$505,MATCH(89,'Fund Research'!$V$6:$V$505,0)),"")</f>
        <v/>
      </c>
      <c r="F94" s="35" t="str">
        <f aca="false">IFERROR(INDEX('Fund Research'!$H$6:$H$505,MATCH(89,'Fund Research'!$V$6:$V$505,0)),"")</f>
        <v/>
      </c>
      <c r="G94" s="35" t="str">
        <f aca="false">IFERROR(INDEX('Fund Research'!$I$6:$I$505,MATCH(89,'Fund Research'!$V$6:$V$505,0)),"")</f>
        <v/>
      </c>
      <c r="H94" s="36" t="str">
        <f aca="false">IFERROR(INDEX('Fund Research'!$J$6:$J$505,MATCH(89,'Fund Research'!$V$6:$V$505,0)),"")</f>
        <v/>
      </c>
      <c r="I94" s="38" t="str">
        <f aca="false">IFERROR(INDEX('Fund Research'!$L$6:$L$505,MATCH(89,'Fund Research'!$V$6:$V$505,0)),"")</f>
        <v/>
      </c>
      <c r="J94" s="36" t="str">
        <f aca="false">IFERROR(INDEX('Fund Research'!$N$6:$N$505,MATCH(89,'Fund Research'!$V$6:$V$505,0)),"")</f>
        <v/>
      </c>
      <c r="K94" s="36" t="str">
        <f aca="false">IFERROR(INDEX('Fund Research'!$P$6:$P$505,MATCH(89,'Fund Research'!$V$6:$V$505,0)),"")</f>
        <v/>
      </c>
      <c r="L94" s="34" t="str">
        <f aca="false">IFERROR(INDEX('Fund Research'!$S$6:$S$505,MATCH(89,'Fund Research'!$V$6:$V$505,0)),"")</f>
        <v/>
      </c>
      <c r="M94" s="34" t="str">
        <f aca="false">IFERROR(INDEX('Fund Research'!$T$6:$T$505,MATCH(89,'Fund Research'!$V$6:$V$505,0)),"")</f>
        <v/>
      </c>
    </row>
    <row r="95" customFormat="false" ht="15" hidden="false" customHeight="true" outlineLevel="0" collapsed="false">
      <c r="A95" s="33" t="str">
        <f aca="false">IFERROR(IF(INDEX('Fund Research'!$B$6:$B$505,MATCH(90,'Fund Research'!$V$6:$V$505,0))="","",90),"")</f>
        <v/>
      </c>
      <c r="B95" s="34" t="str">
        <f aca="false">IFERROR(INDEX('Fund Research'!$A$6:$A$505,MATCH(90,'Fund Research'!$V$6:$V$505,0)),"")</f>
        <v/>
      </c>
      <c r="C95" s="34" t="str">
        <f aca="false">IFERROR(INDEX('Fund Research'!$B$6:$B$505,MATCH(90,'Fund Research'!$V$6:$V$505,0)),"")</f>
        <v/>
      </c>
      <c r="D95" s="34" t="str">
        <f aca="false">IFERROR(INDEX('Fund Research'!$C$6:$C$505,MATCH(90,'Fund Research'!$V$6:$V$505,0)),"")</f>
        <v/>
      </c>
      <c r="E95" s="35" t="str">
        <f aca="false">IFERROR(INDEX('Fund Research'!$G$6:$G$505,MATCH(90,'Fund Research'!$V$6:$V$505,0)),"")</f>
        <v/>
      </c>
      <c r="F95" s="35" t="str">
        <f aca="false">IFERROR(INDEX('Fund Research'!$H$6:$H$505,MATCH(90,'Fund Research'!$V$6:$V$505,0)),"")</f>
        <v/>
      </c>
      <c r="G95" s="35" t="str">
        <f aca="false">IFERROR(INDEX('Fund Research'!$I$6:$I$505,MATCH(90,'Fund Research'!$V$6:$V$505,0)),"")</f>
        <v/>
      </c>
      <c r="H95" s="36" t="str">
        <f aca="false">IFERROR(INDEX('Fund Research'!$J$6:$J$505,MATCH(90,'Fund Research'!$V$6:$V$505,0)),"")</f>
        <v/>
      </c>
      <c r="I95" s="38" t="str">
        <f aca="false">IFERROR(INDEX('Fund Research'!$L$6:$L$505,MATCH(90,'Fund Research'!$V$6:$V$505,0)),"")</f>
        <v/>
      </c>
      <c r="J95" s="36" t="str">
        <f aca="false">IFERROR(INDEX('Fund Research'!$N$6:$N$505,MATCH(90,'Fund Research'!$V$6:$V$505,0)),"")</f>
        <v/>
      </c>
      <c r="K95" s="36" t="str">
        <f aca="false">IFERROR(INDEX('Fund Research'!$P$6:$P$505,MATCH(90,'Fund Research'!$V$6:$V$505,0)),"")</f>
        <v/>
      </c>
      <c r="L95" s="34" t="str">
        <f aca="false">IFERROR(INDEX('Fund Research'!$S$6:$S$505,MATCH(90,'Fund Research'!$V$6:$V$505,0)),"")</f>
        <v/>
      </c>
      <c r="M95" s="34" t="str">
        <f aca="false">IFERROR(INDEX('Fund Research'!$T$6:$T$505,MATCH(90,'Fund Research'!$V$6:$V$505,0)),"")</f>
        <v/>
      </c>
    </row>
    <row r="96" customFormat="false" ht="15" hidden="false" customHeight="true" outlineLevel="0" collapsed="false">
      <c r="A96" s="33" t="str">
        <f aca="false">IFERROR(IF(INDEX('Fund Research'!$B$6:$B$505,MATCH(91,'Fund Research'!$V$6:$V$505,0))="","",91),"")</f>
        <v/>
      </c>
      <c r="B96" s="34" t="str">
        <f aca="false">IFERROR(INDEX('Fund Research'!$A$6:$A$505,MATCH(91,'Fund Research'!$V$6:$V$505,0)),"")</f>
        <v/>
      </c>
      <c r="C96" s="34" t="str">
        <f aca="false">IFERROR(INDEX('Fund Research'!$B$6:$B$505,MATCH(91,'Fund Research'!$V$6:$V$505,0)),"")</f>
        <v/>
      </c>
      <c r="D96" s="34" t="str">
        <f aca="false">IFERROR(INDEX('Fund Research'!$C$6:$C$505,MATCH(91,'Fund Research'!$V$6:$V$505,0)),"")</f>
        <v/>
      </c>
      <c r="E96" s="35" t="str">
        <f aca="false">IFERROR(INDEX('Fund Research'!$G$6:$G$505,MATCH(91,'Fund Research'!$V$6:$V$505,0)),"")</f>
        <v/>
      </c>
      <c r="F96" s="35" t="str">
        <f aca="false">IFERROR(INDEX('Fund Research'!$H$6:$H$505,MATCH(91,'Fund Research'!$V$6:$V$505,0)),"")</f>
        <v/>
      </c>
      <c r="G96" s="35" t="str">
        <f aca="false">IFERROR(INDEX('Fund Research'!$I$6:$I$505,MATCH(91,'Fund Research'!$V$6:$V$505,0)),"")</f>
        <v/>
      </c>
      <c r="H96" s="36" t="str">
        <f aca="false">IFERROR(INDEX('Fund Research'!$J$6:$J$505,MATCH(91,'Fund Research'!$V$6:$V$505,0)),"")</f>
        <v/>
      </c>
      <c r="I96" s="38" t="str">
        <f aca="false">IFERROR(INDEX('Fund Research'!$L$6:$L$505,MATCH(91,'Fund Research'!$V$6:$V$505,0)),"")</f>
        <v/>
      </c>
      <c r="J96" s="36" t="str">
        <f aca="false">IFERROR(INDEX('Fund Research'!$N$6:$N$505,MATCH(91,'Fund Research'!$V$6:$V$505,0)),"")</f>
        <v/>
      </c>
      <c r="K96" s="36" t="str">
        <f aca="false">IFERROR(INDEX('Fund Research'!$P$6:$P$505,MATCH(91,'Fund Research'!$V$6:$V$505,0)),"")</f>
        <v/>
      </c>
      <c r="L96" s="34" t="str">
        <f aca="false">IFERROR(INDEX('Fund Research'!$S$6:$S$505,MATCH(91,'Fund Research'!$V$6:$V$505,0)),"")</f>
        <v/>
      </c>
      <c r="M96" s="34" t="str">
        <f aca="false">IFERROR(INDEX('Fund Research'!$T$6:$T$505,MATCH(91,'Fund Research'!$V$6:$V$505,0)),"")</f>
        <v/>
      </c>
    </row>
    <row r="97" customFormat="false" ht="15" hidden="false" customHeight="true" outlineLevel="0" collapsed="false">
      <c r="A97" s="33" t="str">
        <f aca="false">IFERROR(IF(INDEX('Fund Research'!$B$6:$B$505,MATCH(92,'Fund Research'!$V$6:$V$505,0))="","",92),"")</f>
        <v/>
      </c>
      <c r="B97" s="34" t="str">
        <f aca="false">IFERROR(INDEX('Fund Research'!$A$6:$A$505,MATCH(92,'Fund Research'!$V$6:$V$505,0)),"")</f>
        <v/>
      </c>
      <c r="C97" s="34" t="str">
        <f aca="false">IFERROR(INDEX('Fund Research'!$B$6:$B$505,MATCH(92,'Fund Research'!$V$6:$V$505,0)),"")</f>
        <v/>
      </c>
      <c r="D97" s="34" t="str">
        <f aca="false">IFERROR(INDEX('Fund Research'!$C$6:$C$505,MATCH(92,'Fund Research'!$V$6:$V$505,0)),"")</f>
        <v/>
      </c>
      <c r="E97" s="35" t="str">
        <f aca="false">IFERROR(INDEX('Fund Research'!$G$6:$G$505,MATCH(92,'Fund Research'!$V$6:$V$505,0)),"")</f>
        <v/>
      </c>
      <c r="F97" s="35" t="str">
        <f aca="false">IFERROR(INDEX('Fund Research'!$H$6:$H$505,MATCH(92,'Fund Research'!$V$6:$V$505,0)),"")</f>
        <v/>
      </c>
      <c r="G97" s="35" t="str">
        <f aca="false">IFERROR(INDEX('Fund Research'!$I$6:$I$505,MATCH(92,'Fund Research'!$V$6:$V$505,0)),"")</f>
        <v/>
      </c>
      <c r="H97" s="36" t="str">
        <f aca="false">IFERROR(INDEX('Fund Research'!$J$6:$J$505,MATCH(92,'Fund Research'!$V$6:$V$505,0)),"")</f>
        <v/>
      </c>
      <c r="I97" s="38" t="str">
        <f aca="false">IFERROR(INDEX('Fund Research'!$L$6:$L$505,MATCH(92,'Fund Research'!$V$6:$V$505,0)),"")</f>
        <v/>
      </c>
      <c r="J97" s="36" t="str">
        <f aca="false">IFERROR(INDEX('Fund Research'!$N$6:$N$505,MATCH(92,'Fund Research'!$V$6:$V$505,0)),"")</f>
        <v/>
      </c>
      <c r="K97" s="36" t="str">
        <f aca="false">IFERROR(INDEX('Fund Research'!$P$6:$P$505,MATCH(92,'Fund Research'!$V$6:$V$505,0)),"")</f>
        <v/>
      </c>
      <c r="L97" s="34" t="str">
        <f aca="false">IFERROR(INDEX('Fund Research'!$S$6:$S$505,MATCH(92,'Fund Research'!$V$6:$V$505,0)),"")</f>
        <v/>
      </c>
      <c r="M97" s="34" t="str">
        <f aca="false">IFERROR(INDEX('Fund Research'!$T$6:$T$505,MATCH(92,'Fund Research'!$V$6:$V$505,0)),"")</f>
        <v/>
      </c>
    </row>
    <row r="98" customFormat="false" ht="15" hidden="false" customHeight="true" outlineLevel="0" collapsed="false">
      <c r="A98" s="33" t="str">
        <f aca="false">IFERROR(IF(INDEX('Fund Research'!$B$6:$B$505,MATCH(93,'Fund Research'!$V$6:$V$505,0))="","",93),"")</f>
        <v/>
      </c>
      <c r="B98" s="34" t="str">
        <f aca="false">IFERROR(INDEX('Fund Research'!$A$6:$A$505,MATCH(93,'Fund Research'!$V$6:$V$505,0)),"")</f>
        <v/>
      </c>
      <c r="C98" s="34" t="str">
        <f aca="false">IFERROR(INDEX('Fund Research'!$B$6:$B$505,MATCH(93,'Fund Research'!$V$6:$V$505,0)),"")</f>
        <v/>
      </c>
      <c r="D98" s="34" t="str">
        <f aca="false">IFERROR(INDEX('Fund Research'!$C$6:$C$505,MATCH(93,'Fund Research'!$V$6:$V$505,0)),"")</f>
        <v/>
      </c>
      <c r="E98" s="35" t="str">
        <f aca="false">IFERROR(INDEX('Fund Research'!$G$6:$G$505,MATCH(93,'Fund Research'!$V$6:$V$505,0)),"")</f>
        <v/>
      </c>
      <c r="F98" s="35" t="str">
        <f aca="false">IFERROR(INDEX('Fund Research'!$H$6:$H$505,MATCH(93,'Fund Research'!$V$6:$V$505,0)),"")</f>
        <v/>
      </c>
      <c r="G98" s="35" t="str">
        <f aca="false">IFERROR(INDEX('Fund Research'!$I$6:$I$505,MATCH(93,'Fund Research'!$V$6:$V$505,0)),"")</f>
        <v/>
      </c>
      <c r="H98" s="36" t="str">
        <f aca="false">IFERROR(INDEX('Fund Research'!$J$6:$J$505,MATCH(93,'Fund Research'!$V$6:$V$505,0)),"")</f>
        <v/>
      </c>
      <c r="I98" s="38" t="str">
        <f aca="false">IFERROR(INDEX('Fund Research'!$L$6:$L$505,MATCH(93,'Fund Research'!$V$6:$V$505,0)),"")</f>
        <v/>
      </c>
      <c r="J98" s="36" t="str">
        <f aca="false">IFERROR(INDEX('Fund Research'!$N$6:$N$505,MATCH(93,'Fund Research'!$V$6:$V$505,0)),"")</f>
        <v/>
      </c>
      <c r="K98" s="36" t="str">
        <f aca="false">IFERROR(INDEX('Fund Research'!$P$6:$P$505,MATCH(93,'Fund Research'!$V$6:$V$505,0)),"")</f>
        <v/>
      </c>
      <c r="L98" s="34" t="str">
        <f aca="false">IFERROR(INDEX('Fund Research'!$S$6:$S$505,MATCH(93,'Fund Research'!$V$6:$V$505,0)),"")</f>
        <v/>
      </c>
      <c r="M98" s="34" t="str">
        <f aca="false">IFERROR(INDEX('Fund Research'!$T$6:$T$505,MATCH(93,'Fund Research'!$V$6:$V$505,0)),"")</f>
        <v/>
      </c>
    </row>
    <row r="99" customFormat="false" ht="15" hidden="false" customHeight="true" outlineLevel="0" collapsed="false">
      <c r="A99" s="33" t="str">
        <f aca="false">IFERROR(IF(INDEX('Fund Research'!$B$6:$B$505,MATCH(94,'Fund Research'!$V$6:$V$505,0))="","",94),"")</f>
        <v/>
      </c>
      <c r="B99" s="34" t="str">
        <f aca="false">IFERROR(INDEX('Fund Research'!$A$6:$A$505,MATCH(94,'Fund Research'!$V$6:$V$505,0)),"")</f>
        <v/>
      </c>
      <c r="C99" s="34" t="str">
        <f aca="false">IFERROR(INDEX('Fund Research'!$B$6:$B$505,MATCH(94,'Fund Research'!$V$6:$V$505,0)),"")</f>
        <v/>
      </c>
      <c r="D99" s="34" t="str">
        <f aca="false">IFERROR(INDEX('Fund Research'!$C$6:$C$505,MATCH(94,'Fund Research'!$V$6:$V$505,0)),"")</f>
        <v/>
      </c>
      <c r="E99" s="35" t="str">
        <f aca="false">IFERROR(INDEX('Fund Research'!$G$6:$G$505,MATCH(94,'Fund Research'!$V$6:$V$505,0)),"")</f>
        <v/>
      </c>
      <c r="F99" s="35" t="str">
        <f aca="false">IFERROR(INDEX('Fund Research'!$H$6:$H$505,MATCH(94,'Fund Research'!$V$6:$V$505,0)),"")</f>
        <v/>
      </c>
      <c r="G99" s="35" t="str">
        <f aca="false">IFERROR(INDEX('Fund Research'!$I$6:$I$505,MATCH(94,'Fund Research'!$V$6:$V$505,0)),"")</f>
        <v/>
      </c>
      <c r="H99" s="36" t="str">
        <f aca="false">IFERROR(INDEX('Fund Research'!$J$6:$J$505,MATCH(94,'Fund Research'!$V$6:$V$505,0)),"")</f>
        <v/>
      </c>
      <c r="I99" s="38" t="str">
        <f aca="false">IFERROR(INDEX('Fund Research'!$L$6:$L$505,MATCH(94,'Fund Research'!$V$6:$V$505,0)),"")</f>
        <v/>
      </c>
      <c r="J99" s="36" t="str">
        <f aca="false">IFERROR(INDEX('Fund Research'!$N$6:$N$505,MATCH(94,'Fund Research'!$V$6:$V$505,0)),"")</f>
        <v/>
      </c>
      <c r="K99" s="36" t="str">
        <f aca="false">IFERROR(INDEX('Fund Research'!$P$6:$P$505,MATCH(94,'Fund Research'!$V$6:$V$505,0)),"")</f>
        <v/>
      </c>
      <c r="L99" s="34" t="str">
        <f aca="false">IFERROR(INDEX('Fund Research'!$S$6:$S$505,MATCH(94,'Fund Research'!$V$6:$V$505,0)),"")</f>
        <v/>
      </c>
      <c r="M99" s="34" t="str">
        <f aca="false">IFERROR(INDEX('Fund Research'!$T$6:$T$505,MATCH(94,'Fund Research'!$V$6:$V$505,0)),"")</f>
        <v/>
      </c>
    </row>
    <row r="100" customFormat="false" ht="15" hidden="false" customHeight="true" outlineLevel="0" collapsed="false">
      <c r="A100" s="33" t="str">
        <f aca="false">IFERROR(IF(INDEX('Fund Research'!$B$6:$B$505,MATCH(95,'Fund Research'!$V$6:$V$505,0))="","",95),"")</f>
        <v/>
      </c>
      <c r="B100" s="34" t="str">
        <f aca="false">IFERROR(INDEX('Fund Research'!$A$6:$A$505,MATCH(95,'Fund Research'!$V$6:$V$505,0)),"")</f>
        <v/>
      </c>
      <c r="C100" s="34" t="str">
        <f aca="false">IFERROR(INDEX('Fund Research'!$B$6:$B$505,MATCH(95,'Fund Research'!$V$6:$V$505,0)),"")</f>
        <v/>
      </c>
      <c r="D100" s="34" t="str">
        <f aca="false">IFERROR(INDEX('Fund Research'!$C$6:$C$505,MATCH(95,'Fund Research'!$V$6:$V$505,0)),"")</f>
        <v/>
      </c>
      <c r="E100" s="35" t="str">
        <f aca="false">IFERROR(INDEX('Fund Research'!$G$6:$G$505,MATCH(95,'Fund Research'!$V$6:$V$505,0)),"")</f>
        <v/>
      </c>
      <c r="F100" s="35" t="str">
        <f aca="false">IFERROR(INDEX('Fund Research'!$H$6:$H$505,MATCH(95,'Fund Research'!$V$6:$V$505,0)),"")</f>
        <v/>
      </c>
      <c r="G100" s="35" t="str">
        <f aca="false">IFERROR(INDEX('Fund Research'!$I$6:$I$505,MATCH(95,'Fund Research'!$V$6:$V$505,0)),"")</f>
        <v/>
      </c>
      <c r="H100" s="36" t="str">
        <f aca="false">IFERROR(INDEX('Fund Research'!$J$6:$J$505,MATCH(95,'Fund Research'!$V$6:$V$505,0)),"")</f>
        <v/>
      </c>
      <c r="I100" s="38" t="str">
        <f aca="false">IFERROR(INDEX('Fund Research'!$L$6:$L$505,MATCH(95,'Fund Research'!$V$6:$V$505,0)),"")</f>
        <v/>
      </c>
      <c r="J100" s="36" t="str">
        <f aca="false">IFERROR(INDEX('Fund Research'!$N$6:$N$505,MATCH(95,'Fund Research'!$V$6:$V$505,0)),"")</f>
        <v/>
      </c>
      <c r="K100" s="36" t="str">
        <f aca="false">IFERROR(INDEX('Fund Research'!$P$6:$P$505,MATCH(95,'Fund Research'!$V$6:$V$505,0)),"")</f>
        <v/>
      </c>
      <c r="L100" s="34" t="str">
        <f aca="false">IFERROR(INDEX('Fund Research'!$S$6:$S$505,MATCH(95,'Fund Research'!$V$6:$V$505,0)),"")</f>
        <v/>
      </c>
      <c r="M100" s="34" t="str">
        <f aca="false">IFERROR(INDEX('Fund Research'!$T$6:$T$505,MATCH(95,'Fund Research'!$V$6:$V$505,0)),"")</f>
        <v/>
      </c>
    </row>
    <row r="101" customFormat="false" ht="15" hidden="false" customHeight="true" outlineLevel="0" collapsed="false">
      <c r="A101" s="33" t="str">
        <f aca="false">IFERROR(IF(INDEX('Fund Research'!$B$6:$B$505,MATCH(96,'Fund Research'!$V$6:$V$505,0))="","",96),"")</f>
        <v/>
      </c>
      <c r="B101" s="34" t="str">
        <f aca="false">IFERROR(INDEX('Fund Research'!$A$6:$A$505,MATCH(96,'Fund Research'!$V$6:$V$505,0)),"")</f>
        <v/>
      </c>
      <c r="C101" s="34" t="str">
        <f aca="false">IFERROR(INDEX('Fund Research'!$B$6:$B$505,MATCH(96,'Fund Research'!$V$6:$V$505,0)),"")</f>
        <v/>
      </c>
      <c r="D101" s="34" t="str">
        <f aca="false">IFERROR(INDEX('Fund Research'!$C$6:$C$505,MATCH(96,'Fund Research'!$V$6:$V$505,0)),"")</f>
        <v/>
      </c>
      <c r="E101" s="35" t="str">
        <f aca="false">IFERROR(INDEX('Fund Research'!$G$6:$G$505,MATCH(96,'Fund Research'!$V$6:$V$505,0)),"")</f>
        <v/>
      </c>
      <c r="F101" s="35" t="str">
        <f aca="false">IFERROR(INDEX('Fund Research'!$H$6:$H$505,MATCH(96,'Fund Research'!$V$6:$V$505,0)),"")</f>
        <v/>
      </c>
      <c r="G101" s="35" t="str">
        <f aca="false">IFERROR(INDEX('Fund Research'!$I$6:$I$505,MATCH(96,'Fund Research'!$V$6:$V$505,0)),"")</f>
        <v/>
      </c>
      <c r="H101" s="36" t="str">
        <f aca="false">IFERROR(INDEX('Fund Research'!$J$6:$J$505,MATCH(96,'Fund Research'!$V$6:$V$505,0)),"")</f>
        <v/>
      </c>
      <c r="I101" s="38" t="str">
        <f aca="false">IFERROR(INDEX('Fund Research'!$L$6:$L$505,MATCH(96,'Fund Research'!$V$6:$V$505,0)),"")</f>
        <v/>
      </c>
      <c r="J101" s="36" t="str">
        <f aca="false">IFERROR(INDEX('Fund Research'!$N$6:$N$505,MATCH(96,'Fund Research'!$V$6:$V$505,0)),"")</f>
        <v/>
      </c>
      <c r="K101" s="36" t="str">
        <f aca="false">IFERROR(INDEX('Fund Research'!$P$6:$P$505,MATCH(96,'Fund Research'!$V$6:$V$505,0)),"")</f>
        <v/>
      </c>
      <c r="L101" s="34" t="str">
        <f aca="false">IFERROR(INDEX('Fund Research'!$S$6:$S$505,MATCH(96,'Fund Research'!$V$6:$V$505,0)),"")</f>
        <v/>
      </c>
      <c r="M101" s="34" t="str">
        <f aca="false">IFERROR(INDEX('Fund Research'!$T$6:$T$505,MATCH(96,'Fund Research'!$V$6:$V$505,0)),"")</f>
        <v/>
      </c>
    </row>
    <row r="102" customFormat="false" ht="15" hidden="false" customHeight="true" outlineLevel="0" collapsed="false">
      <c r="A102" s="33" t="str">
        <f aca="false">IFERROR(IF(INDEX('Fund Research'!$B$6:$B$505,MATCH(97,'Fund Research'!$V$6:$V$505,0))="","",97),"")</f>
        <v/>
      </c>
      <c r="B102" s="34" t="str">
        <f aca="false">IFERROR(INDEX('Fund Research'!$A$6:$A$505,MATCH(97,'Fund Research'!$V$6:$V$505,0)),"")</f>
        <v/>
      </c>
      <c r="C102" s="34" t="str">
        <f aca="false">IFERROR(INDEX('Fund Research'!$B$6:$B$505,MATCH(97,'Fund Research'!$V$6:$V$505,0)),"")</f>
        <v/>
      </c>
      <c r="D102" s="34" t="str">
        <f aca="false">IFERROR(INDEX('Fund Research'!$C$6:$C$505,MATCH(97,'Fund Research'!$V$6:$V$505,0)),"")</f>
        <v/>
      </c>
      <c r="E102" s="35" t="str">
        <f aca="false">IFERROR(INDEX('Fund Research'!$G$6:$G$505,MATCH(97,'Fund Research'!$V$6:$V$505,0)),"")</f>
        <v/>
      </c>
      <c r="F102" s="35" t="str">
        <f aca="false">IFERROR(INDEX('Fund Research'!$H$6:$H$505,MATCH(97,'Fund Research'!$V$6:$V$505,0)),"")</f>
        <v/>
      </c>
      <c r="G102" s="35" t="str">
        <f aca="false">IFERROR(INDEX('Fund Research'!$I$6:$I$505,MATCH(97,'Fund Research'!$V$6:$V$505,0)),"")</f>
        <v/>
      </c>
      <c r="H102" s="36" t="str">
        <f aca="false">IFERROR(INDEX('Fund Research'!$J$6:$J$505,MATCH(97,'Fund Research'!$V$6:$V$505,0)),"")</f>
        <v/>
      </c>
      <c r="I102" s="38" t="str">
        <f aca="false">IFERROR(INDEX('Fund Research'!$L$6:$L$505,MATCH(97,'Fund Research'!$V$6:$V$505,0)),"")</f>
        <v/>
      </c>
      <c r="J102" s="36" t="str">
        <f aca="false">IFERROR(INDEX('Fund Research'!$N$6:$N$505,MATCH(97,'Fund Research'!$V$6:$V$505,0)),"")</f>
        <v/>
      </c>
      <c r="K102" s="36" t="str">
        <f aca="false">IFERROR(INDEX('Fund Research'!$P$6:$P$505,MATCH(97,'Fund Research'!$V$6:$V$505,0)),"")</f>
        <v/>
      </c>
      <c r="L102" s="34" t="str">
        <f aca="false">IFERROR(INDEX('Fund Research'!$S$6:$S$505,MATCH(97,'Fund Research'!$V$6:$V$505,0)),"")</f>
        <v/>
      </c>
      <c r="M102" s="34" t="str">
        <f aca="false">IFERROR(INDEX('Fund Research'!$T$6:$T$505,MATCH(97,'Fund Research'!$V$6:$V$505,0)),"")</f>
        <v/>
      </c>
    </row>
    <row r="103" customFormat="false" ht="15" hidden="false" customHeight="true" outlineLevel="0" collapsed="false">
      <c r="A103" s="33" t="str">
        <f aca="false">IFERROR(IF(INDEX('Fund Research'!$B$6:$B$505,MATCH(98,'Fund Research'!$V$6:$V$505,0))="","",98),"")</f>
        <v/>
      </c>
      <c r="B103" s="34" t="str">
        <f aca="false">IFERROR(INDEX('Fund Research'!$A$6:$A$505,MATCH(98,'Fund Research'!$V$6:$V$505,0)),"")</f>
        <v/>
      </c>
      <c r="C103" s="34" t="str">
        <f aca="false">IFERROR(INDEX('Fund Research'!$B$6:$B$505,MATCH(98,'Fund Research'!$V$6:$V$505,0)),"")</f>
        <v/>
      </c>
      <c r="D103" s="34" t="str">
        <f aca="false">IFERROR(INDEX('Fund Research'!$C$6:$C$505,MATCH(98,'Fund Research'!$V$6:$V$505,0)),"")</f>
        <v/>
      </c>
      <c r="E103" s="35" t="str">
        <f aca="false">IFERROR(INDEX('Fund Research'!$G$6:$G$505,MATCH(98,'Fund Research'!$V$6:$V$505,0)),"")</f>
        <v/>
      </c>
      <c r="F103" s="35" t="str">
        <f aca="false">IFERROR(INDEX('Fund Research'!$H$6:$H$505,MATCH(98,'Fund Research'!$V$6:$V$505,0)),"")</f>
        <v/>
      </c>
      <c r="G103" s="35" t="str">
        <f aca="false">IFERROR(INDEX('Fund Research'!$I$6:$I$505,MATCH(98,'Fund Research'!$V$6:$V$505,0)),"")</f>
        <v/>
      </c>
      <c r="H103" s="36" t="str">
        <f aca="false">IFERROR(INDEX('Fund Research'!$J$6:$J$505,MATCH(98,'Fund Research'!$V$6:$V$505,0)),"")</f>
        <v/>
      </c>
      <c r="I103" s="38" t="str">
        <f aca="false">IFERROR(INDEX('Fund Research'!$L$6:$L$505,MATCH(98,'Fund Research'!$V$6:$V$505,0)),"")</f>
        <v/>
      </c>
      <c r="J103" s="36" t="str">
        <f aca="false">IFERROR(INDEX('Fund Research'!$N$6:$N$505,MATCH(98,'Fund Research'!$V$6:$V$505,0)),"")</f>
        <v/>
      </c>
      <c r="K103" s="36" t="str">
        <f aca="false">IFERROR(INDEX('Fund Research'!$P$6:$P$505,MATCH(98,'Fund Research'!$V$6:$V$505,0)),"")</f>
        <v/>
      </c>
      <c r="L103" s="34" t="str">
        <f aca="false">IFERROR(INDEX('Fund Research'!$S$6:$S$505,MATCH(98,'Fund Research'!$V$6:$V$505,0)),"")</f>
        <v/>
      </c>
      <c r="M103" s="34" t="str">
        <f aca="false">IFERROR(INDEX('Fund Research'!$T$6:$T$505,MATCH(98,'Fund Research'!$V$6:$V$505,0)),"")</f>
        <v/>
      </c>
    </row>
    <row r="104" customFormat="false" ht="15" hidden="false" customHeight="true" outlineLevel="0" collapsed="false">
      <c r="A104" s="33" t="str">
        <f aca="false">IFERROR(IF(INDEX('Fund Research'!$B$6:$B$505,MATCH(99,'Fund Research'!$V$6:$V$505,0))="","",99),"")</f>
        <v/>
      </c>
      <c r="B104" s="34" t="str">
        <f aca="false">IFERROR(INDEX('Fund Research'!$A$6:$A$505,MATCH(99,'Fund Research'!$V$6:$V$505,0)),"")</f>
        <v/>
      </c>
      <c r="C104" s="34" t="str">
        <f aca="false">IFERROR(INDEX('Fund Research'!$B$6:$B$505,MATCH(99,'Fund Research'!$V$6:$V$505,0)),"")</f>
        <v/>
      </c>
      <c r="D104" s="34" t="str">
        <f aca="false">IFERROR(INDEX('Fund Research'!$C$6:$C$505,MATCH(99,'Fund Research'!$V$6:$V$505,0)),"")</f>
        <v/>
      </c>
      <c r="E104" s="35" t="str">
        <f aca="false">IFERROR(INDEX('Fund Research'!$G$6:$G$505,MATCH(99,'Fund Research'!$V$6:$V$505,0)),"")</f>
        <v/>
      </c>
      <c r="F104" s="35" t="str">
        <f aca="false">IFERROR(INDEX('Fund Research'!$H$6:$H$505,MATCH(99,'Fund Research'!$V$6:$V$505,0)),"")</f>
        <v/>
      </c>
      <c r="G104" s="35" t="str">
        <f aca="false">IFERROR(INDEX('Fund Research'!$I$6:$I$505,MATCH(99,'Fund Research'!$V$6:$V$505,0)),"")</f>
        <v/>
      </c>
      <c r="H104" s="36" t="str">
        <f aca="false">IFERROR(INDEX('Fund Research'!$J$6:$J$505,MATCH(99,'Fund Research'!$V$6:$V$505,0)),"")</f>
        <v/>
      </c>
      <c r="I104" s="38" t="str">
        <f aca="false">IFERROR(INDEX('Fund Research'!$L$6:$L$505,MATCH(99,'Fund Research'!$V$6:$V$505,0)),"")</f>
        <v/>
      </c>
      <c r="J104" s="36" t="str">
        <f aca="false">IFERROR(INDEX('Fund Research'!$N$6:$N$505,MATCH(99,'Fund Research'!$V$6:$V$505,0)),"")</f>
        <v/>
      </c>
      <c r="K104" s="36" t="str">
        <f aca="false">IFERROR(INDEX('Fund Research'!$P$6:$P$505,MATCH(99,'Fund Research'!$V$6:$V$505,0)),"")</f>
        <v/>
      </c>
      <c r="L104" s="34" t="str">
        <f aca="false">IFERROR(INDEX('Fund Research'!$S$6:$S$505,MATCH(99,'Fund Research'!$V$6:$V$505,0)),"")</f>
        <v/>
      </c>
      <c r="M104" s="34" t="str">
        <f aca="false">IFERROR(INDEX('Fund Research'!$T$6:$T$505,MATCH(99,'Fund Research'!$V$6:$V$505,0)),"")</f>
        <v/>
      </c>
    </row>
    <row r="105" customFormat="false" ht="15" hidden="false" customHeight="true" outlineLevel="0" collapsed="false">
      <c r="A105" s="33" t="str">
        <f aca="false">IFERROR(IF(INDEX('Fund Research'!$B$6:$B$505,MATCH(100,'Fund Research'!$V$6:$V$505,0))="","",100),"")</f>
        <v/>
      </c>
      <c r="B105" s="34" t="str">
        <f aca="false">IFERROR(INDEX('Fund Research'!$A$6:$A$505,MATCH(100,'Fund Research'!$V$6:$V$505,0)),"")</f>
        <v/>
      </c>
      <c r="C105" s="34" t="str">
        <f aca="false">IFERROR(INDEX('Fund Research'!$B$6:$B$505,MATCH(100,'Fund Research'!$V$6:$V$505,0)),"")</f>
        <v/>
      </c>
      <c r="D105" s="34" t="str">
        <f aca="false">IFERROR(INDEX('Fund Research'!$C$6:$C$505,MATCH(100,'Fund Research'!$V$6:$V$505,0)),"")</f>
        <v/>
      </c>
      <c r="E105" s="35" t="str">
        <f aca="false">IFERROR(INDEX('Fund Research'!$G$6:$G$505,MATCH(100,'Fund Research'!$V$6:$V$505,0)),"")</f>
        <v/>
      </c>
      <c r="F105" s="35" t="str">
        <f aca="false">IFERROR(INDEX('Fund Research'!$H$6:$H$505,MATCH(100,'Fund Research'!$V$6:$V$505,0)),"")</f>
        <v/>
      </c>
      <c r="G105" s="35" t="str">
        <f aca="false">IFERROR(INDEX('Fund Research'!$I$6:$I$505,MATCH(100,'Fund Research'!$V$6:$V$505,0)),"")</f>
        <v/>
      </c>
      <c r="H105" s="36" t="str">
        <f aca="false">IFERROR(INDEX('Fund Research'!$J$6:$J$505,MATCH(100,'Fund Research'!$V$6:$V$505,0)),"")</f>
        <v/>
      </c>
      <c r="I105" s="38" t="str">
        <f aca="false">IFERROR(INDEX('Fund Research'!$L$6:$L$505,MATCH(100,'Fund Research'!$V$6:$V$505,0)),"")</f>
        <v/>
      </c>
      <c r="J105" s="36" t="str">
        <f aca="false">IFERROR(INDEX('Fund Research'!$N$6:$N$505,MATCH(100,'Fund Research'!$V$6:$V$505,0)),"")</f>
        <v/>
      </c>
      <c r="K105" s="36" t="str">
        <f aca="false">IFERROR(INDEX('Fund Research'!$P$6:$P$505,MATCH(100,'Fund Research'!$V$6:$V$505,0)),"")</f>
        <v/>
      </c>
      <c r="L105" s="34" t="str">
        <f aca="false">IFERROR(INDEX('Fund Research'!$S$6:$S$505,MATCH(100,'Fund Research'!$V$6:$V$505,0)),"")</f>
        <v/>
      </c>
      <c r="M105" s="34" t="str">
        <f aca="false">IFERROR(INDEX('Fund Research'!$T$6:$T$505,MATCH(100,'Fund Research'!$V$6:$V$505,0)),"")</f>
        <v/>
      </c>
    </row>
    <row r="106" customFormat="false" ht="15" hidden="false" customHeight="true" outlineLevel="0" collapsed="false">
      <c r="A106" s="33" t="str">
        <f aca="false">IFERROR(IF(INDEX('Fund Research'!$B$6:$B$505,MATCH(101,'Fund Research'!$V$6:$V$505,0))="","",101),"")</f>
        <v/>
      </c>
      <c r="B106" s="34" t="str">
        <f aca="false">IFERROR(INDEX('Fund Research'!$A$6:$A$505,MATCH(101,'Fund Research'!$V$6:$V$505,0)),"")</f>
        <v/>
      </c>
      <c r="C106" s="34" t="str">
        <f aca="false">IFERROR(INDEX('Fund Research'!$B$6:$B$505,MATCH(101,'Fund Research'!$V$6:$V$505,0)),"")</f>
        <v/>
      </c>
      <c r="D106" s="34" t="str">
        <f aca="false">IFERROR(INDEX('Fund Research'!$C$6:$C$505,MATCH(101,'Fund Research'!$V$6:$V$505,0)),"")</f>
        <v/>
      </c>
      <c r="E106" s="35" t="str">
        <f aca="false">IFERROR(INDEX('Fund Research'!$G$6:$G$505,MATCH(101,'Fund Research'!$V$6:$V$505,0)),"")</f>
        <v/>
      </c>
      <c r="F106" s="35" t="str">
        <f aca="false">IFERROR(INDEX('Fund Research'!$H$6:$H$505,MATCH(101,'Fund Research'!$V$6:$V$505,0)),"")</f>
        <v/>
      </c>
      <c r="G106" s="35" t="str">
        <f aca="false">IFERROR(INDEX('Fund Research'!$I$6:$I$505,MATCH(101,'Fund Research'!$V$6:$V$505,0)),"")</f>
        <v/>
      </c>
      <c r="H106" s="36" t="str">
        <f aca="false">IFERROR(INDEX('Fund Research'!$J$6:$J$505,MATCH(101,'Fund Research'!$V$6:$V$505,0)),"")</f>
        <v/>
      </c>
      <c r="I106" s="38" t="str">
        <f aca="false">IFERROR(INDEX('Fund Research'!$L$6:$L$505,MATCH(101,'Fund Research'!$V$6:$V$505,0)),"")</f>
        <v/>
      </c>
      <c r="J106" s="36" t="str">
        <f aca="false">IFERROR(INDEX('Fund Research'!$N$6:$N$505,MATCH(101,'Fund Research'!$V$6:$V$505,0)),"")</f>
        <v/>
      </c>
      <c r="K106" s="36" t="str">
        <f aca="false">IFERROR(INDEX('Fund Research'!$P$6:$P$505,MATCH(101,'Fund Research'!$V$6:$V$505,0)),"")</f>
        <v/>
      </c>
      <c r="L106" s="34" t="str">
        <f aca="false">IFERROR(INDEX('Fund Research'!$S$6:$S$505,MATCH(101,'Fund Research'!$V$6:$V$505,0)),"")</f>
        <v/>
      </c>
      <c r="M106" s="34" t="str">
        <f aca="false">IFERROR(INDEX('Fund Research'!$T$6:$T$505,MATCH(101,'Fund Research'!$V$6:$V$505,0)),"")</f>
        <v/>
      </c>
    </row>
    <row r="107" customFormat="false" ht="15" hidden="false" customHeight="true" outlineLevel="0" collapsed="false">
      <c r="A107" s="33" t="str">
        <f aca="false">IFERROR(IF(INDEX('Fund Research'!$B$6:$B$505,MATCH(102,'Fund Research'!$V$6:$V$505,0))="","",102),"")</f>
        <v/>
      </c>
      <c r="B107" s="34" t="str">
        <f aca="false">IFERROR(INDEX('Fund Research'!$A$6:$A$505,MATCH(102,'Fund Research'!$V$6:$V$505,0)),"")</f>
        <v/>
      </c>
      <c r="C107" s="34" t="str">
        <f aca="false">IFERROR(INDEX('Fund Research'!$B$6:$B$505,MATCH(102,'Fund Research'!$V$6:$V$505,0)),"")</f>
        <v/>
      </c>
      <c r="D107" s="34" t="str">
        <f aca="false">IFERROR(INDEX('Fund Research'!$C$6:$C$505,MATCH(102,'Fund Research'!$V$6:$V$505,0)),"")</f>
        <v/>
      </c>
      <c r="E107" s="35" t="str">
        <f aca="false">IFERROR(INDEX('Fund Research'!$G$6:$G$505,MATCH(102,'Fund Research'!$V$6:$V$505,0)),"")</f>
        <v/>
      </c>
      <c r="F107" s="35" t="str">
        <f aca="false">IFERROR(INDEX('Fund Research'!$H$6:$H$505,MATCH(102,'Fund Research'!$V$6:$V$505,0)),"")</f>
        <v/>
      </c>
      <c r="G107" s="35" t="str">
        <f aca="false">IFERROR(INDEX('Fund Research'!$I$6:$I$505,MATCH(102,'Fund Research'!$V$6:$V$505,0)),"")</f>
        <v/>
      </c>
      <c r="H107" s="36" t="str">
        <f aca="false">IFERROR(INDEX('Fund Research'!$J$6:$J$505,MATCH(102,'Fund Research'!$V$6:$V$505,0)),"")</f>
        <v/>
      </c>
      <c r="I107" s="38" t="str">
        <f aca="false">IFERROR(INDEX('Fund Research'!$L$6:$L$505,MATCH(102,'Fund Research'!$V$6:$V$505,0)),"")</f>
        <v/>
      </c>
      <c r="J107" s="36" t="str">
        <f aca="false">IFERROR(INDEX('Fund Research'!$N$6:$N$505,MATCH(102,'Fund Research'!$V$6:$V$505,0)),"")</f>
        <v/>
      </c>
      <c r="K107" s="36" t="str">
        <f aca="false">IFERROR(INDEX('Fund Research'!$P$6:$P$505,MATCH(102,'Fund Research'!$V$6:$V$505,0)),"")</f>
        <v/>
      </c>
      <c r="L107" s="34" t="str">
        <f aca="false">IFERROR(INDEX('Fund Research'!$S$6:$S$505,MATCH(102,'Fund Research'!$V$6:$V$505,0)),"")</f>
        <v/>
      </c>
      <c r="M107" s="34" t="str">
        <f aca="false">IFERROR(INDEX('Fund Research'!$T$6:$T$505,MATCH(102,'Fund Research'!$V$6:$V$505,0)),"")</f>
        <v/>
      </c>
    </row>
    <row r="108" customFormat="false" ht="15" hidden="false" customHeight="true" outlineLevel="0" collapsed="false">
      <c r="A108" s="33" t="str">
        <f aca="false">IFERROR(IF(INDEX('Fund Research'!$B$6:$B$505,MATCH(103,'Fund Research'!$V$6:$V$505,0))="","",103),"")</f>
        <v/>
      </c>
      <c r="B108" s="34" t="str">
        <f aca="false">IFERROR(INDEX('Fund Research'!$A$6:$A$505,MATCH(103,'Fund Research'!$V$6:$V$505,0)),"")</f>
        <v/>
      </c>
      <c r="C108" s="34" t="str">
        <f aca="false">IFERROR(INDEX('Fund Research'!$B$6:$B$505,MATCH(103,'Fund Research'!$V$6:$V$505,0)),"")</f>
        <v/>
      </c>
      <c r="D108" s="34" t="str">
        <f aca="false">IFERROR(INDEX('Fund Research'!$C$6:$C$505,MATCH(103,'Fund Research'!$V$6:$V$505,0)),"")</f>
        <v/>
      </c>
      <c r="E108" s="35" t="str">
        <f aca="false">IFERROR(INDEX('Fund Research'!$G$6:$G$505,MATCH(103,'Fund Research'!$V$6:$V$505,0)),"")</f>
        <v/>
      </c>
      <c r="F108" s="35" t="str">
        <f aca="false">IFERROR(INDEX('Fund Research'!$H$6:$H$505,MATCH(103,'Fund Research'!$V$6:$V$505,0)),"")</f>
        <v/>
      </c>
      <c r="G108" s="35" t="str">
        <f aca="false">IFERROR(INDEX('Fund Research'!$I$6:$I$505,MATCH(103,'Fund Research'!$V$6:$V$505,0)),"")</f>
        <v/>
      </c>
      <c r="H108" s="36" t="str">
        <f aca="false">IFERROR(INDEX('Fund Research'!$J$6:$J$505,MATCH(103,'Fund Research'!$V$6:$V$505,0)),"")</f>
        <v/>
      </c>
      <c r="I108" s="38" t="str">
        <f aca="false">IFERROR(INDEX('Fund Research'!$L$6:$L$505,MATCH(103,'Fund Research'!$V$6:$V$505,0)),"")</f>
        <v/>
      </c>
      <c r="J108" s="36" t="str">
        <f aca="false">IFERROR(INDEX('Fund Research'!$N$6:$N$505,MATCH(103,'Fund Research'!$V$6:$V$505,0)),"")</f>
        <v/>
      </c>
      <c r="K108" s="36" t="str">
        <f aca="false">IFERROR(INDEX('Fund Research'!$P$6:$P$505,MATCH(103,'Fund Research'!$V$6:$V$505,0)),"")</f>
        <v/>
      </c>
      <c r="L108" s="34" t="str">
        <f aca="false">IFERROR(INDEX('Fund Research'!$S$6:$S$505,MATCH(103,'Fund Research'!$V$6:$V$505,0)),"")</f>
        <v/>
      </c>
      <c r="M108" s="34" t="str">
        <f aca="false">IFERROR(INDEX('Fund Research'!$T$6:$T$505,MATCH(103,'Fund Research'!$V$6:$V$505,0)),"")</f>
        <v/>
      </c>
    </row>
    <row r="109" customFormat="false" ht="15" hidden="false" customHeight="true" outlineLevel="0" collapsed="false">
      <c r="A109" s="33" t="str">
        <f aca="false">IFERROR(IF(INDEX('Fund Research'!$B$6:$B$505,MATCH(104,'Fund Research'!$V$6:$V$505,0))="","",104),"")</f>
        <v/>
      </c>
      <c r="B109" s="34" t="str">
        <f aca="false">IFERROR(INDEX('Fund Research'!$A$6:$A$505,MATCH(104,'Fund Research'!$V$6:$V$505,0)),"")</f>
        <v/>
      </c>
      <c r="C109" s="34" t="str">
        <f aca="false">IFERROR(INDEX('Fund Research'!$B$6:$B$505,MATCH(104,'Fund Research'!$V$6:$V$505,0)),"")</f>
        <v/>
      </c>
      <c r="D109" s="34" t="str">
        <f aca="false">IFERROR(INDEX('Fund Research'!$C$6:$C$505,MATCH(104,'Fund Research'!$V$6:$V$505,0)),"")</f>
        <v/>
      </c>
      <c r="E109" s="35" t="str">
        <f aca="false">IFERROR(INDEX('Fund Research'!$G$6:$G$505,MATCH(104,'Fund Research'!$V$6:$V$505,0)),"")</f>
        <v/>
      </c>
      <c r="F109" s="35" t="str">
        <f aca="false">IFERROR(INDEX('Fund Research'!$H$6:$H$505,MATCH(104,'Fund Research'!$V$6:$V$505,0)),"")</f>
        <v/>
      </c>
      <c r="G109" s="35" t="str">
        <f aca="false">IFERROR(INDEX('Fund Research'!$I$6:$I$505,MATCH(104,'Fund Research'!$V$6:$V$505,0)),"")</f>
        <v/>
      </c>
      <c r="H109" s="36" t="str">
        <f aca="false">IFERROR(INDEX('Fund Research'!$J$6:$J$505,MATCH(104,'Fund Research'!$V$6:$V$505,0)),"")</f>
        <v/>
      </c>
      <c r="I109" s="38" t="str">
        <f aca="false">IFERROR(INDEX('Fund Research'!$L$6:$L$505,MATCH(104,'Fund Research'!$V$6:$V$505,0)),"")</f>
        <v/>
      </c>
      <c r="J109" s="36" t="str">
        <f aca="false">IFERROR(INDEX('Fund Research'!$N$6:$N$505,MATCH(104,'Fund Research'!$V$6:$V$505,0)),"")</f>
        <v/>
      </c>
      <c r="K109" s="36" t="str">
        <f aca="false">IFERROR(INDEX('Fund Research'!$P$6:$P$505,MATCH(104,'Fund Research'!$V$6:$V$505,0)),"")</f>
        <v/>
      </c>
      <c r="L109" s="34" t="str">
        <f aca="false">IFERROR(INDEX('Fund Research'!$S$6:$S$505,MATCH(104,'Fund Research'!$V$6:$V$505,0)),"")</f>
        <v/>
      </c>
      <c r="M109" s="34" t="str">
        <f aca="false">IFERROR(INDEX('Fund Research'!$T$6:$T$505,MATCH(104,'Fund Research'!$V$6:$V$505,0)),"")</f>
        <v/>
      </c>
    </row>
    <row r="110" customFormat="false" ht="15" hidden="false" customHeight="true" outlineLevel="0" collapsed="false">
      <c r="A110" s="33" t="str">
        <f aca="false">IFERROR(IF(INDEX('Fund Research'!$B$6:$B$505,MATCH(105,'Fund Research'!$V$6:$V$505,0))="","",105),"")</f>
        <v/>
      </c>
      <c r="B110" s="34" t="str">
        <f aca="false">IFERROR(INDEX('Fund Research'!$A$6:$A$505,MATCH(105,'Fund Research'!$V$6:$V$505,0)),"")</f>
        <v/>
      </c>
      <c r="C110" s="34" t="str">
        <f aca="false">IFERROR(INDEX('Fund Research'!$B$6:$B$505,MATCH(105,'Fund Research'!$V$6:$V$505,0)),"")</f>
        <v/>
      </c>
      <c r="D110" s="34" t="str">
        <f aca="false">IFERROR(INDEX('Fund Research'!$C$6:$C$505,MATCH(105,'Fund Research'!$V$6:$V$505,0)),"")</f>
        <v/>
      </c>
      <c r="E110" s="35" t="str">
        <f aca="false">IFERROR(INDEX('Fund Research'!$G$6:$G$505,MATCH(105,'Fund Research'!$V$6:$V$505,0)),"")</f>
        <v/>
      </c>
      <c r="F110" s="35" t="str">
        <f aca="false">IFERROR(INDEX('Fund Research'!$H$6:$H$505,MATCH(105,'Fund Research'!$V$6:$V$505,0)),"")</f>
        <v/>
      </c>
      <c r="G110" s="35" t="str">
        <f aca="false">IFERROR(INDEX('Fund Research'!$I$6:$I$505,MATCH(105,'Fund Research'!$V$6:$V$505,0)),"")</f>
        <v/>
      </c>
      <c r="H110" s="36" t="str">
        <f aca="false">IFERROR(INDEX('Fund Research'!$J$6:$J$505,MATCH(105,'Fund Research'!$V$6:$V$505,0)),"")</f>
        <v/>
      </c>
      <c r="I110" s="38" t="str">
        <f aca="false">IFERROR(INDEX('Fund Research'!$L$6:$L$505,MATCH(105,'Fund Research'!$V$6:$V$505,0)),"")</f>
        <v/>
      </c>
      <c r="J110" s="36" t="str">
        <f aca="false">IFERROR(INDEX('Fund Research'!$N$6:$N$505,MATCH(105,'Fund Research'!$V$6:$V$505,0)),"")</f>
        <v/>
      </c>
      <c r="K110" s="36" t="str">
        <f aca="false">IFERROR(INDEX('Fund Research'!$P$6:$P$505,MATCH(105,'Fund Research'!$V$6:$V$505,0)),"")</f>
        <v/>
      </c>
      <c r="L110" s="34" t="str">
        <f aca="false">IFERROR(INDEX('Fund Research'!$S$6:$S$505,MATCH(105,'Fund Research'!$V$6:$V$505,0)),"")</f>
        <v/>
      </c>
      <c r="M110" s="34" t="str">
        <f aca="false">IFERROR(INDEX('Fund Research'!$T$6:$T$505,MATCH(105,'Fund Research'!$V$6:$V$505,0)),"")</f>
        <v/>
      </c>
    </row>
    <row r="111" customFormat="false" ht="15" hidden="false" customHeight="true" outlineLevel="0" collapsed="false">
      <c r="A111" s="33" t="str">
        <f aca="false">IFERROR(IF(INDEX('Fund Research'!$B$6:$B$505,MATCH(106,'Fund Research'!$V$6:$V$505,0))="","",106),"")</f>
        <v/>
      </c>
      <c r="B111" s="34" t="str">
        <f aca="false">IFERROR(INDEX('Fund Research'!$A$6:$A$505,MATCH(106,'Fund Research'!$V$6:$V$505,0)),"")</f>
        <v/>
      </c>
      <c r="C111" s="34" t="str">
        <f aca="false">IFERROR(INDEX('Fund Research'!$B$6:$B$505,MATCH(106,'Fund Research'!$V$6:$V$505,0)),"")</f>
        <v/>
      </c>
      <c r="D111" s="34" t="str">
        <f aca="false">IFERROR(INDEX('Fund Research'!$C$6:$C$505,MATCH(106,'Fund Research'!$V$6:$V$505,0)),"")</f>
        <v/>
      </c>
      <c r="E111" s="35" t="str">
        <f aca="false">IFERROR(INDEX('Fund Research'!$G$6:$G$505,MATCH(106,'Fund Research'!$V$6:$V$505,0)),"")</f>
        <v/>
      </c>
      <c r="F111" s="35" t="str">
        <f aca="false">IFERROR(INDEX('Fund Research'!$H$6:$H$505,MATCH(106,'Fund Research'!$V$6:$V$505,0)),"")</f>
        <v/>
      </c>
      <c r="G111" s="35" t="str">
        <f aca="false">IFERROR(INDEX('Fund Research'!$I$6:$I$505,MATCH(106,'Fund Research'!$V$6:$V$505,0)),"")</f>
        <v/>
      </c>
      <c r="H111" s="36" t="str">
        <f aca="false">IFERROR(INDEX('Fund Research'!$J$6:$J$505,MATCH(106,'Fund Research'!$V$6:$V$505,0)),"")</f>
        <v/>
      </c>
      <c r="I111" s="38" t="str">
        <f aca="false">IFERROR(INDEX('Fund Research'!$L$6:$L$505,MATCH(106,'Fund Research'!$V$6:$V$505,0)),"")</f>
        <v/>
      </c>
      <c r="J111" s="36" t="str">
        <f aca="false">IFERROR(INDEX('Fund Research'!$N$6:$N$505,MATCH(106,'Fund Research'!$V$6:$V$505,0)),"")</f>
        <v/>
      </c>
      <c r="K111" s="36" t="str">
        <f aca="false">IFERROR(INDEX('Fund Research'!$P$6:$P$505,MATCH(106,'Fund Research'!$V$6:$V$505,0)),"")</f>
        <v/>
      </c>
      <c r="L111" s="34" t="str">
        <f aca="false">IFERROR(INDEX('Fund Research'!$S$6:$S$505,MATCH(106,'Fund Research'!$V$6:$V$505,0)),"")</f>
        <v/>
      </c>
      <c r="M111" s="34" t="str">
        <f aca="false">IFERROR(INDEX('Fund Research'!$T$6:$T$505,MATCH(106,'Fund Research'!$V$6:$V$505,0)),"")</f>
        <v/>
      </c>
    </row>
    <row r="112" customFormat="false" ht="15" hidden="false" customHeight="true" outlineLevel="0" collapsed="false">
      <c r="A112" s="33" t="str">
        <f aca="false">IFERROR(IF(INDEX('Fund Research'!$B$6:$B$505,MATCH(107,'Fund Research'!$V$6:$V$505,0))="","",107),"")</f>
        <v/>
      </c>
      <c r="B112" s="34" t="str">
        <f aca="false">IFERROR(INDEX('Fund Research'!$A$6:$A$505,MATCH(107,'Fund Research'!$V$6:$V$505,0)),"")</f>
        <v/>
      </c>
      <c r="C112" s="34" t="str">
        <f aca="false">IFERROR(INDEX('Fund Research'!$B$6:$B$505,MATCH(107,'Fund Research'!$V$6:$V$505,0)),"")</f>
        <v/>
      </c>
      <c r="D112" s="34" t="str">
        <f aca="false">IFERROR(INDEX('Fund Research'!$C$6:$C$505,MATCH(107,'Fund Research'!$V$6:$V$505,0)),"")</f>
        <v/>
      </c>
      <c r="E112" s="35" t="str">
        <f aca="false">IFERROR(INDEX('Fund Research'!$G$6:$G$505,MATCH(107,'Fund Research'!$V$6:$V$505,0)),"")</f>
        <v/>
      </c>
      <c r="F112" s="35" t="str">
        <f aca="false">IFERROR(INDEX('Fund Research'!$H$6:$H$505,MATCH(107,'Fund Research'!$V$6:$V$505,0)),"")</f>
        <v/>
      </c>
      <c r="G112" s="35" t="str">
        <f aca="false">IFERROR(INDEX('Fund Research'!$I$6:$I$505,MATCH(107,'Fund Research'!$V$6:$V$505,0)),"")</f>
        <v/>
      </c>
      <c r="H112" s="36" t="str">
        <f aca="false">IFERROR(INDEX('Fund Research'!$J$6:$J$505,MATCH(107,'Fund Research'!$V$6:$V$505,0)),"")</f>
        <v/>
      </c>
      <c r="I112" s="38" t="str">
        <f aca="false">IFERROR(INDEX('Fund Research'!$L$6:$L$505,MATCH(107,'Fund Research'!$V$6:$V$505,0)),"")</f>
        <v/>
      </c>
      <c r="J112" s="36" t="str">
        <f aca="false">IFERROR(INDEX('Fund Research'!$N$6:$N$505,MATCH(107,'Fund Research'!$V$6:$V$505,0)),"")</f>
        <v/>
      </c>
      <c r="K112" s="36" t="str">
        <f aca="false">IFERROR(INDEX('Fund Research'!$P$6:$P$505,MATCH(107,'Fund Research'!$V$6:$V$505,0)),"")</f>
        <v/>
      </c>
      <c r="L112" s="34" t="str">
        <f aca="false">IFERROR(INDEX('Fund Research'!$S$6:$S$505,MATCH(107,'Fund Research'!$V$6:$V$505,0)),"")</f>
        <v/>
      </c>
      <c r="M112" s="34" t="str">
        <f aca="false">IFERROR(INDEX('Fund Research'!$T$6:$T$505,MATCH(107,'Fund Research'!$V$6:$V$505,0)),"")</f>
        <v/>
      </c>
    </row>
    <row r="113" customFormat="false" ht="15" hidden="false" customHeight="true" outlineLevel="0" collapsed="false">
      <c r="A113" s="33" t="str">
        <f aca="false">IFERROR(IF(INDEX('Fund Research'!$B$6:$B$505,MATCH(108,'Fund Research'!$V$6:$V$505,0))="","",108),"")</f>
        <v/>
      </c>
      <c r="B113" s="34" t="str">
        <f aca="false">IFERROR(INDEX('Fund Research'!$A$6:$A$505,MATCH(108,'Fund Research'!$V$6:$V$505,0)),"")</f>
        <v/>
      </c>
      <c r="C113" s="34" t="str">
        <f aca="false">IFERROR(INDEX('Fund Research'!$B$6:$B$505,MATCH(108,'Fund Research'!$V$6:$V$505,0)),"")</f>
        <v/>
      </c>
      <c r="D113" s="34" t="str">
        <f aca="false">IFERROR(INDEX('Fund Research'!$C$6:$C$505,MATCH(108,'Fund Research'!$V$6:$V$505,0)),"")</f>
        <v/>
      </c>
      <c r="E113" s="35" t="str">
        <f aca="false">IFERROR(INDEX('Fund Research'!$G$6:$G$505,MATCH(108,'Fund Research'!$V$6:$V$505,0)),"")</f>
        <v/>
      </c>
      <c r="F113" s="35" t="str">
        <f aca="false">IFERROR(INDEX('Fund Research'!$H$6:$H$505,MATCH(108,'Fund Research'!$V$6:$V$505,0)),"")</f>
        <v/>
      </c>
      <c r="G113" s="35" t="str">
        <f aca="false">IFERROR(INDEX('Fund Research'!$I$6:$I$505,MATCH(108,'Fund Research'!$V$6:$V$505,0)),"")</f>
        <v/>
      </c>
      <c r="H113" s="36" t="str">
        <f aca="false">IFERROR(INDEX('Fund Research'!$J$6:$J$505,MATCH(108,'Fund Research'!$V$6:$V$505,0)),"")</f>
        <v/>
      </c>
      <c r="I113" s="38" t="str">
        <f aca="false">IFERROR(INDEX('Fund Research'!$L$6:$L$505,MATCH(108,'Fund Research'!$V$6:$V$505,0)),"")</f>
        <v/>
      </c>
      <c r="J113" s="36" t="str">
        <f aca="false">IFERROR(INDEX('Fund Research'!$N$6:$N$505,MATCH(108,'Fund Research'!$V$6:$V$505,0)),"")</f>
        <v/>
      </c>
      <c r="K113" s="36" t="str">
        <f aca="false">IFERROR(INDEX('Fund Research'!$P$6:$P$505,MATCH(108,'Fund Research'!$V$6:$V$505,0)),"")</f>
        <v/>
      </c>
      <c r="L113" s="34" t="str">
        <f aca="false">IFERROR(INDEX('Fund Research'!$S$6:$S$505,MATCH(108,'Fund Research'!$V$6:$V$505,0)),"")</f>
        <v/>
      </c>
      <c r="M113" s="34" t="str">
        <f aca="false">IFERROR(INDEX('Fund Research'!$T$6:$T$505,MATCH(108,'Fund Research'!$V$6:$V$505,0)),"")</f>
        <v/>
      </c>
    </row>
    <row r="114" customFormat="false" ht="15" hidden="false" customHeight="true" outlineLevel="0" collapsed="false">
      <c r="A114" s="33" t="str">
        <f aca="false">IFERROR(IF(INDEX('Fund Research'!$B$6:$B$505,MATCH(109,'Fund Research'!$V$6:$V$505,0))="","",109),"")</f>
        <v/>
      </c>
      <c r="B114" s="34" t="str">
        <f aca="false">IFERROR(INDEX('Fund Research'!$A$6:$A$505,MATCH(109,'Fund Research'!$V$6:$V$505,0)),"")</f>
        <v/>
      </c>
      <c r="C114" s="34" t="str">
        <f aca="false">IFERROR(INDEX('Fund Research'!$B$6:$B$505,MATCH(109,'Fund Research'!$V$6:$V$505,0)),"")</f>
        <v/>
      </c>
      <c r="D114" s="34" t="str">
        <f aca="false">IFERROR(INDEX('Fund Research'!$C$6:$C$505,MATCH(109,'Fund Research'!$V$6:$V$505,0)),"")</f>
        <v/>
      </c>
      <c r="E114" s="35" t="str">
        <f aca="false">IFERROR(INDEX('Fund Research'!$G$6:$G$505,MATCH(109,'Fund Research'!$V$6:$V$505,0)),"")</f>
        <v/>
      </c>
      <c r="F114" s="35" t="str">
        <f aca="false">IFERROR(INDEX('Fund Research'!$H$6:$H$505,MATCH(109,'Fund Research'!$V$6:$V$505,0)),"")</f>
        <v/>
      </c>
      <c r="G114" s="35" t="str">
        <f aca="false">IFERROR(INDEX('Fund Research'!$I$6:$I$505,MATCH(109,'Fund Research'!$V$6:$V$505,0)),"")</f>
        <v/>
      </c>
      <c r="H114" s="36" t="str">
        <f aca="false">IFERROR(INDEX('Fund Research'!$J$6:$J$505,MATCH(109,'Fund Research'!$V$6:$V$505,0)),"")</f>
        <v/>
      </c>
      <c r="I114" s="38" t="str">
        <f aca="false">IFERROR(INDEX('Fund Research'!$L$6:$L$505,MATCH(109,'Fund Research'!$V$6:$V$505,0)),"")</f>
        <v/>
      </c>
      <c r="J114" s="36" t="str">
        <f aca="false">IFERROR(INDEX('Fund Research'!$N$6:$N$505,MATCH(109,'Fund Research'!$V$6:$V$505,0)),"")</f>
        <v/>
      </c>
      <c r="K114" s="36" t="str">
        <f aca="false">IFERROR(INDEX('Fund Research'!$P$6:$P$505,MATCH(109,'Fund Research'!$V$6:$V$505,0)),"")</f>
        <v/>
      </c>
      <c r="L114" s="34" t="str">
        <f aca="false">IFERROR(INDEX('Fund Research'!$S$6:$S$505,MATCH(109,'Fund Research'!$V$6:$V$505,0)),"")</f>
        <v/>
      </c>
      <c r="M114" s="34" t="str">
        <f aca="false">IFERROR(INDEX('Fund Research'!$T$6:$T$505,MATCH(109,'Fund Research'!$V$6:$V$505,0)),"")</f>
        <v/>
      </c>
    </row>
    <row r="115" customFormat="false" ht="15" hidden="false" customHeight="true" outlineLevel="0" collapsed="false">
      <c r="A115" s="33" t="str">
        <f aca="false">IFERROR(IF(INDEX('Fund Research'!$B$6:$B$505,MATCH(110,'Fund Research'!$V$6:$V$505,0))="","",110),"")</f>
        <v/>
      </c>
      <c r="B115" s="34" t="str">
        <f aca="false">IFERROR(INDEX('Fund Research'!$A$6:$A$505,MATCH(110,'Fund Research'!$V$6:$V$505,0)),"")</f>
        <v/>
      </c>
      <c r="C115" s="34" t="str">
        <f aca="false">IFERROR(INDEX('Fund Research'!$B$6:$B$505,MATCH(110,'Fund Research'!$V$6:$V$505,0)),"")</f>
        <v/>
      </c>
      <c r="D115" s="34" t="str">
        <f aca="false">IFERROR(INDEX('Fund Research'!$C$6:$C$505,MATCH(110,'Fund Research'!$V$6:$V$505,0)),"")</f>
        <v/>
      </c>
      <c r="E115" s="35" t="str">
        <f aca="false">IFERROR(INDEX('Fund Research'!$G$6:$G$505,MATCH(110,'Fund Research'!$V$6:$V$505,0)),"")</f>
        <v/>
      </c>
      <c r="F115" s="35" t="str">
        <f aca="false">IFERROR(INDEX('Fund Research'!$H$6:$H$505,MATCH(110,'Fund Research'!$V$6:$V$505,0)),"")</f>
        <v/>
      </c>
      <c r="G115" s="35" t="str">
        <f aca="false">IFERROR(INDEX('Fund Research'!$I$6:$I$505,MATCH(110,'Fund Research'!$V$6:$V$505,0)),"")</f>
        <v/>
      </c>
      <c r="H115" s="36" t="str">
        <f aca="false">IFERROR(INDEX('Fund Research'!$J$6:$J$505,MATCH(110,'Fund Research'!$V$6:$V$505,0)),"")</f>
        <v/>
      </c>
      <c r="I115" s="38" t="str">
        <f aca="false">IFERROR(INDEX('Fund Research'!$L$6:$L$505,MATCH(110,'Fund Research'!$V$6:$V$505,0)),"")</f>
        <v/>
      </c>
      <c r="J115" s="36" t="str">
        <f aca="false">IFERROR(INDEX('Fund Research'!$N$6:$N$505,MATCH(110,'Fund Research'!$V$6:$V$505,0)),"")</f>
        <v/>
      </c>
      <c r="K115" s="36" t="str">
        <f aca="false">IFERROR(INDEX('Fund Research'!$P$6:$P$505,MATCH(110,'Fund Research'!$V$6:$V$505,0)),"")</f>
        <v/>
      </c>
      <c r="L115" s="34" t="str">
        <f aca="false">IFERROR(INDEX('Fund Research'!$S$6:$S$505,MATCH(110,'Fund Research'!$V$6:$V$505,0)),"")</f>
        <v/>
      </c>
      <c r="M115" s="34" t="str">
        <f aca="false">IFERROR(INDEX('Fund Research'!$T$6:$T$505,MATCH(110,'Fund Research'!$V$6:$V$505,0)),"")</f>
        <v/>
      </c>
    </row>
    <row r="116" customFormat="false" ht="15" hidden="false" customHeight="true" outlineLevel="0" collapsed="false">
      <c r="A116" s="33" t="str">
        <f aca="false">IFERROR(IF(INDEX('Fund Research'!$B$6:$B$505,MATCH(111,'Fund Research'!$V$6:$V$505,0))="","",111),"")</f>
        <v/>
      </c>
      <c r="B116" s="34" t="str">
        <f aca="false">IFERROR(INDEX('Fund Research'!$A$6:$A$505,MATCH(111,'Fund Research'!$V$6:$V$505,0)),"")</f>
        <v/>
      </c>
      <c r="C116" s="34" t="str">
        <f aca="false">IFERROR(INDEX('Fund Research'!$B$6:$B$505,MATCH(111,'Fund Research'!$V$6:$V$505,0)),"")</f>
        <v/>
      </c>
      <c r="D116" s="34" t="str">
        <f aca="false">IFERROR(INDEX('Fund Research'!$C$6:$C$505,MATCH(111,'Fund Research'!$V$6:$V$505,0)),"")</f>
        <v/>
      </c>
      <c r="E116" s="35" t="str">
        <f aca="false">IFERROR(INDEX('Fund Research'!$G$6:$G$505,MATCH(111,'Fund Research'!$V$6:$V$505,0)),"")</f>
        <v/>
      </c>
      <c r="F116" s="35" t="str">
        <f aca="false">IFERROR(INDEX('Fund Research'!$H$6:$H$505,MATCH(111,'Fund Research'!$V$6:$V$505,0)),"")</f>
        <v/>
      </c>
      <c r="G116" s="35" t="str">
        <f aca="false">IFERROR(INDEX('Fund Research'!$I$6:$I$505,MATCH(111,'Fund Research'!$V$6:$V$505,0)),"")</f>
        <v/>
      </c>
      <c r="H116" s="36" t="str">
        <f aca="false">IFERROR(INDEX('Fund Research'!$J$6:$J$505,MATCH(111,'Fund Research'!$V$6:$V$505,0)),"")</f>
        <v/>
      </c>
      <c r="I116" s="38" t="str">
        <f aca="false">IFERROR(INDEX('Fund Research'!$L$6:$L$505,MATCH(111,'Fund Research'!$V$6:$V$505,0)),"")</f>
        <v/>
      </c>
      <c r="J116" s="36" t="str">
        <f aca="false">IFERROR(INDEX('Fund Research'!$N$6:$N$505,MATCH(111,'Fund Research'!$V$6:$V$505,0)),"")</f>
        <v/>
      </c>
      <c r="K116" s="36" t="str">
        <f aca="false">IFERROR(INDEX('Fund Research'!$P$6:$P$505,MATCH(111,'Fund Research'!$V$6:$V$505,0)),"")</f>
        <v/>
      </c>
      <c r="L116" s="34" t="str">
        <f aca="false">IFERROR(INDEX('Fund Research'!$S$6:$S$505,MATCH(111,'Fund Research'!$V$6:$V$505,0)),"")</f>
        <v/>
      </c>
      <c r="M116" s="34" t="str">
        <f aca="false">IFERROR(INDEX('Fund Research'!$T$6:$T$505,MATCH(111,'Fund Research'!$V$6:$V$505,0)),"")</f>
        <v/>
      </c>
    </row>
    <row r="117" customFormat="false" ht="15" hidden="false" customHeight="true" outlineLevel="0" collapsed="false">
      <c r="A117" s="33" t="str">
        <f aca="false">IFERROR(IF(INDEX('Fund Research'!$B$6:$B$505,MATCH(112,'Fund Research'!$V$6:$V$505,0))="","",112),"")</f>
        <v/>
      </c>
      <c r="B117" s="34" t="str">
        <f aca="false">IFERROR(INDEX('Fund Research'!$A$6:$A$505,MATCH(112,'Fund Research'!$V$6:$V$505,0)),"")</f>
        <v/>
      </c>
      <c r="C117" s="34" t="str">
        <f aca="false">IFERROR(INDEX('Fund Research'!$B$6:$B$505,MATCH(112,'Fund Research'!$V$6:$V$505,0)),"")</f>
        <v/>
      </c>
      <c r="D117" s="34" t="str">
        <f aca="false">IFERROR(INDEX('Fund Research'!$C$6:$C$505,MATCH(112,'Fund Research'!$V$6:$V$505,0)),"")</f>
        <v/>
      </c>
      <c r="E117" s="35" t="str">
        <f aca="false">IFERROR(INDEX('Fund Research'!$G$6:$G$505,MATCH(112,'Fund Research'!$V$6:$V$505,0)),"")</f>
        <v/>
      </c>
      <c r="F117" s="35" t="str">
        <f aca="false">IFERROR(INDEX('Fund Research'!$H$6:$H$505,MATCH(112,'Fund Research'!$V$6:$V$505,0)),"")</f>
        <v/>
      </c>
      <c r="G117" s="35" t="str">
        <f aca="false">IFERROR(INDEX('Fund Research'!$I$6:$I$505,MATCH(112,'Fund Research'!$V$6:$V$505,0)),"")</f>
        <v/>
      </c>
      <c r="H117" s="36" t="str">
        <f aca="false">IFERROR(INDEX('Fund Research'!$J$6:$J$505,MATCH(112,'Fund Research'!$V$6:$V$505,0)),"")</f>
        <v/>
      </c>
      <c r="I117" s="38" t="str">
        <f aca="false">IFERROR(INDEX('Fund Research'!$L$6:$L$505,MATCH(112,'Fund Research'!$V$6:$V$505,0)),"")</f>
        <v/>
      </c>
      <c r="J117" s="36" t="str">
        <f aca="false">IFERROR(INDEX('Fund Research'!$N$6:$N$505,MATCH(112,'Fund Research'!$V$6:$V$505,0)),"")</f>
        <v/>
      </c>
      <c r="K117" s="36" t="str">
        <f aca="false">IFERROR(INDEX('Fund Research'!$P$6:$P$505,MATCH(112,'Fund Research'!$V$6:$V$505,0)),"")</f>
        <v/>
      </c>
      <c r="L117" s="34" t="str">
        <f aca="false">IFERROR(INDEX('Fund Research'!$S$6:$S$505,MATCH(112,'Fund Research'!$V$6:$V$505,0)),"")</f>
        <v/>
      </c>
      <c r="M117" s="34" t="str">
        <f aca="false">IFERROR(INDEX('Fund Research'!$T$6:$T$505,MATCH(112,'Fund Research'!$V$6:$V$505,0)),"")</f>
        <v/>
      </c>
    </row>
    <row r="118" customFormat="false" ht="15" hidden="false" customHeight="true" outlineLevel="0" collapsed="false">
      <c r="A118" s="33" t="str">
        <f aca="false">IFERROR(IF(INDEX('Fund Research'!$B$6:$B$505,MATCH(113,'Fund Research'!$V$6:$V$505,0))="","",113),"")</f>
        <v/>
      </c>
      <c r="B118" s="34" t="str">
        <f aca="false">IFERROR(INDEX('Fund Research'!$A$6:$A$505,MATCH(113,'Fund Research'!$V$6:$V$505,0)),"")</f>
        <v/>
      </c>
      <c r="C118" s="34" t="str">
        <f aca="false">IFERROR(INDEX('Fund Research'!$B$6:$B$505,MATCH(113,'Fund Research'!$V$6:$V$505,0)),"")</f>
        <v/>
      </c>
      <c r="D118" s="34" t="str">
        <f aca="false">IFERROR(INDEX('Fund Research'!$C$6:$C$505,MATCH(113,'Fund Research'!$V$6:$V$505,0)),"")</f>
        <v/>
      </c>
      <c r="E118" s="35" t="str">
        <f aca="false">IFERROR(INDEX('Fund Research'!$G$6:$G$505,MATCH(113,'Fund Research'!$V$6:$V$505,0)),"")</f>
        <v/>
      </c>
      <c r="F118" s="35" t="str">
        <f aca="false">IFERROR(INDEX('Fund Research'!$H$6:$H$505,MATCH(113,'Fund Research'!$V$6:$V$505,0)),"")</f>
        <v/>
      </c>
      <c r="G118" s="35" t="str">
        <f aca="false">IFERROR(INDEX('Fund Research'!$I$6:$I$505,MATCH(113,'Fund Research'!$V$6:$V$505,0)),"")</f>
        <v/>
      </c>
      <c r="H118" s="36" t="str">
        <f aca="false">IFERROR(INDEX('Fund Research'!$J$6:$J$505,MATCH(113,'Fund Research'!$V$6:$V$505,0)),"")</f>
        <v/>
      </c>
      <c r="I118" s="38" t="str">
        <f aca="false">IFERROR(INDEX('Fund Research'!$L$6:$L$505,MATCH(113,'Fund Research'!$V$6:$V$505,0)),"")</f>
        <v/>
      </c>
      <c r="J118" s="36" t="str">
        <f aca="false">IFERROR(INDEX('Fund Research'!$N$6:$N$505,MATCH(113,'Fund Research'!$V$6:$V$505,0)),"")</f>
        <v/>
      </c>
      <c r="K118" s="36" t="str">
        <f aca="false">IFERROR(INDEX('Fund Research'!$P$6:$P$505,MATCH(113,'Fund Research'!$V$6:$V$505,0)),"")</f>
        <v/>
      </c>
      <c r="L118" s="34" t="str">
        <f aca="false">IFERROR(INDEX('Fund Research'!$S$6:$S$505,MATCH(113,'Fund Research'!$V$6:$V$505,0)),"")</f>
        <v/>
      </c>
      <c r="M118" s="34" t="str">
        <f aca="false">IFERROR(INDEX('Fund Research'!$T$6:$T$505,MATCH(113,'Fund Research'!$V$6:$V$505,0)),"")</f>
        <v/>
      </c>
    </row>
    <row r="119" customFormat="false" ht="15" hidden="false" customHeight="true" outlineLevel="0" collapsed="false">
      <c r="A119" s="33" t="str">
        <f aca="false">IFERROR(IF(INDEX('Fund Research'!$B$6:$B$505,MATCH(114,'Fund Research'!$V$6:$V$505,0))="","",114),"")</f>
        <v/>
      </c>
      <c r="B119" s="34" t="str">
        <f aca="false">IFERROR(INDEX('Fund Research'!$A$6:$A$505,MATCH(114,'Fund Research'!$V$6:$V$505,0)),"")</f>
        <v/>
      </c>
      <c r="C119" s="34" t="str">
        <f aca="false">IFERROR(INDEX('Fund Research'!$B$6:$B$505,MATCH(114,'Fund Research'!$V$6:$V$505,0)),"")</f>
        <v/>
      </c>
      <c r="D119" s="34" t="str">
        <f aca="false">IFERROR(INDEX('Fund Research'!$C$6:$C$505,MATCH(114,'Fund Research'!$V$6:$V$505,0)),"")</f>
        <v/>
      </c>
      <c r="E119" s="35" t="str">
        <f aca="false">IFERROR(INDEX('Fund Research'!$G$6:$G$505,MATCH(114,'Fund Research'!$V$6:$V$505,0)),"")</f>
        <v/>
      </c>
      <c r="F119" s="35" t="str">
        <f aca="false">IFERROR(INDEX('Fund Research'!$H$6:$H$505,MATCH(114,'Fund Research'!$V$6:$V$505,0)),"")</f>
        <v/>
      </c>
      <c r="G119" s="35" t="str">
        <f aca="false">IFERROR(INDEX('Fund Research'!$I$6:$I$505,MATCH(114,'Fund Research'!$V$6:$V$505,0)),"")</f>
        <v/>
      </c>
      <c r="H119" s="36" t="str">
        <f aca="false">IFERROR(INDEX('Fund Research'!$J$6:$J$505,MATCH(114,'Fund Research'!$V$6:$V$505,0)),"")</f>
        <v/>
      </c>
      <c r="I119" s="38" t="str">
        <f aca="false">IFERROR(INDEX('Fund Research'!$L$6:$L$505,MATCH(114,'Fund Research'!$V$6:$V$505,0)),"")</f>
        <v/>
      </c>
      <c r="J119" s="36" t="str">
        <f aca="false">IFERROR(INDEX('Fund Research'!$N$6:$N$505,MATCH(114,'Fund Research'!$V$6:$V$505,0)),"")</f>
        <v/>
      </c>
      <c r="K119" s="36" t="str">
        <f aca="false">IFERROR(INDEX('Fund Research'!$P$6:$P$505,MATCH(114,'Fund Research'!$V$6:$V$505,0)),"")</f>
        <v/>
      </c>
      <c r="L119" s="34" t="str">
        <f aca="false">IFERROR(INDEX('Fund Research'!$S$6:$S$505,MATCH(114,'Fund Research'!$V$6:$V$505,0)),"")</f>
        <v/>
      </c>
      <c r="M119" s="34" t="str">
        <f aca="false">IFERROR(INDEX('Fund Research'!$T$6:$T$505,MATCH(114,'Fund Research'!$V$6:$V$505,0)),"")</f>
        <v/>
      </c>
    </row>
    <row r="120" customFormat="false" ht="15" hidden="false" customHeight="true" outlineLevel="0" collapsed="false">
      <c r="A120" s="33" t="str">
        <f aca="false">IFERROR(IF(INDEX('Fund Research'!$B$6:$B$505,MATCH(115,'Fund Research'!$V$6:$V$505,0))="","",115),"")</f>
        <v/>
      </c>
      <c r="B120" s="34" t="str">
        <f aca="false">IFERROR(INDEX('Fund Research'!$A$6:$A$505,MATCH(115,'Fund Research'!$V$6:$V$505,0)),"")</f>
        <v/>
      </c>
      <c r="C120" s="34" t="str">
        <f aca="false">IFERROR(INDEX('Fund Research'!$B$6:$B$505,MATCH(115,'Fund Research'!$V$6:$V$505,0)),"")</f>
        <v/>
      </c>
      <c r="D120" s="34" t="str">
        <f aca="false">IFERROR(INDEX('Fund Research'!$C$6:$C$505,MATCH(115,'Fund Research'!$V$6:$V$505,0)),"")</f>
        <v/>
      </c>
      <c r="E120" s="35" t="str">
        <f aca="false">IFERROR(INDEX('Fund Research'!$G$6:$G$505,MATCH(115,'Fund Research'!$V$6:$V$505,0)),"")</f>
        <v/>
      </c>
      <c r="F120" s="35" t="str">
        <f aca="false">IFERROR(INDEX('Fund Research'!$H$6:$H$505,MATCH(115,'Fund Research'!$V$6:$V$505,0)),"")</f>
        <v/>
      </c>
      <c r="G120" s="35" t="str">
        <f aca="false">IFERROR(INDEX('Fund Research'!$I$6:$I$505,MATCH(115,'Fund Research'!$V$6:$V$505,0)),"")</f>
        <v/>
      </c>
      <c r="H120" s="36" t="str">
        <f aca="false">IFERROR(INDEX('Fund Research'!$J$6:$J$505,MATCH(115,'Fund Research'!$V$6:$V$505,0)),"")</f>
        <v/>
      </c>
      <c r="I120" s="38" t="str">
        <f aca="false">IFERROR(INDEX('Fund Research'!$L$6:$L$505,MATCH(115,'Fund Research'!$V$6:$V$505,0)),"")</f>
        <v/>
      </c>
      <c r="J120" s="36" t="str">
        <f aca="false">IFERROR(INDEX('Fund Research'!$N$6:$N$505,MATCH(115,'Fund Research'!$V$6:$V$505,0)),"")</f>
        <v/>
      </c>
      <c r="K120" s="36" t="str">
        <f aca="false">IFERROR(INDEX('Fund Research'!$P$6:$P$505,MATCH(115,'Fund Research'!$V$6:$V$505,0)),"")</f>
        <v/>
      </c>
      <c r="L120" s="34" t="str">
        <f aca="false">IFERROR(INDEX('Fund Research'!$S$6:$S$505,MATCH(115,'Fund Research'!$V$6:$V$505,0)),"")</f>
        <v/>
      </c>
      <c r="M120" s="34" t="str">
        <f aca="false">IFERROR(INDEX('Fund Research'!$T$6:$T$505,MATCH(115,'Fund Research'!$V$6:$V$505,0)),"")</f>
        <v/>
      </c>
    </row>
    <row r="121" customFormat="false" ht="15" hidden="false" customHeight="true" outlineLevel="0" collapsed="false">
      <c r="A121" s="33" t="str">
        <f aca="false">IFERROR(IF(INDEX('Fund Research'!$B$6:$B$505,MATCH(116,'Fund Research'!$V$6:$V$505,0))="","",116),"")</f>
        <v/>
      </c>
      <c r="B121" s="34" t="str">
        <f aca="false">IFERROR(INDEX('Fund Research'!$A$6:$A$505,MATCH(116,'Fund Research'!$V$6:$V$505,0)),"")</f>
        <v/>
      </c>
      <c r="C121" s="34" t="str">
        <f aca="false">IFERROR(INDEX('Fund Research'!$B$6:$B$505,MATCH(116,'Fund Research'!$V$6:$V$505,0)),"")</f>
        <v/>
      </c>
      <c r="D121" s="34" t="str">
        <f aca="false">IFERROR(INDEX('Fund Research'!$C$6:$C$505,MATCH(116,'Fund Research'!$V$6:$V$505,0)),"")</f>
        <v/>
      </c>
      <c r="E121" s="35" t="str">
        <f aca="false">IFERROR(INDEX('Fund Research'!$G$6:$G$505,MATCH(116,'Fund Research'!$V$6:$V$505,0)),"")</f>
        <v/>
      </c>
      <c r="F121" s="35" t="str">
        <f aca="false">IFERROR(INDEX('Fund Research'!$H$6:$H$505,MATCH(116,'Fund Research'!$V$6:$V$505,0)),"")</f>
        <v/>
      </c>
      <c r="G121" s="35" t="str">
        <f aca="false">IFERROR(INDEX('Fund Research'!$I$6:$I$505,MATCH(116,'Fund Research'!$V$6:$V$505,0)),"")</f>
        <v/>
      </c>
      <c r="H121" s="36" t="str">
        <f aca="false">IFERROR(INDEX('Fund Research'!$J$6:$J$505,MATCH(116,'Fund Research'!$V$6:$V$505,0)),"")</f>
        <v/>
      </c>
      <c r="I121" s="38" t="str">
        <f aca="false">IFERROR(INDEX('Fund Research'!$L$6:$L$505,MATCH(116,'Fund Research'!$V$6:$V$505,0)),"")</f>
        <v/>
      </c>
      <c r="J121" s="36" t="str">
        <f aca="false">IFERROR(INDEX('Fund Research'!$N$6:$N$505,MATCH(116,'Fund Research'!$V$6:$V$505,0)),"")</f>
        <v/>
      </c>
      <c r="K121" s="36" t="str">
        <f aca="false">IFERROR(INDEX('Fund Research'!$P$6:$P$505,MATCH(116,'Fund Research'!$V$6:$V$505,0)),"")</f>
        <v/>
      </c>
      <c r="L121" s="34" t="str">
        <f aca="false">IFERROR(INDEX('Fund Research'!$S$6:$S$505,MATCH(116,'Fund Research'!$V$6:$V$505,0)),"")</f>
        <v/>
      </c>
      <c r="M121" s="34" t="str">
        <f aca="false">IFERROR(INDEX('Fund Research'!$T$6:$T$505,MATCH(116,'Fund Research'!$V$6:$V$505,0)),"")</f>
        <v/>
      </c>
    </row>
    <row r="122" customFormat="false" ht="15" hidden="false" customHeight="true" outlineLevel="0" collapsed="false">
      <c r="A122" s="33" t="str">
        <f aca="false">IFERROR(IF(INDEX('Fund Research'!$B$6:$B$505,MATCH(117,'Fund Research'!$V$6:$V$505,0))="","",117),"")</f>
        <v/>
      </c>
      <c r="B122" s="34" t="str">
        <f aca="false">IFERROR(INDEX('Fund Research'!$A$6:$A$505,MATCH(117,'Fund Research'!$V$6:$V$505,0)),"")</f>
        <v/>
      </c>
      <c r="C122" s="34" t="str">
        <f aca="false">IFERROR(INDEX('Fund Research'!$B$6:$B$505,MATCH(117,'Fund Research'!$V$6:$V$505,0)),"")</f>
        <v/>
      </c>
      <c r="D122" s="34" t="str">
        <f aca="false">IFERROR(INDEX('Fund Research'!$C$6:$C$505,MATCH(117,'Fund Research'!$V$6:$V$505,0)),"")</f>
        <v/>
      </c>
      <c r="E122" s="35" t="str">
        <f aca="false">IFERROR(INDEX('Fund Research'!$G$6:$G$505,MATCH(117,'Fund Research'!$V$6:$V$505,0)),"")</f>
        <v/>
      </c>
      <c r="F122" s="35" t="str">
        <f aca="false">IFERROR(INDEX('Fund Research'!$H$6:$H$505,MATCH(117,'Fund Research'!$V$6:$V$505,0)),"")</f>
        <v/>
      </c>
      <c r="G122" s="35" t="str">
        <f aca="false">IFERROR(INDEX('Fund Research'!$I$6:$I$505,MATCH(117,'Fund Research'!$V$6:$V$505,0)),"")</f>
        <v/>
      </c>
      <c r="H122" s="36" t="str">
        <f aca="false">IFERROR(INDEX('Fund Research'!$J$6:$J$505,MATCH(117,'Fund Research'!$V$6:$V$505,0)),"")</f>
        <v/>
      </c>
      <c r="I122" s="38" t="str">
        <f aca="false">IFERROR(INDEX('Fund Research'!$L$6:$L$505,MATCH(117,'Fund Research'!$V$6:$V$505,0)),"")</f>
        <v/>
      </c>
      <c r="J122" s="36" t="str">
        <f aca="false">IFERROR(INDEX('Fund Research'!$N$6:$N$505,MATCH(117,'Fund Research'!$V$6:$V$505,0)),"")</f>
        <v/>
      </c>
      <c r="K122" s="36" t="str">
        <f aca="false">IFERROR(INDEX('Fund Research'!$P$6:$P$505,MATCH(117,'Fund Research'!$V$6:$V$505,0)),"")</f>
        <v/>
      </c>
      <c r="L122" s="34" t="str">
        <f aca="false">IFERROR(INDEX('Fund Research'!$S$6:$S$505,MATCH(117,'Fund Research'!$V$6:$V$505,0)),"")</f>
        <v/>
      </c>
      <c r="M122" s="34" t="str">
        <f aca="false">IFERROR(INDEX('Fund Research'!$T$6:$T$505,MATCH(117,'Fund Research'!$V$6:$V$505,0)),"")</f>
        <v/>
      </c>
    </row>
    <row r="123" customFormat="false" ht="15" hidden="false" customHeight="true" outlineLevel="0" collapsed="false">
      <c r="A123" s="33" t="str">
        <f aca="false">IFERROR(IF(INDEX('Fund Research'!$B$6:$B$505,MATCH(118,'Fund Research'!$V$6:$V$505,0))="","",118),"")</f>
        <v/>
      </c>
      <c r="B123" s="34" t="str">
        <f aca="false">IFERROR(INDEX('Fund Research'!$A$6:$A$505,MATCH(118,'Fund Research'!$V$6:$V$505,0)),"")</f>
        <v/>
      </c>
      <c r="C123" s="34" t="str">
        <f aca="false">IFERROR(INDEX('Fund Research'!$B$6:$B$505,MATCH(118,'Fund Research'!$V$6:$V$505,0)),"")</f>
        <v/>
      </c>
      <c r="D123" s="34" t="str">
        <f aca="false">IFERROR(INDEX('Fund Research'!$C$6:$C$505,MATCH(118,'Fund Research'!$V$6:$V$505,0)),"")</f>
        <v/>
      </c>
      <c r="E123" s="35" t="str">
        <f aca="false">IFERROR(INDEX('Fund Research'!$G$6:$G$505,MATCH(118,'Fund Research'!$V$6:$V$505,0)),"")</f>
        <v/>
      </c>
      <c r="F123" s="35" t="str">
        <f aca="false">IFERROR(INDEX('Fund Research'!$H$6:$H$505,MATCH(118,'Fund Research'!$V$6:$V$505,0)),"")</f>
        <v/>
      </c>
      <c r="G123" s="35" t="str">
        <f aca="false">IFERROR(INDEX('Fund Research'!$I$6:$I$505,MATCH(118,'Fund Research'!$V$6:$V$505,0)),"")</f>
        <v/>
      </c>
      <c r="H123" s="36" t="str">
        <f aca="false">IFERROR(INDEX('Fund Research'!$J$6:$J$505,MATCH(118,'Fund Research'!$V$6:$V$505,0)),"")</f>
        <v/>
      </c>
      <c r="I123" s="38" t="str">
        <f aca="false">IFERROR(INDEX('Fund Research'!$L$6:$L$505,MATCH(118,'Fund Research'!$V$6:$V$505,0)),"")</f>
        <v/>
      </c>
      <c r="J123" s="36" t="str">
        <f aca="false">IFERROR(INDEX('Fund Research'!$N$6:$N$505,MATCH(118,'Fund Research'!$V$6:$V$505,0)),"")</f>
        <v/>
      </c>
      <c r="K123" s="36" t="str">
        <f aca="false">IFERROR(INDEX('Fund Research'!$P$6:$P$505,MATCH(118,'Fund Research'!$V$6:$V$505,0)),"")</f>
        <v/>
      </c>
      <c r="L123" s="34" t="str">
        <f aca="false">IFERROR(INDEX('Fund Research'!$S$6:$S$505,MATCH(118,'Fund Research'!$V$6:$V$505,0)),"")</f>
        <v/>
      </c>
      <c r="M123" s="34" t="str">
        <f aca="false">IFERROR(INDEX('Fund Research'!$T$6:$T$505,MATCH(118,'Fund Research'!$V$6:$V$505,0)),"")</f>
        <v/>
      </c>
    </row>
    <row r="124" customFormat="false" ht="15" hidden="false" customHeight="true" outlineLevel="0" collapsed="false">
      <c r="A124" s="33" t="str">
        <f aca="false">IFERROR(IF(INDEX('Fund Research'!$B$6:$B$505,MATCH(119,'Fund Research'!$V$6:$V$505,0))="","",119),"")</f>
        <v/>
      </c>
      <c r="B124" s="34" t="str">
        <f aca="false">IFERROR(INDEX('Fund Research'!$A$6:$A$505,MATCH(119,'Fund Research'!$V$6:$V$505,0)),"")</f>
        <v/>
      </c>
      <c r="C124" s="34" t="str">
        <f aca="false">IFERROR(INDEX('Fund Research'!$B$6:$B$505,MATCH(119,'Fund Research'!$V$6:$V$505,0)),"")</f>
        <v/>
      </c>
      <c r="D124" s="34" t="str">
        <f aca="false">IFERROR(INDEX('Fund Research'!$C$6:$C$505,MATCH(119,'Fund Research'!$V$6:$V$505,0)),"")</f>
        <v/>
      </c>
      <c r="E124" s="35" t="str">
        <f aca="false">IFERROR(INDEX('Fund Research'!$G$6:$G$505,MATCH(119,'Fund Research'!$V$6:$V$505,0)),"")</f>
        <v/>
      </c>
      <c r="F124" s="35" t="str">
        <f aca="false">IFERROR(INDEX('Fund Research'!$H$6:$H$505,MATCH(119,'Fund Research'!$V$6:$V$505,0)),"")</f>
        <v/>
      </c>
      <c r="G124" s="35" t="str">
        <f aca="false">IFERROR(INDEX('Fund Research'!$I$6:$I$505,MATCH(119,'Fund Research'!$V$6:$V$505,0)),"")</f>
        <v/>
      </c>
      <c r="H124" s="36" t="str">
        <f aca="false">IFERROR(INDEX('Fund Research'!$J$6:$J$505,MATCH(119,'Fund Research'!$V$6:$V$505,0)),"")</f>
        <v/>
      </c>
      <c r="I124" s="38" t="str">
        <f aca="false">IFERROR(INDEX('Fund Research'!$L$6:$L$505,MATCH(119,'Fund Research'!$V$6:$V$505,0)),"")</f>
        <v/>
      </c>
      <c r="J124" s="36" t="str">
        <f aca="false">IFERROR(INDEX('Fund Research'!$N$6:$N$505,MATCH(119,'Fund Research'!$V$6:$V$505,0)),"")</f>
        <v/>
      </c>
      <c r="K124" s="36" t="str">
        <f aca="false">IFERROR(INDEX('Fund Research'!$P$6:$P$505,MATCH(119,'Fund Research'!$V$6:$V$505,0)),"")</f>
        <v/>
      </c>
      <c r="L124" s="34" t="str">
        <f aca="false">IFERROR(INDEX('Fund Research'!$S$6:$S$505,MATCH(119,'Fund Research'!$V$6:$V$505,0)),"")</f>
        <v/>
      </c>
      <c r="M124" s="34" t="str">
        <f aca="false">IFERROR(INDEX('Fund Research'!$T$6:$T$505,MATCH(119,'Fund Research'!$V$6:$V$505,0)),"")</f>
        <v/>
      </c>
    </row>
    <row r="125" customFormat="false" ht="15" hidden="false" customHeight="true" outlineLevel="0" collapsed="false">
      <c r="A125" s="33" t="str">
        <f aca="false">IFERROR(IF(INDEX('Fund Research'!$B$6:$B$505,MATCH(120,'Fund Research'!$V$6:$V$505,0))="","",120),"")</f>
        <v/>
      </c>
      <c r="B125" s="34" t="str">
        <f aca="false">IFERROR(INDEX('Fund Research'!$A$6:$A$505,MATCH(120,'Fund Research'!$V$6:$V$505,0)),"")</f>
        <v/>
      </c>
      <c r="C125" s="34" t="str">
        <f aca="false">IFERROR(INDEX('Fund Research'!$B$6:$B$505,MATCH(120,'Fund Research'!$V$6:$V$505,0)),"")</f>
        <v/>
      </c>
      <c r="D125" s="34" t="str">
        <f aca="false">IFERROR(INDEX('Fund Research'!$C$6:$C$505,MATCH(120,'Fund Research'!$V$6:$V$505,0)),"")</f>
        <v/>
      </c>
      <c r="E125" s="35" t="str">
        <f aca="false">IFERROR(INDEX('Fund Research'!$G$6:$G$505,MATCH(120,'Fund Research'!$V$6:$V$505,0)),"")</f>
        <v/>
      </c>
      <c r="F125" s="35" t="str">
        <f aca="false">IFERROR(INDEX('Fund Research'!$H$6:$H$505,MATCH(120,'Fund Research'!$V$6:$V$505,0)),"")</f>
        <v/>
      </c>
      <c r="G125" s="35" t="str">
        <f aca="false">IFERROR(INDEX('Fund Research'!$I$6:$I$505,MATCH(120,'Fund Research'!$V$6:$V$505,0)),"")</f>
        <v/>
      </c>
      <c r="H125" s="36" t="str">
        <f aca="false">IFERROR(INDEX('Fund Research'!$J$6:$J$505,MATCH(120,'Fund Research'!$V$6:$V$505,0)),"")</f>
        <v/>
      </c>
      <c r="I125" s="38" t="str">
        <f aca="false">IFERROR(INDEX('Fund Research'!$L$6:$L$505,MATCH(120,'Fund Research'!$V$6:$V$505,0)),"")</f>
        <v/>
      </c>
      <c r="J125" s="36" t="str">
        <f aca="false">IFERROR(INDEX('Fund Research'!$N$6:$N$505,MATCH(120,'Fund Research'!$V$6:$V$505,0)),"")</f>
        <v/>
      </c>
      <c r="K125" s="36" t="str">
        <f aca="false">IFERROR(INDEX('Fund Research'!$P$6:$P$505,MATCH(120,'Fund Research'!$V$6:$V$505,0)),"")</f>
        <v/>
      </c>
      <c r="L125" s="34" t="str">
        <f aca="false">IFERROR(INDEX('Fund Research'!$S$6:$S$505,MATCH(120,'Fund Research'!$V$6:$V$505,0)),"")</f>
        <v/>
      </c>
      <c r="M125" s="34" t="str">
        <f aca="false">IFERROR(INDEX('Fund Research'!$T$6:$T$505,MATCH(120,'Fund Research'!$V$6:$V$505,0)),"")</f>
        <v/>
      </c>
    </row>
    <row r="126" customFormat="false" ht="15" hidden="false" customHeight="true" outlineLevel="0" collapsed="false">
      <c r="A126" s="33" t="str">
        <f aca="false">IFERROR(IF(INDEX('Fund Research'!$B$6:$B$505,MATCH(121,'Fund Research'!$V$6:$V$505,0))="","",121),"")</f>
        <v/>
      </c>
      <c r="B126" s="34" t="str">
        <f aca="false">IFERROR(INDEX('Fund Research'!$A$6:$A$505,MATCH(121,'Fund Research'!$V$6:$V$505,0)),"")</f>
        <v/>
      </c>
      <c r="C126" s="34" t="str">
        <f aca="false">IFERROR(INDEX('Fund Research'!$B$6:$B$505,MATCH(121,'Fund Research'!$V$6:$V$505,0)),"")</f>
        <v/>
      </c>
      <c r="D126" s="34" t="str">
        <f aca="false">IFERROR(INDEX('Fund Research'!$C$6:$C$505,MATCH(121,'Fund Research'!$V$6:$V$505,0)),"")</f>
        <v/>
      </c>
      <c r="E126" s="35" t="str">
        <f aca="false">IFERROR(INDEX('Fund Research'!$G$6:$G$505,MATCH(121,'Fund Research'!$V$6:$V$505,0)),"")</f>
        <v/>
      </c>
      <c r="F126" s="35" t="str">
        <f aca="false">IFERROR(INDEX('Fund Research'!$H$6:$H$505,MATCH(121,'Fund Research'!$V$6:$V$505,0)),"")</f>
        <v/>
      </c>
      <c r="G126" s="35" t="str">
        <f aca="false">IFERROR(INDEX('Fund Research'!$I$6:$I$505,MATCH(121,'Fund Research'!$V$6:$V$505,0)),"")</f>
        <v/>
      </c>
      <c r="H126" s="36" t="str">
        <f aca="false">IFERROR(INDEX('Fund Research'!$J$6:$J$505,MATCH(121,'Fund Research'!$V$6:$V$505,0)),"")</f>
        <v/>
      </c>
      <c r="I126" s="38" t="str">
        <f aca="false">IFERROR(INDEX('Fund Research'!$L$6:$L$505,MATCH(121,'Fund Research'!$V$6:$V$505,0)),"")</f>
        <v/>
      </c>
      <c r="J126" s="36" t="str">
        <f aca="false">IFERROR(INDEX('Fund Research'!$N$6:$N$505,MATCH(121,'Fund Research'!$V$6:$V$505,0)),"")</f>
        <v/>
      </c>
      <c r="K126" s="36" t="str">
        <f aca="false">IFERROR(INDEX('Fund Research'!$P$6:$P$505,MATCH(121,'Fund Research'!$V$6:$V$505,0)),"")</f>
        <v/>
      </c>
      <c r="L126" s="34" t="str">
        <f aca="false">IFERROR(INDEX('Fund Research'!$S$6:$S$505,MATCH(121,'Fund Research'!$V$6:$V$505,0)),"")</f>
        <v/>
      </c>
      <c r="M126" s="34" t="str">
        <f aca="false">IFERROR(INDEX('Fund Research'!$T$6:$T$505,MATCH(121,'Fund Research'!$V$6:$V$505,0)),"")</f>
        <v/>
      </c>
    </row>
    <row r="127" customFormat="false" ht="15" hidden="false" customHeight="true" outlineLevel="0" collapsed="false">
      <c r="A127" s="33" t="str">
        <f aca="false">IFERROR(IF(INDEX('Fund Research'!$B$6:$B$505,MATCH(122,'Fund Research'!$V$6:$V$505,0))="","",122),"")</f>
        <v/>
      </c>
      <c r="B127" s="34" t="str">
        <f aca="false">IFERROR(INDEX('Fund Research'!$A$6:$A$505,MATCH(122,'Fund Research'!$V$6:$V$505,0)),"")</f>
        <v/>
      </c>
      <c r="C127" s="34" t="str">
        <f aca="false">IFERROR(INDEX('Fund Research'!$B$6:$B$505,MATCH(122,'Fund Research'!$V$6:$V$505,0)),"")</f>
        <v/>
      </c>
      <c r="D127" s="34" t="str">
        <f aca="false">IFERROR(INDEX('Fund Research'!$C$6:$C$505,MATCH(122,'Fund Research'!$V$6:$V$505,0)),"")</f>
        <v/>
      </c>
      <c r="E127" s="35" t="str">
        <f aca="false">IFERROR(INDEX('Fund Research'!$G$6:$G$505,MATCH(122,'Fund Research'!$V$6:$V$505,0)),"")</f>
        <v/>
      </c>
      <c r="F127" s="35" t="str">
        <f aca="false">IFERROR(INDEX('Fund Research'!$H$6:$H$505,MATCH(122,'Fund Research'!$V$6:$V$505,0)),"")</f>
        <v/>
      </c>
      <c r="G127" s="35" t="str">
        <f aca="false">IFERROR(INDEX('Fund Research'!$I$6:$I$505,MATCH(122,'Fund Research'!$V$6:$V$505,0)),"")</f>
        <v/>
      </c>
      <c r="H127" s="36" t="str">
        <f aca="false">IFERROR(INDEX('Fund Research'!$J$6:$J$505,MATCH(122,'Fund Research'!$V$6:$V$505,0)),"")</f>
        <v/>
      </c>
      <c r="I127" s="38" t="str">
        <f aca="false">IFERROR(INDEX('Fund Research'!$L$6:$L$505,MATCH(122,'Fund Research'!$V$6:$V$505,0)),"")</f>
        <v/>
      </c>
      <c r="J127" s="36" t="str">
        <f aca="false">IFERROR(INDEX('Fund Research'!$N$6:$N$505,MATCH(122,'Fund Research'!$V$6:$V$505,0)),"")</f>
        <v/>
      </c>
      <c r="K127" s="36" t="str">
        <f aca="false">IFERROR(INDEX('Fund Research'!$P$6:$P$505,MATCH(122,'Fund Research'!$V$6:$V$505,0)),"")</f>
        <v/>
      </c>
      <c r="L127" s="34" t="str">
        <f aca="false">IFERROR(INDEX('Fund Research'!$S$6:$S$505,MATCH(122,'Fund Research'!$V$6:$V$505,0)),"")</f>
        <v/>
      </c>
      <c r="M127" s="34" t="str">
        <f aca="false">IFERROR(INDEX('Fund Research'!$T$6:$T$505,MATCH(122,'Fund Research'!$V$6:$V$505,0)),"")</f>
        <v/>
      </c>
    </row>
    <row r="128" customFormat="false" ht="15" hidden="false" customHeight="true" outlineLevel="0" collapsed="false">
      <c r="A128" s="33" t="str">
        <f aca="false">IFERROR(IF(INDEX('Fund Research'!$B$6:$B$505,MATCH(123,'Fund Research'!$V$6:$V$505,0))="","",123),"")</f>
        <v/>
      </c>
      <c r="B128" s="34" t="str">
        <f aca="false">IFERROR(INDEX('Fund Research'!$A$6:$A$505,MATCH(123,'Fund Research'!$V$6:$V$505,0)),"")</f>
        <v/>
      </c>
      <c r="C128" s="34" t="str">
        <f aca="false">IFERROR(INDEX('Fund Research'!$B$6:$B$505,MATCH(123,'Fund Research'!$V$6:$V$505,0)),"")</f>
        <v/>
      </c>
      <c r="D128" s="34" t="str">
        <f aca="false">IFERROR(INDEX('Fund Research'!$C$6:$C$505,MATCH(123,'Fund Research'!$V$6:$V$505,0)),"")</f>
        <v/>
      </c>
      <c r="E128" s="35" t="str">
        <f aca="false">IFERROR(INDEX('Fund Research'!$G$6:$G$505,MATCH(123,'Fund Research'!$V$6:$V$505,0)),"")</f>
        <v/>
      </c>
      <c r="F128" s="35" t="str">
        <f aca="false">IFERROR(INDEX('Fund Research'!$H$6:$H$505,MATCH(123,'Fund Research'!$V$6:$V$505,0)),"")</f>
        <v/>
      </c>
      <c r="G128" s="35" t="str">
        <f aca="false">IFERROR(INDEX('Fund Research'!$I$6:$I$505,MATCH(123,'Fund Research'!$V$6:$V$505,0)),"")</f>
        <v/>
      </c>
      <c r="H128" s="36" t="str">
        <f aca="false">IFERROR(INDEX('Fund Research'!$J$6:$J$505,MATCH(123,'Fund Research'!$V$6:$V$505,0)),"")</f>
        <v/>
      </c>
      <c r="I128" s="38" t="str">
        <f aca="false">IFERROR(INDEX('Fund Research'!$L$6:$L$505,MATCH(123,'Fund Research'!$V$6:$V$505,0)),"")</f>
        <v/>
      </c>
      <c r="J128" s="36" t="str">
        <f aca="false">IFERROR(INDEX('Fund Research'!$N$6:$N$505,MATCH(123,'Fund Research'!$V$6:$V$505,0)),"")</f>
        <v/>
      </c>
      <c r="K128" s="36" t="str">
        <f aca="false">IFERROR(INDEX('Fund Research'!$P$6:$P$505,MATCH(123,'Fund Research'!$V$6:$V$505,0)),"")</f>
        <v/>
      </c>
      <c r="L128" s="34" t="str">
        <f aca="false">IFERROR(INDEX('Fund Research'!$S$6:$S$505,MATCH(123,'Fund Research'!$V$6:$V$505,0)),"")</f>
        <v/>
      </c>
      <c r="M128" s="34" t="str">
        <f aca="false">IFERROR(INDEX('Fund Research'!$T$6:$T$505,MATCH(123,'Fund Research'!$V$6:$V$505,0)),"")</f>
        <v/>
      </c>
    </row>
    <row r="129" customFormat="false" ht="15" hidden="false" customHeight="true" outlineLevel="0" collapsed="false">
      <c r="A129" s="33" t="str">
        <f aca="false">IFERROR(IF(INDEX('Fund Research'!$B$6:$B$505,MATCH(124,'Fund Research'!$V$6:$V$505,0))="","",124),"")</f>
        <v/>
      </c>
      <c r="B129" s="34" t="str">
        <f aca="false">IFERROR(INDEX('Fund Research'!$A$6:$A$505,MATCH(124,'Fund Research'!$V$6:$V$505,0)),"")</f>
        <v/>
      </c>
      <c r="C129" s="34" t="str">
        <f aca="false">IFERROR(INDEX('Fund Research'!$B$6:$B$505,MATCH(124,'Fund Research'!$V$6:$V$505,0)),"")</f>
        <v/>
      </c>
      <c r="D129" s="34" t="str">
        <f aca="false">IFERROR(INDEX('Fund Research'!$C$6:$C$505,MATCH(124,'Fund Research'!$V$6:$V$505,0)),"")</f>
        <v/>
      </c>
      <c r="E129" s="35" t="str">
        <f aca="false">IFERROR(INDEX('Fund Research'!$G$6:$G$505,MATCH(124,'Fund Research'!$V$6:$V$505,0)),"")</f>
        <v/>
      </c>
      <c r="F129" s="35" t="str">
        <f aca="false">IFERROR(INDEX('Fund Research'!$H$6:$H$505,MATCH(124,'Fund Research'!$V$6:$V$505,0)),"")</f>
        <v/>
      </c>
      <c r="G129" s="35" t="str">
        <f aca="false">IFERROR(INDEX('Fund Research'!$I$6:$I$505,MATCH(124,'Fund Research'!$V$6:$V$505,0)),"")</f>
        <v/>
      </c>
      <c r="H129" s="36" t="str">
        <f aca="false">IFERROR(INDEX('Fund Research'!$J$6:$J$505,MATCH(124,'Fund Research'!$V$6:$V$505,0)),"")</f>
        <v/>
      </c>
      <c r="I129" s="38" t="str">
        <f aca="false">IFERROR(INDEX('Fund Research'!$L$6:$L$505,MATCH(124,'Fund Research'!$V$6:$V$505,0)),"")</f>
        <v/>
      </c>
      <c r="J129" s="36" t="str">
        <f aca="false">IFERROR(INDEX('Fund Research'!$N$6:$N$505,MATCH(124,'Fund Research'!$V$6:$V$505,0)),"")</f>
        <v/>
      </c>
      <c r="K129" s="36" t="str">
        <f aca="false">IFERROR(INDEX('Fund Research'!$P$6:$P$505,MATCH(124,'Fund Research'!$V$6:$V$505,0)),"")</f>
        <v/>
      </c>
      <c r="L129" s="34" t="str">
        <f aca="false">IFERROR(INDEX('Fund Research'!$S$6:$S$505,MATCH(124,'Fund Research'!$V$6:$V$505,0)),"")</f>
        <v/>
      </c>
      <c r="M129" s="34" t="str">
        <f aca="false">IFERROR(INDEX('Fund Research'!$T$6:$T$505,MATCH(124,'Fund Research'!$V$6:$V$505,0)),"")</f>
        <v/>
      </c>
    </row>
    <row r="130" customFormat="false" ht="15" hidden="false" customHeight="true" outlineLevel="0" collapsed="false">
      <c r="A130" s="33" t="str">
        <f aca="false">IFERROR(IF(INDEX('Fund Research'!$B$6:$B$505,MATCH(125,'Fund Research'!$V$6:$V$505,0))="","",125),"")</f>
        <v/>
      </c>
      <c r="B130" s="34" t="str">
        <f aca="false">IFERROR(INDEX('Fund Research'!$A$6:$A$505,MATCH(125,'Fund Research'!$V$6:$V$505,0)),"")</f>
        <v/>
      </c>
      <c r="C130" s="34" t="str">
        <f aca="false">IFERROR(INDEX('Fund Research'!$B$6:$B$505,MATCH(125,'Fund Research'!$V$6:$V$505,0)),"")</f>
        <v/>
      </c>
      <c r="D130" s="34" t="str">
        <f aca="false">IFERROR(INDEX('Fund Research'!$C$6:$C$505,MATCH(125,'Fund Research'!$V$6:$V$505,0)),"")</f>
        <v/>
      </c>
      <c r="E130" s="35" t="str">
        <f aca="false">IFERROR(INDEX('Fund Research'!$G$6:$G$505,MATCH(125,'Fund Research'!$V$6:$V$505,0)),"")</f>
        <v/>
      </c>
      <c r="F130" s="35" t="str">
        <f aca="false">IFERROR(INDEX('Fund Research'!$H$6:$H$505,MATCH(125,'Fund Research'!$V$6:$V$505,0)),"")</f>
        <v/>
      </c>
      <c r="G130" s="35" t="str">
        <f aca="false">IFERROR(INDEX('Fund Research'!$I$6:$I$505,MATCH(125,'Fund Research'!$V$6:$V$505,0)),"")</f>
        <v/>
      </c>
      <c r="H130" s="36" t="str">
        <f aca="false">IFERROR(INDEX('Fund Research'!$J$6:$J$505,MATCH(125,'Fund Research'!$V$6:$V$505,0)),"")</f>
        <v/>
      </c>
      <c r="I130" s="38" t="str">
        <f aca="false">IFERROR(INDEX('Fund Research'!$L$6:$L$505,MATCH(125,'Fund Research'!$V$6:$V$505,0)),"")</f>
        <v/>
      </c>
      <c r="J130" s="36" t="str">
        <f aca="false">IFERROR(INDEX('Fund Research'!$N$6:$N$505,MATCH(125,'Fund Research'!$V$6:$V$505,0)),"")</f>
        <v/>
      </c>
      <c r="K130" s="36" t="str">
        <f aca="false">IFERROR(INDEX('Fund Research'!$P$6:$P$505,MATCH(125,'Fund Research'!$V$6:$V$505,0)),"")</f>
        <v/>
      </c>
      <c r="L130" s="34" t="str">
        <f aca="false">IFERROR(INDEX('Fund Research'!$S$6:$S$505,MATCH(125,'Fund Research'!$V$6:$V$505,0)),"")</f>
        <v/>
      </c>
      <c r="M130" s="34" t="str">
        <f aca="false">IFERROR(INDEX('Fund Research'!$T$6:$T$505,MATCH(125,'Fund Research'!$V$6:$V$505,0)),"")</f>
        <v/>
      </c>
    </row>
    <row r="131" customFormat="false" ht="15" hidden="false" customHeight="true" outlineLevel="0" collapsed="false">
      <c r="A131" s="33" t="str">
        <f aca="false">IFERROR(IF(INDEX('Fund Research'!$B$6:$B$505,MATCH(126,'Fund Research'!$V$6:$V$505,0))="","",126),"")</f>
        <v/>
      </c>
      <c r="B131" s="34" t="str">
        <f aca="false">IFERROR(INDEX('Fund Research'!$A$6:$A$505,MATCH(126,'Fund Research'!$V$6:$V$505,0)),"")</f>
        <v/>
      </c>
      <c r="C131" s="34" t="str">
        <f aca="false">IFERROR(INDEX('Fund Research'!$B$6:$B$505,MATCH(126,'Fund Research'!$V$6:$V$505,0)),"")</f>
        <v/>
      </c>
      <c r="D131" s="34" t="str">
        <f aca="false">IFERROR(INDEX('Fund Research'!$C$6:$C$505,MATCH(126,'Fund Research'!$V$6:$V$505,0)),"")</f>
        <v/>
      </c>
      <c r="E131" s="35" t="str">
        <f aca="false">IFERROR(INDEX('Fund Research'!$G$6:$G$505,MATCH(126,'Fund Research'!$V$6:$V$505,0)),"")</f>
        <v/>
      </c>
      <c r="F131" s="35" t="str">
        <f aca="false">IFERROR(INDEX('Fund Research'!$H$6:$H$505,MATCH(126,'Fund Research'!$V$6:$V$505,0)),"")</f>
        <v/>
      </c>
      <c r="G131" s="35" t="str">
        <f aca="false">IFERROR(INDEX('Fund Research'!$I$6:$I$505,MATCH(126,'Fund Research'!$V$6:$V$505,0)),"")</f>
        <v/>
      </c>
      <c r="H131" s="36" t="str">
        <f aca="false">IFERROR(INDEX('Fund Research'!$J$6:$J$505,MATCH(126,'Fund Research'!$V$6:$V$505,0)),"")</f>
        <v/>
      </c>
      <c r="I131" s="38" t="str">
        <f aca="false">IFERROR(INDEX('Fund Research'!$L$6:$L$505,MATCH(126,'Fund Research'!$V$6:$V$505,0)),"")</f>
        <v/>
      </c>
      <c r="J131" s="36" t="str">
        <f aca="false">IFERROR(INDEX('Fund Research'!$N$6:$N$505,MATCH(126,'Fund Research'!$V$6:$V$505,0)),"")</f>
        <v/>
      </c>
      <c r="K131" s="36" t="str">
        <f aca="false">IFERROR(INDEX('Fund Research'!$P$6:$P$505,MATCH(126,'Fund Research'!$V$6:$V$505,0)),"")</f>
        <v/>
      </c>
      <c r="L131" s="34" t="str">
        <f aca="false">IFERROR(INDEX('Fund Research'!$S$6:$S$505,MATCH(126,'Fund Research'!$V$6:$V$505,0)),"")</f>
        <v/>
      </c>
      <c r="M131" s="34" t="str">
        <f aca="false">IFERROR(INDEX('Fund Research'!$T$6:$T$505,MATCH(126,'Fund Research'!$V$6:$V$505,0)),"")</f>
        <v/>
      </c>
    </row>
    <row r="132" customFormat="false" ht="15" hidden="false" customHeight="true" outlineLevel="0" collapsed="false">
      <c r="A132" s="33" t="str">
        <f aca="false">IFERROR(IF(INDEX('Fund Research'!$B$6:$B$505,MATCH(127,'Fund Research'!$V$6:$V$505,0))="","",127),"")</f>
        <v/>
      </c>
      <c r="B132" s="34" t="str">
        <f aca="false">IFERROR(INDEX('Fund Research'!$A$6:$A$505,MATCH(127,'Fund Research'!$V$6:$V$505,0)),"")</f>
        <v/>
      </c>
      <c r="C132" s="34" t="str">
        <f aca="false">IFERROR(INDEX('Fund Research'!$B$6:$B$505,MATCH(127,'Fund Research'!$V$6:$V$505,0)),"")</f>
        <v/>
      </c>
      <c r="D132" s="34" t="str">
        <f aca="false">IFERROR(INDEX('Fund Research'!$C$6:$C$505,MATCH(127,'Fund Research'!$V$6:$V$505,0)),"")</f>
        <v/>
      </c>
      <c r="E132" s="35" t="str">
        <f aca="false">IFERROR(INDEX('Fund Research'!$G$6:$G$505,MATCH(127,'Fund Research'!$V$6:$V$505,0)),"")</f>
        <v/>
      </c>
      <c r="F132" s="35" t="str">
        <f aca="false">IFERROR(INDEX('Fund Research'!$H$6:$H$505,MATCH(127,'Fund Research'!$V$6:$V$505,0)),"")</f>
        <v/>
      </c>
      <c r="G132" s="35" t="str">
        <f aca="false">IFERROR(INDEX('Fund Research'!$I$6:$I$505,MATCH(127,'Fund Research'!$V$6:$V$505,0)),"")</f>
        <v/>
      </c>
      <c r="H132" s="36" t="str">
        <f aca="false">IFERROR(INDEX('Fund Research'!$J$6:$J$505,MATCH(127,'Fund Research'!$V$6:$V$505,0)),"")</f>
        <v/>
      </c>
      <c r="I132" s="38" t="str">
        <f aca="false">IFERROR(INDEX('Fund Research'!$L$6:$L$505,MATCH(127,'Fund Research'!$V$6:$V$505,0)),"")</f>
        <v/>
      </c>
      <c r="J132" s="36" t="str">
        <f aca="false">IFERROR(INDEX('Fund Research'!$N$6:$N$505,MATCH(127,'Fund Research'!$V$6:$V$505,0)),"")</f>
        <v/>
      </c>
      <c r="K132" s="36" t="str">
        <f aca="false">IFERROR(INDEX('Fund Research'!$P$6:$P$505,MATCH(127,'Fund Research'!$V$6:$V$505,0)),"")</f>
        <v/>
      </c>
      <c r="L132" s="34" t="str">
        <f aca="false">IFERROR(INDEX('Fund Research'!$S$6:$S$505,MATCH(127,'Fund Research'!$V$6:$V$505,0)),"")</f>
        <v/>
      </c>
      <c r="M132" s="34" t="str">
        <f aca="false">IFERROR(INDEX('Fund Research'!$T$6:$T$505,MATCH(127,'Fund Research'!$V$6:$V$505,0)),"")</f>
        <v/>
      </c>
    </row>
    <row r="133" customFormat="false" ht="15" hidden="false" customHeight="true" outlineLevel="0" collapsed="false">
      <c r="A133" s="33" t="str">
        <f aca="false">IFERROR(IF(INDEX('Fund Research'!$B$6:$B$505,MATCH(128,'Fund Research'!$V$6:$V$505,0))="","",128),"")</f>
        <v/>
      </c>
      <c r="B133" s="34" t="str">
        <f aca="false">IFERROR(INDEX('Fund Research'!$A$6:$A$505,MATCH(128,'Fund Research'!$V$6:$V$505,0)),"")</f>
        <v/>
      </c>
      <c r="C133" s="34" t="str">
        <f aca="false">IFERROR(INDEX('Fund Research'!$B$6:$B$505,MATCH(128,'Fund Research'!$V$6:$V$505,0)),"")</f>
        <v/>
      </c>
      <c r="D133" s="34" t="str">
        <f aca="false">IFERROR(INDEX('Fund Research'!$C$6:$C$505,MATCH(128,'Fund Research'!$V$6:$V$505,0)),"")</f>
        <v/>
      </c>
      <c r="E133" s="35" t="str">
        <f aca="false">IFERROR(INDEX('Fund Research'!$G$6:$G$505,MATCH(128,'Fund Research'!$V$6:$V$505,0)),"")</f>
        <v/>
      </c>
      <c r="F133" s="35" t="str">
        <f aca="false">IFERROR(INDEX('Fund Research'!$H$6:$H$505,MATCH(128,'Fund Research'!$V$6:$V$505,0)),"")</f>
        <v/>
      </c>
      <c r="G133" s="35" t="str">
        <f aca="false">IFERROR(INDEX('Fund Research'!$I$6:$I$505,MATCH(128,'Fund Research'!$V$6:$V$505,0)),"")</f>
        <v/>
      </c>
      <c r="H133" s="36" t="str">
        <f aca="false">IFERROR(INDEX('Fund Research'!$J$6:$J$505,MATCH(128,'Fund Research'!$V$6:$V$505,0)),"")</f>
        <v/>
      </c>
      <c r="I133" s="38" t="str">
        <f aca="false">IFERROR(INDEX('Fund Research'!$L$6:$L$505,MATCH(128,'Fund Research'!$V$6:$V$505,0)),"")</f>
        <v/>
      </c>
      <c r="J133" s="36" t="str">
        <f aca="false">IFERROR(INDEX('Fund Research'!$N$6:$N$505,MATCH(128,'Fund Research'!$V$6:$V$505,0)),"")</f>
        <v/>
      </c>
      <c r="K133" s="36" t="str">
        <f aca="false">IFERROR(INDEX('Fund Research'!$P$6:$P$505,MATCH(128,'Fund Research'!$V$6:$V$505,0)),"")</f>
        <v/>
      </c>
      <c r="L133" s="34" t="str">
        <f aca="false">IFERROR(INDEX('Fund Research'!$S$6:$S$505,MATCH(128,'Fund Research'!$V$6:$V$505,0)),"")</f>
        <v/>
      </c>
      <c r="M133" s="34" t="str">
        <f aca="false">IFERROR(INDEX('Fund Research'!$T$6:$T$505,MATCH(128,'Fund Research'!$V$6:$V$505,0)),"")</f>
        <v/>
      </c>
    </row>
    <row r="134" customFormat="false" ht="15" hidden="false" customHeight="true" outlineLevel="0" collapsed="false">
      <c r="A134" s="33" t="str">
        <f aca="false">IFERROR(IF(INDEX('Fund Research'!$B$6:$B$505,MATCH(129,'Fund Research'!$V$6:$V$505,0))="","",129),"")</f>
        <v/>
      </c>
      <c r="B134" s="34" t="str">
        <f aca="false">IFERROR(INDEX('Fund Research'!$A$6:$A$505,MATCH(129,'Fund Research'!$V$6:$V$505,0)),"")</f>
        <v/>
      </c>
      <c r="C134" s="34" t="str">
        <f aca="false">IFERROR(INDEX('Fund Research'!$B$6:$B$505,MATCH(129,'Fund Research'!$V$6:$V$505,0)),"")</f>
        <v/>
      </c>
      <c r="D134" s="34" t="str">
        <f aca="false">IFERROR(INDEX('Fund Research'!$C$6:$C$505,MATCH(129,'Fund Research'!$V$6:$V$505,0)),"")</f>
        <v/>
      </c>
      <c r="E134" s="35" t="str">
        <f aca="false">IFERROR(INDEX('Fund Research'!$G$6:$G$505,MATCH(129,'Fund Research'!$V$6:$V$505,0)),"")</f>
        <v/>
      </c>
      <c r="F134" s="35" t="str">
        <f aca="false">IFERROR(INDEX('Fund Research'!$H$6:$H$505,MATCH(129,'Fund Research'!$V$6:$V$505,0)),"")</f>
        <v/>
      </c>
      <c r="G134" s="35" t="str">
        <f aca="false">IFERROR(INDEX('Fund Research'!$I$6:$I$505,MATCH(129,'Fund Research'!$V$6:$V$505,0)),"")</f>
        <v/>
      </c>
      <c r="H134" s="36" t="str">
        <f aca="false">IFERROR(INDEX('Fund Research'!$J$6:$J$505,MATCH(129,'Fund Research'!$V$6:$V$505,0)),"")</f>
        <v/>
      </c>
      <c r="I134" s="38" t="str">
        <f aca="false">IFERROR(INDEX('Fund Research'!$L$6:$L$505,MATCH(129,'Fund Research'!$V$6:$V$505,0)),"")</f>
        <v/>
      </c>
      <c r="J134" s="36" t="str">
        <f aca="false">IFERROR(INDEX('Fund Research'!$N$6:$N$505,MATCH(129,'Fund Research'!$V$6:$V$505,0)),"")</f>
        <v/>
      </c>
      <c r="K134" s="36" t="str">
        <f aca="false">IFERROR(INDEX('Fund Research'!$P$6:$P$505,MATCH(129,'Fund Research'!$V$6:$V$505,0)),"")</f>
        <v/>
      </c>
      <c r="L134" s="34" t="str">
        <f aca="false">IFERROR(INDEX('Fund Research'!$S$6:$S$505,MATCH(129,'Fund Research'!$V$6:$V$505,0)),"")</f>
        <v/>
      </c>
      <c r="M134" s="34" t="str">
        <f aca="false">IFERROR(INDEX('Fund Research'!$T$6:$T$505,MATCH(129,'Fund Research'!$V$6:$V$505,0)),"")</f>
        <v/>
      </c>
    </row>
    <row r="135" customFormat="false" ht="15" hidden="false" customHeight="true" outlineLevel="0" collapsed="false">
      <c r="A135" s="33" t="str">
        <f aca="false">IFERROR(IF(INDEX('Fund Research'!$B$6:$B$505,MATCH(130,'Fund Research'!$V$6:$V$505,0))="","",130),"")</f>
        <v/>
      </c>
      <c r="B135" s="34" t="str">
        <f aca="false">IFERROR(INDEX('Fund Research'!$A$6:$A$505,MATCH(130,'Fund Research'!$V$6:$V$505,0)),"")</f>
        <v/>
      </c>
      <c r="C135" s="34" t="str">
        <f aca="false">IFERROR(INDEX('Fund Research'!$B$6:$B$505,MATCH(130,'Fund Research'!$V$6:$V$505,0)),"")</f>
        <v/>
      </c>
      <c r="D135" s="34" t="str">
        <f aca="false">IFERROR(INDEX('Fund Research'!$C$6:$C$505,MATCH(130,'Fund Research'!$V$6:$V$505,0)),"")</f>
        <v/>
      </c>
      <c r="E135" s="35" t="str">
        <f aca="false">IFERROR(INDEX('Fund Research'!$G$6:$G$505,MATCH(130,'Fund Research'!$V$6:$V$505,0)),"")</f>
        <v/>
      </c>
      <c r="F135" s="35" t="str">
        <f aca="false">IFERROR(INDEX('Fund Research'!$H$6:$H$505,MATCH(130,'Fund Research'!$V$6:$V$505,0)),"")</f>
        <v/>
      </c>
      <c r="G135" s="35" t="str">
        <f aca="false">IFERROR(INDEX('Fund Research'!$I$6:$I$505,MATCH(130,'Fund Research'!$V$6:$V$505,0)),"")</f>
        <v/>
      </c>
      <c r="H135" s="36" t="str">
        <f aca="false">IFERROR(INDEX('Fund Research'!$J$6:$J$505,MATCH(130,'Fund Research'!$V$6:$V$505,0)),"")</f>
        <v/>
      </c>
      <c r="I135" s="38" t="str">
        <f aca="false">IFERROR(INDEX('Fund Research'!$L$6:$L$505,MATCH(130,'Fund Research'!$V$6:$V$505,0)),"")</f>
        <v/>
      </c>
      <c r="J135" s="36" t="str">
        <f aca="false">IFERROR(INDEX('Fund Research'!$N$6:$N$505,MATCH(130,'Fund Research'!$V$6:$V$505,0)),"")</f>
        <v/>
      </c>
      <c r="K135" s="36" t="str">
        <f aca="false">IFERROR(INDEX('Fund Research'!$P$6:$P$505,MATCH(130,'Fund Research'!$V$6:$V$505,0)),"")</f>
        <v/>
      </c>
      <c r="L135" s="34" t="str">
        <f aca="false">IFERROR(INDEX('Fund Research'!$S$6:$S$505,MATCH(130,'Fund Research'!$V$6:$V$505,0)),"")</f>
        <v/>
      </c>
      <c r="M135" s="34" t="str">
        <f aca="false">IFERROR(INDEX('Fund Research'!$T$6:$T$505,MATCH(130,'Fund Research'!$V$6:$V$505,0)),"")</f>
        <v/>
      </c>
    </row>
    <row r="136" customFormat="false" ht="15" hidden="false" customHeight="true" outlineLevel="0" collapsed="false">
      <c r="A136" s="33" t="str">
        <f aca="false">IFERROR(IF(INDEX('Fund Research'!$B$6:$B$505,MATCH(131,'Fund Research'!$V$6:$V$505,0))="","",131),"")</f>
        <v/>
      </c>
      <c r="B136" s="34" t="str">
        <f aca="false">IFERROR(INDEX('Fund Research'!$A$6:$A$505,MATCH(131,'Fund Research'!$V$6:$V$505,0)),"")</f>
        <v/>
      </c>
      <c r="C136" s="34" t="str">
        <f aca="false">IFERROR(INDEX('Fund Research'!$B$6:$B$505,MATCH(131,'Fund Research'!$V$6:$V$505,0)),"")</f>
        <v/>
      </c>
      <c r="D136" s="34" t="str">
        <f aca="false">IFERROR(INDEX('Fund Research'!$C$6:$C$505,MATCH(131,'Fund Research'!$V$6:$V$505,0)),"")</f>
        <v/>
      </c>
      <c r="E136" s="35" t="str">
        <f aca="false">IFERROR(INDEX('Fund Research'!$G$6:$G$505,MATCH(131,'Fund Research'!$V$6:$V$505,0)),"")</f>
        <v/>
      </c>
      <c r="F136" s="35" t="str">
        <f aca="false">IFERROR(INDEX('Fund Research'!$H$6:$H$505,MATCH(131,'Fund Research'!$V$6:$V$505,0)),"")</f>
        <v/>
      </c>
      <c r="G136" s="35" t="str">
        <f aca="false">IFERROR(INDEX('Fund Research'!$I$6:$I$505,MATCH(131,'Fund Research'!$V$6:$V$505,0)),"")</f>
        <v/>
      </c>
      <c r="H136" s="36" t="str">
        <f aca="false">IFERROR(INDEX('Fund Research'!$J$6:$J$505,MATCH(131,'Fund Research'!$V$6:$V$505,0)),"")</f>
        <v/>
      </c>
      <c r="I136" s="38" t="str">
        <f aca="false">IFERROR(INDEX('Fund Research'!$L$6:$L$505,MATCH(131,'Fund Research'!$V$6:$V$505,0)),"")</f>
        <v/>
      </c>
      <c r="J136" s="36" t="str">
        <f aca="false">IFERROR(INDEX('Fund Research'!$N$6:$N$505,MATCH(131,'Fund Research'!$V$6:$V$505,0)),"")</f>
        <v/>
      </c>
      <c r="K136" s="36" t="str">
        <f aca="false">IFERROR(INDEX('Fund Research'!$P$6:$P$505,MATCH(131,'Fund Research'!$V$6:$V$505,0)),"")</f>
        <v/>
      </c>
      <c r="L136" s="34" t="str">
        <f aca="false">IFERROR(INDEX('Fund Research'!$S$6:$S$505,MATCH(131,'Fund Research'!$V$6:$V$505,0)),"")</f>
        <v/>
      </c>
      <c r="M136" s="34" t="str">
        <f aca="false">IFERROR(INDEX('Fund Research'!$T$6:$T$505,MATCH(131,'Fund Research'!$V$6:$V$505,0)),"")</f>
        <v/>
      </c>
    </row>
    <row r="137" customFormat="false" ht="15" hidden="false" customHeight="true" outlineLevel="0" collapsed="false">
      <c r="A137" s="33" t="str">
        <f aca="false">IFERROR(IF(INDEX('Fund Research'!$B$6:$B$505,MATCH(132,'Fund Research'!$V$6:$V$505,0))="","",132),"")</f>
        <v/>
      </c>
      <c r="B137" s="34" t="str">
        <f aca="false">IFERROR(INDEX('Fund Research'!$A$6:$A$505,MATCH(132,'Fund Research'!$V$6:$V$505,0)),"")</f>
        <v/>
      </c>
      <c r="C137" s="34" t="str">
        <f aca="false">IFERROR(INDEX('Fund Research'!$B$6:$B$505,MATCH(132,'Fund Research'!$V$6:$V$505,0)),"")</f>
        <v/>
      </c>
      <c r="D137" s="34" t="str">
        <f aca="false">IFERROR(INDEX('Fund Research'!$C$6:$C$505,MATCH(132,'Fund Research'!$V$6:$V$505,0)),"")</f>
        <v/>
      </c>
      <c r="E137" s="35" t="str">
        <f aca="false">IFERROR(INDEX('Fund Research'!$G$6:$G$505,MATCH(132,'Fund Research'!$V$6:$V$505,0)),"")</f>
        <v/>
      </c>
      <c r="F137" s="35" t="str">
        <f aca="false">IFERROR(INDEX('Fund Research'!$H$6:$H$505,MATCH(132,'Fund Research'!$V$6:$V$505,0)),"")</f>
        <v/>
      </c>
      <c r="G137" s="35" t="str">
        <f aca="false">IFERROR(INDEX('Fund Research'!$I$6:$I$505,MATCH(132,'Fund Research'!$V$6:$V$505,0)),"")</f>
        <v/>
      </c>
      <c r="H137" s="36" t="str">
        <f aca="false">IFERROR(INDEX('Fund Research'!$J$6:$J$505,MATCH(132,'Fund Research'!$V$6:$V$505,0)),"")</f>
        <v/>
      </c>
      <c r="I137" s="38" t="str">
        <f aca="false">IFERROR(INDEX('Fund Research'!$L$6:$L$505,MATCH(132,'Fund Research'!$V$6:$V$505,0)),"")</f>
        <v/>
      </c>
      <c r="J137" s="36" t="str">
        <f aca="false">IFERROR(INDEX('Fund Research'!$N$6:$N$505,MATCH(132,'Fund Research'!$V$6:$V$505,0)),"")</f>
        <v/>
      </c>
      <c r="K137" s="36" t="str">
        <f aca="false">IFERROR(INDEX('Fund Research'!$P$6:$P$505,MATCH(132,'Fund Research'!$V$6:$V$505,0)),"")</f>
        <v/>
      </c>
      <c r="L137" s="34" t="str">
        <f aca="false">IFERROR(INDEX('Fund Research'!$S$6:$S$505,MATCH(132,'Fund Research'!$V$6:$V$505,0)),"")</f>
        <v/>
      </c>
      <c r="M137" s="34" t="str">
        <f aca="false">IFERROR(INDEX('Fund Research'!$T$6:$T$505,MATCH(132,'Fund Research'!$V$6:$V$505,0)),"")</f>
        <v/>
      </c>
    </row>
    <row r="138" customFormat="false" ht="15" hidden="false" customHeight="true" outlineLevel="0" collapsed="false">
      <c r="A138" s="33" t="str">
        <f aca="false">IFERROR(IF(INDEX('Fund Research'!$B$6:$B$505,MATCH(133,'Fund Research'!$V$6:$V$505,0))="","",133),"")</f>
        <v/>
      </c>
      <c r="B138" s="34" t="str">
        <f aca="false">IFERROR(INDEX('Fund Research'!$A$6:$A$505,MATCH(133,'Fund Research'!$V$6:$V$505,0)),"")</f>
        <v/>
      </c>
      <c r="C138" s="34" t="str">
        <f aca="false">IFERROR(INDEX('Fund Research'!$B$6:$B$505,MATCH(133,'Fund Research'!$V$6:$V$505,0)),"")</f>
        <v/>
      </c>
      <c r="D138" s="34" t="str">
        <f aca="false">IFERROR(INDEX('Fund Research'!$C$6:$C$505,MATCH(133,'Fund Research'!$V$6:$V$505,0)),"")</f>
        <v/>
      </c>
      <c r="E138" s="35" t="str">
        <f aca="false">IFERROR(INDEX('Fund Research'!$G$6:$G$505,MATCH(133,'Fund Research'!$V$6:$V$505,0)),"")</f>
        <v/>
      </c>
      <c r="F138" s="35" t="str">
        <f aca="false">IFERROR(INDEX('Fund Research'!$H$6:$H$505,MATCH(133,'Fund Research'!$V$6:$V$505,0)),"")</f>
        <v/>
      </c>
      <c r="G138" s="35" t="str">
        <f aca="false">IFERROR(INDEX('Fund Research'!$I$6:$I$505,MATCH(133,'Fund Research'!$V$6:$V$505,0)),"")</f>
        <v/>
      </c>
      <c r="H138" s="36" t="str">
        <f aca="false">IFERROR(INDEX('Fund Research'!$J$6:$J$505,MATCH(133,'Fund Research'!$V$6:$V$505,0)),"")</f>
        <v/>
      </c>
      <c r="I138" s="38" t="str">
        <f aca="false">IFERROR(INDEX('Fund Research'!$L$6:$L$505,MATCH(133,'Fund Research'!$V$6:$V$505,0)),"")</f>
        <v/>
      </c>
      <c r="J138" s="36" t="str">
        <f aca="false">IFERROR(INDEX('Fund Research'!$N$6:$N$505,MATCH(133,'Fund Research'!$V$6:$V$505,0)),"")</f>
        <v/>
      </c>
      <c r="K138" s="36" t="str">
        <f aca="false">IFERROR(INDEX('Fund Research'!$P$6:$P$505,MATCH(133,'Fund Research'!$V$6:$V$505,0)),"")</f>
        <v/>
      </c>
      <c r="L138" s="34" t="str">
        <f aca="false">IFERROR(INDEX('Fund Research'!$S$6:$S$505,MATCH(133,'Fund Research'!$V$6:$V$505,0)),"")</f>
        <v/>
      </c>
      <c r="M138" s="34" t="str">
        <f aca="false">IFERROR(INDEX('Fund Research'!$T$6:$T$505,MATCH(133,'Fund Research'!$V$6:$V$505,0)),"")</f>
        <v/>
      </c>
    </row>
    <row r="139" customFormat="false" ht="15" hidden="false" customHeight="true" outlineLevel="0" collapsed="false">
      <c r="A139" s="33" t="str">
        <f aca="false">IFERROR(IF(INDEX('Fund Research'!$B$6:$B$505,MATCH(134,'Fund Research'!$V$6:$V$505,0))="","",134),"")</f>
        <v/>
      </c>
      <c r="B139" s="34" t="str">
        <f aca="false">IFERROR(INDEX('Fund Research'!$A$6:$A$505,MATCH(134,'Fund Research'!$V$6:$V$505,0)),"")</f>
        <v/>
      </c>
      <c r="C139" s="34" t="str">
        <f aca="false">IFERROR(INDEX('Fund Research'!$B$6:$B$505,MATCH(134,'Fund Research'!$V$6:$V$505,0)),"")</f>
        <v/>
      </c>
      <c r="D139" s="34" t="str">
        <f aca="false">IFERROR(INDEX('Fund Research'!$C$6:$C$505,MATCH(134,'Fund Research'!$V$6:$V$505,0)),"")</f>
        <v/>
      </c>
      <c r="E139" s="35" t="str">
        <f aca="false">IFERROR(INDEX('Fund Research'!$G$6:$G$505,MATCH(134,'Fund Research'!$V$6:$V$505,0)),"")</f>
        <v/>
      </c>
      <c r="F139" s="35" t="str">
        <f aca="false">IFERROR(INDEX('Fund Research'!$H$6:$H$505,MATCH(134,'Fund Research'!$V$6:$V$505,0)),"")</f>
        <v/>
      </c>
      <c r="G139" s="35" t="str">
        <f aca="false">IFERROR(INDEX('Fund Research'!$I$6:$I$505,MATCH(134,'Fund Research'!$V$6:$V$505,0)),"")</f>
        <v/>
      </c>
      <c r="H139" s="36" t="str">
        <f aca="false">IFERROR(INDEX('Fund Research'!$J$6:$J$505,MATCH(134,'Fund Research'!$V$6:$V$505,0)),"")</f>
        <v/>
      </c>
      <c r="I139" s="38" t="str">
        <f aca="false">IFERROR(INDEX('Fund Research'!$L$6:$L$505,MATCH(134,'Fund Research'!$V$6:$V$505,0)),"")</f>
        <v/>
      </c>
      <c r="J139" s="36" t="str">
        <f aca="false">IFERROR(INDEX('Fund Research'!$N$6:$N$505,MATCH(134,'Fund Research'!$V$6:$V$505,0)),"")</f>
        <v/>
      </c>
      <c r="K139" s="36" t="str">
        <f aca="false">IFERROR(INDEX('Fund Research'!$P$6:$P$505,MATCH(134,'Fund Research'!$V$6:$V$505,0)),"")</f>
        <v/>
      </c>
      <c r="L139" s="34" t="str">
        <f aca="false">IFERROR(INDEX('Fund Research'!$S$6:$S$505,MATCH(134,'Fund Research'!$V$6:$V$505,0)),"")</f>
        <v/>
      </c>
      <c r="M139" s="34" t="str">
        <f aca="false">IFERROR(INDEX('Fund Research'!$T$6:$T$505,MATCH(134,'Fund Research'!$V$6:$V$505,0)),"")</f>
        <v/>
      </c>
    </row>
    <row r="140" customFormat="false" ht="15" hidden="false" customHeight="true" outlineLevel="0" collapsed="false">
      <c r="A140" s="33" t="str">
        <f aca="false">IFERROR(IF(INDEX('Fund Research'!$B$6:$B$505,MATCH(135,'Fund Research'!$V$6:$V$505,0))="","",135),"")</f>
        <v/>
      </c>
      <c r="B140" s="34" t="str">
        <f aca="false">IFERROR(INDEX('Fund Research'!$A$6:$A$505,MATCH(135,'Fund Research'!$V$6:$V$505,0)),"")</f>
        <v/>
      </c>
      <c r="C140" s="34" t="str">
        <f aca="false">IFERROR(INDEX('Fund Research'!$B$6:$B$505,MATCH(135,'Fund Research'!$V$6:$V$505,0)),"")</f>
        <v/>
      </c>
      <c r="D140" s="34" t="str">
        <f aca="false">IFERROR(INDEX('Fund Research'!$C$6:$C$505,MATCH(135,'Fund Research'!$V$6:$V$505,0)),"")</f>
        <v/>
      </c>
      <c r="E140" s="35" t="str">
        <f aca="false">IFERROR(INDEX('Fund Research'!$G$6:$G$505,MATCH(135,'Fund Research'!$V$6:$V$505,0)),"")</f>
        <v/>
      </c>
      <c r="F140" s="35" t="str">
        <f aca="false">IFERROR(INDEX('Fund Research'!$H$6:$H$505,MATCH(135,'Fund Research'!$V$6:$V$505,0)),"")</f>
        <v/>
      </c>
      <c r="G140" s="35" t="str">
        <f aca="false">IFERROR(INDEX('Fund Research'!$I$6:$I$505,MATCH(135,'Fund Research'!$V$6:$V$505,0)),"")</f>
        <v/>
      </c>
      <c r="H140" s="36" t="str">
        <f aca="false">IFERROR(INDEX('Fund Research'!$J$6:$J$505,MATCH(135,'Fund Research'!$V$6:$V$505,0)),"")</f>
        <v/>
      </c>
      <c r="I140" s="38" t="str">
        <f aca="false">IFERROR(INDEX('Fund Research'!$L$6:$L$505,MATCH(135,'Fund Research'!$V$6:$V$505,0)),"")</f>
        <v/>
      </c>
      <c r="J140" s="36" t="str">
        <f aca="false">IFERROR(INDEX('Fund Research'!$N$6:$N$505,MATCH(135,'Fund Research'!$V$6:$V$505,0)),"")</f>
        <v/>
      </c>
      <c r="K140" s="36" t="str">
        <f aca="false">IFERROR(INDEX('Fund Research'!$P$6:$P$505,MATCH(135,'Fund Research'!$V$6:$V$505,0)),"")</f>
        <v/>
      </c>
      <c r="L140" s="34" t="str">
        <f aca="false">IFERROR(INDEX('Fund Research'!$S$6:$S$505,MATCH(135,'Fund Research'!$V$6:$V$505,0)),"")</f>
        <v/>
      </c>
      <c r="M140" s="34" t="str">
        <f aca="false">IFERROR(INDEX('Fund Research'!$T$6:$T$505,MATCH(135,'Fund Research'!$V$6:$V$505,0)),"")</f>
        <v/>
      </c>
    </row>
    <row r="141" customFormat="false" ht="15" hidden="false" customHeight="true" outlineLevel="0" collapsed="false">
      <c r="A141" s="33" t="str">
        <f aca="false">IFERROR(IF(INDEX('Fund Research'!$B$6:$B$505,MATCH(136,'Fund Research'!$V$6:$V$505,0))="","",136),"")</f>
        <v/>
      </c>
      <c r="B141" s="34" t="str">
        <f aca="false">IFERROR(INDEX('Fund Research'!$A$6:$A$505,MATCH(136,'Fund Research'!$V$6:$V$505,0)),"")</f>
        <v/>
      </c>
      <c r="C141" s="34" t="str">
        <f aca="false">IFERROR(INDEX('Fund Research'!$B$6:$B$505,MATCH(136,'Fund Research'!$V$6:$V$505,0)),"")</f>
        <v/>
      </c>
      <c r="D141" s="34" t="str">
        <f aca="false">IFERROR(INDEX('Fund Research'!$C$6:$C$505,MATCH(136,'Fund Research'!$V$6:$V$505,0)),"")</f>
        <v/>
      </c>
      <c r="E141" s="35" t="str">
        <f aca="false">IFERROR(INDEX('Fund Research'!$G$6:$G$505,MATCH(136,'Fund Research'!$V$6:$V$505,0)),"")</f>
        <v/>
      </c>
      <c r="F141" s="35" t="str">
        <f aca="false">IFERROR(INDEX('Fund Research'!$H$6:$H$505,MATCH(136,'Fund Research'!$V$6:$V$505,0)),"")</f>
        <v/>
      </c>
      <c r="G141" s="35" t="str">
        <f aca="false">IFERROR(INDEX('Fund Research'!$I$6:$I$505,MATCH(136,'Fund Research'!$V$6:$V$505,0)),"")</f>
        <v/>
      </c>
      <c r="H141" s="36" t="str">
        <f aca="false">IFERROR(INDEX('Fund Research'!$J$6:$J$505,MATCH(136,'Fund Research'!$V$6:$V$505,0)),"")</f>
        <v/>
      </c>
      <c r="I141" s="38" t="str">
        <f aca="false">IFERROR(INDEX('Fund Research'!$L$6:$L$505,MATCH(136,'Fund Research'!$V$6:$V$505,0)),"")</f>
        <v/>
      </c>
      <c r="J141" s="36" t="str">
        <f aca="false">IFERROR(INDEX('Fund Research'!$N$6:$N$505,MATCH(136,'Fund Research'!$V$6:$V$505,0)),"")</f>
        <v/>
      </c>
      <c r="K141" s="36" t="str">
        <f aca="false">IFERROR(INDEX('Fund Research'!$P$6:$P$505,MATCH(136,'Fund Research'!$V$6:$V$505,0)),"")</f>
        <v/>
      </c>
      <c r="L141" s="34" t="str">
        <f aca="false">IFERROR(INDEX('Fund Research'!$S$6:$S$505,MATCH(136,'Fund Research'!$V$6:$V$505,0)),"")</f>
        <v/>
      </c>
      <c r="M141" s="34" t="str">
        <f aca="false">IFERROR(INDEX('Fund Research'!$T$6:$T$505,MATCH(136,'Fund Research'!$V$6:$V$505,0)),"")</f>
        <v/>
      </c>
    </row>
    <row r="142" customFormat="false" ht="15" hidden="false" customHeight="true" outlineLevel="0" collapsed="false">
      <c r="A142" s="33" t="str">
        <f aca="false">IFERROR(IF(INDEX('Fund Research'!$B$6:$B$505,MATCH(137,'Fund Research'!$V$6:$V$505,0))="","",137),"")</f>
        <v/>
      </c>
      <c r="B142" s="34" t="str">
        <f aca="false">IFERROR(INDEX('Fund Research'!$A$6:$A$505,MATCH(137,'Fund Research'!$V$6:$V$505,0)),"")</f>
        <v/>
      </c>
      <c r="C142" s="34" t="str">
        <f aca="false">IFERROR(INDEX('Fund Research'!$B$6:$B$505,MATCH(137,'Fund Research'!$V$6:$V$505,0)),"")</f>
        <v/>
      </c>
      <c r="D142" s="34" t="str">
        <f aca="false">IFERROR(INDEX('Fund Research'!$C$6:$C$505,MATCH(137,'Fund Research'!$V$6:$V$505,0)),"")</f>
        <v/>
      </c>
      <c r="E142" s="35" t="str">
        <f aca="false">IFERROR(INDEX('Fund Research'!$G$6:$G$505,MATCH(137,'Fund Research'!$V$6:$V$505,0)),"")</f>
        <v/>
      </c>
      <c r="F142" s="35" t="str">
        <f aca="false">IFERROR(INDEX('Fund Research'!$H$6:$H$505,MATCH(137,'Fund Research'!$V$6:$V$505,0)),"")</f>
        <v/>
      </c>
      <c r="G142" s="35" t="str">
        <f aca="false">IFERROR(INDEX('Fund Research'!$I$6:$I$505,MATCH(137,'Fund Research'!$V$6:$V$505,0)),"")</f>
        <v/>
      </c>
      <c r="H142" s="36" t="str">
        <f aca="false">IFERROR(INDEX('Fund Research'!$J$6:$J$505,MATCH(137,'Fund Research'!$V$6:$V$505,0)),"")</f>
        <v/>
      </c>
      <c r="I142" s="38" t="str">
        <f aca="false">IFERROR(INDEX('Fund Research'!$L$6:$L$505,MATCH(137,'Fund Research'!$V$6:$V$505,0)),"")</f>
        <v/>
      </c>
      <c r="J142" s="36" t="str">
        <f aca="false">IFERROR(INDEX('Fund Research'!$N$6:$N$505,MATCH(137,'Fund Research'!$V$6:$V$505,0)),"")</f>
        <v/>
      </c>
      <c r="K142" s="36" t="str">
        <f aca="false">IFERROR(INDEX('Fund Research'!$P$6:$P$505,MATCH(137,'Fund Research'!$V$6:$V$505,0)),"")</f>
        <v/>
      </c>
      <c r="L142" s="34" t="str">
        <f aca="false">IFERROR(INDEX('Fund Research'!$S$6:$S$505,MATCH(137,'Fund Research'!$V$6:$V$505,0)),"")</f>
        <v/>
      </c>
      <c r="M142" s="34" t="str">
        <f aca="false">IFERROR(INDEX('Fund Research'!$T$6:$T$505,MATCH(137,'Fund Research'!$V$6:$V$505,0)),"")</f>
        <v/>
      </c>
    </row>
    <row r="143" customFormat="false" ht="15" hidden="false" customHeight="true" outlineLevel="0" collapsed="false">
      <c r="A143" s="33" t="str">
        <f aca="false">IFERROR(IF(INDEX('Fund Research'!$B$6:$B$505,MATCH(138,'Fund Research'!$V$6:$V$505,0))="","",138),"")</f>
        <v/>
      </c>
      <c r="B143" s="34" t="str">
        <f aca="false">IFERROR(INDEX('Fund Research'!$A$6:$A$505,MATCH(138,'Fund Research'!$V$6:$V$505,0)),"")</f>
        <v/>
      </c>
      <c r="C143" s="34" t="str">
        <f aca="false">IFERROR(INDEX('Fund Research'!$B$6:$B$505,MATCH(138,'Fund Research'!$V$6:$V$505,0)),"")</f>
        <v/>
      </c>
      <c r="D143" s="34" t="str">
        <f aca="false">IFERROR(INDEX('Fund Research'!$C$6:$C$505,MATCH(138,'Fund Research'!$V$6:$V$505,0)),"")</f>
        <v/>
      </c>
      <c r="E143" s="35" t="str">
        <f aca="false">IFERROR(INDEX('Fund Research'!$G$6:$G$505,MATCH(138,'Fund Research'!$V$6:$V$505,0)),"")</f>
        <v/>
      </c>
      <c r="F143" s="35" t="str">
        <f aca="false">IFERROR(INDEX('Fund Research'!$H$6:$H$505,MATCH(138,'Fund Research'!$V$6:$V$505,0)),"")</f>
        <v/>
      </c>
      <c r="G143" s="35" t="str">
        <f aca="false">IFERROR(INDEX('Fund Research'!$I$6:$I$505,MATCH(138,'Fund Research'!$V$6:$V$505,0)),"")</f>
        <v/>
      </c>
      <c r="H143" s="36" t="str">
        <f aca="false">IFERROR(INDEX('Fund Research'!$J$6:$J$505,MATCH(138,'Fund Research'!$V$6:$V$505,0)),"")</f>
        <v/>
      </c>
      <c r="I143" s="38" t="str">
        <f aca="false">IFERROR(INDEX('Fund Research'!$L$6:$L$505,MATCH(138,'Fund Research'!$V$6:$V$505,0)),"")</f>
        <v/>
      </c>
      <c r="J143" s="36" t="str">
        <f aca="false">IFERROR(INDEX('Fund Research'!$N$6:$N$505,MATCH(138,'Fund Research'!$V$6:$V$505,0)),"")</f>
        <v/>
      </c>
      <c r="K143" s="36" t="str">
        <f aca="false">IFERROR(INDEX('Fund Research'!$P$6:$P$505,MATCH(138,'Fund Research'!$V$6:$V$505,0)),"")</f>
        <v/>
      </c>
      <c r="L143" s="34" t="str">
        <f aca="false">IFERROR(INDEX('Fund Research'!$S$6:$S$505,MATCH(138,'Fund Research'!$V$6:$V$505,0)),"")</f>
        <v/>
      </c>
      <c r="M143" s="34" t="str">
        <f aca="false">IFERROR(INDEX('Fund Research'!$T$6:$T$505,MATCH(138,'Fund Research'!$V$6:$V$505,0)),"")</f>
        <v/>
      </c>
    </row>
    <row r="144" customFormat="false" ht="15" hidden="false" customHeight="true" outlineLevel="0" collapsed="false">
      <c r="A144" s="33" t="str">
        <f aca="false">IFERROR(IF(INDEX('Fund Research'!$B$6:$B$505,MATCH(139,'Fund Research'!$V$6:$V$505,0))="","",139),"")</f>
        <v/>
      </c>
      <c r="B144" s="34" t="str">
        <f aca="false">IFERROR(INDEX('Fund Research'!$A$6:$A$505,MATCH(139,'Fund Research'!$V$6:$V$505,0)),"")</f>
        <v/>
      </c>
      <c r="C144" s="34" t="str">
        <f aca="false">IFERROR(INDEX('Fund Research'!$B$6:$B$505,MATCH(139,'Fund Research'!$V$6:$V$505,0)),"")</f>
        <v/>
      </c>
      <c r="D144" s="34" t="str">
        <f aca="false">IFERROR(INDEX('Fund Research'!$C$6:$C$505,MATCH(139,'Fund Research'!$V$6:$V$505,0)),"")</f>
        <v/>
      </c>
      <c r="E144" s="35" t="str">
        <f aca="false">IFERROR(INDEX('Fund Research'!$G$6:$G$505,MATCH(139,'Fund Research'!$V$6:$V$505,0)),"")</f>
        <v/>
      </c>
      <c r="F144" s="35" t="str">
        <f aca="false">IFERROR(INDEX('Fund Research'!$H$6:$H$505,MATCH(139,'Fund Research'!$V$6:$V$505,0)),"")</f>
        <v/>
      </c>
      <c r="G144" s="35" t="str">
        <f aca="false">IFERROR(INDEX('Fund Research'!$I$6:$I$505,MATCH(139,'Fund Research'!$V$6:$V$505,0)),"")</f>
        <v/>
      </c>
      <c r="H144" s="36" t="str">
        <f aca="false">IFERROR(INDEX('Fund Research'!$J$6:$J$505,MATCH(139,'Fund Research'!$V$6:$V$505,0)),"")</f>
        <v/>
      </c>
      <c r="I144" s="38" t="str">
        <f aca="false">IFERROR(INDEX('Fund Research'!$L$6:$L$505,MATCH(139,'Fund Research'!$V$6:$V$505,0)),"")</f>
        <v/>
      </c>
      <c r="J144" s="36" t="str">
        <f aca="false">IFERROR(INDEX('Fund Research'!$N$6:$N$505,MATCH(139,'Fund Research'!$V$6:$V$505,0)),"")</f>
        <v/>
      </c>
      <c r="K144" s="36" t="str">
        <f aca="false">IFERROR(INDEX('Fund Research'!$P$6:$P$505,MATCH(139,'Fund Research'!$V$6:$V$505,0)),"")</f>
        <v/>
      </c>
      <c r="L144" s="34" t="str">
        <f aca="false">IFERROR(INDEX('Fund Research'!$S$6:$S$505,MATCH(139,'Fund Research'!$V$6:$V$505,0)),"")</f>
        <v/>
      </c>
      <c r="M144" s="34" t="str">
        <f aca="false">IFERROR(INDEX('Fund Research'!$T$6:$T$505,MATCH(139,'Fund Research'!$V$6:$V$505,0)),"")</f>
        <v/>
      </c>
    </row>
    <row r="145" customFormat="false" ht="15" hidden="false" customHeight="true" outlineLevel="0" collapsed="false">
      <c r="A145" s="33" t="str">
        <f aca="false">IFERROR(IF(INDEX('Fund Research'!$B$6:$B$505,MATCH(140,'Fund Research'!$V$6:$V$505,0))="","",140),"")</f>
        <v/>
      </c>
      <c r="B145" s="34" t="str">
        <f aca="false">IFERROR(INDEX('Fund Research'!$A$6:$A$505,MATCH(140,'Fund Research'!$V$6:$V$505,0)),"")</f>
        <v/>
      </c>
      <c r="C145" s="34" t="str">
        <f aca="false">IFERROR(INDEX('Fund Research'!$B$6:$B$505,MATCH(140,'Fund Research'!$V$6:$V$505,0)),"")</f>
        <v/>
      </c>
      <c r="D145" s="34" t="str">
        <f aca="false">IFERROR(INDEX('Fund Research'!$C$6:$C$505,MATCH(140,'Fund Research'!$V$6:$V$505,0)),"")</f>
        <v/>
      </c>
      <c r="E145" s="35" t="str">
        <f aca="false">IFERROR(INDEX('Fund Research'!$G$6:$G$505,MATCH(140,'Fund Research'!$V$6:$V$505,0)),"")</f>
        <v/>
      </c>
      <c r="F145" s="35" t="str">
        <f aca="false">IFERROR(INDEX('Fund Research'!$H$6:$H$505,MATCH(140,'Fund Research'!$V$6:$V$505,0)),"")</f>
        <v/>
      </c>
      <c r="G145" s="35" t="str">
        <f aca="false">IFERROR(INDEX('Fund Research'!$I$6:$I$505,MATCH(140,'Fund Research'!$V$6:$V$505,0)),"")</f>
        <v/>
      </c>
      <c r="H145" s="36" t="str">
        <f aca="false">IFERROR(INDEX('Fund Research'!$J$6:$J$505,MATCH(140,'Fund Research'!$V$6:$V$505,0)),"")</f>
        <v/>
      </c>
      <c r="I145" s="38" t="str">
        <f aca="false">IFERROR(INDEX('Fund Research'!$L$6:$L$505,MATCH(140,'Fund Research'!$V$6:$V$505,0)),"")</f>
        <v/>
      </c>
      <c r="J145" s="36" t="str">
        <f aca="false">IFERROR(INDEX('Fund Research'!$N$6:$N$505,MATCH(140,'Fund Research'!$V$6:$V$505,0)),"")</f>
        <v/>
      </c>
      <c r="K145" s="36" t="str">
        <f aca="false">IFERROR(INDEX('Fund Research'!$P$6:$P$505,MATCH(140,'Fund Research'!$V$6:$V$505,0)),"")</f>
        <v/>
      </c>
      <c r="L145" s="34" t="str">
        <f aca="false">IFERROR(INDEX('Fund Research'!$S$6:$S$505,MATCH(140,'Fund Research'!$V$6:$V$505,0)),"")</f>
        <v/>
      </c>
      <c r="M145" s="34" t="str">
        <f aca="false">IFERROR(INDEX('Fund Research'!$T$6:$T$505,MATCH(140,'Fund Research'!$V$6:$V$505,0)),"")</f>
        <v/>
      </c>
    </row>
    <row r="146" customFormat="false" ht="15" hidden="false" customHeight="true" outlineLevel="0" collapsed="false">
      <c r="A146" s="33" t="str">
        <f aca="false">IFERROR(IF(INDEX('Fund Research'!$B$6:$B$505,MATCH(141,'Fund Research'!$V$6:$V$505,0))="","",141),"")</f>
        <v/>
      </c>
      <c r="B146" s="34" t="str">
        <f aca="false">IFERROR(INDEX('Fund Research'!$A$6:$A$505,MATCH(141,'Fund Research'!$V$6:$V$505,0)),"")</f>
        <v/>
      </c>
      <c r="C146" s="34" t="str">
        <f aca="false">IFERROR(INDEX('Fund Research'!$B$6:$B$505,MATCH(141,'Fund Research'!$V$6:$V$505,0)),"")</f>
        <v/>
      </c>
      <c r="D146" s="34" t="str">
        <f aca="false">IFERROR(INDEX('Fund Research'!$C$6:$C$505,MATCH(141,'Fund Research'!$V$6:$V$505,0)),"")</f>
        <v/>
      </c>
      <c r="E146" s="35" t="str">
        <f aca="false">IFERROR(INDEX('Fund Research'!$G$6:$G$505,MATCH(141,'Fund Research'!$V$6:$V$505,0)),"")</f>
        <v/>
      </c>
      <c r="F146" s="35" t="str">
        <f aca="false">IFERROR(INDEX('Fund Research'!$H$6:$H$505,MATCH(141,'Fund Research'!$V$6:$V$505,0)),"")</f>
        <v/>
      </c>
      <c r="G146" s="35" t="str">
        <f aca="false">IFERROR(INDEX('Fund Research'!$I$6:$I$505,MATCH(141,'Fund Research'!$V$6:$V$505,0)),"")</f>
        <v/>
      </c>
      <c r="H146" s="36" t="str">
        <f aca="false">IFERROR(INDEX('Fund Research'!$J$6:$J$505,MATCH(141,'Fund Research'!$V$6:$V$505,0)),"")</f>
        <v/>
      </c>
      <c r="I146" s="38" t="str">
        <f aca="false">IFERROR(INDEX('Fund Research'!$L$6:$L$505,MATCH(141,'Fund Research'!$V$6:$V$505,0)),"")</f>
        <v/>
      </c>
      <c r="J146" s="36" t="str">
        <f aca="false">IFERROR(INDEX('Fund Research'!$N$6:$N$505,MATCH(141,'Fund Research'!$V$6:$V$505,0)),"")</f>
        <v/>
      </c>
      <c r="K146" s="36" t="str">
        <f aca="false">IFERROR(INDEX('Fund Research'!$P$6:$P$505,MATCH(141,'Fund Research'!$V$6:$V$505,0)),"")</f>
        <v/>
      </c>
      <c r="L146" s="34" t="str">
        <f aca="false">IFERROR(INDEX('Fund Research'!$S$6:$S$505,MATCH(141,'Fund Research'!$V$6:$V$505,0)),"")</f>
        <v/>
      </c>
      <c r="M146" s="34" t="str">
        <f aca="false">IFERROR(INDEX('Fund Research'!$T$6:$T$505,MATCH(141,'Fund Research'!$V$6:$V$505,0)),"")</f>
        <v/>
      </c>
    </row>
    <row r="147" customFormat="false" ht="15" hidden="false" customHeight="true" outlineLevel="0" collapsed="false">
      <c r="A147" s="33" t="str">
        <f aca="false">IFERROR(IF(INDEX('Fund Research'!$B$6:$B$505,MATCH(142,'Fund Research'!$V$6:$V$505,0))="","",142),"")</f>
        <v/>
      </c>
      <c r="B147" s="34" t="str">
        <f aca="false">IFERROR(INDEX('Fund Research'!$A$6:$A$505,MATCH(142,'Fund Research'!$V$6:$V$505,0)),"")</f>
        <v/>
      </c>
      <c r="C147" s="34" t="str">
        <f aca="false">IFERROR(INDEX('Fund Research'!$B$6:$B$505,MATCH(142,'Fund Research'!$V$6:$V$505,0)),"")</f>
        <v/>
      </c>
      <c r="D147" s="34" t="str">
        <f aca="false">IFERROR(INDEX('Fund Research'!$C$6:$C$505,MATCH(142,'Fund Research'!$V$6:$V$505,0)),"")</f>
        <v/>
      </c>
      <c r="E147" s="35" t="str">
        <f aca="false">IFERROR(INDEX('Fund Research'!$G$6:$G$505,MATCH(142,'Fund Research'!$V$6:$V$505,0)),"")</f>
        <v/>
      </c>
      <c r="F147" s="35" t="str">
        <f aca="false">IFERROR(INDEX('Fund Research'!$H$6:$H$505,MATCH(142,'Fund Research'!$V$6:$V$505,0)),"")</f>
        <v/>
      </c>
      <c r="G147" s="35" t="str">
        <f aca="false">IFERROR(INDEX('Fund Research'!$I$6:$I$505,MATCH(142,'Fund Research'!$V$6:$V$505,0)),"")</f>
        <v/>
      </c>
      <c r="H147" s="36" t="str">
        <f aca="false">IFERROR(INDEX('Fund Research'!$J$6:$J$505,MATCH(142,'Fund Research'!$V$6:$V$505,0)),"")</f>
        <v/>
      </c>
      <c r="I147" s="38" t="str">
        <f aca="false">IFERROR(INDEX('Fund Research'!$L$6:$L$505,MATCH(142,'Fund Research'!$V$6:$V$505,0)),"")</f>
        <v/>
      </c>
      <c r="J147" s="36" t="str">
        <f aca="false">IFERROR(INDEX('Fund Research'!$N$6:$N$505,MATCH(142,'Fund Research'!$V$6:$V$505,0)),"")</f>
        <v/>
      </c>
      <c r="K147" s="36" t="str">
        <f aca="false">IFERROR(INDEX('Fund Research'!$P$6:$P$505,MATCH(142,'Fund Research'!$V$6:$V$505,0)),"")</f>
        <v/>
      </c>
      <c r="L147" s="34" t="str">
        <f aca="false">IFERROR(INDEX('Fund Research'!$S$6:$S$505,MATCH(142,'Fund Research'!$V$6:$V$505,0)),"")</f>
        <v/>
      </c>
      <c r="M147" s="34" t="str">
        <f aca="false">IFERROR(INDEX('Fund Research'!$T$6:$T$505,MATCH(142,'Fund Research'!$V$6:$V$505,0)),"")</f>
        <v/>
      </c>
    </row>
    <row r="148" customFormat="false" ht="15" hidden="false" customHeight="true" outlineLevel="0" collapsed="false">
      <c r="A148" s="33" t="str">
        <f aca="false">IFERROR(IF(INDEX('Fund Research'!$B$6:$B$505,MATCH(143,'Fund Research'!$V$6:$V$505,0))="","",143),"")</f>
        <v/>
      </c>
      <c r="B148" s="34" t="str">
        <f aca="false">IFERROR(INDEX('Fund Research'!$A$6:$A$505,MATCH(143,'Fund Research'!$V$6:$V$505,0)),"")</f>
        <v/>
      </c>
      <c r="C148" s="34" t="str">
        <f aca="false">IFERROR(INDEX('Fund Research'!$B$6:$B$505,MATCH(143,'Fund Research'!$V$6:$V$505,0)),"")</f>
        <v/>
      </c>
      <c r="D148" s="34" t="str">
        <f aca="false">IFERROR(INDEX('Fund Research'!$C$6:$C$505,MATCH(143,'Fund Research'!$V$6:$V$505,0)),"")</f>
        <v/>
      </c>
      <c r="E148" s="35" t="str">
        <f aca="false">IFERROR(INDEX('Fund Research'!$G$6:$G$505,MATCH(143,'Fund Research'!$V$6:$V$505,0)),"")</f>
        <v/>
      </c>
      <c r="F148" s="35" t="str">
        <f aca="false">IFERROR(INDEX('Fund Research'!$H$6:$H$505,MATCH(143,'Fund Research'!$V$6:$V$505,0)),"")</f>
        <v/>
      </c>
      <c r="G148" s="35" t="str">
        <f aca="false">IFERROR(INDEX('Fund Research'!$I$6:$I$505,MATCH(143,'Fund Research'!$V$6:$V$505,0)),"")</f>
        <v/>
      </c>
      <c r="H148" s="36" t="str">
        <f aca="false">IFERROR(INDEX('Fund Research'!$J$6:$J$505,MATCH(143,'Fund Research'!$V$6:$V$505,0)),"")</f>
        <v/>
      </c>
      <c r="I148" s="38" t="str">
        <f aca="false">IFERROR(INDEX('Fund Research'!$L$6:$L$505,MATCH(143,'Fund Research'!$V$6:$V$505,0)),"")</f>
        <v/>
      </c>
      <c r="J148" s="36" t="str">
        <f aca="false">IFERROR(INDEX('Fund Research'!$N$6:$N$505,MATCH(143,'Fund Research'!$V$6:$V$505,0)),"")</f>
        <v/>
      </c>
      <c r="K148" s="36" t="str">
        <f aca="false">IFERROR(INDEX('Fund Research'!$P$6:$P$505,MATCH(143,'Fund Research'!$V$6:$V$505,0)),"")</f>
        <v/>
      </c>
      <c r="L148" s="34" t="str">
        <f aca="false">IFERROR(INDEX('Fund Research'!$S$6:$S$505,MATCH(143,'Fund Research'!$V$6:$V$505,0)),"")</f>
        <v/>
      </c>
      <c r="M148" s="34" t="str">
        <f aca="false">IFERROR(INDEX('Fund Research'!$T$6:$T$505,MATCH(143,'Fund Research'!$V$6:$V$505,0)),"")</f>
        <v/>
      </c>
    </row>
    <row r="149" customFormat="false" ht="15" hidden="false" customHeight="true" outlineLevel="0" collapsed="false">
      <c r="A149" s="33" t="str">
        <f aca="false">IFERROR(IF(INDEX('Fund Research'!$B$6:$B$505,MATCH(144,'Fund Research'!$V$6:$V$505,0))="","",144),"")</f>
        <v/>
      </c>
      <c r="B149" s="34" t="str">
        <f aca="false">IFERROR(INDEX('Fund Research'!$A$6:$A$505,MATCH(144,'Fund Research'!$V$6:$V$505,0)),"")</f>
        <v/>
      </c>
      <c r="C149" s="34" t="str">
        <f aca="false">IFERROR(INDEX('Fund Research'!$B$6:$B$505,MATCH(144,'Fund Research'!$V$6:$V$505,0)),"")</f>
        <v/>
      </c>
      <c r="D149" s="34" t="str">
        <f aca="false">IFERROR(INDEX('Fund Research'!$C$6:$C$505,MATCH(144,'Fund Research'!$V$6:$V$505,0)),"")</f>
        <v/>
      </c>
      <c r="E149" s="35" t="str">
        <f aca="false">IFERROR(INDEX('Fund Research'!$G$6:$G$505,MATCH(144,'Fund Research'!$V$6:$V$505,0)),"")</f>
        <v/>
      </c>
      <c r="F149" s="35" t="str">
        <f aca="false">IFERROR(INDEX('Fund Research'!$H$6:$H$505,MATCH(144,'Fund Research'!$V$6:$V$505,0)),"")</f>
        <v/>
      </c>
      <c r="G149" s="35" t="str">
        <f aca="false">IFERROR(INDEX('Fund Research'!$I$6:$I$505,MATCH(144,'Fund Research'!$V$6:$V$505,0)),"")</f>
        <v/>
      </c>
      <c r="H149" s="36" t="str">
        <f aca="false">IFERROR(INDEX('Fund Research'!$J$6:$J$505,MATCH(144,'Fund Research'!$V$6:$V$505,0)),"")</f>
        <v/>
      </c>
      <c r="I149" s="38" t="str">
        <f aca="false">IFERROR(INDEX('Fund Research'!$L$6:$L$505,MATCH(144,'Fund Research'!$V$6:$V$505,0)),"")</f>
        <v/>
      </c>
      <c r="J149" s="36" t="str">
        <f aca="false">IFERROR(INDEX('Fund Research'!$N$6:$N$505,MATCH(144,'Fund Research'!$V$6:$V$505,0)),"")</f>
        <v/>
      </c>
      <c r="K149" s="36" t="str">
        <f aca="false">IFERROR(INDEX('Fund Research'!$P$6:$P$505,MATCH(144,'Fund Research'!$V$6:$V$505,0)),"")</f>
        <v/>
      </c>
      <c r="L149" s="34" t="str">
        <f aca="false">IFERROR(INDEX('Fund Research'!$S$6:$S$505,MATCH(144,'Fund Research'!$V$6:$V$505,0)),"")</f>
        <v/>
      </c>
      <c r="M149" s="34" t="str">
        <f aca="false">IFERROR(INDEX('Fund Research'!$T$6:$T$505,MATCH(144,'Fund Research'!$V$6:$V$505,0)),"")</f>
        <v/>
      </c>
    </row>
    <row r="150" customFormat="false" ht="15" hidden="false" customHeight="true" outlineLevel="0" collapsed="false">
      <c r="A150" s="33" t="str">
        <f aca="false">IFERROR(IF(INDEX('Fund Research'!$B$6:$B$505,MATCH(145,'Fund Research'!$V$6:$V$505,0))="","",145),"")</f>
        <v/>
      </c>
      <c r="B150" s="34" t="str">
        <f aca="false">IFERROR(INDEX('Fund Research'!$A$6:$A$505,MATCH(145,'Fund Research'!$V$6:$V$505,0)),"")</f>
        <v/>
      </c>
      <c r="C150" s="34" t="str">
        <f aca="false">IFERROR(INDEX('Fund Research'!$B$6:$B$505,MATCH(145,'Fund Research'!$V$6:$V$505,0)),"")</f>
        <v/>
      </c>
      <c r="D150" s="34" t="str">
        <f aca="false">IFERROR(INDEX('Fund Research'!$C$6:$C$505,MATCH(145,'Fund Research'!$V$6:$V$505,0)),"")</f>
        <v/>
      </c>
      <c r="E150" s="35" t="str">
        <f aca="false">IFERROR(INDEX('Fund Research'!$G$6:$G$505,MATCH(145,'Fund Research'!$V$6:$V$505,0)),"")</f>
        <v/>
      </c>
      <c r="F150" s="35" t="str">
        <f aca="false">IFERROR(INDEX('Fund Research'!$H$6:$H$505,MATCH(145,'Fund Research'!$V$6:$V$505,0)),"")</f>
        <v/>
      </c>
      <c r="G150" s="35" t="str">
        <f aca="false">IFERROR(INDEX('Fund Research'!$I$6:$I$505,MATCH(145,'Fund Research'!$V$6:$V$505,0)),"")</f>
        <v/>
      </c>
      <c r="H150" s="36" t="str">
        <f aca="false">IFERROR(INDEX('Fund Research'!$J$6:$J$505,MATCH(145,'Fund Research'!$V$6:$V$505,0)),"")</f>
        <v/>
      </c>
      <c r="I150" s="38" t="str">
        <f aca="false">IFERROR(INDEX('Fund Research'!$L$6:$L$505,MATCH(145,'Fund Research'!$V$6:$V$505,0)),"")</f>
        <v/>
      </c>
      <c r="J150" s="36" t="str">
        <f aca="false">IFERROR(INDEX('Fund Research'!$N$6:$N$505,MATCH(145,'Fund Research'!$V$6:$V$505,0)),"")</f>
        <v/>
      </c>
      <c r="K150" s="36" t="str">
        <f aca="false">IFERROR(INDEX('Fund Research'!$P$6:$P$505,MATCH(145,'Fund Research'!$V$6:$V$505,0)),"")</f>
        <v/>
      </c>
      <c r="L150" s="34" t="str">
        <f aca="false">IFERROR(INDEX('Fund Research'!$S$6:$S$505,MATCH(145,'Fund Research'!$V$6:$V$505,0)),"")</f>
        <v/>
      </c>
      <c r="M150" s="34" t="str">
        <f aca="false">IFERROR(INDEX('Fund Research'!$T$6:$T$505,MATCH(145,'Fund Research'!$V$6:$V$505,0)),"")</f>
        <v/>
      </c>
    </row>
    <row r="151" customFormat="false" ht="15" hidden="false" customHeight="true" outlineLevel="0" collapsed="false">
      <c r="A151" s="33" t="str">
        <f aca="false">IFERROR(IF(INDEX('Fund Research'!$B$6:$B$505,MATCH(146,'Fund Research'!$V$6:$V$505,0))="","",146),"")</f>
        <v/>
      </c>
      <c r="B151" s="34" t="str">
        <f aca="false">IFERROR(INDEX('Fund Research'!$A$6:$A$505,MATCH(146,'Fund Research'!$V$6:$V$505,0)),"")</f>
        <v/>
      </c>
      <c r="C151" s="34" t="str">
        <f aca="false">IFERROR(INDEX('Fund Research'!$B$6:$B$505,MATCH(146,'Fund Research'!$V$6:$V$505,0)),"")</f>
        <v/>
      </c>
      <c r="D151" s="34" t="str">
        <f aca="false">IFERROR(INDEX('Fund Research'!$C$6:$C$505,MATCH(146,'Fund Research'!$V$6:$V$505,0)),"")</f>
        <v/>
      </c>
      <c r="E151" s="35" t="str">
        <f aca="false">IFERROR(INDEX('Fund Research'!$G$6:$G$505,MATCH(146,'Fund Research'!$V$6:$V$505,0)),"")</f>
        <v/>
      </c>
      <c r="F151" s="35" t="str">
        <f aca="false">IFERROR(INDEX('Fund Research'!$H$6:$H$505,MATCH(146,'Fund Research'!$V$6:$V$505,0)),"")</f>
        <v/>
      </c>
      <c r="G151" s="35" t="str">
        <f aca="false">IFERROR(INDEX('Fund Research'!$I$6:$I$505,MATCH(146,'Fund Research'!$V$6:$V$505,0)),"")</f>
        <v/>
      </c>
      <c r="H151" s="36" t="str">
        <f aca="false">IFERROR(INDEX('Fund Research'!$J$6:$J$505,MATCH(146,'Fund Research'!$V$6:$V$505,0)),"")</f>
        <v/>
      </c>
      <c r="I151" s="38" t="str">
        <f aca="false">IFERROR(INDEX('Fund Research'!$L$6:$L$505,MATCH(146,'Fund Research'!$V$6:$V$505,0)),"")</f>
        <v/>
      </c>
      <c r="J151" s="36" t="str">
        <f aca="false">IFERROR(INDEX('Fund Research'!$N$6:$N$505,MATCH(146,'Fund Research'!$V$6:$V$505,0)),"")</f>
        <v/>
      </c>
      <c r="K151" s="36" t="str">
        <f aca="false">IFERROR(INDEX('Fund Research'!$P$6:$P$505,MATCH(146,'Fund Research'!$V$6:$V$505,0)),"")</f>
        <v/>
      </c>
      <c r="L151" s="34" t="str">
        <f aca="false">IFERROR(INDEX('Fund Research'!$S$6:$S$505,MATCH(146,'Fund Research'!$V$6:$V$505,0)),"")</f>
        <v/>
      </c>
      <c r="M151" s="34" t="str">
        <f aca="false">IFERROR(INDEX('Fund Research'!$T$6:$T$505,MATCH(146,'Fund Research'!$V$6:$V$505,0)),"")</f>
        <v/>
      </c>
    </row>
    <row r="152" customFormat="false" ht="15" hidden="false" customHeight="true" outlineLevel="0" collapsed="false">
      <c r="A152" s="33" t="str">
        <f aca="false">IFERROR(IF(INDEX('Fund Research'!$B$6:$B$505,MATCH(147,'Fund Research'!$V$6:$V$505,0))="","",147),"")</f>
        <v/>
      </c>
      <c r="B152" s="34" t="str">
        <f aca="false">IFERROR(INDEX('Fund Research'!$A$6:$A$505,MATCH(147,'Fund Research'!$V$6:$V$505,0)),"")</f>
        <v/>
      </c>
      <c r="C152" s="34" t="str">
        <f aca="false">IFERROR(INDEX('Fund Research'!$B$6:$B$505,MATCH(147,'Fund Research'!$V$6:$V$505,0)),"")</f>
        <v/>
      </c>
      <c r="D152" s="34" t="str">
        <f aca="false">IFERROR(INDEX('Fund Research'!$C$6:$C$505,MATCH(147,'Fund Research'!$V$6:$V$505,0)),"")</f>
        <v/>
      </c>
      <c r="E152" s="35" t="str">
        <f aca="false">IFERROR(INDEX('Fund Research'!$G$6:$G$505,MATCH(147,'Fund Research'!$V$6:$V$505,0)),"")</f>
        <v/>
      </c>
      <c r="F152" s="35" t="str">
        <f aca="false">IFERROR(INDEX('Fund Research'!$H$6:$H$505,MATCH(147,'Fund Research'!$V$6:$V$505,0)),"")</f>
        <v/>
      </c>
      <c r="G152" s="35" t="str">
        <f aca="false">IFERROR(INDEX('Fund Research'!$I$6:$I$505,MATCH(147,'Fund Research'!$V$6:$V$505,0)),"")</f>
        <v/>
      </c>
      <c r="H152" s="36" t="str">
        <f aca="false">IFERROR(INDEX('Fund Research'!$J$6:$J$505,MATCH(147,'Fund Research'!$V$6:$V$505,0)),"")</f>
        <v/>
      </c>
      <c r="I152" s="38" t="str">
        <f aca="false">IFERROR(INDEX('Fund Research'!$L$6:$L$505,MATCH(147,'Fund Research'!$V$6:$V$505,0)),"")</f>
        <v/>
      </c>
      <c r="J152" s="36" t="str">
        <f aca="false">IFERROR(INDEX('Fund Research'!$N$6:$N$505,MATCH(147,'Fund Research'!$V$6:$V$505,0)),"")</f>
        <v/>
      </c>
      <c r="K152" s="36" t="str">
        <f aca="false">IFERROR(INDEX('Fund Research'!$P$6:$P$505,MATCH(147,'Fund Research'!$V$6:$V$505,0)),"")</f>
        <v/>
      </c>
      <c r="L152" s="34" t="str">
        <f aca="false">IFERROR(INDEX('Fund Research'!$S$6:$S$505,MATCH(147,'Fund Research'!$V$6:$V$505,0)),"")</f>
        <v/>
      </c>
      <c r="M152" s="34" t="str">
        <f aca="false">IFERROR(INDEX('Fund Research'!$T$6:$T$505,MATCH(147,'Fund Research'!$V$6:$V$505,0)),"")</f>
        <v/>
      </c>
    </row>
    <row r="153" customFormat="false" ht="15" hidden="false" customHeight="true" outlineLevel="0" collapsed="false">
      <c r="A153" s="33" t="str">
        <f aca="false">IFERROR(IF(INDEX('Fund Research'!$B$6:$B$505,MATCH(148,'Fund Research'!$V$6:$V$505,0))="","",148),"")</f>
        <v/>
      </c>
      <c r="B153" s="34" t="str">
        <f aca="false">IFERROR(INDEX('Fund Research'!$A$6:$A$505,MATCH(148,'Fund Research'!$V$6:$V$505,0)),"")</f>
        <v/>
      </c>
      <c r="C153" s="34" t="str">
        <f aca="false">IFERROR(INDEX('Fund Research'!$B$6:$B$505,MATCH(148,'Fund Research'!$V$6:$V$505,0)),"")</f>
        <v/>
      </c>
      <c r="D153" s="34" t="str">
        <f aca="false">IFERROR(INDEX('Fund Research'!$C$6:$C$505,MATCH(148,'Fund Research'!$V$6:$V$505,0)),"")</f>
        <v/>
      </c>
      <c r="E153" s="35" t="str">
        <f aca="false">IFERROR(INDEX('Fund Research'!$G$6:$G$505,MATCH(148,'Fund Research'!$V$6:$V$505,0)),"")</f>
        <v/>
      </c>
      <c r="F153" s="35" t="str">
        <f aca="false">IFERROR(INDEX('Fund Research'!$H$6:$H$505,MATCH(148,'Fund Research'!$V$6:$V$505,0)),"")</f>
        <v/>
      </c>
      <c r="G153" s="35" t="str">
        <f aca="false">IFERROR(INDEX('Fund Research'!$I$6:$I$505,MATCH(148,'Fund Research'!$V$6:$V$505,0)),"")</f>
        <v/>
      </c>
      <c r="H153" s="36" t="str">
        <f aca="false">IFERROR(INDEX('Fund Research'!$J$6:$J$505,MATCH(148,'Fund Research'!$V$6:$V$505,0)),"")</f>
        <v/>
      </c>
      <c r="I153" s="38" t="str">
        <f aca="false">IFERROR(INDEX('Fund Research'!$L$6:$L$505,MATCH(148,'Fund Research'!$V$6:$V$505,0)),"")</f>
        <v/>
      </c>
      <c r="J153" s="36" t="str">
        <f aca="false">IFERROR(INDEX('Fund Research'!$N$6:$N$505,MATCH(148,'Fund Research'!$V$6:$V$505,0)),"")</f>
        <v/>
      </c>
      <c r="K153" s="36" t="str">
        <f aca="false">IFERROR(INDEX('Fund Research'!$P$6:$P$505,MATCH(148,'Fund Research'!$V$6:$V$505,0)),"")</f>
        <v/>
      </c>
      <c r="L153" s="34" t="str">
        <f aca="false">IFERROR(INDEX('Fund Research'!$S$6:$S$505,MATCH(148,'Fund Research'!$V$6:$V$505,0)),"")</f>
        <v/>
      </c>
      <c r="M153" s="34" t="str">
        <f aca="false">IFERROR(INDEX('Fund Research'!$T$6:$T$505,MATCH(148,'Fund Research'!$V$6:$V$505,0)),"")</f>
        <v/>
      </c>
    </row>
    <row r="154" customFormat="false" ht="15" hidden="false" customHeight="true" outlineLevel="0" collapsed="false">
      <c r="A154" s="33" t="str">
        <f aca="false">IFERROR(IF(INDEX('Fund Research'!$B$6:$B$505,MATCH(149,'Fund Research'!$V$6:$V$505,0))="","",149),"")</f>
        <v/>
      </c>
      <c r="B154" s="34" t="str">
        <f aca="false">IFERROR(INDEX('Fund Research'!$A$6:$A$505,MATCH(149,'Fund Research'!$V$6:$V$505,0)),"")</f>
        <v/>
      </c>
      <c r="C154" s="34" t="str">
        <f aca="false">IFERROR(INDEX('Fund Research'!$B$6:$B$505,MATCH(149,'Fund Research'!$V$6:$V$505,0)),"")</f>
        <v/>
      </c>
      <c r="D154" s="34" t="str">
        <f aca="false">IFERROR(INDEX('Fund Research'!$C$6:$C$505,MATCH(149,'Fund Research'!$V$6:$V$505,0)),"")</f>
        <v/>
      </c>
      <c r="E154" s="35" t="str">
        <f aca="false">IFERROR(INDEX('Fund Research'!$G$6:$G$505,MATCH(149,'Fund Research'!$V$6:$V$505,0)),"")</f>
        <v/>
      </c>
      <c r="F154" s="35" t="str">
        <f aca="false">IFERROR(INDEX('Fund Research'!$H$6:$H$505,MATCH(149,'Fund Research'!$V$6:$V$505,0)),"")</f>
        <v/>
      </c>
      <c r="G154" s="35" t="str">
        <f aca="false">IFERROR(INDEX('Fund Research'!$I$6:$I$505,MATCH(149,'Fund Research'!$V$6:$V$505,0)),"")</f>
        <v/>
      </c>
      <c r="H154" s="36" t="str">
        <f aca="false">IFERROR(INDEX('Fund Research'!$J$6:$J$505,MATCH(149,'Fund Research'!$V$6:$V$505,0)),"")</f>
        <v/>
      </c>
      <c r="I154" s="38" t="str">
        <f aca="false">IFERROR(INDEX('Fund Research'!$L$6:$L$505,MATCH(149,'Fund Research'!$V$6:$V$505,0)),"")</f>
        <v/>
      </c>
      <c r="J154" s="36" t="str">
        <f aca="false">IFERROR(INDEX('Fund Research'!$N$6:$N$505,MATCH(149,'Fund Research'!$V$6:$V$505,0)),"")</f>
        <v/>
      </c>
      <c r="K154" s="36" t="str">
        <f aca="false">IFERROR(INDEX('Fund Research'!$P$6:$P$505,MATCH(149,'Fund Research'!$V$6:$V$505,0)),"")</f>
        <v/>
      </c>
      <c r="L154" s="34" t="str">
        <f aca="false">IFERROR(INDEX('Fund Research'!$S$6:$S$505,MATCH(149,'Fund Research'!$V$6:$V$505,0)),"")</f>
        <v/>
      </c>
      <c r="M154" s="34" t="str">
        <f aca="false">IFERROR(INDEX('Fund Research'!$T$6:$T$505,MATCH(149,'Fund Research'!$V$6:$V$505,0)),"")</f>
        <v/>
      </c>
    </row>
    <row r="155" customFormat="false" ht="15" hidden="false" customHeight="true" outlineLevel="0" collapsed="false">
      <c r="A155" s="33" t="str">
        <f aca="false">IFERROR(IF(INDEX('Fund Research'!$B$6:$B$505,MATCH(150,'Fund Research'!$V$6:$V$505,0))="","",150),"")</f>
        <v/>
      </c>
      <c r="B155" s="34" t="str">
        <f aca="false">IFERROR(INDEX('Fund Research'!$A$6:$A$505,MATCH(150,'Fund Research'!$V$6:$V$505,0)),"")</f>
        <v/>
      </c>
      <c r="C155" s="34" t="str">
        <f aca="false">IFERROR(INDEX('Fund Research'!$B$6:$B$505,MATCH(150,'Fund Research'!$V$6:$V$505,0)),"")</f>
        <v/>
      </c>
      <c r="D155" s="34" t="str">
        <f aca="false">IFERROR(INDEX('Fund Research'!$C$6:$C$505,MATCH(150,'Fund Research'!$V$6:$V$505,0)),"")</f>
        <v/>
      </c>
      <c r="E155" s="35" t="str">
        <f aca="false">IFERROR(INDEX('Fund Research'!$G$6:$G$505,MATCH(150,'Fund Research'!$V$6:$V$505,0)),"")</f>
        <v/>
      </c>
      <c r="F155" s="35" t="str">
        <f aca="false">IFERROR(INDEX('Fund Research'!$H$6:$H$505,MATCH(150,'Fund Research'!$V$6:$V$505,0)),"")</f>
        <v/>
      </c>
      <c r="G155" s="35" t="str">
        <f aca="false">IFERROR(INDEX('Fund Research'!$I$6:$I$505,MATCH(150,'Fund Research'!$V$6:$V$505,0)),"")</f>
        <v/>
      </c>
      <c r="H155" s="36" t="str">
        <f aca="false">IFERROR(INDEX('Fund Research'!$J$6:$J$505,MATCH(150,'Fund Research'!$V$6:$V$505,0)),"")</f>
        <v/>
      </c>
      <c r="I155" s="38" t="str">
        <f aca="false">IFERROR(INDEX('Fund Research'!$L$6:$L$505,MATCH(150,'Fund Research'!$V$6:$V$505,0)),"")</f>
        <v/>
      </c>
      <c r="J155" s="36" t="str">
        <f aca="false">IFERROR(INDEX('Fund Research'!$N$6:$N$505,MATCH(150,'Fund Research'!$V$6:$V$505,0)),"")</f>
        <v/>
      </c>
      <c r="K155" s="36" t="str">
        <f aca="false">IFERROR(INDEX('Fund Research'!$P$6:$P$505,MATCH(150,'Fund Research'!$V$6:$V$505,0)),"")</f>
        <v/>
      </c>
      <c r="L155" s="34" t="str">
        <f aca="false">IFERROR(INDEX('Fund Research'!$S$6:$S$505,MATCH(150,'Fund Research'!$V$6:$V$505,0)),"")</f>
        <v/>
      </c>
      <c r="M155" s="34" t="str">
        <f aca="false">IFERROR(INDEX('Fund Research'!$T$6:$T$505,MATCH(150,'Fund Research'!$V$6:$V$505,0)),"")</f>
        <v/>
      </c>
    </row>
    <row r="156" customFormat="false" ht="15" hidden="false" customHeight="true" outlineLevel="0" collapsed="false">
      <c r="A156" s="33" t="str">
        <f aca="false">IFERROR(IF(INDEX('Fund Research'!$B$6:$B$505,MATCH(151,'Fund Research'!$V$6:$V$505,0))="","",151),"")</f>
        <v/>
      </c>
      <c r="B156" s="34" t="str">
        <f aca="false">IFERROR(INDEX('Fund Research'!$A$6:$A$505,MATCH(151,'Fund Research'!$V$6:$V$505,0)),"")</f>
        <v/>
      </c>
      <c r="C156" s="34" t="str">
        <f aca="false">IFERROR(INDEX('Fund Research'!$B$6:$B$505,MATCH(151,'Fund Research'!$V$6:$V$505,0)),"")</f>
        <v/>
      </c>
      <c r="D156" s="34" t="str">
        <f aca="false">IFERROR(INDEX('Fund Research'!$C$6:$C$505,MATCH(151,'Fund Research'!$V$6:$V$505,0)),"")</f>
        <v/>
      </c>
      <c r="E156" s="35" t="str">
        <f aca="false">IFERROR(INDEX('Fund Research'!$G$6:$G$505,MATCH(151,'Fund Research'!$V$6:$V$505,0)),"")</f>
        <v/>
      </c>
      <c r="F156" s="35" t="str">
        <f aca="false">IFERROR(INDEX('Fund Research'!$H$6:$H$505,MATCH(151,'Fund Research'!$V$6:$V$505,0)),"")</f>
        <v/>
      </c>
      <c r="G156" s="35" t="str">
        <f aca="false">IFERROR(INDEX('Fund Research'!$I$6:$I$505,MATCH(151,'Fund Research'!$V$6:$V$505,0)),"")</f>
        <v/>
      </c>
      <c r="H156" s="36" t="str">
        <f aca="false">IFERROR(INDEX('Fund Research'!$J$6:$J$505,MATCH(151,'Fund Research'!$V$6:$V$505,0)),"")</f>
        <v/>
      </c>
      <c r="I156" s="38" t="str">
        <f aca="false">IFERROR(INDEX('Fund Research'!$L$6:$L$505,MATCH(151,'Fund Research'!$V$6:$V$505,0)),"")</f>
        <v/>
      </c>
      <c r="J156" s="36" t="str">
        <f aca="false">IFERROR(INDEX('Fund Research'!$N$6:$N$505,MATCH(151,'Fund Research'!$V$6:$V$505,0)),"")</f>
        <v/>
      </c>
      <c r="K156" s="36" t="str">
        <f aca="false">IFERROR(INDEX('Fund Research'!$P$6:$P$505,MATCH(151,'Fund Research'!$V$6:$V$505,0)),"")</f>
        <v/>
      </c>
      <c r="L156" s="34" t="str">
        <f aca="false">IFERROR(INDEX('Fund Research'!$S$6:$S$505,MATCH(151,'Fund Research'!$V$6:$V$505,0)),"")</f>
        <v/>
      </c>
      <c r="M156" s="34" t="str">
        <f aca="false">IFERROR(INDEX('Fund Research'!$T$6:$T$505,MATCH(151,'Fund Research'!$V$6:$V$505,0)),"")</f>
        <v/>
      </c>
    </row>
    <row r="157" customFormat="false" ht="15" hidden="false" customHeight="true" outlineLevel="0" collapsed="false">
      <c r="A157" s="33" t="str">
        <f aca="false">IFERROR(IF(INDEX('Fund Research'!$B$6:$B$505,MATCH(152,'Fund Research'!$V$6:$V$505,0))="","",152),"")</f>
        <v/>
      </c>
      <c r="B157" s="34" t="str">
        <f aca="false">IFERROR(INDEX('Fund Research'!$A$6:$A$505,MATCH(152,'Fund Research'!$V$6:$V$505,0)),"")</f>
        <v/>
      </c>
      <c r="C157" s="34" t="str">
        <f aca="false">IFERROR(INDEX('Fund Research'!$B$6:$B$505,MATCH(152,'Fund Research'!$V$6:$V$505,0)),"")</f>
        <v/>
      </c>
      <c r="D157" s="34" t="str">
        <f aca="false">IFERROR(INDEX('Fund Research'!$C$6:$C$505,MATCH(152,'Fund Research'!$V$6:$V$505,0)),"")</f>
        <v/>
      </c>
      <c r="E157" s="35" t="str">
        <f aca="false">IFERROR(INDEX('Fund Research'!$G$6:$G$505,MATCH(152,'Fund Research'!$V$6:$V$505,0)),"")</f>
        <v/>
      </c>
      <c r="F157" s="35" t="str">
        <f aca="false">IFERROR(INDEX('Fund Research'!$H$6:$H$505,MATCH(152,'Fund Research'!$V$6:$V$505,0)),"")</f>
        <v/>
      </c>
      <c r="G157" s="35" t="str">
        <f aca="false">IFERROR(INDEX('Fund Research'!$I$6:$I$505,MATCH(152,'Fund Research'!$V$6:$V$505,0)),"")</f>
        <v/>
      </c>
      <c r="H157" s="36" t="str">
        <f aca="false">IFERROR(INDEX('Fund Research'!$J$6:$J$505,MATCH(152,'Fund Research'!$V$6:$V$505,0)),"")</f>
        <v/>
      </c>
      <c r="I157" s="38" t="str">
        <f aca="false">IFERROR(INDEX('Fund Research'!$L$6:$L$505,MATCH(152,'Fund Research'!$V$6:$V$505,0)),"")</f>
        <v/>
      </c>
      <c r="J157" s="36" t="str">
        <f aca="false">IFERROR(INDEX('Fund Research'!$N$6:$N$505,MATCH(152,'Fund Research'!$V$6:$V$505,0)),"")</f>
        <v/>
      </c>
      <c r="K157" s="36" t="str">
        <f aca="false">IFERROR(INDEX('Fund Research'!$P$6:$P$505,MATCH(152,'Fund Research'!$V$6:$V$505,0)),"")</f>
        <v/>
      </c>
      <c r="L157" s="34" t="str">
        <f aca="false">IFERROR(INDEX('Fund Research'!$S$6:$S$505,MATCH(152,'Fund Research'!$V$6:$V$505,0)),"")</f>
        <v/>
      </c>
      <c r="M157" s="34" t="str">
        <f aca="false">IFERROR(INDEX('Fund Research'!$T$6:$T$505,MATCH(152,'Fund Research'!$V$6:$V$505,0)),"")</f>
        <v/>
      </c>
    </row>
    <row r="158" customFormat="false" ht="15" hidden="false" customHeight="true" outlineLevel="0" collapsed="false">
      <c r="A158" s="33" t="str">
        <f aca="false">IFERROR(IF(INDEX('Fund Research'!$B$6:$B$505,MATCH(153,'Fund Research'!$V$6:$V$505,0))="","",153),"")</f>
        <v/>
      </c>
      <c r="B158" s="34" t="str">
        <f aca="false">IFERROR(INDEX('Fund Research'!$A$6:$A$505,MATCH(153,'Fund Research'!$V$6:$V$505,0)),"")</f>
        <v/>
      </c>
      <c r="C158" s="34" t="str">
        <f aca="false">IFERROR(INDEX('Fund Research'!$B$6:$B$505,MATCH(153,'Fund Research'!$V$6:$V$505,0)),"")</f>
        <v/>
      </c>
      <c r="D158" s="34" t="str">
        <f aca="false">IFERROR(INDEX('Fund Research'!$C$6:$C$505,MATCH(153,'Fund Research'!$V$6:$V$505,0)),"")</f>
        <v/>
      </c>
      <c r="E158" s="35" t="str">
        <f aca="false">IFERROR(INDEX('Fund Research'!$G$6:$G$505,MATCH(153,'Fund Research'!$V$6:$V$505,0)),"")</f>
        <v/>
      </c>
      <c r="F158" s="35" t="str">
        <f aca="false">IFERROR(INDEX('Fund Research'!$H$6:$H$505,MATCH(153,'Fund Research'!$V$6:$V$505,0)),"")</f>
        <v/>
      </c>
      <c r="G158" s="35" t="str">
        <f aca="false">IFERROR(INDEX('Fund Research'!$I$6:$I$505,MATCH(153,'Fund Research'!$V$6:$V$505,0)),"")</f>
        <v/>
      </c>
      <c r="H158" s="36" t="str">
        <f aca="false">IFERROR(INDEX('Fund Research'!$J$6:$J$505,MATCH(153,'Fund Research'!$V$6:$V$505,0)),"")</f>
        <v/>
      </c>
      <c r="I158" s="38" t="str">
        <f aca="false">IFERROR(INDEX('Fund Research'!$L$6:$L$505,MATCH(153,'Fund Research'!$V$6:$V$505,0)),"")</f>
        <v/>
      </c>
      <c r="J158" s="36" t="str">
        <f aca="false">IFERROR(INDEX('Fund Research'!$N$6:$N$505,MATCH(153,'Fund Research'!$V$6:$V$505,0)),"")</f>
        <v/>
      </c>
      <c r="K158" s="36" t="str">
        <f aca="false">IFERROR(INDEX('Fund Research'!$P$6:$P$505,MATCH(153,'Fund Research'!$V$6:$V$505,0)),"")</f>
        <v/>
      </c>
      <c r="L158" s="34" t="str">
        <f aca="false">IFERROR(INDEX('Fund Research'!$S$6:$S$505,MATCH(153,'Fund Research'!$V$6:$V$505,0)),"")</f>
        <v/>
      </c>
      <c r="M158" s="34" t="str">
        <f aca="false">IFERROR(INDEX('Fund Research'!$T$6:$T$505,MATCH(153,'Fund Research'!$V$6:$V$505,0)),"")</f>
        <v/>
      </c>
    </row>
    <row r="159" customFormat="false" ht="15" hidden="false" customHeight="true" outlineLevel="0" collapsed="false">
      <c r="A159" s="33" t="str">
        <f aca="false">IFERROR(IF(INDEX('Fund Research'!$B$6:$B$505,MATCH(154,'Fund Research'!$V$6:$V$505,0))="","",154),"")</f>
        <v/>
      </c>
      <c r="B159" s="34" t="str">
        <f aca="false">IFERROR(INDEX('Fund Research'!$A$6:$A$505,MATCH(154,'Fund Research'!$V$6:$V$505,0)),"")</f>
        <v/>
      </c>
      <c r="C159" s="34" t="str">
        <f aca="false">IFERROR(INDEX('Fund Research'!$B$6:$B$505,MATCH(154,'Fund Research'!$V$6:$V$505,0)),"")</f>
        <v/>
      </c>
      <c r="D159" s="34" t="str">
        <f aca="false">IFERROR(INDEX('Fund Research'!$C$6:$C$505,MATCH(154,'Fund Research'!$V$6:$V$505,0)),"")</f>
        <v/>
      </c>
      <c r="E159" s="35" t="str">
        <f aca="false">IFERROR(INDEX('Fund Research'!$G$6:$G$505,MATCH(154,'Fund Research'!$V$6:$V$505,0)),"")</f>
        <v/>
      </c>
      <c r="F159" s="35" t="str">
        <f aca="false">IFERROR(INDEX('Fund Research'!$H$6:$H$505,MATCH(154,'Fund Research'!$V$6:$V$505,0)),"")</f>
        <v/>
      </c>
      <c r="G159" s="35" t="str">
        <f aca="false">IFERROR(INDEX('Fund Research'!$I$6:$I$505,MATCH(154,'Fund Research'!$V$6:$V$505,0)),"")</f>
        <v/>
      </c>
      <c r="H159" s="36" t="str">
        <f aca="false">IFERROR(INDEX('Fund Research'!$J$6:$J$505,MATCH(154,'Fund Research'!$V$6:$V$505,0)),"")</f>
        <v/>
      </c>
      <c r="I159" s="38" t="str">
        <f aca="false">IFERROR(INDEX('Fund Research'!$L$6:$L$505,MATCH(154,'Fund Research'!$V$6:$V$505,0)),"")</f>
        <v/>
      </c>
      <c r="J159" s="36" t="str">
        <f aca="false">IFERROR(INDEX('Fund Research'!$N$6:$N$505,MATCH(154,'Fund Research'!$V$6:$V$505,0)),"")</f>
        <v/>
      </c>
      <c r="K159" s="36" t="str">
        <f aca="false">IFERROR(INDEX('Fund Research'!$P$6:$P$505,MATCH(154,'Fund Research'!$V$6:$V$505,0)),"")</f>
        <v/>
      </c>
      <c r="L159" s="34" t="str">
        <f aca="false">IFERROR(INDEX('Fund Research'!$S$6:$S$505,MATCH(154,'Fund Research'!$V$6:$V$505,0)),"")</f>
        <v/>
      </c>
      <c r="M159" s="34" t="str">
        <f aca="false">IFERROR(INDEX('Fund Research'!$T$6:$T$505,MATCH(154,'Fund Research'!$V$6:$V$505,0)),"")</f>
        <v/>
      </c>
    </row>
    <row r="160" customFormat="false" ht="15" hidden="false" customHeight="true" outlineLevel="0" collapsed="false">
      <c r="A160" s="33" t="str">
        <f aca="false">IFERROR(IF(INDEX('Fund Research'!$B$6:$B$505,MATCH(155,'Fund Research'!$V$6:$V$505,0))="","",155),"")</f>
        <v/>
      </c>
      <c r="B160" s="34" t="str">
        <f aca="false">IFERROR(INDEX('Fund Research'!$A$6:$A$505,MATCH(155,'Fund Research'!$V$6:$V$505,0)),"")</f>
        <v/>
      </c>
      <c r="C160" s="34" t="str">
        <f aca="false">IFERROR(INDEX('Fund Research'!$B$6:$B$505,MATCH(155,'Fund Research'!$V$6:$V$505,0)),"")</f>
        <v/>
      </c>
      <c r="D160" s="34" t="str">
        <f aca="false">IFERROR(INDEX('Fund Research'!$C$6:$C$505,MATCH(155,'Fund Research'!$V$6:$V$505,0)),"")</f>
        <v/>
      </c>
      <c r="E160" s="35" t="str">
        <f aca="false">IFERROR(INDEX('Fund Research'!$G$6:$G$505,MATCH(155,'Fund Research'!$V$6:$V$505,0)),"")</f>
        <v/>
      </c>
      <c r="F160" s="35" t="str">
        <f aca="false">IFERROR(INDEX('Fund Research'!$H$6:$H$505,MATCH(155,'Fund Research'!$V$6:$V$505,0)),"")</f>
        <v/>
      </c>
      <c r="G160" s="35" t="str">
        <f aca="false">IFERROR(INDEX('Fund Research'!$I$6:$I$505,MATCH(155,'Fund Research'!$V$6:$V$505,0)),"")</f>
        <v/>
      </c>
      <c r="H160" s="36" t="str">
        <f aca="false">IFERROR(INDEX('Fund Research'!$J$6:$J$505,MATCH(155,'Fund Research'!$V$6:$V$505,0)),"")</f>
        <v/>
      </c>
      <c r="I160" s="38" t="str">
        <f aca="false">IFERROR(INDEX('Fund Research'!$L$6:$L$505,MATCH(155,'Fund Research'!$V$6:$V$505,0)),"")</f>
        <v/>
      </c>
      <c r="J160" s="36" t="str">
        <f aca="false">IFERROR(INDEX('Fund Research'!$N$6:$N$505,MATCH(155,'Fund Research'!$V$6:$V$505,0)),"")</f>
        <v/>
      </c>
      <c r="K160" s="36" t="str">
        <f aca="false">IFERROR(INDEX('Fund Research'!$P$6:$P$505,MATCH(155,'Fund Research'!$V$6:$V$505,0)),"")</f>
        <v/>
      </c>
      <c r="L160" s="34" t="str">
        <f aca="false">IFERROR(INDEX('Fund Research'!$S$6:$S$505,MATCH(155,'Fund Research'!$V$6:$V$505,0)),"")</f>
        <v/>
      </c>
      <c r="M160" s="34" t="str">
        <f aca="false">IFERROR(INDEX('Fund Research'!$T$6:$T$505,MATCH(155,'Fund Research'!$V$6:$V$505,0)),"")</f>
        <v/>
      </c>
    </row>
    <row r="161" customFormat="false" ht="15" hidden="false" customHeight="true" outlineLevel="0" collapsed="false">
      <c r="A161" s="33" t="str">
        <f aca="false">IFERROR(IF(INDEX('Fund Research'!$B$6:$B$505,MATCH(156,'Fund Research'!$V$6:$V$505,0))="","",156),"")</f>
        <v/>
      </c>
      <c r="B161" s="34" t="str">
        <f aca="false">IFERROR(INDEX('Fund Research'!$A$6:$A$505,MATCH(156,'Fund Research'!$V$6:$V$505,0)),"")</f>
        <v/>
      </c>
      <c r="C161" s="34" t="str">
        <f aca="false">IFERROR(INDEX('Fund Research'!$B$6:$B$505,MATCH(156,'Fund Research'!$V$6:$V$505,0)),"")</f>
        <v/>
      </c>
      <c r="D161" s="34" t="str">
        <f aca="false">IFERROR(INDEX('Fund Research'!$C$6:$C$505,MATCH(156,'Fund Research'!$V$6:$V$505,0)),"")</f>
        <v/>
      </c>
      <c r="E161" s="35" t="str">
        <f aca="false">IFERROR(INDEX('Fund Research'!$G$6:$G$505,MATCH(156,'Fund Research'!$V$6:$V$505,0)),"")</f>
        <v/>
      </c>
      <c r="F161" s="35" t="str">
        <f aca="false">IFERROR(INDEX('Fund Research'!$H$6:$H$505,MATCH(156,'Fund Research'!$V$6:$V$505,0)),"")</f>
        <v/>
      </c>
      <c r="G161" s="35" t="str">
        <f aca="false">IFERROR(INDEX('Fund Research'!$I$6:$I$505,MATCH(156,'Fund Research'!$V$6:$V$505,0)),"")</f>
        <v/>
      </c>
      <c r="H161" s="36" t="str">
        <f aca="false">IFERROR(INDEX('Fund Research'!$J$6:$J$505,MATCH(156,'Fund Research'!$V$6:$V$505,0)),"")</f>
        <v/>
      </c>
      <c r="I161" s="38" t="str">
        <f aca="false">IFERROR(INDEX('Fund Research'!$L$6:$L$505,MATCH(156,'Fund Research'!$V$6:$V$505,0)),"")</f>
        <v/>
      </c>
      <c r="J161" s="36" t="str">
        <f aca="false">IFERROR(INDEX('Fund Research'!$N$6:$N$505,MATCH(156,'Fund Research'!$V$6:$V$505,0)),"")</f>
        <v/>
      </c>
      <c r="K161" s="36" t="str">
        <f aca="false">IFERROR(INDEX('Fund Research'!$P$6:$P$505,MATCH(156,'Fund Research'!$V$6:$V$505,0)),"")</f>
        <v/>
      </c>
      <c r="L161" s="34" t="str">
        <f aca="false">IFERROR(INDEX('Fund Research'!$S$6:$S$505,MATCH(156,'Fund Research'!$V$6:$V$505,0)),"")</f>
        <v/>
      </c>
      <c r="M161" s="34" t="str">
        <f aca="false">IFERROR(INDEX('Fund Research'!$T$6:$T$505,MATCH(156,'Fund Research'!$V$6:$V$505,0)),"")</f>
        <v/>
      </c>
    </row>
    <row r="162" customFormat="false" ht="15" hidden="false" customHeight="true" outlineLevel="0" collapsed="false">
      <c r="A162" s="33" t="str">
        <f aca="false">IFERROR(IF(INDEX('Fund Research'!$B$6:$B$505,MATCH(157,'Fund Research'!$V$6:$V$505,0))="","",157),"")</f>
        <v/>
      </c>
      <c r="B162" s="34" t="str">
        <f aca="false">IFERROR(INDEX('Fund Research'!$A$6:$A$505,MATCH(157,'Fund Research'!$V$6:$V$505,0)),"")</f>
        <v/>
      </c>
      <c r="C162" s="34" t="str">
        <f aca="false">IFERROR(INDEX('Fund Research'!$B$6:$B$505,MATCH(157,'Fund Research'!$V$6:$V$505,0)),"")</f>
        <v/>
      </c>
      <c r="D162" s="34" t="str">
        <f aca="false">IFERROR(INDEX('Fund Research'!$C$6:$C$505,MATCH(157,'Fund Research'!$V$6:$V$505,0)),"")</f>
        <v/>
      </c>
      <c r="E162" s="35" t="str">
        <f aca="false">IFERROR(INDEX('Fund Research'!$G$6:$G$505,MATCH(157,'Fund Research'!$V$6:$V$505,0)),"")</f>
        <v/>
      </c>
      <c r="F162" s="35" t="str">
        <f aca="false">IFERROR(INDEX('Fund Research'!$H$6:$H$505,MATCH(157,'Fund Research'!$V$6:$V$505,0)),"")</f>
        <v/>
      </c>
      <c r="G162" s="35" t="str">
        <f aca="false">IFERROR(INDEX('Fund Research'!$I$6:$I$505,MATCH(157,'Fund Research'!$V$6:$V$505,0)),"")</f>
        <v/>
      </c>
      <c r="H162" s="36" t="str">
        <f aca="false">IFERROR(INDEX('Fund Research'!$J$6:$J$505,MATCH(157,'Fund Research'!$V$6:$V$505,0)),"")</f>
        <v/>
      </c>
      <c r="I162" s="38" t="str">
        <f aca="false">IFERROR(INDEX('Fund Research'!$L$6:$L$505,MATCH(157,'Fund Research'!$V$6:$V$505,0)),"")</f>
        <v/>
      </c>
      <c r="J162" s="36" t="str">
        <f aca="false">IFERROR(INDEX('Fund Research'!$N$6:$N$505,MATCH(157,'Fund Research'!$V$6:$V$505,0)),"")</f>
        <v/>
      </c>
      <c r="K162" s="36" t="str">
        <f aca="false">IFERROR(INDEX('Fund Research'!$P$6:$P$505,MATCH(157,'Fund Research'!$V$6:$V$505,0)),"")</f>
        <v/>
      </c>
      <c r="L162" s="34" t="str">
        <f aca="false">IFERROR(INDEX('Fund Research'!$S$6:$S$505,MATCH(157,'Fund Research'!$V$6:$V$505,0)),"")</f>
        <v/>
      </c>
      <c r="M162" s="34" t="str">
        <f aca="false">IFERROR(INDEX('Fund Research'!$T$6:$T$505,MATCH(157,'Fund Research'!$V$6:$V$505,0)),"")</f>
        <v/>
      </c>
    </row>
    <row r="163" customFormat="false" ht="15" hidden="false" customHeight="true" outlineLevel="0" collapsed="false">
      <c r="A163" s="33" t="str">
        <f aca="false">IFERROR(IF(INDEX('Fund Research'!$B$6:$B$505,MATCH(158,'Fund Research'!$V$6:$V$505,0))="","",158),"")</f>
        <v/>
      </c>
      <c r="B163" s="34" t="str">
        <f aca="false">IFERROR(INDEX('Fund Research'!$A$6:$A$505,MATCH(158,'Fund Research'!$V$6:$V$505,0)),"")</f>
        <v/>
      </c>
      <c r="C163" s="34" t="str">
        <f aca="false">IFERROR(INDEX('Fund Research'!$B$6:$B$505,MATCH(158,'Fund Research'!$V$6:$V$505,0)),"")</f>
        <v/>
      </c>
      <c r="D163" s="34" t="str">
        <f aca="false">IFERROR(INDEX('Fund Research'!$C$6:$C$505,MATCH(158,'Fund Research'!$V$6:$V$505,0)),"")</f>
        <v/>
      </c>
      <c r="E163" s="35" t="str">
        <f aca="false">IFERROR(INDEX('Fund Research'!$G$6:$G$505,MATCH(158,'Fund Research'!$V$6:$V$505,0)),"")</f>
        <v/>
      </c>
      <c r="F163" s="35" t="str">
        <f aca="false">IFERROR(INDEX('Fund Research'!$H$6:$H$505,MATCH(158,'Fund Research'!$V$6:$V$505,0)),"")</f>
        <v/>
      </c>
      <c r="G163" s="35" t="str">
        <f aca="false">IFERROR(INDEX('Fund Research'!$I$6:$I$505,MATCH(158,'Fund Research'!$V$6:$V$505,0)),"")</f>
        <v/>
      </c>
      <c r="H163" s="36" t="str">
        <f aca="false">IFERROR(INDEX('Fund Research'!$J$6:$J$505,MATCH(158,'Fund Research'!$V$6:$V$505,0)),"")</f>
        <v/>
      </c>
      <c r="I163" s="38" t="str">
        <f aca="false">IFERROR(INDEX('Fund Research'!$L$6:$L$505,MATCH(158,'Fund Research'!$V$6:$V$505,0)),"")</f>
        <v/>
      </c>
      <c r="J163" s="36" t="str">
        <f aca="false">IFERROR(INDEX('Fund Research'!$N$6:$N$505,MATCH(158,'Fund Research'!$V$6:$V$505,0)),"")</f>
        <v/>
      </c>
      <c r="K163" s="36" t="str">
        <f aca="false">IFERROR(INDEX('Fund Research'!$P$6:$P$505,MATCH(158,'Fund Research'!$V$6:$V$505,0)),"")</f>
        <v/>
      </c>
      <c r="L163" s="34" t="str">
        <f aca="false">IFERROR(INDEX('Fund Research'!$S$6:$S$505,MATCH(158,'Fund Research'!$V$6:$V$505,0)),"")</f>
        <v/>
      </c>
      <c r="M163" s="34" t="str">
        <f aca="false">IFERROR(INDEX('Fund Research'!$T$6:$T$505,MATCH(158,'Fund Research'!$V$6:$V$505,0)),"")</f>
        <v/>
      </c>
    </row>
    <row r="164" customFormat="false" ht="15" hidden="false" customHeight="true" outlineLevel="0" collapsed="false">
      <c r="A164" s="33" t="str">
        <f aca="false">IFERROR(IF(INDEX('Fund Research'!$B$6:$B$505,MATCH(159,'Fund Research'!$V$6:$V$505,0))="","",159),"")</f>
        <v/>
      </c>
      <c r="B164" s="34" t="str">
        <f aca="false">IFERROR(INDEX('Fund Research'!$A$6:$A$505,MATCH(159,'Fund Research'!$V$6:$V$505,0)),"")</f>
        <v/>
      </c>
      <c r="C164" s="34" t="str">
        <f aca="false">IFERROR(INDEX('Fund Research'!$B$6:$B$505,MATCH(159,'Fund Research'!$V$6:$V$505,0)),"")</f>
        <v/>
      </c>
      <c r="D164" s="34" t="str">
        <f aca="false">IFERROR(INDEX('Fund Research'!$C$6:$C$505,MATCH(159,'Fund Research'!$V$6:$V$505,0)),"")</f>
        <v/>
      </c>
      <c r="E164" s="35" t="str">
        <f aca="false">IFERROR(INDEX('Fund Research'!$G$6:$G$505,MATCH(159,'Fund Research'!$V$6:$V$505,0)),"")</f>
        <v/>
      </c>
      <c r="F164" s="35" t="str">
        <f aca="false">IFERROR(INDEX('Fund Research'!$H$6:$H$505,MATCH(159,'Fund Research'!$V$6:$V$505,0)),"")</f>
        <v/>
      </c>
      <c r="G164" s="35" t="str">
        <f aca="false">IFERROR(INDEX('Fund Research'!$I$6:$I$505,MATCH(159,'Fund Research'!$V$6:$V$505,0)),"")</f>
        <v/>
      </c>
      <c r="H164" s="36" t="str">
        <f aca="false">IFERROR(INDEX('Fund Research'!$J$6:$J$505,MATCH(159,'Fund Research'!$V$6:$V$505,0)),"")</f>
        <v/>
      </c>
      <c r="I164" s="38" t="str">
        <f aca="false">IFERROR(INDEX('Fund Research'!$L$6:$L$505,MATCH(159,'Fund Research'!$V$6:$V$505,0)),"")</f>
        <v/>
      </c>
      <c r="J164" s="36" t="str">
        <f aca="false">IFERROR(INDEX('Fund Research'!$N$6:$N$505,MATCH(159,'Fund Research'!$V$6:$V$505,0)),"")</f>
        <v/>
      </c>
      <c r="K164" s="36" t="str">
        <f aca="false">IFERROR(INDEX('Fund Research'!$P$6:$P$505,MATCH(159,'Fund Research'!$V$6:$V$505,0)),"")</f>
        <v/>
      </c>
      <c r="L164" s="34" t="str">
        <f aca="false">IFERROR(INDEX('Fund Research'!$S$6:$S$505,MATCH(159,'Fund Research'!$V$6:$V$505,0)),"")</f>
        <v/>
      </c>
      <c r="M164" s="34" t="str">
        <f aca="false">IFERROR(INDEX('Fund Research'!$T$6:$T$505,MATCH(159,'Fund Research'!$V$6:$V$505,0)),"")</f>
        <v/>
      </c>
    </row>
    <row r="165" customFormat="false" ht="15" hidden="false" customHeight="true" outlineLevel="0" collapsed="false">
      <c r="A165" s="33" t="str">
        <f aca="false">IFERROR(IF(INDEX('Fund Research'!$B$6:$B$505,MATCH(160,'Fund Research'!$V$6:$V$505,0))="","",160),"")</f>
        <v/>
      </c>
      <c r="B165" s="34" t="str">
        <f aca="false">IFERROR(INDEX('Fund Research'!$A$6:$A$505,MATCH(160,'Fund Research'!$V$6:$V$505,0)),"")</f>
        <v/>
      </c>
      <c r="C165" s="34" t="str">
        <f aca="false">IFERROR(INDEX('Fund Research'!$B$6:$B$505,MATCH(160,'Fund Research'!$V$6:$V$505,0)),"")</f>
        <v/>
      </c>
      <c r="D165" s="34" t="str">
        <f aca="false">IFERROR(INDEX('Fund Research'!$C$6:$C$505,MATCH(160,'Fund Research'!$V$6:$V$505,0)),"")</f>
        <v/>
      </c>
      <c r="E165" s="35" t="str">
        <f aca="false">IFERROR(INDEX('Fund Research'!$G$6:$G$505,MATCH(160,'Fund Research'!$V$6:$V$505,0)),"")</f>
        <v/>
      </c>
      <c r="F165" s="35" t="str">
        <f aca="false">IFERROR(INDEX('Fund Research'!$H$6:$H$505,MATCH(160,'Fund Research'!$V$6:$V$505,0)),"")</f>
        <v/>
      </c>
      <c r="G165" s="35" t="str">
        <f aca="false">IFERROR(INDEX('Fund Research'!$I$6:$I$505,MATCH(160,'Fund Research'!$V$6:$V$505,0)),"")</f>
        <v/>
      </c>
      <c r="H165" s="36" t="str">
        <f aca="false">IFERROR(INDEX('Fund Research'!$J$6:$J$505,MATCH(160,'Fund Research'!$V$6:$V$505,0)),"")</f>
        <v/>
      </c>
      <c r="I165" s="38" t="str">
        <f aca="false">IFERROR(INDEX('Fund Research'!$L$6:$L$505,MATCH(160,'Fund Research'!$V$6:$V$505,0)),"")</f>
        <v/>
      </c>
      <c r="J165" s="36" t="str">
        <f aca="false">IFERROR(INDEX('Fund Research'!$N$6:$N$505,MATCH(160,'Fund Research'!$V$6:$V$505,0)),"")</f>
        <v/>
      </c>
      <c r="K165" s="36" t="str">
        <f aca="false">IFERROR(INDEX('Fund Research'!$P$6:$P$505,MATCH(160,'Fund Research'!$V$6:$V$505,0)),"")</f>
        <v/>
      </c>
      <c r="L165" s="34" t="str">
        <f aca="false">IFERROR(INDEX('Fund Research'!$S$6:$S$505,MATCH(160,'Fund Research'!$V$6:$V$505,0)),"")</f>
        <v/>
      </c>
      <c r="M165" s="34" t="str">
        <f aca="false">IFERROR(INDEX('Fund Research'!$T$6:$T$505,MATCH(160,'Fund Research'!$V$6:$V$505,0)),"")</f>
        <v/>
      </c>
    </row>
    <row r="166" customFormat="false" ht="15" hidden="false" customHeight="true" outlineLevel="0" collapsed="false">
      <c r="A166" s="33" t="str">
        <f aca="false">IFERROR(IF(INDEX('Fund Research'!$B$6:$B$505,MATCH(161,'Fund Research'!$V$6:$V$505,0))="","",161),"")</f>
        <v/>
      </c>
      <c r="B166" s="34" t="str">
        <f aca="false">IFERROR(INDEX('Fund Research'!$A$6:$A$505,MATCH(161,'Fund Research'!$V$6:$V$505,0)),"")</f>
        <v/>
      </c>
      <c r="C166" s="34" t="str">
        <f aca="false">IFERROR(INDEX('Fund Research'!$B$6:$B$505,MATCH(161,'Fund Research'!$V$6:$V$505,0)),"")</f>
        <v/>
      </c>
      <c r="D166" s="34" t="str">
        <f aca="false">IFERROR(INDEX('Fund Research'!$C$6:$C$505,MATCH(161,'Fund Research'!$V$6:$V$505,0)),"")</f>
        <v/>
      </c>
      <c r="E166" s="35" t="str">
        <f aca="false">IFERROR(INDEX('Fund Research'!$G$6:$G$505,MATCH(161,'Fund Research'!$V$6:$V$505,0)),"")</f>
        <v/>
      </c>
      <c r="F166" s="35" t="str">
        <f aca="false">IFERROR(INDEX('Fund Research'!$H$6:$H$505,MATCH(161,'Fund Research'!$V$6:$V$505,0)),"")</f>
        <v/>
      </c>
      <c r="G166" s="35" t="str">
        <f aca="false">IFERROR(INDEX('Fund Research'!$I$6:$I$505,MATCH(161,'Fund Research'!$V$6:$V$505,0)),"")</f>
        <v/>
      </c>
      <c r="H166" s="36" t="str">
        <f aca="false">IFERROR(INDEX('Fund Research'!$J$6:$J$505,MATCH(161,'Fund Research'!$V$6:$V$505,0)),"")</f>
        <v/>
      </c>
      <c r="I166" s="38" t="str">
        <f aca="false">IFERROR(INDEX('Fund Research'!$L$6:$L$505,MATCH(161,'Fund Research'!$V$6:$V$505,0)),"")</f>
        <v/>
      </c>
      <c r="J166" s="36" t="str">
        <f aca="false">IFERROR(INDEX('Fund Research'!$N$6:$N$505,MATCH(161,'Fund Research'!$V$6:$V$505,0)),"")</f>
        <v/>
      </c>
      <c r="K166" s="36" t="str">
        <f aca="false">IFERROR(INDEX('Fund Research'!$P$6:$P$505,MATCH(161,'Fund Research'!$V$6:$V$505,0)),"")</f>
        <v/>
      </c>
      <c r="L166" s="34" t="str">
        <f aca="false">IFERROR(INDEX('Fund Research'!$S$6:$S$505,MATCH(161,'Fund Research'!$V$6:$V$505,0)),"")</f>
        <v/>
      </c>
      <c r="M166" s="34" t="str">
        <f aca="false">IFERROR(INDEX('Fund Research'!$T$6:$T$505,MATCH(161,'Fund Research'!$V$6:$V$505,0)),"")</f>
        <v/>
      </c>
    </row>
    <row r="167" customFormat="false" ht="15" hidden="false" customHeight="true" outlineLevel="0" collapsed="false">
      <c r="A167" s="33" t="str">
        <f aca="false">IFERROR(IF(INDEX('Fund Research'!$B$6:$B$505,MATCH(162,'Fund Research'!$V$6:$V$505,0))="","",162),"")</f>
        <v/>
      </c>
      <c r="B167" s="34" t="str">
        <f aca="false">IFERROR(INDEX('Fund Research'!$A$6:$A$505,MATCH(162,'Fund Research'!$V$6:$V$505,0)),"")</f>
        <v/>
      </c>
      <c r="C167" s="34" t="str">
        <f aca="false">IFERROR(INDEX('Fund Research'!$B$6:$B$505,MATCH(162,'Fund Research'!$V$6:$V$505,0)),"")</f>
        <v/>
      </c>
      <c r="D167" s="34" t="str">
        <f aca="false">IFERROR(INDEX('Fund Research'!$C$6:$C$505,MATCH(162,'Fund Research'!$V$6:$V$505,0)),"")</f>
        <v/>
      </c>
      <c r="E167" s="35" t="str">
        <f aca="false">IFERROR(INDEX('Fund Research'!$G$6:$G$505,MATCH(162,'Fund Research'!$V$6:$V$505,0)),"")</f>
        <v/>
      </c>
      <c r="F167" s="35" t="str">
        <f aca="false">IFERROR(INDEX('Fund Research'!$H$6:$H$505,MATCH(162,'Fund Research'!$V$6:$V$505,0)),"")</f>
        <v/>
      </c>
      <c r="G167" s="35" t="str">
        <f aca="false">IFERROR(INDEX('Fund Research'!$I$6:$I$505,MATCH(162,'Fund Research'!$V$6:$V$505,0)),"")</f>
        <v/>
      </c>
      <c r="H167" s="36" t="str">
        <f aca="false">IFERROR(INDEX('Fund Research'!$J$6:$J$505,MATCH(162,'Fund Research'!$V$6:$V$505,0)),"")</f>
        <v/>
      </c>
      <c r="I167" s="38" t="str">
        <f aca="false">IFERROR(INDEX('Fund Research'!$L$6:$L$505,MATCH(162,'Fund Research'!$V$6:$V$505,0)),"")</f>
        <v/>
      </c>
      <c r="J167" s="36" t="str">
        <f aca="false">IFERROR(INDEX('Fund Research'!$N$6:$N$505,MATCH(162,'Fund Research'!$V$6:$V$505,0)),"")</f>
        <v/>
      </c>
      <c r="K167" s="36" t="str">
        <f aca="false">IFERROR(INDEX('Fund Research'!$P$6:$P$505,MATCH(162,'Fund Research'!$V$6:$V$505,0)),"")</f>
        <v/>
      </c>
      <c r="L167" s="34" t="str">
        <f aca="false">IFERROR(INDEX('Fund Research'!$S$6:$S$505,MATCH(162,'Fund Research'!$V$6:$V$505,0)),"")</f>
        <v/>
      </c>
      <c r="M167" s="34" t="str">
        <f aca="false">IFERROR(INDEX('Fund Research'!$T$6:$T$505,MATCH(162,'Fund Research'!$V$6:$V$505,0)),"")</f>
        <v/>
      </c>
    </row>
    <row r="168" customFormat="false" ht="15" hidden="false" customHeight="true" outlineLevel="0" collapsed="false">
      <c r="A168" s="33" t="str">
        <f aca="false">IFERROR(IF(INDEX('Fund Research'!$B$6:$B$505,MATCH(163,'Fund Research'!$V$6:$V$505,0))="","",163),"")</f>
        <v/>
      </c>
      <c r="B168" s="34" t="str">
        <f aca="false">IFERROR(INDEX('Fund Research'!$A$6:$A$505,MATCH(163,'Fund Research'!$V$6:$V$505,0)),"")</f>
        <v/>
      </c>
      <c r="C168" s="34" t="str">
        <f aca="false">IFERROR(INDEX('Fund Research'!$B$6:$B$505,MATCH(163,'Fund Research'!$V$6:$V$505,0)),"")</f>
        <v/>
      </c>
      <c r="D168" s="34" t="str">
        <f aca="false">IFERROR(INDEX('Fund Research'!$C$6:$C$505,MATCH(163,'Fund Research'!$V$6:$V$505,0)),"")</f>
        <v/>
      </c>
      <c r="E168" s="35" t="str">
        <f aca="false">IFERROR(INDEX('Fund Research'!$G$6:$G$505,MATCH(163,'Fund Research'!$V$6:$V$505,0)),"")</f>
        <v/>
      </c>
      <c r="F168" s="35" t="str">
        <f aca="false">IFERROR(INDEX('Fund Research'!$H$6:$H$505,MATCH(163,'Fund Research'!$V$6:$V$505,0)),"")</f>
        <v/>
      </c>
      <c r="G168" s="35" t="str">
        <f aca="false">IFERROR(INDEX('Fund Research'!$I$6:$I$505,MATCH(163,'Fund Research'!$V$6:$V$505,0)),"")</f>
        <v/>
      </c>
      <c r="H168" s="36" t="str">
        <f aca="false">IFERROR(INDEX('Fund Research'!$J$6:$J$505,MATCH(163,'Fund Research'!$V$6:$V$505,0)),"")</f>
        <v/>
      </c>
      <c r="I168" s="38" t="str">
        <f aca="false">IFERROR(INDEX('Fund Research'!$L$6:$L$505,MATCH(163,'Fund Research'!$V$6:$V$505,0)),"")</f>
        <v/>
      </c>
      <c r="J168" s="36" t="str">
        <f aca="false">IFERROR(INDEX('Fund Research'!$N$6:$N$505,MATCH(163,'Fund Research'!$V$6:$V$505,0)),"")</f>
        <v/>
      </c>
      <c r="K168" s="36" t="str">
        <f aca="false">IFERROR(INDEX('Fund Research'!$P$6:$P$505,MATCH(163,'Fund Research'!$V$6:$V$505,0)),"")</f>
        <v/>
      </c>
      <c r="L168" s="34" t="str">
        <f aca="false">IFERROR(INDEX('Fund Research'!$S$6:$S$505,MATCH(163,'Fund Research'!$V$6:$V$505,0)),"")</f>
        <v/>
      </c>
      <c r="M168" s="34" t="str">
        <f aca="false">IFERROR(INDEX('Fund Research'!$T$6:$T$505,MATCH(163,'Fund Research'!$V$6:$V$505,0)),"")</f>
        <v/>
      </c>
    </row>
    <row r="169" customFormat="false" ht="15" hidden="false" customHeight="true" outlineLevel="0" collapsed="false">
      <c r="A169" s="33" t="str">
        <f aca="false">IFERROR(IF(INDEX('Fund Research'!$B$6:$B$505,MATCH(164,'Fund Research'!$V$6:$V$505,0))="","",164),"")</f>
        <v/>
      </c>
      <c r="B169" s="34" t="str">
        <f aca="false">IFERROR(INDEX('Fund Research'!$A$6:$A$505,MATCH(164,'Fund Research'!$V$6:$V$505,0)),"")</f>
        <v/>
      </c>
      <c r="C169" s="34" t="str">
        <f aca="false">IFERROR(INDEX('Fund Research'!$B$6:$B$505,MATCH(164,'Fund Research'!$V$6:$V$505,0)),"")</f>
        <v/>
      </c>
      <c r="D169" s="34" t="str">
        <f aca="false">IFERROR(INDEX('Fund Research'!$C$6:$C$505,MATCH(164,'Fund Research'!$V$6:$V$505,0)),"")</f>
        <v/>
      </c>
      <c r="E169" s="35" t="str">
        <f aca="false">IFERROR(INDEX('Fund Research'!$G$6:$G$505,MATCH(164,'Fund Research'!$V$6:$V$505,0)),"")</f>
        <v/>
      </c>
      <c r="F169" s="35" t="str">
        <f aca="false">IFERROR(INDEX('Fund Research'!$H$6:$H$505,MATCH(164,'Fund Research'!$V$6:$V$505,0)),"")</f>
        <v/>
      </c>
      <c r="G169" s="35" t="str">
        <f aca="false">IFERROR(INDEX('Fund Research'!$I$6:$I$505,MATCH(164,'Fund Research'!$V$6:$V$505,0)),"")</f>
        <v/>
      </c>
      <c r="H169" s="36" t="str">
        <f aca="false">IFERROR(INDEX('Fund Research'!$J$6:$J$505,MATCH(164,'Fund Research'!$V$6:$V$505,0)),"")</f>
        <v/>
      </c>
      <c r="I169" s="38" t="str">
        <f aca="false">IFERROR(INDEX('Fund Research'!$L$6:$L$505,MATCH(164,'Fund Research'!$V$6:$V$505,0)),"")</f>
        <v/>
      </c>
      <c r="J169" s="36" t="str">
        <f aca="false">IFERROR(INDEX('Fund Research'!$N$6:$N$505,MATCH(164,'Fund Research'!$V$6:$V$505,0)),"")</f>
        <v/>
      </c>
      <c r="K169" s="36" t="str">
        <f aca="false">IFERROR(INDEX('Fund Research'!$P$6:$P$505,MATCH(164,'Fund Research'!$V$6:$V$505,0)),"")</f>
        <v/>
      </c>
      <c r="L169" s="34" t="str">
        <f aca="false">IFERROR(INDEX('Fund Research'!$S$6:$S$505,MATCH(164,'Fund Research'!$V$6:$V$505,0)),"")</f>
        <v/>
      </c>
      <c r="M169" s="34" t="str">
        <f aca="false">IFERROR(INDEX('Fund Research'!$T$6:$T$505,MATCH(164,'Fund Research'!$V$6:$V$505,0)),"")</f>
        <v/>
      </c>
    </row>
    <row r="170" customFormat="false" ht="15" hidden="false" customHeight="true" outlineLevel="0" collapsed="false">
      <c r="A170" s="33" t="str">
        <f aca="false">IFERROR(IF(INDEX('Fund Research'!$B$6:$B$505,MATCH(165,'Fund Research'!$V$6:$V$505,0))="","",165),"")</f>
        <v/>
      </c>
      <c r="B170" s="34" t="str">
        <f aca="false">IFERROR(INDEX('Fund Research'!$A$6:$A$505,MATCH(165,'Fund Research'!$V$6:$V$505,0)),"")</f>
        <v/>
      </c>
      <c r="C170" s="34" t="str">
        <f aca="false">IFERROR(INDEX('Fund Research'!$B$6:$B$505,MATCH(165,'Fund Research'!$V$6:$V$505,0)),"")</f>
        <v/>
      </c>
      <c r="D170" s="34" t="str">
        <f aca="false">IFERROR(INDEX('Fund Research'!$C$6:$C$505,MATCH(165,'Fund Research'!$V$6:$V$505,0)),"")</f>
        <v/>
      </c>
      <c r="E170" s="35" t="str">
        <f aca="false">IFERROR(INDEX('Fund Research'!$G$6:$G$505,MATCH(165,'Fund Research'!$V$6:$V$505,0)),"")</f>
        <v/>
      </c>
      <c r="F170" s="35" t="str">
        <f aca="false">IFERROR(INDEX('Fund Research'!$H$6:$H$505,MATCH(165,'Fund Research'!$V$6:$V$505,0)),"")</f>
        <v/>
      </c>
      <c r="G170" s="35" t="str">
        <f aca="false">IFERROR(INDEX('Fund Research'!$I$6:$I$505,MATCH(165,'Fund Research'!$V$6:$V$505,0)),"")</f>
        <v/>
      </c>
      <c r="H170" s="36" t="str">
        <f aca="false">IFERROR(INDEX('Fund Research'!$J$6:$J$505,MATCH(165,'Fund Research'!$V$6:$V$505,0)),"")</f>
        <v/>
      </c>
      <c r="I170" s="38" t="str">
        <f aca="false">IFERROR(INDEX('Fund Research'!$L$6:$L$505,MATCH(165,'Fund Research'!$V$6:$V$505,0)),"")</f>
        <v/>
      </c>
      <c r="J170" s="36" t="str">
        <f aca="false">IFERROR(INDEX('Fund Research'!$N$6:$N$505,MATCH(165,'Fund Research'!$V$6:$V$505,0)),"")</f>
        <v/>
      </c>
      <c r="K170" s="36" t="str">
        <f aca="false">IFERROR(INDEX('Fund Research'!$P$6:$P$505,MATCH(165,'Fund Research'!$V$6:$V$505,0)),"")</f>
        <v/>
      </c>
      <c r="L170" s="34" t="str">
        <f aca="false">IFERROR(INDEX('Fund Research'!$S$6:$S$505,MATCH(165,'Fund Research'!$V$6:$V$505,0)),"")</f>
        <v/>
      </c>
      <c r="M170" s="34" t="str">
        <f aca="false">IFERROR(INDEX('Fund Research'!$T$6:$T$505,MATCH(165,'Fund Research'!$V$6:$V$505,0)),"")</f>
        <v/>
      </c>
    </row>
    <row r="171" customFormat="false" ht="15" hidden="false" customHeight="true" outlineLevel="0" collapsed="false">
      <c r="A171" s="33" t="str">
        <f aca="false">IFERROR(IF(INDEX('Fund Research'!$B$6:$B$505,MATCH(166,'Fund Research'!$V$6:$V$505,0))="","",166),"")</f>
        <v/>
      </c>
      <c r="B171" s="34" t="str">
        <f aca="false">IFERROR(INDEX('Fund Research'!$A$6:$A$505,MATCH(166,'Fund Research'!$V$6:$V$505,0)),"")</f>
        <v/>
      </c>
      <c r="C171" s="34" t="str">
        <f aca="false">IFERROR(INDEX('Fund Research'!$B$6:$B$505,MATCH(166,'Fund Research'!$V$6:$V$505,0)),"")</f>
        <v/>
      </c>
      <c r="D171" s="34" t="str">
        <f aca="false">IFERROR(INDEX('Fund Research'!$C$6:$C$505,MATCH(166,'Fund Research'!$V$6:$V$505,0)),"")</f>
        <v/>
      </c>
      <c r="E171" s="35" t="str">
        <f aca="false">IFERROR(INDEX('Fund Research'!$G$6:$G$505,MATCH(166,'Fund Research'!$V$6:$V$505,0)),"")</f>
        <v/>
      </c>
      <c r="F171" s="35" t="str">
        <f aca="false">IFERROR(INDEX('Fund Research'!$H$6:$H$505,MATCH(166,'Fund Research'!$V$6:$V$505,0)),"")</f>
        <v/>
      </c>
      <c r="G171" s="35" t="str">
        <f aca="false">IFERROR(INDEX('Fund Research'!$I$6:$I$505,MATCH(166,'Fund Research'!$V$6:$V$505,0)),"")</f>
        <v/>
      </c>
      <c r="H171" s="36" t="str">
        <f aca="false">IFERROR(INDEX('Fund Research'!$J$6:$J$505,MATCH(166,'Fund Research'!$V$6:$V$505,0)),"")</f>
        <v/>
      </c>
      <c r="I171" s="38" t="str">
        <f aca="false">IFERROR(INDEX('Fund Research'!$L$6:$L$505,MATCH(166,'Fund Research'!$V$6:$V$505,0)),"")</f>
        <v/>
      </c>
      <c r="J171" s="36" t="str">
        <f aca="false">IFERROR(INDEX('Fund Research'!$N$6:$N$505,MATCH(166,'Fund Research'!$V$6:$V$505,0)),"")</f>
        <v/>
      </c>
      <c r="K171" s="36" t="str">
        <f aca="false">IFERROR(INDEX('Fund Research'!$P$6:$P$505,MATCH(166,'Fund Research'!$V$6:$V$505,0)),"")</f>
        <v/>
      </c>
      <c r="L171" s="34" t="str">
        <f aca="false">IFERROR(INDEX('Fund Research'!$S$6:$S$505,MATCH(166,'Fund Research'!$V$6:$V$505,0)),"")</f>
        <v/>
      </c>
      <c r="M171" s="34" t="str">
        <f aca="false">IFERROR(INDEX('Fund Research'!$T$6:$T$505,MATCH(166,'Fund Research'!$V$6:$V$505,0)),"")</f>
        <v/>
      </c>
    </row>
    <row r="172" customFormat="false" ht="15" hidden="false" customHeight="true" outlineLevel="0" collapsed="false">
      <c r="A172" s="33" t="str">
        <f aca="false">IFERROR(IF(INDEX('Fund Research'!$B$6:$B$505,MATCH(167,'Fund Research'!$V$6:$V$505,0))="","",167),"")</f>
        <v/>
      </c>
      <c r="B172" s="34" t="str">
        <f aca="false">IFERROR(INDEX('Fund Research'!$A$6:$A$505,MATCH(167,'Fund Research'!$V$6:$V$505,0)),"")</f>
        <v/>
      </c>
      <c r="C172" s="34" t="str">
        <f aca="false">IFERROR(INDEX('Fund Research'!$B$6:$B$505,MATCH(167,'Fund Research'!$V$6:$V$505,0)),"")</f>
        <v/>
      </c>
      <c r="D172" s="34" t="str">
        <f aca="false">IFERROR(INDEX('Fund Research'!$C$6:$C$505,MATCH(167,'Fund Research'!$V$6:$V$505,0)),"")</f>
        <v/>
      </c>
      <c r="E172" s="35" t="str">
        <f aca="false">IFERROR(INDEX('Fund Research'!$G$6:$G$505,MATCH(167,'Fund Research'!$V$6:$V$505,0)),"")</f>
        <v/>
      </c>
      <c r="F172" s="35" t="str">
        <f aca="false">IFERROR(INDEX('Fund Research'!$H$6:$H$505,MATCH(167,'Fund Research'!$V$6:$V$505,0)),"")</f>
        <v/>
      </c>
      <c r="G172" s="35" t="str">
        <f aca="false">IFERROR(INDEX('Fund Research'!$I$6:$I$505,MATCH(167,'Fund Research'!$V$6:$V$505,0)),"")</f>
        <v/>
      </c>
      <c r="H172" s="36" t="str">
        <f aca="false">IFERROR(INDEX('Fund Research'!$J$6:$J$505,MATCH(167,'Fund Research'!$V$6:$V$505,0)),"")</f>
        <v/>
      </c>
      <c r="I172" s="38" t="str">
        <f aca="false">IFERROR(INDEX('Fund Research'!$L$6:$L$505,MATCH(167,'Fund Research'!$V$6:$V$505,0)),"")</f>
        <v/>
      </c>
      <c r="J172" s="36" t="str">
        <f aca="false">IFERROR(INDEX('Fund Research'!$N$6:$N$505,MATCH(167,'Fund Research'!$V$6:$V$505,0)),"")</f>
        <v/>
      </c>
      <c r="K172" s="36" t="str">
        <f aca="false">IFERROR(INDEX('Fund Research'!$P$6:$P$505,MATCH(167,'Fund Research'!$V$6:$V$505,0)),"")</f>
        <v/>
      </c>
      <c r="L172" s="34" t="str">
        <f aca="false">IFERROR(INDEX('Fund Research'!$S$6:$S$505,MATCH(167,'Fund Research'!$V$6:$V$505,0)),"")</f>
        <v/>
      </c>
      <c r="M172" s="34" t="str">
        <f aca="false">IFERROR(INDEX('Fund Research'!$T$6:$T$505,MATCH(167,'Fund Research'!$V$6:$V$505,0)),"")</f>
        <v/>
      </c>
    </row>
    <row r="173" customFormat="false" ht="15" hidden="false" customHeight="true" outlineLevel="0" collapsed="false">
      <c r="A173" s="33" t="str">
        <f aca="false">IFERROR(IF(INDEX('Fund Research'!$B$6:$B$505,MATCH(168,'Fund Research'!$V$6:$V$505,0))="","",168),"")</f>
        <v/>
      </c>
      <c r="B173" s="34" t="str">
        <f aca="false">IFERROR(INDEX('Fund Research'!$A$6:$A$505,MATCH(168,'Fund Research'!$V$6:$V$505,0)),"")</f>
        <v/>
      </c>
      <c r="C173" s="34" t="str">
        <f aca="false">IFERROR(INDEX('Fund Research'!$B$6:$B$505,MATCH(168,'Fund Research'!$V$6:$V$505,0)),"")</f>
        <v/>
      </c>
      <c r="D173" s="34" t="str">
        <f aca="false">IFERROR(INDEX('Fund Research'!$C$6:$C$505,MATCH(168,'Fund Research'!$V$6:$V$505,0)),"")</f>
        <v/>
      </c>
      <c r="E173" s="35" t="str">
        <f aca="false">IFERROR(INDEX('Fund Research'!$G$6:$G$505,MATCH(168,'Fund Research'!$V$6:$V$505,0)),"")</f>
        <v/>
      </c>
      <c r="F173" s="35" t="str">
        <f aca="false">IFERROR(INDEX('Fund Research'!$H$6:$H$505,MATCH(168,'Fund Research'!$V$6:$V$505,0)),"")</f>
        <v/>
      </c>
      <c r="G173" s="35" t="str">
        <f aca="false">IFERROR(INDEX('Fund Research'!$I$6:$I$505,MATCH(168,'Fund Research'!$V$6:$V$505,0)),"")</f>
        <v/>
      </c>
      <c r="H173" s="36" t="str">
        <f aca="false">IFERROR(INDEX('Fund Research'!$J$6:$J$505,MATCH(168,'Fund Research'!$V$6:$V$505,0)),"")</f>
        <v/>
      </c>
      <c r="I173" s="38" t="str">
        <f aca="false">IFERROR(INDEX('Fund Research'!$L$6:$L$505,MATCH(168,'Fund Research'!$V$6:$V$505,0)),"")</f>
        <v/>
      </c>
      <c r="J173" s="36" t="str">
        <f aca="false">IFERROR(INDEX('Fund Research'!$N$6:$N$505,MATCH(168,'Fund Research'!$V$6:$V$505,0)),"")</f>
        <v/>
      </c>
      <c r="K173" s="36" t="str">
        <f aca="false">IFERROR(INDEX('Fund Research'!$P$6:$P$505,MATCH(168,'Fund Research'!$V$6:$V$505,0)),"")</f>
        <v/>
      </c>
      <c r="L173" s="34" t="str">
        <f aca="false">IFERROR(INDEX('Fund Research'!$S$6:$S$505,MATCH(168,'Fund Research'!$V$6:$V$505,0)),"")</f>
        <v/>
      </c>
      <c r="M173" s="34" t="str">
        <f aca="false">IFERROR(INDEX('Fund Research'!$T$6:$T$505,MATCH(168,'Fund Research'!$V$6:$V$505,0)),"")</f>
        <v/>
      </c>
    </row>
    <row r="174" customFormat="false" ht="15" hidden="false" customHeight="true" outlineLevel="0" collapsed="false">
      <c r="A174" s="33" t="str">
        <f aca="false">IFERROR(IF(INDEX('Fund Research'!$B$6:$B$505,MATCH(169,'Fund Research'!$V$6:$V$505,0))="","",169),"")</f>
        <v/>
      </c>
      <c r="B174" s="34" t="str">
        <f aca="false">IFERROR(INDEX('Fund Research'!$A$6:$A$505,MATCH(169,'Fund Research'!$V$6:$V$505,0)),"")</f>
        <v/>
      </c>
      <c r="C174" s="34" t="str">
        <f aca="false">IFERROR(INDEX('Fund Research'!$B$6:$B$505,MATCH(169,'Fund Research'!$V$6:$V$505,0)),"")</f>
        <v/>
      </c>
      <c r="D174" s="34" t="str">
        <f aca="false">IFERROR(INDEX('Fund Research'!$C$6:$C$505,MATCH(169,'Fund Research'!$V$6:$V$505,0)),"")</f>
        <v/>
      </c>
      <c r="E174" s="35" t="str">
        <f aca="false">IFERROR(INDEX('Fund Research'!$G$6:$G$505,MATCH(169,'Fund Research'!$V$6:$V$505,0)),"")</f>
        <v/>
      </c>
      <c r="F174" s="35" t="str">
        <f aca="false">IFERROR(INDEX('Fund Research'!$H$6:$H$505,MATCH(169,'Fund Research'!$V$6:$V$505,0)),"")</f>
        <v/>
      </c>
      <c r="G174" s="35" t="str">
        <f aca="false">IFERROR(INDEX('Fund Research'!$I$6:$I$505,MATCH(169,'Fund Research'!$V$6:$V$505,0)),"")</f>
        <v/>
      </c>
      <c r="H174" s="36" t="str">
        <f aca="false">IFERROR(INDEX('Fund Research'!$J$6:$J$505,MATCH(169,'Fund Research'!$V$6:$V$505,0)),"")</f>
        <v/>
      </c>
      <c r="I174" s="38" t="str">
        <f aca="false">IFERROR(INDEX('Fund Research'!$L$6:$L$505,MATCH(169,'Fund Research'!$V$6:$V$505,0)),"")</f>
        <v/>
      </c>
      <c r="J174" s="36" t="str">
        <f aca="false">IFERROR(INDEX('Fund Research'!$N$6:$N$505,MATCH(169,'Fund Research'!$V$6:$V$505,0)),"")</f>
        <v/>
      </c>
      <c r="K174" s="36" t="str">
        <f aca="false">IFERROR(INDEX('Fund Research'!$P$6:$P$505,MATCH(169,'Fund Research'!$V$6:$V$505,0)),"")</f>
        <v/>
      </c>
      <c r="L174" s="34" t="str">
        <f aca="false">IFERROR(INDEX('Fund Research'!$S$6:$S$505,MATCH(169,'Fund Research'!$V$6:$V$505,0)),"")</f>
        <v/>
      </c>
      <c r="M174" s="34" t="str">
        <f aca="false">IFERROR(INDEX('Fund Research'!$T$6:$T$505,MATCH(169,'Fund Research'!$V$6:$V$505,0)),"")</f>
        <v/>
      </c>
    </row>
    <row r="175" customFormat="false" ht="15" hidden="false" customHeight="true" outlineLevel="0" collapsed="false">
      <c r="A175" s="33" t="str">
        <f aca="false">IFERROR(IF(INDEX('Fund Research'!$B$6:$B$505,MATCH(170,'Fund Research'!$V$6:$V$505,0))="","",170),"")</f>
        <v/>
      </c>
      <c r="B175" s="34" t="str">
        <f aca="false">IFERROR(INDEX('Fund Research'!$A$6:$A$505,MATCH(170,'Fund Research'!$V$6:$V$505,0)),"")</f>
        <v/>
      </c>
      <c r="C175" s="34" t="str">
        <f aca="false">IFERROR(INDEX('Fund Research'!$B$6:$B$505,MATCH(170,'Fund Research'!$V$6:$V$505,0)),"")</f>
        <v/>
      </c>
      <c r="D175" s="34" t="str">
        <f aca="false">IFERROR(INDEX('Fund Research'!$C$6:$C$505,MATCH(170,'Fund Research'!$V$6:$V$505,0)),"")</f>
        <v/>
      </c>
      <c r="E175" s="35" t="str">
        <f aca="false">IFERROR(INDEX('Fund Research'!$G$6:$G$505,MATCH(170,'Fund Research'!$V$6:$V$505,0)),"")</f>
        <v/>
      </c>
      <c r="F175" s="35" t="str">
        <f aca="false">IFERROR(INDEX('Fund Research'!$H$6:$H$505,MATCH(170,'Fund Research'!$V$6:$V$505,0)),"")</f>
        <v/>
      </c>
      <c r="G175" s="35" t="str">
        <f aca="false">IFERROR(INDEX('Fund Research'!$I$6:$I$505,MATCH(170,'Fund Research'!$V$6:$V$505,0)),"")</f>
        <v/>
      </c>
      <c r="H175" s="36" t="str">
        <f aca="false">IFERROR(INDEX('Fund Research'!$J$6:$J$505,MATCH(170,'Fund Research'!$V$6:$V$505,0)),"")</f>
        <v/>
      </c>
      <c r="I175" s="38" t="str">
        <f aca="false">IFERROR(INDEX('Fund Research'!$L$6:$L$505,MATCH(170,'Fund Research'!$V$6:$V$505,0)),"")</f>
        <v/>
      </c>
      <c r="J175" s="36" t="str">
        <f aca="false">IFERROR(INDEX('Fund Research'!$N$6:$N$505,MATCH(170,'Fund Research'!$V$6:$V$505,0)),"")</f>
        <v/>
      </c>
      <c r="K175" s="36" t="str">
        <f aca="false">IFERROR(INDEX('Fund Research'!$P$6:$P$505,MATCH(170,'Fund Research'!$V$6:$V$505,0)),"")</f>
        <v/>
      </c>
      <c r="L175" s="34" t="str">
        <f aca="false">IFERROR(INDEX('Fund Research'!$S$6:$S$505,MATCH(170,'Fund Research'!$V$6:$V$505,0)),"")</f>
        <v/>
      </c>
      <c r="M175" s="34" t="str">
        <f aca="false">IFERROR(INDEX('Fund Research'!$T$6:$T$505,MATCH(170,'Fund Research'!$V$6:$V$505,0)),"")</f>
        <v/>
      </c>
    </row>
    <row r="176" customFormat="false" ht="15" hidden="false" customHeight="true" outlineLevel="0" collapsed="false">
      <c r="A176" s="33" t="str">
        <f aca="false">IFERROR(IF(INDEX('Fund Research'!$B$6:$B$505,MATCH(171,'Fund Research'!$V$6:$V$505,0))="","",171),"")</f>
        <v/>
      </c>
      <c r="B176" s="34" t="str">
        <f aca="false">IFERROR(INDEX('Fund Research'!$A$6:$A$505,MATCH(171,'Fund Research'!$V$6:$V$505,0)),"")</f>
        <v/>
      </c>
      <c r="C176" s="34" t="str">
        <f aca="false">IFERROR(INDEX('Fund Research'!$B$6:$B$505,MATCH(171,'Fund Research'!$V$6:$V$505,0)),"")</f>
        <v/>
      </c>
      <c r="D176" s="34" t="str">
        <f aca="false">IFERROR(INDEX('Fund Research'!$C$6:$C$505,MATCH(171,'Fund Research'!$V$6:$V$505,0)),"")</f>
        <v/>
      </c>
      <c r="E176" s="35" t="str">
        <f aca="false">IFERROR(INDEX('Fund Research'!$G$6:$G$505,MATCH(171,'Fund Research'!$V$6:$V$505,0)),"")</f>
        <v/>
      </c>
      <c r="F176" s="35" t="str">
        <f aca="false">IFERROR(INDEX('Fund Research'!$H$6:$H$505,MATCH(171,'Fund Research'!$V$6:$V$505,0)),"")</f>
        <v/>
      </c>
      <c r="G176" s="35" t="str">
        <f aca="false">IFERROR(INDEX('Fund Research'!$I$6:$I$505,MATCH(171,'Fund Research'!$V$6:$V$505,0)),"")</f>
        <v/>
      </c>
      <c r="H176" s="36" t="str">
        <f aca="false">IFERROR(INDEX('Fund Research'!$J$6:$J$505,MATCH(171,'Fund Research'!$V$6:$V$505,0)),"")</f>
        <v/>
      </c>
      <c r="I176" s="38" t="str">
        <f aca="false">IFERROR(INDEX('Fund Research'!$L$6:$L$505,MATCH(171,'Fund Research'!$V$6:$V$505,0)),"")</f>
        <v/>
      </c>
      <c r="J176" s="36" t="str">
        <f aca="false">IFERROR(INDEX('Fund Research'!$N$6:$N$505,MATCH(171,'Fund Research'!$V$6:$V$505,0)),"")</f>
        <v/>
      </c>
      <c r="K176" s="36" t="str">
        <f aca="false">IFERROR(INDEX('Fund Research'!$P$6:$P$505,MATCH(171,'Fund Research'!$V$6:$V$505,0)),"")</f>
        <v/>
      </c>
      <c r="L176" s="34" t="str">
        <f aca="false">IFERROR(INDEX('Fund Research'!$S$6:$S$505,MATCH(171,'Fund Research'!$V$6:$V$505,0)),"")</f>
        <v/>
      </c>
      <c r="M176" s="34" t="str">
        <f aca="false">IFERROR(INDEX('Fund Research'!$T$6:$T$505,MATCH(171,'Fund Research'!$V$6:$V$505,0)),"")</f>
        <v/>
      </c>
    </row>
    <row r="177" customFormat="false" ht="15" hidden="false" customHeight="true" outlineLevel="0" collapsed="false">
      <c r="A177" s="33" t="str">
        <f aca="false">IFERROR(IF(INDEX('Fund Research'!$B$6:$B$505,MATCH(172,'Fund Research'!$V$6:$V$505,0))="","",172),"")</f>
        <v/>
      </c>
      <c r="B177" s="34" t="str">
        <f aca="false">IFERROR(INDEX('Fund Research'!$A$6:$A$505,MATCH(172,'Fund Research'!$V$6:$V$505,0)),"")</f>
        <v/>
      </c>
      <c r="C177" s="34" t="str">
        <f aca="false">IFERROR(INDEX('Fund Research'!$B$6:$B$505,MATCH(172,'Fund Research'!$V$6:$V$505,0)),"")</f>
        <v/>
      </c>
      <c r="D177" s="34" t="str">
        <f aca="false">IFERROR(INDEX('Fund Research'!$C$6:$C$505,MATCH(172,'Fund Research'!$V$6:$V$505,0)),"")</f>
        <v/>
      </c>
      <c r="E177" s="35" t="str">
        <f aca="false">IFERROR(INDEX('Fund Research'!$G$6:$G$505,MATCH(172,'Fund Research'!$V$6:$V$505,0)),"")</f>
        <v/>
      </c>
      <c r="F177" s="35" t="str">
        <f aca="false">IFERROR(INDEX('Fund Research'!$H$6:$H$505,MATCH(172,'Fund Research'!$V$6:$V$505,0)),"")</f>
        <v/>
      </c>
      <c r="G177" s="35" t="str">
        <f aca="false">IFERROR(INDEX('Fund Research'!$I$6:$I$505,MATCH(172,'Fund Research'!$V$6:$V$505,0)),"")</f>
        <v/>
      </c>
      <c r="H177" s="36" t="str">
        <f aca="false">IFERROR(INDEX('Fund Research'!$J$6:$J$505,MATCH(172,'Fund Research'!$V$6:$V$505,0)),"")</f>
        <v/>
      </c>
      <c r="I177" s="38" t="str">
        <f aca="false">IFERROR(INDEX('Fund Research'!$L$6:$L$505,MATCH(172,'Fund Research'!$V$6:$V$505,0)),"")</f>
        <v/>
      </c>
      <c r="J177" s="36" t="str">
        <f aca="false">IFERROR(INDEX('Fund Research'!$N$6:$N$505,MATCH(172,'Fund Research'!$V$6:$V$505,0)),"")</f>
        <v/>
      </c>
      <c r="K177" s="36" t="str">
        <f aca="false">IFERROR(INDEX('Fund Research'!$P$6:$P$505,MATCH(172,'Fund Research'!$V$6:$V$505,0)),"")</f>
        <v/>
      </c>
      <c r="L177" s="34" t="str">
        <f aca="false">IFERROR(INDEX('Fund Research'!$S$6:$S$505,MATCH(172,'Fund Research'!$V$6:$V$505,0)),"")</f>
        <v/>
      </c>
      <c r="M177" s="34" t="str">
        <f aca="false">IFERROR(INDEX('Fund Research'!$T$6:$T$505,MATCH(172,'Fund Research'!$V$6:$V$505,0)),"")</f>
        <v/>
      </c>
    </row>
    <row r="178" customFormat="false" ht="15" hidden="false" customHeight="true" outlineLevel="0" collapsed="false">
      <c r="A178" s="33" t="str">
        <f aca="false">IFERROR(IF(INDEX('Fund Research'!$B$6:$B$505,MATCH(173,'Fund Research'!$V$6:$V$505,0))="","",173),"")</f>
        <v/>
      </c>
      <c r="B178" s="34" t="str">
        <f aca="false">IFERROR(INDEX('Fund Research'!$A$6:$A$505,MATCH(173,'Fund Research'!$V$6:$V$505,0)),"")</f>
        <v/>
      </c>
      <c r="C178" s="34" t="str">
        <f aca="false">IFERROR(INDEX('Fund Research'!$B$6:$B$505,MATCH(173,'Fund Research'!$V$6:$V$505,0)),"")</f>
        <v/>
      </c>
      <c r="D178" s="34" t="str">
        <f aca="false">IFERROR(INDEX('Fund Research'!$C$6:$C$505,MATCH(173,'Fund Research'!$V$6:$V$505,0)),"")</f>
        <v/>
      </c>
      <c r="E178" s="35" t="str">
        <f aca="false">IFERROR(INDEX('Fund Research'!$G$6:$G$505,MATCH(173,'Fund Research'!$V$6:$V$505,0)),"")</f>
        <v/>
      </c>
      <c r="F178" s="35" t="str">
        <f aca="false">IFERROR(INDEX('Fund Research'!$H$6:$H$505,MATCH(173,'Fund Research'!$V$6:$V$505,0)),"")</f>
        <v/>
      </c>
      <c r="G178" s="35" t="str">
        <f aca="false">IFERROR(INDEX('Fund Research'!$I$6:$I$505,MATCH(173,'Fund Research'!$V$6:$V$505,0)),"")</f>
        <v/>
      </c>
      <c r="H178" s="36" t="str">
        <f aca="false">IFERROR(INDEX('Fund Research'!$J$6:$J$505,MATCH(173,'Fund Research'!$V$6:$V$505,0)),"")</f>
        <v/>
      </c>
      <c r="I178" s="38" t="str">
        <f aca="false">IFERROR(INDEX('Fund Research'!$L$6:$L$505,MATCH(173,'Fund Research'!$V$6:$V$505,0)),"")</f>
        <v/>
      </c>
      <c r="J178" s="36" t="str">
        <f aca="false">IFERROR(INDEX('Fund Research'!$N$6:$N$505,MATCH(173,'Fund Research'!$V$6:$V$505,0)),"")</f>
        <v/>
      </c>
      <c r="K178" s="36" t="str">
        <f aca="false">IFERROR(INDEX('Fund Research'!$P$6:$P$505,MATCH(173,'Fund Research'!$V$6:$V$505,0)),"")</f>
        <v/>
      </c>
      <c r="L178" s="34" t="str">
        <f aca="false">IFERROR(INDEX('Fund Research'!$S$6:$S$505,MATCH(173,'Fund Research'!$V$6:$V$505,0)),"")</f>
        <v/>
      </c>
      <c r="M178" s="34" t="str">
        <f aca="false">IFERROR(INDEX('Fund Research'!$T$6:$T$505,MATCH(173,'Fund Research'!$V$6:$V$505,0)),"")</f>
        <v/>
      </c>
    </row>
    <row r="179" customFormat="false" ht="15" hidden="false" customHeight="true" outlineLevel="0" collapsed="false">
      <c r="A179" s="33" t="str">
        <f aca="false">IFERROR(IF(INDEX('Fund Research'!$B$6:$B$505,MATCH(174,'Fund Research'!$V$6:$V$505,0))="","",174),"")</f>
        <v/>
      </c>
      <c r="B179" s="34" t="str">
        <f aca="false">IFERROR(INDEX('Fund Research'!$A$6:$A$505,MATCH(174,'Fund Research'!$V$6:$V$505,0)),"")</f>
        <v/>
      </c>
      <c r="C179" s="34" t="str">
        <f aca="false">IFERROR(INDEX('Fund Research'!$B$6:$B$505,MATCH(174,'Fund Research'!$V$6:$V$505,0)),"")</f>
        <v/>
      </c>
      <c r="D179" s="34" t="str">
        <f aca="false">IFERROR(INDEX('Fund Research'!$C$6:$C$505,MATCH(174,'Fund Research'!$V$6:$V$505,0)),"")</f>
        <v/>
      </c>
      <c r="E179" s="35" t="str">
        <f aca="false">IFERROR(INDEX('Fund Research'!$G$6:$G$505,MATCH(174,'Fund Research'!$V$6:$V$505,0)),"")</f>
        <v/>
      </c>
      <c r="F179" s="35" t="str">
        <f aca="false">IFERROR(INDEX('Fund Research'!$H$6:$H$505,MATCH(174,'Fund Research'!$V$6:$V$505,0)),"")</f>
        <v/>
      </c>
      <c r="G179" s="35" t="str">
        <f aca="false">IFERROR(INDEX('Fund Research'!$I$6:$I$505,MATCH(174,'Fund Research'!$V$6:$V$505,0)),"")</f>
        <v/>
      </c>
      <c r="H179" s="36" t="str">
        <f aca="false">IFERROR(INDEX('Fund Research'!$J$6:$J$505,MATCH(174,'Fund Research'!$V$6:$V$505,0)),"")</f>
        <v/>
      </c>
      <c r="I179" s="38" t="str">
        <f aca="false">IFERROR(INDEX('Fund Research'!$L$6:$L$505,MATCH(174,'Fund Research'!$V$6:$V$505,0)),"")</f>
        <v/>
      </c>
      <c r="J179" s="36" t="str">
        <f aca="false">IFERROR(INDEX('Fund Research'!$N$6:$N$505,MATCH(174,'Fund Research'!$V$6:$V$505,0)),"")</f>
        <v/>
      </c>
      <c r="K179" s="36" t="str">
        <f aca="false">IFERROR(INDEX('Fund Research'!$P$6:$P$505,MATCH(174,'Fund Research'!$V$6:$V$505,0)),"")</f>
        <v/>
      </c>
      <c r="L179" s="34" t="str">
        <f aca="false">IFERROR(INDEX('Fund Research'!$S$6:$S$505,MATCH(174,'Fund Research'!$V$6:$V$505,0)),"")</f>
        <v/>
      </c>
      <c r="M179" s="34" t="str">
        <f aca="false">IFERROR(INDEX('Fund Research'!$T$6:$T$505,MATCH(174,'Fund Research'!$V$6:$V$505,0)),"")</f>
        <v/>
      </c>
    </row>
    <row r="180" customFormat="false" ht="15" hidden="false" customHeight="true" outlineLevel="0" collapsed="false">
      <c r="A180" s="33" t="str">
        <f aca="false">IFERROR(IF(INDEX('Fund Research'!$B$6:$B$505,MATCH(175,'Fund Research'!$V$6:$V$505,0))="","",175),"")</f>
        <v/>
      </c>
      <c r="B180" s="34" t="str">
        <f aca="false">IFERROR(INDEX('Fund Research'!$A$6:$A$505,MATCH(175,'Fund Research'!$V$6:$V$505,0)),"")</f>
        <v/>
      </c>
      <c r="C180" s="34" t="str">
        <f aca="false">IFERROR(INDEX('Fund Research'!$B$6:$B$505,MATCH(175,'Fund Research'!$V$6:$V$505,0)),"")</f>
        <v/>
      </c>
      <c r="D180" s="34" t="str">
        <f aca="false">IFERROR(INDEX('Fund Research'!$C$6:$C$505,MATCH(175,'Fund Research'!$V$6:$V$505,0)),"")</f>
        <v/>
      </c>
      <c r="E180" s="35" t="str">
        <f aca="false">IFERROR(INDEX('Fund Research'!$G$6:$G$505,MATCH(175,'Fund Research'!$V$6:$V$505,0)),"")</f>
        <v/>
      </c>
      <c r="F180" s="35" t="str">
        <f aca="false">IFERROR(INDEX('Fund Research'!$H$6:$H$505,MATCH(175,'Fund Research'!$V$6:$V$505,0)),"")</f>
        <v/>
      </c>
      <c r="G180" s="35" t="str">
        <f aca="false">IFERROR(INDEX('Fund Research'!$I$6:$I$505,MATCH(175,'Fund Research'!$V$6:$V$505,0)),"")</f>
        <v/>
      </c>
      <c r="H180" s="36" t="str">
        <f aca="false">IFERROR(INDEX('Fund Research'!$J$6:$J$505,MATCH(175,'Fund Research'!$V$6:$V$505,0)),"")</f>
        <v/>
      </c>
      <c r="I180" s="38" t="str">
        <f aca="false">IFERROR(INDEX('Fund Research'!$L$6:$L$505,MATCH(175,'Fund Research'!$V$6:$V$505,0)),"")</f>
        <v/>
      </c>
      <c r="J180" s="36" t="str">
        <f aca="false">IFERROR(INDEX('Fund Research'!$N$6:$N$505,MATCH(175,'Fund Research'!$V$6:$V$505,0)),"")</f>
        <v/>
      </c>
      <c r="K180" s="36" t="str">
        <f aca="false">IFERROR(INDEX('Fund Research'!$P$6:$P$505,MATCH(175,'Fund Research'!$V$6:$V$505,0)),"")</f>
        <v/>
      </c>
      <c r="L180" s="34" t="str">
        <f aca="false">IFERROR(INDEX('Fund Research'!$S$6:$S$505,MATCH(175,'Fund Research'!$V$6:$V$505,0)),"")</f>
        <v/>
      </c>
      <c r="M180" s="34" t="str">
        <f aca="false">IFERROR(INDEX('Fund Research'!$T$6:$T$505,MATCH(175,'Fund Research'!$V$6:$V$505,0)),"")</f>
        <v/>
      </c>
    </row>
    <row r="181" customFormat="false" ht="15" hidden="false" customHeight="true" outlineLevel="0" collapsed="false">
      <c r="A181" s="33" t="str">
        <f aca="false">IFERROR(IF(INDEX('Fund Research'!$B$6:$B$505,MATCH(176,'Fund Research'!$V$6:$V$505,0))="","",176),"")</f>
        <v/>
      </c>
      <c r="B181" s="34" t="str">
        <f aca="false">IFERROR(INDEX('Fund Research'!$A$6:$A$505,MATCH(176,'Fund Research'!$V$6:$V$505,0)),"")</f>
        <v/>
      </c>
      <c r="C181" s="34" t="str">
        <f aca="false">IFERROR(INDEX('Fund Research'!$B$6:$B$505,MATCH(176,'Fund Research'!$V$6:$V$505,0)),"")</f>
        <v/>
      </c>
      <c r="D181" s="34" t="str">
        <f aca="false">IFERROR(INDEX('Fund Research'!$C$6:$C$505,MATCH(176,'Fund Research'!$V$6:$V$505,0)),"")</f>
        <v/>
      </c>
      <c r="E181" s="35" t="str">
        <f aca="false">IFERROR(INDEX('Fund Research'!$G$6:$G$505,MATCH(176,'Fund Research'!$V$6:$V$505,0)),"")</f>
        <v/>
      </c>
      <c r="F181" s="35" t="str">
        <f aca="false">IFERROR(INDEX('Fund Research'!$H$6:$H$505,MATCH(176,'Fund Research'!$V$6:$V$505,0)),"")</f>
        <v/>
      </c>
      <c r="G181" s="35" t="str">
        <f aca="false">IFERROR(INDEX('Fund Research'!$I$6:$I$505,MATCH(176,'Fund Research'!$V$6:$V$505,0)),"")</f>
        <v/>
      </c>
      <c r="H181" s="36" t="str">
        <f aca="false">IFERROR(INDEX('Fund Research'!$J$6:$J$505,MATCH(176,'Fund Research'!$V$6:$V$505,0)),"")</f>
        <v/>
      </c>
      <c r="I181" s="38" t="str">
        <f aca="false">IFERROR(INDEX('Fund Research'!$L$6:$L$505,MATCH(176,'Fund Research'!$V$6:$V$505,0)),"")</f>
        <v/>
      </c>
      <c r="J181" s="36" t="str">
        <f aca="false">IFERROR(INDEX('Fund Research'!$N$6:$N$505,MATCH(176,'Fund Research'!$V$6:$V$505,0)),"")</f>
        <v/>
      </c>
      <c r="K181" s="36" t="str">
        <f aca="false">IFERROR(INDEX('Fund Research'!$P$6:$P$505,MATCH(176,'Fund Research'!$V$6:$V$505,0)),"")</f>
        <v/>
      </c>
      <c r="L181" s="34" t="str">
        <f aca="false">IFERROR(INDEX('Fund Research'!$S$6:$S$505,MATCH(176,'Fund Research'!$V$6:$V$505,0)),"")</f>
        <v/>
      </c>
      <c r="M181" s="34" t="str">
        <f aca="false">IFERROR(INDEX('Fund Research'!$T$6:$T$505,MATCH(176,'Fund Research'!$V$6:$V$505,0)),"")</f>
        <v/>
      </c>
    </row>
    <row r="182" customFormat="false" ht="15" hidden="false" customHeight="true" outlineLevel="0" collapsed="false">
      <c r="A182" s="33" t="str">
        <f aca="false">IFERROR(IF(INDEX('Fund Research'!$B$6:$B$505,MATCH(177,'Fund Research'!$V$6:$V$505,0))="","",177),"")</f>
        <v/>
      </c>
      <c r="B182" s="34" t="str">
        <f aca="false">IFERROR(INDEX('Fund Research'!$A$6:$A$505,MATCH(177,'Fund Research'!$V$6:$V$505,0)),"")</f>
        <v/>
      </c>
      <c r="C182" s="34" t="str">
        <f aca="false">IFERROR(INDEX('Fund Research'!$B$6:$B$505,MATCH(177,'Fund Research'!$V$6:$V$505,0)),"")</f>
        <v/>
      </c>
      <c r="D182" s="34" t="str">
        <f aca="false">IFERROR(INDEX('Fund Research'!$C$6:$C$505,MATCH(177,'Fund Research'!$V$6:$V$505,0)),"")</f>
        <v/>
      </c>
      <c r="E182" s="35" t="str">
        <f aca="false">IFERROR(INDEX('Fund Research'!$G$6:$G$505,MATCH(177,'Fund Research'!$V$6:$V$505,0)),"")</f>
        <v/>
      </c>
      <c r="F182" s="35" t="str">
        <f aca="false">IFERROR(INDEX('Fund Research'!$H$6:$H$505,MATCH(177,'Fund Research'!$V$6:$V$505,0)),"")</f>
        <v/>
      </c>
      <c r="G182" s="35" t="str">
        <f aca="false">IFERROR(INDEX('Fund Research'!$I$6:$I$505,MATCH(177,'Fund Research'!$V$6:$V$505,0)),"")</f>
        <v/>
      </c>
      <c r="H182" s="36" t="str">
        <f aca="false">IFERROR(INDEX('Fund Research'!$J$6:$J$505,MATCH(177,'Fund Research'!$V$6:$V$505,0)),"")</f>
        <v/>
      </c>
      <c r="I182" s="38" t="str">
        <f aca="false">IFERROR(INDEX('Fund Research'!$L$6:$L$505,MATCH(177,'Fund Research'!$V$6:$V$505,0)),"")</f>
        <v/>
      </c>
      <c r="J182" s="36" t="str">
        <f aca="false">IFERROR(INDEX('Fund Research'!$N$6:$N$505,MATCH(177,'Fund Research'!$V$6:$V$505,0)),"")</f>
        <v/>
      </c>
      <c r="K182" s="36" t="str">
        <f aca="false">IFERROR(INDEX('Fund Research'!$P$6:$P$505,MATCH(177,'Fund Research'!$V$6:$V$505,0)),"")</f>
        <v/>
      </c>
      <c r="L182" s="34" t="str">
        <f aca="false">IFERROR(INDEX('Fund Research'!$S$6:$S$505,MATCH(177,'Fund Research'!$V$6:$V$505,0)),"")</f>
        <v/>
      </c>
      <c r="M182" s="34" t="str">
        <f aca="false">IFERROR(INDEX('Fund Research'!$T$6:$T$505,MATCH(177,'Fund Research'!$V$6:$V$505,0)),"")</f>
        <v/>
      </c>
    </row>
    <row r="183" customFormat="false" ht="15" hidden="false" customHeight="true" outlineLevel="0" collapsed="false">
      <c r="A183" s="33" t="str">
        <f aca="false">IFERROR(IF(INDEX('Fund Research'!$B$6:$B$505,MATCH(178,'Fund Research'!$V$6:$V$505,0))="","",178),"")</f>
        <v/>
      </c>
      <c r="B183" s="34" t="str">
        <f aca="false">IFERROR(INDEX('Fund Research'!$A$6:$A$505,MATCH(178,'Fund Research'!$V$6:$V$505,0)),"")</f>
        <v/>
      </c>
      <c r="C183" s="34" t="str">
        <f aca="false">IFERROR(INDEX('Fund Research'!$B$6:$B$505,MATCH(178,'Fund Research'!$V$6:$V$505,0)),"")</f>
        <v/>
      </c>
      <c r="D183" s="34" t="str">
        <f aca="false">IFERROR(INDEX('Fund Research'!$C$6:$C$505,MATCH(178,'Fund Research'!$V$6:$V$505,0)),"")</f>
        <v/>
      </c>
      <c r="E183" s="35" t="str">
        <f aca="false">IFERROR(INDEX('Fund Research'!$G$6:$G$505,MATCH(178,'Fund Research'!$V$6:$V$505,0)),"")</f>
        <v/>
      </c>
      <c r="F183" s="35" t="str">
        <f aca="false">IFERROR(INDEX('Fund Research'!$H$6:$H$505,MATCH(178,'Fund Research'!$V$6:$V$505,0)),"")</f>
        <v/>
      </c>
      <c r="G183" s="35" t="str">
        <f aca="false">IFERROR(INDEX('Fund Research'!$I$6:$I$505,MATCH(178,'Fund Research'!$V$6:$V$505,0)),"")</f>
        <v/>
      </c>
      <c r="H183" s="36" t="str">
        <f aca="false">IFERROR(INDEX('Fund Research'!$J$6:$J$505,MATCH(178,'Fund Research'!$V$6:$V$505,0)),"")</f>
        <v/>
      </c>
      <c r="I183" s="38" t="str">
        <f aca="false">IFERROR(INDEX('Fund Research'!$L$6:$L$505,MATCH(178,'Fund Research'!$V$6:$V$505,0)),"")</f>
        <v/>
      </c>
      <c r="J183" s="36" t="str">
        <f aca="false">IFERROR(INDEX('Fund Research'!$N$6:$N$505,MATCH(178,'Fund Research'!$V$6:$V$505,0)),"")</f>
        <v/>
      </c>
      <c r="K183" s="36" t="str">
        <f aca="false">IFERROR(INDEX('Fund Research'!$P$6:$P$505,MATCH(178,'Fund Research'!$V$6:$V$505,0)),"")</f>
        <v/>
      </c>
      <c r="L183" s="34" t="str">
        <f aca="false">IFERROR(INDEX('Fund Research'!$S$6:$S$505,MATCH(178,'Fund Research'!$V$6:$V$505,0)),"")</f>
        <v/>
      </c>
      <c r="M183" s="34" t="str">
        <f aca="false">IFERROR(INDEX('Fund Research'!$T$6:$T$505,MATCH(178,'Fund Research'!$V$6:$V$505,0)),"")</f>
        <v/>
      </c>
    </row>
    <row r="184" customFormat="false" ht="15" hidden="false" customHeight="true" outlineLevel="0" collapsed="false">
      <c r="A184" s="33" t="str">
        <f aca="false">IFERROR(IF(INDEX('Fund Research'!$B$6:$B$505,MATCH(179,'Fund Research'!$V$6:$V$505,0))="","",179),"")</f>
        <v/>
      </c>
      <c r="B184" s="34" t="str">
        <f aca="false">IFERROR(INDEX('Fund Research'!$A$6:$A$505,MATCH(179,'Fund Research'!$V$6:$V$505,0)),"")</f>
        <v/>
      </c>
      <c r="C184" s="34" t="str">
        <f aca="false">IFERROR(INDEX('Fund Research'!$B$6:$B$505,MATCH(179,'Fund Research'!$V$6:$V$505,0)),"")</f>
        <v/>
      </c>
      <c r="D184" s="34" t="str">
        <f aca="false">IFERROR(INDEX('Fund Research'!$C$6:$C$505,MATCH(179,'Fund Research'!$V$6:$V$505,0)),"")</f>
        <v/>
      </c>
      <c r="E184" s="35" t="str">
        <f aca="false">IFERROR(INDEX('Fund Research'!$G$6:$G$505,MATCH(179,'Fund Research'!$V$6:$V$505,0)),"")</f>
        <v/>
      </c>
      <c r="F184" s="35" t="str">
        <f aca="false">IFERROR(INDEX('Fund Research'!$H$6:$H$505,MATCH(179,'Fund Research'!$V$6:$V$505,0)),"")</f>
        <v/>
      </c>
      <c r="G184" s="35" t="str">
        <f aca="false">IFERROR(INDEX('Fund Research'!$I$6:$I$505,MATCH(179,'Fund Research'!$V$6:$V$505,0)),"")</f>
        <v/>
      </c>
      <c r="H184" s="36" t="str">
        <f aca="false">IFERROR(INDEX('Fund Research'!$J$6:$J$505,MATCH(179,'Fund Research'!$V$6:$V$505,0)),"")</f>
        <v/>
      </c>
      <c r="I184" s="38" t="str">
        <f aca="false">IFERROR(INDEX('Fund Research'!$L$6:$L$505,MATCH(179,'Fund Research'!$V$6:$V$505,0)),"")</f>
        <v/>
      </c>
      <c r="J184" s="36" t="str">
        <f aca="false">IFERROR(INDEX('Fund Research'!$N$6:$N$505,MATCH(179,'Fund Research'!$V$6:$V$505,0)),"")</f>
        <v/>
      </c>
      <c r="K184" s="36" t="str">
        <f aca="false">IFERROR(INDEX('Fund Research'!$P$6:$P$505,MATCH(179,'Fund Research'!$V$6:$V$505,0)),"")</f>
        <v/>
      </c>
      <c r="L184" s="34" t="str">
        <f aca="false">IFERROR(INDEX('Fund Research'!$S$6:$S$505,MATCH(179,'Fund Research'!$V$6:$V$505,0)),"")</f>
        <v/>
      </c>
      <c r="M184" s="34" t="str">
        <f aca="false">IFERROR(INDEX('Fund Research'!$T$6:$T$505,MATCH(179,'Fund Research'!$V$6:$V$505,0)),"")</f>
        <v/>
      </c>
    </row>
    <row r="185" customFormat="false" ht="15" hidden="false" customHeight="true" outlineLevel="0" collapsed="false">
      <c r="A185" s="33" t="str">
        <f aca="false">IFERROR(IF(INDEX('Fund Research'!$B$6:$B$505,MATCH(180,'Fund Research'!$V$6:$V$505,0))="","",180),"")</f>
        <v/>
      </c>
      <c r="B185" s="34" t="str">
        <f aca="false">IFERROR(INDEX('Fund Research'!$A$6:$A$505,MATCH(180,'Fund Research'!$V$6:$V$505,0)),"")</f>
        <v/>
      </c>
      <c r="C185" s="34" t="str">
        <f aca="false">IFERROR(INDEX('Fund Research'!$B$6:$B$505,MATCH(180,'Fund Research'!$V$6:$V$505,0)),"")</f>
        <v/>
      </c>
      <c r="D185" s="34" t="str">
        <f aca="false">IFERROR(INDEX('Fund Research'!$C$6:$C$505,MATCH(180,'Fund Research'!$V$6:$V$505,0)),"")</f>
        <v/>
      </c>
      <c r="E185" s="35" t="str">
        <f aca="false">IFERROR(INDEX('Fund Research'!$G$6:$G$505,MATCH(180,'Fund Research'!$V$6:$V$505,0)),"")</f>
        <v/>
      </c>
      <c r="F185" s="35" t="str">
        <f aca="false">IFERROR(INDEX('Fund Research'!$H$6:$H$505,MATCH(180,'Fund Research'!$V$6:$V$505,0)),"")</f>
        <v/>
      </c>
      <c r="G185" s="35" t="str">
        <f aca="false">IFERROR(INDEX('Fund Research'!$I$6:$I$505,MATCH(180,'Fund Research'!$V$6:$V$505,0)),"")</f>
        <v/>
      </c>
      <c r="H185" s="36" t="str">
        <f aca="false">IFERROR(INDEX('Fund Research'!$J$6:$J$505,MATCH(180,'Fund Research'!$V$6:$V$505,0)),"")</f>
        <v/>
      </c>
      <c r="I185" s="38" t="str">
        <f aca="false">IFERROR(INDEX('Fund Research'!$L$6:$L$505,MATCH(180,'Fund Research'!$V$6:$V$505,0)),"")</f>
        <v/>
      </c>
      <c r="J185" s="36" t="str">
        <f aca="false">IFERROR(INDEX('Fund Research'!$N$6:$N$505,MATCH(180,'Fund Research'!$V$6:$V$505,0)),"")</f>
        <v/>
      </c>
      <c r="K185" s="36" t="str">
        <f aca="false">IFERROR(INDEX('Fund Research'!$P$6:$P$505,MATCH(180,'Fund Research'!$V$6:$V$505,0)),"")</f>
        <v/>
      </c>
      <c r="L185" s="34" t="str">
        <f aca="false">IFERROR(INDEX('Fund Research'!$S$6:$S$505,MATCH(180,'Fund Research'!$V$6:$V$505,0)),"")</f>
        <v/>
      </c>
      <c r="M185" s="34" t="str">
        <f aca="false">IFERROR(INDEX('Fund Research'!$T$6:$T$505,MATCH(180,'Fund Research'!$V$6:$V$505,0)),"")</f>
        <v/>
      </c>
    </row>
    <row r="186" customFormat="false" ht="15" hidden="false" customHeight="true" outlineLevel="0" collapsed="false">
      <c r="A186" s="33" t="str">
        <f aca="false">IFERROR(IF(INDEX('Fund Research'!$B$6:$B$505,MATCH(181,'Fund Research'!$V$6:$V$505,0))="","",181),"")</f>
        <v/>
      </c>
      <c r="B186" s="34" t="str">
        <f aca="false">IFERROR(INDEX('Fund Research'!$A$6:$A$505,MATCH(181,'Fund Research'!$V$6:$V$505,0)),"")</f>
        <v/>
      </c>
      <c r="C186" s="34" t="str">
        <f aca="false">IFERROR(INDEX('Fund Research'!$B$6:$B$505,MATCH(181,'Fund Research'!$V$6:$V$505,0)),"")</f>
        <v/>
      </c>
      <c r="D186" s="34" t="str">
        <f aca="false">IFERROR(INDEX('Fund Research'!$C$6:$C$505,MATCH(181,'Fund Research'!$V$6:$V$505,0)),"")</f>
        <v/>
      </c>
      <c r="E186" s="35" t="str">
        <f aca="false">IFERROR(INDEX('Fund Research'!$G$6:$G$505,MATCH(181,'Fund Research'!$V$6:$V$505,0)),"")</f>
        <v/>
      </c>
      <c r="F186" s="35" t="str">
        <f aca="false">IFERROR(INDEX('Fund Research'!$H$6:$H$505,MATCH(181,'Fund Research'!$V$6:$V$505,0)),"")</f>
        <v/>
      </c>
      <c r="G186" s="35" t="str">
        <f aca="false">IFERROR(INDEX('Fund Research'!$I$6:$I$505,MATCH(181,'Fund Research'!$V$6:$V$505,0)),"")</f>
        <v/>
      </c>
      <c r="H186" s="36" t="str">
        <f aca="false">IFERROR(INDEX('Fund Research'!$J$6:$J$505,MATCH(181,'Fund Research'!$V$6:$V$505,0)),"")</f>
        <v/>
      </c>
      <c r="I186" s="38" t="str">
        <f aca="false">IFERROR(INDEX('Fund Research'!$L$6:$L$505,MATCH(181,'Fund Research'!$V$6:$V$505,0)),"")</f>
        <v/>
      </c>
      <c r="J186" s="36" t="str">
        <f aca="false">IFERROR(INDEX('Fund Research'!$N$6:$N$505,MATCH(181,'Fund Research'!$V$6:$V$505,0)),"")</f>
        <v/>
      </c>
      <c r="K186" s="36" t="str">
        <f aca="false">IFERROR(INDEX('Fund Research'!$P$6:$P$505,MATCH(181,'Fund Research'!$V$6:$V$505,0)),"")</f>
        <v/>
      </c>
      <c r="L186" s="34" t="str">
        <f aca="false">IFERROR(INDEX('Fund Research'!$S$6:$S$505,MATCH(181,'Fund Research'!$V$6:$V$505,0)),"")</f>
        <v/>
      </c>
      <c r="M186" s="34" t="str">
        <f aca="false">IFERROR(INDEX('Fund Research'!$T$6:$T$505,MATCH(181,'Fund Research'!$V$6:$V$505,0)),"")</f>
        <v/>
      </c>
    </row>
    <row r="187" customFormat="false" ht="15" hidden="false" customHeight="true" outlineLevel="0" collapsed="false">
      <c r="A187" s="33" t="str">
        <f aca="false">IFERROR(IF(INDEX('Fund Research'!$B$6:$B$505,MATCH(182,'Fund Research'!$V$6:$V$505,0))="","",182),"")</f>
        <v/>
      </c>
      <c r="B187" s="34" t="str">
        <f aca="false">IFERROR(INDEX('Fund Research'!$A$6:$A$505,MATCH(182,'Fund Research'!$V$6:$V$505,0)),"")</f>
        <v/>
      </c>
      <c r="C187" s="34" t="str">
        <f aca="false">IFERROR(INDEX('Fund Research'!$B$6:$B$505,MATCH(182,'Fund Research'!$V$6:$V$505,0)),"")</f>
        <v/>
      </c>
      <c r="D187" s="34" t="str">
        <f aca="false">IFERROR(INDEX('Fund Research'!$C$6:$C$505,MATCH(182,'Fund Research'!$V$6:$V$505,0)),"")</f>
        <v/>
      </c>
      <c r="E187" s="35" t="str">
        <f aca="false">IFERROR(INDEX('Fund Research'!$G$6:$G$505,MATCH(182,'Fund Research'!$V$6:$V$505,0)),"")</f>
        <v/>
      </c>
      <c r="F187" s="35" t="str">
        <f aca="false">IFERROR(INDEX('Fund Research'!$H$6:$H$505,MATCH(182,'Fund Research'!$V$6:$V$505,0)),"")</f>
        <v/>
      </c>
      <c r="G187" s="35" t="str">
        <f aca="false">IFERROR(INDEX('Fund Research'!$I$6:$I$505,MATCH(182,'Fund Research'!$V$6:$V$505,0)),"")</f>
        <v/>
      </c>
      <c r="H187" s="36" t="str">
        <f aca="false">IFERROR(INDEX('Fund Research'!$J$6:$J$505,MATCH(182,'Fund Research'!$V$6:$V$505,0)),"")</f>
        <v/>
      </c>
      <c r="I187" s="38" t="str">
        <f aca="false">IFERROR(INDEX('Fund Research'!$L$6:$L$505,MATCH(182,'Fund Research'!$V$6:$V$505,0)),"")</f>
        <v/>
      </c>
      <c r="J187" s="36" t="str">
        <f aca="false">IFERROR(INDEX('Fund Research'!$N$6:$N$505,MATCH(182,'Fund Research'!$V$6:$V$505,0)),"")</f>
        <v/>
      </c>
      <c r="K187" s="36" t="str">
        <f aca="false">IFERROR(INDEX('Fund Research'!$P$6:$P$505,MATCH(182,'Fund Research'!$V$6:$V$505,0)),"")</f>
        <v/>
      </c>
      <c r="L187" s="34" t="str">
        <f aca="false">IFERROR(INDEX('Fund Research'!$S$6:$S$505,MATCH(182,'Fund Research'!$V$6:$V$505,0)),"")</f>
        <v/>
      </c>
      <c r="M187" s="34" t="str">
        <f aca="false">IFERROR(INDEX('Fund Research'!$T$6:$T$505,MATCH(182,'Fund Research'!$V$6:$V$505,0)),"")</f>
        <v/>
      </c>
    </row>
    <row r="188" customFormat="false" ht="15" hidden="false" customHeight="true" outlineLevel="0" collapsed="false">
      <c r="A188" s="33" t="str">
        <f aca="false">IFERROR(IF(INDEX('Fund Research'!$B$6:$B$505,MATCH(183,'Fund Research'!$V$6:$V$505,0))="","",183),"")</f>
        <v/>
      </c>
      <c r="B188" s="34" t="str">
        <f aca="false">IFERROR(INDEX('Fund Research'!$A$6:$A$505,MATCH(183,'Fund Research'!$V$6:$V$505,0)),"")</f>
        <v/>
      </c>
      <c r="C188" s="34" t="str">
        <f aca="false">IFERROR(INDEX('Fund Research'!$B$6:$B$505,MATCH(183,'Fund Research'!$V$6:$V$505,0)),"")</f>
        <v/>
      </c>
      <c r="D188" s="34" t="str">
        <f aca="false">IFERROR(INDEX('Fund Research'!$C$6:$C$505,MATCH(183,'Fund Research'!$V$6:$V$505,0)),"")</f>
        <v/>
      </c>
      <c r="E188" s="35" t="str">
        <f aca="false">IFERROR(INDEX('Fund Research'!$G$6:$G$505,MATCH(183,'Fund Research'!$V$6:$V$505,0)),"")</f>
        <v/>
      </c>
      <c r="F188" s="35" t="str">
        <f aca="false">IFERROR(INDEX('Fund Research'!$H$6:$H$505,MATCH(183,'Fund Research'!$V$6:$V$505,0)),"")</f>
        <v/>
      </c>
      <c r="G188" s="35" t="str">
        <f aca="false">IFERROR(INDEX('Fund Research'!$I$6:$I$505,MATCH(183,'Fund Research'!$V$6:$V$505,0)),"")</f>
        <v/>
      </c>
      <c r="H188" s="36" t="str">
        <f aca="false">IFERROR(INDEX('Fund Research'!$J$6:$J$505,MATCH(183,'Fund Research'!$V$6:$V$505,0)),"")</f>
        <v/>
      </c>
      <c r="I188" s="38" t="str">
        <f aca="false">IFERROR(INDEX('Fund Research'!$L$6:$L$505,MATCH(183,'Fund Research'!$V$6:$V$505,0)),"")</f>
        <v/>
      </c>
      <c r="J188" s="36" t="str">
        <f aca="false">IFERROR(INDEX('Fund Research'!$N$6:$N$505,MATCH(183,'Fund Research'!$V$6:$V$505,0)),"")</f>
        <v/>
      </c>
      <c r="K188" s="36" t="str">
        <f aca="false">IFERROR(INDEX('Fund Research'!$P$6:$P$505,MATCH(183,'Fund Research'!$V$6:$V$505,0)),"")</f>
        <v/>
      </c>
      <c r="L188" s="34" t="str">
        <f aca="false">IFERROR(INDEX('Fund Research'!$S$6:$S$505,MATCH(183,'Fund Research'!$V$6:$V$505,0)),"")</f>
        <v/>
      </c>
      <c r="M188" s="34" t="str">
        <f aca="false">IFERROR(INDEX('Fund Research'!$T$6:$T$505,MATCH(183,'Fund Research'!$V$6:$V$505,0)),"")</f>
        <v/>
      </c>
    </row>
    <row r="189" customFormat="false" ht="15" hidden="false" customHeight="true" outlineLevel="0" collapsed="false">
      <c r="A189" s="33" t="str">
        <f aca="false">IFERROR(IF(INDEX('Fund Research'!$B$6:$B$505,MATCH(184,'Fund Research'!$V$6:$V$505,0))="","",184),"")</f>
        <v/>
      </c>
      <c r="B189" s="34" t="str">
        <f aca="false">IFERROR(INDEX('Fund Research'!$A$6:$A$505,MATCH(184,'Fund Research'!$V$6:$V$505,0)),"")</f>
        <v/>
      </c>
      <c r="C189" s="34" t="str">
        <f aca="false">IFERROR(INDEX('Fund Research'!$B$6:$B$505,MATCH(184,'Fund Research'!$V$6:$V$505,0)),"")</f>
        <v/>
      </c>
      <c r="D189" s="34" t="str">
        <f aca="false">IFERROR(INDEX('Fund Research'!$C$6:$C$505,MATCH(184,'Fund Research'!$V$6:$V$505,0)),"")</f>
        <v/>
      </c>
      <c r="E189" s="35" t="str">
        <f aca="false">IFERROR(INDEX('Fund Research'!$G$6:$G$505,MATCH(184,'Fund Research'!$V$6:$V$505,0)),"")</f>
        <v/>
      </c>
      <c r="F189" s="35" t="str">
        <f aca="false">IFERROR(INDEX('Fund Research'!$H$6:$H$505,MATCH(184,'Fund Research'!$V$6:$V$505,0)),"")</f>
        <v/>
      </c>
      <c r="G189" s="35" t="str">
        <f aca="false">IFERROR(INDEX('Fund Research'!$I$6:$I$505,MATCH(184,'Fund Research'!$V$6:$V$505,0)),"")</f>
        <v/>
      </c>
      <c r="H189" s="36" t="str">
        <f aca="false">IFERROR(INDEX('Fund Research'!$J$6:$J$505,MATCH(184,'Fund Research'!$V$6:$V$505,0)),"")</f>
        <v/>
      </c>
      <c r="I189" s="38" t="str">
        <f aca="false">IFERROR(INDEX('Fund Research'!$L$6:$L$505,MATCH(184,'Fund Research'!$V$6:$V$505,0)),"")</f>
        <v/>
      </c>
      <c r="J189" s="36" t="str">
        <f aca="false">IFERROR(INDEX('Fund Research'!$N$6:$N$505,MATCH(184,'Fund Research'!$V$6:$V$505,0)),"")</f>
        <v/>
      </c>
      <c r="K189" s="36" t="str">
        <f aca="false">IFERROR(INDEX('Fund Research'!$P$6:$P$505,MATCH(184,'Fund Research'!$V$6:$V$505,0)),"")</f>
        <v/>
      </c>
      <c r="L189" s="34" t="str">
        <f aca="false">IFERROR(INDEX('Fund Research'!$S$6:$S$505,MATCH(184,'Fund Research'!$V$6:$V$505,0)),"")</f>
        <v/>
      </c>
      <c r="M189" s="34" t="str">
        <f aca="false">IFERROR(INDEX('Fund Research'!$T$6:$T$505,MATCH(184,'Fund Research'!$V$6:$V$505,0)),"")</f>
        <v/>
      </c>
    </row>
    <row r="190" customFormat="false" ht="15" hidden="false" customHeight="true" outlineLevel="0" collapsed="false">
      <c r="A190" s="33" t="str">
        <f aca="false">IFERROR(IF(INDEX('Fund Research'!$B$6:$B$505,MATCH(185,'Fund Research'!$V$6:$V$505,0))="","",185),"")</f>
        <v/>
      </c>
      <c r="B190" s="34" t="str">
        <f aca="false">IFERROR(INDEX('Fund Research'!$A$6:$A$505,MATCH(185,'Fund Research'!$V$6:$V$505,0)),"")</f>
        <v/>
      </c>
      <c r="C190" s="34" t="str">
        <f aca="false">IFERROR(INDEX('Fund Research'!$B$6:$B$505,MATCH(185,'Fund Research'!$V$6:$V$505,0)),"")</f>
        <v/>
      </c>
      <c r="D190" s="34" t="str">
        <f aca="false">IFERROR(INDEX('Fund Research'!$C$6:$C$505,MATCH(185,'Fund Research'!$V$6:$V$505,0)),"")</f>
        <v/>
      </c>
      <c r="E190" s="35" t="str">
        <f aca="false">IFERROR(INDEX('Fund Research'!$G$6:$G$505,MATCH(185,'Fund Research'!$V$6:$V$505,0)),"")</f>
        <v/>
      </c>
      <c r="F190" s="35" t="str">
        <f aca="false">IFERROR(INDEX('Fund Research'!$H$6:$H$505,MATCH(185,'Fund Research'!$V$6:$V$505,0)),"")</f>
        <v/>
      </c>
      <c r="G190" s="35" t="str">
        <f aca="false">IFERROR(INDEX('Fund Research'!$I$6:$I$505,MATCH(185,'Fund Research'!$V$6:$V$505,0)),"")</f>
        <v/>
      </c>
      <c r="H190" s="36" t="str">
        <f aca="false">IFERROR(INDEX('Fund Research'!$J$6:$J$505,MATCH(185,'Fund Research'!$V$6:$V$505,0)),"")</f>
        <v/>
      </c>
      <c r="I190" s="38" t="str">
        <f aca="false">IFERROR(INDEX('Fund Research'!$L$6:$L$505,MATCH(185,'Fund Research'!$V$6:$V$505,0)),"")</f>
        <v/>
      </c>
      <c r="J190" s="36" t="str">
        <f aca="false">IFERROR(INDEX('Fund Research'!$N$6:$N$505,MATCH(185,'Fund Research'!$V$6:$V$505,0)),"")</f>
        <v/>
      </c>
      <c r="K190" s="36" t="str">
        <f aca="false">IFERROR(INDEX('Fund Research'!$P$6:$P$505,MATCH(185,'Fund Research'!$V$6:$V$505,0)),"")</f>
        <v/>
      </c>
      <c r="L190" s="34" t="str">
        <f aca="false">IFERROR(INDEX('Fund Research'!$S$6:$S$505,MATCH(185,'Fund Research'!$V$6:$V$505,0)),"")</f>
        <v/>
      </c>
      <c r="M190" s="34" t="str">
        <f aca="false">IFERROR(INDEX('Fund Research'!$T$6:$T$505,MATCH(185,'Fund Research'!$V$6:$V$505,0)),"")</f>
        <v/>
      </c>
    </row>
    <row r="191" customFormat="false" ht="15" hidden="false" customHeight="true" outlineLevel="0" collapsed="false">
      <c r="A191" s="33" t="str">
        <f aca="false">IFERROR(IF(INDEX('Fund Research'!$B$6:$B$505,MATCH(186,'Fund Research'!$V$6:$V$505,0))="","",186),"")</f>
        <v/>
      </c>
      <c r="B191" s="34" t="str">
        <f aca="false">IFERROR(INDEX('Fund Research'!$A$6:$A$505,MATCH(186,'Fund Research'!$V$6:$V$505,0)),"")</f>
        <v/>
      </c>
      <c r="C191" s="34" t="str">
        <f aca="false">IFERROR(INDEX('Fund Research'!$B$6:$B$505,MATCH(186,'Fund Research'!$V$6:$V$505,0)),"")</f>
        <v/>
      </c>
      <c r="D191" s="34" t="str">
        <f aca="false">IFERROR(INDEX('Fund Research'!$C$6:$C$505,MATCH(186,'Fund Research'!$V$6:$V$505,0)),"")</f>
        <v/>
      </c>
      <c r="E191" s="35" t="str">
        <f aca="false">IFERROR(INDEX('Fund Research'!$G$6:$G$505,MATCH(186,'Fund Research'!$V$6:$V$505,0)),"")</f>
        <v/>
      </c>
      <c r="F191" s="35" t="str">
        <f aca="false">IFERROR(INDEX('Fund Research'!$H$6:$H$505,MATCH(186,'Fund Research'!$V$6:$V$505,0)),"")</f>
        <v/>
      </c>
      <c r="G191" s="35" t="str">
        <f aca="false">IFERROR(INDEX('Fund Research'!$I$6:$I$505,MATCH(186,'Fund Research'!$V$6:$V$505,0)),"")</f>
        <v/>
      </c>
      <c r="H191" s="36" t="str">
        <f aca="false">IFERROR(INDEX('Fund Research'!$J$6:$J$505,MATCH(186,'Fund Research'!$V$6:$V$505,0)),"")</f>
        <v/>
      </c>
      <c r="I191" s="38" t="str">
        <f aca="false">IFERROR(INDEX('Fund Research'!$L$6:$L$505,MATCH(186,'Fund Research'!$V$6:$V$505,0)),"")</f>
        <v/>
      </c>
      <c r="J191" s="36" t="str">
        <f aca="false">IFERROR(INDEX('Fund Research'!$N$6:$N$505,MATCH(186,'Fund Research'!$V$6:$V$505,0)),"")</f>
        <v/>
      </c>
      <c r="K191" s="36" t="str">
        <f aca="false">IFERROR(INDEX('Fund Research'!$P$6:$P$505,MATCH(186,'Fund Research'!$V$6:$V$505,0)),"")</f>
        <v/>
      </c>
      <c r="L191" s="34" t="str">
        <f aca="false">IFERROR(INDEX('Fund Research'!$S$6:$S$505,MATCH(186,'Fund Research'!$V$6:$V$505,0)),"")</f>
        <v/>
      </c>
      <c r="M191" s="34" t="str">
        <f aca="false">IFERROR(INDEX('Fund Research'!$T$6:$T$505,MATCH(186,'Fund Research'!$V$6:$V$505,0)),"")</f>
        <v/>
      </c>
    </row>
    <row r="192" customFormat="false" ht="15" hidden="false" customHeight="true" outlineLevel="0" collapsed="false">
      <c r="A192" s="33" t="str">
        <f aca="false">IFERROR(IF(INDEX('Fund Research'!$B$6:$B$505,MATCH(187,'Fund Research'!$V$6:$V$505,0))="","",187),"")</f>
        <v/>
      </c>
      <c r="B192" s="34" t="str">
        <f aca="false">IFERROR(INDEX('Fund Research'!$A$6:$A$505,MATCH(187,'Fund Research'!$V$6:$V$505,0)),"")</f>
        <v/>
      </c>
      <c r="C192" s="34" t="str">
        <f aca="false">IFERROR(INDEX('Fund Research'!$B$6:$B$505,MATCH(187,'Fund Research'!$V$6:$V$505,0)),"")</f>
        <v/>
      </c>
      <c r="D192" s="34" t="str">
        <f aca="false">IFERROR(INDEX('Fund Research'!$C$6:$C$505,MATCH(187,'Fund Research'!$V$6:$V$505,0)),"")</f>
        <v/>
      </c>
      <c r="E192" s="35" t="str">
        <f aca="false">IFERROR(INDEX('Fund Research'!$G$6:$G$505,MATCH(187,'Fund Research'!$V$6:$V$505,0)),"")</f>
        <v/>
      </c>
      <c r="F192" s="35" t="str">
        <f aca="false">IFERROR(INDEX('Fund Research'!$H$6:$H$505,MATCH(187,'Fund Research'!$V$6:$V$505,0)),"")</f>
        <v/>
      </c>
      <c r="G192" s="35" t="str">
        <f aca="false">IFERROR(INDEX('Fund Research'!$I$6:$I$505,MATCH(187,'Fund Research'!$V$6:$V$505,0)),"")</f>
        <v/>
      </c>
      <c r="H192" s="36" t="str">
        <f aca="false">IFERROR(INDEX('Fund Research'!$J$6:$J$505,MATCH(187,'Fund Research'!$V$6:$V$505,0)),"")</f>
        <v/>
      </c>
      <c r="I192" s="38" t="str">
        <f aca="false">IFERROR(INDEX('Fund Research'!$L$6:$L$505,MATCH(187,'Fund Research'!$V$6:$V$505,0)),"")</f>
        <v/>
      </c>
      <c r="J192" s="36" t="str">
        <f aca="false">IFERROR(INDEX('Fund Research'!$N$6:$N$505,MATCH(187,'Fund Research'!$V$6:$V$505,0)),"")</f>
        <v/>
      </c>
      <c r="K192" s="36" t="str">
        <f aca="false">IFERROR(INDEX('Fund Research'!$P$6:$P$505,MATCH(187,'Fund Research'!$V$6:$V$505,0)),"")</f>
        <v/>
      </c>
      <c r="L192" s="34" t="str">
        <f aca="false">IFERROR(INDEX('Fund Research'!$S$6:$S$505,MATCH(187,'Fund Research'!$V$6:$V$505,0)),"")</f>
        <v/>
      </c>
      <c r="M192" s="34" t="str">
        <f aca="false">IFERROR(INDEX('Fund Research'!$T$6:$T$505,MATCH(187,'Fund Research'!$V$6:$V$505,0)),"")</f>
        <v/>
      </c>
    </row>
    <row r="193" customFormat="false" ht="15" hidden="false" customHeight="true" outlineLevel="0" collapsed="false">
      <c r="A193" s="33" t="str">
        <f aca="false">IFERROR(IF(INDEX('Fund Research'!$B$6:$B$505,MATCH(188,'Fund Research'!$V$6:$V$505,0))="","",188),"")</f>
        <v/>
      </c>
      <c r="B193" s="34" t="str">
        <f aca="false">IFERROR(INDEX('Fund Research'!$A$6:$A$505,MATCH(188,'Fund Research'!$V$6:$V$505,0)),"")</f>
        <v/>
      </c>
      <c r="C193" s="34" t="str">
        <f aca="false">IFERROR(INDEX('Fund Research'!$B$6:$B$505,MATCH(188,'Fund Research'!$V$6:$V$505,0)),"")</f>
        <v/>
      </c>
      <c r="D193" s="34" t="str">
        <f aca="false">IFERROR(INDEX('Fund Research'!$C$6:$C$505,MATCH(188,'Fund Research'!$V$6:$V$505,0)),"")</f>
        <v/>
      </c>
      <c r="E193" s="35" t="str">
        <f aca="false">IFERROR(INDEX('Fund Research'!$G$6:$G$505,MATCH(188,'Fund Research'!$V$6:$V$505,0)),"")</f>
        <v/>
      </c>
      <c r="F193" s="35" t="str">
        <f aca="false">IFERROR(INDEX('Fund Research'!$H$6:$H$505,MATCH(188,'Fund Research'!$V$6:$V$505,0)),"")</f>
        <v/>
      </c>
      <c r="G193" s="35" t="str">
        <f aca="false">IFERROR(INDEX('Fund Research'!$I$6:$I$505,MATCH(188,'Fund Research'!$V$6:$V$505,0)),"")</f>
        <v/>
      </c>
      <c r="H193" s="36" t="str">
        <f aca="false">IFERROR(INDEX('Fund Research'!$J$6:$J$505,MATCH(188,'Fund Research'!$V$6:$V$505,0)),"")</f>
        <v/>
      </c>
      <c r="I193" s="38" t="str">
        <f aca="false">IFERROR(INDEX('Fund Research'!$L$6:$L$505,MATCH(188,'Fund Research'!$V$6:$V$505,0)),"")</f>
        <v/>
      </c>
      <c r="J193" s="36" t="str">
        <f aca="false">IFERROR(INDEX('Fund Research'!$N$6:$N$505,MATCH(188,'Fund Research'!$V$6:$V$505,0)),"")</f>
        <v/>
      </c>
      <c r="K193" s="36" t="str">
        <f aca="false">IFERROR(INDEX('Fund Research'!$P$6:$P$505,MATCH(188,'Fund Research'!$V$6:$V$505,0)),"")</f>
        <v/>
      </c>
      <c r="L193" s="34" t="str">
        <f aca="false">IFERROR(INDEX('Fund Research'!$S$6:$S$505,MATCH(188,'Fund Research'!$V$6:$V$505,0)),"")</f>
        <v/>
      </c>
      <c r="M193" s="34" t="str">
        <f aca="false">IFERROR(INDEX('Fund Research'!$T$6:$T$505,MATCH(188,'Fund Research'!$V$6:$V$505,0)),"")</f>
        <v/>
      </c>
    </row>
    <row r="194" customFormat="false" ht="15" hidden="false" customHeight="true" outlineLevel="0" collapsed="false">
      <c r="A194" s="33" t="str">
        <f aca="false">IFERROR(IF(INDEX('Fund Research'!$B$6:$B$505,MATCH(189,'Fund Research'!$V$6:$V$505,0))="","",189),"")</f>
        <v/>
      </c>
      <c r="B194" s="34" t="str">
        <f aca="false">IFERROR(INDEX('Fund Research'!$A$6:$A$505,MATCH(189,'Fund Research'!$V$6:$V$505,0)),"")</f>
        <v/>
      </c>
      <c r="C194" s="34" t="str">
        <f aca="false">IFERROR(INDEX('Fund Research'!$B$6:$B$505,MATCH(189,'Fund Research'!$V$6:$V$505,0)),"")</f>
        <v/>
      </c>
      <c r="D194" s="34" t="str">
        <f aca="false">IFERROR(INDEX('Fund Research'!$C$6:$C$505,MATCH(189,'Fund Research'!$V$6:$V$505,0)),"")</f>
        <v/>
      </c>
      <c r="E194" s="35" t="str">
        <f aca="false">IFERROR(INDEX('Fund Research'!$G$6:$G$505,MATCH(189,'Fund Research'!$V$6:$V$505,0)),"")</f>
        <v/>
      </c>
      <c r="F194" s="35" t="str">
        <f aca="false">IFERROR(INDEX('Fund Research'!$H$6:$H$505,MATCH(189,'Fund Research'!$V$6:$V$505,0)),"")</f>
        <v/>
      </c>
      <c r="G194" s="35" t="str">
        <f aca="false">IFERROR(INDEX('Fund Research'!$I$6:$I$505,MATCH(189,'Fund Research'!$V$6:$V$505,0)),"")</f>
        <v/>
      </c>
      <c r="H194" s="36" t="str">
        <f aca="false">IFERROR(INDEX('Fund Research'!$J$6:$J$505,MATCH(189,'Fund Research'!$V$6:$V$505,0)),"")</f>
        <v/>
      </c>
      <c r="I194" s="38" t="str">
        <f aca="false">IFERROR(INDEX('Fund Research'!$L$6:$L$505,MATCH(189,'Fund Research'!$V$6:$V$505,0)),"")</f>
        <v/>
      </c>
      <c r="J194" s="36" t="str">
        <f aca="false">IFERROR(INDEX('Fund Research'!$N$6:$N$505,MATCH(189,'Fund Research'!$V$6:$V$505,0)),"")</f>
        <v/>
      </c>
      <c r="K194" s="36" t="str">
        <f aca="false">IFERROR(INDEX('Fund Research'!$P$6:$P$505,MATCH(189,'Fund Research'!$V$6:$V$505,0)),"")</f>
        <v/>
      </c>
      <c r="L194" s="34" t="str">
        <f aca="false">IFERROR(INDEX('Fund Research'!$S$6:$S$505,MATCH(189,'Fund Research'!$V$6:$V$505,0)),"")</f>
        <v/>
      </c>
      <c r="M194" s="34" t="str">
        <f aca="false">IFERROR(INDEX('Fund Research'!$T$6:$T$505,MATCH(189,'Fund Research'!$V$6:$V$505,0)),"")</f>
        <v/>
      </c>
    </row>
    <row r="195" customFormat="false" ht="15" hidden="false" customHeight="true" outlineLevel="0" collapsed="false">
      <c r="A195" s="33" t="str">
        <f aca="false">IFERROR(IF(INDEX('Fund Research'!$B$6:$B$505,MATCH(190,'Fund Research'!$V$6:$V$505,0))="","",190),"")</f>
        <v/>
      </c>
      <c r="B195" s="34" t="str">
        <f aca="false">IFERROR(INDEX('Fund Research'!$A$6:$A$505,MATCH(190,'Fund Research'!$V$6:$V$505,0)),"")</f>
        <v/>
      </c>
      <c r="C195" s="34" t="str">
        <f aca="false">IFERROR(INDEX('Fund Research'!$B$6:$B$505,MATCH(190,'Fund Research'!$V$6:$V$505,0)),"")</f>
        <v/>
      </c>
      <c r="D195" s="34" t="str">
        <f aca="false">IFERROR(INDEX('Fund Research'!$C$6:$C$505,MATCH(190,'Fund Research'!$V$6:$V$505,0)),"")</f>
        <v/>
      </c>
      <c r="E195" s="35" t="str">
        <f aca="false">IFERROR(INDEX('Fund Research'!$G$6:$G$505,MATCH(190,'Fund Research'!$V$6:$V$505,0)),"")</f>
        <v/>
      </c>
      <c r="F195" s="35" t="str">
        <f aca="false">IFERROR(INDEX('Fund Research'!$H$6:$H$505,MATCH(190,'Fund Research'!$V$6:$V$505,0)),"")</f>
        <v/>
      </c>
      <c r="G195" s="35" t="str">
        <f aca="false">IFERROR(INDEX('Fund Research'!$I$6:$I$505,MATCH(190,'Fund Research'!$V$6:$V$505,0)),"")</f>
        <v/>
      </c>
      <c r="H195" s="36" t="str">
        <f aca="false">IFERROR(INDEX('Fund Research'!$J$6:$J$505,MATCH(190,'Fund Research'!$V$6:$V$505,0)),"")</f>
        <v/>
      </c>
      <c r="I195" s="38" t="str">
        <f aca="false">IFERROR(INDEX('Fund Research'!$L$6:$L$505,MATCH(190,'Fund Research'!$V$6:$V$505,0)),"")</f>
        <v/>
      </c>
      <c r="J195" s="36" t="str">
        <f aca="false">IFERROR(INDEX('Fund Research'!$N$6:$N$505,MATCH(190,'Fund Research'!$V$6:$V$505,0)),"")</f>
        <v/>
      </c>
      <c r="K195" s="36" t="str">
        <f aca="false">IFERROR(INDEX('Fund Research'!$P$6:$P$505,MATCH(190,'Fund Research'!$V$6:$V$505,0)),"")</f>
        <v/>
      </c>
      <c r="L195" s="34" t="str">
        <f aca="false">IFERROR(INDEX('Fund Research'!$S$6:$S$505,MATCH(190,'Fund Research'!$V$6:$V$505,0)),"")</f>
        <v/>
      </c>
      <c r="M195" s="34" t="str">
        <f aca="false">IFERROR(INDEX('Fund Research'!$T$6:$T$505,MATCH(190,'Fund Research'!$V$6:$V$505,0)),"")</f>
        <v/>
      </c>
    </row>
    <row r="196" customFormat="false" ht="15" hidden="false" customHeight="true" outlineLevel="0" collapsed="false">
      <c r="A196" s="33" t="str">
        <f aca="false">IFERROR(IF(INDEX('Fund Research'!$B$6:$B$505,MATCH(191,'Fund Research'!$V$6:$V$505,0))="","",191),"")</f>
        <v/>
      </c>
      <c r="B196" s="34" t="str">
        <f aca="false">IFERROR(INDEX('Fund Research'!$A$6:$A$505,MATCH(191,'Fund Research'!$V$6:$V$505,0)),"")</f>
        <v/>
      </c>
      <c r="C196" s="34" t="str">
        <f aca="false">IFERROR(INDEX('Fund Research'!$B$6:$B$505,MATCH(191,'Fund Research'!$V$6:$V$505,0)),"")</f>
        <v/>
      </c>
      <c r="D196" s="34" t="str">
        <f aca="false">IFERROR(INDEX('Fund Research'!$C$6:$C$505,MATCH(191,'Fund Research'!$V$6:$V$505,0)),"")</f>
        <v/>
      </c>
      <c r="E196" s="35" t="str">
        <f aca="false">IFERROR(INDEX('Fund Research'!$G$6:$G$505,MATCH(191,'Fund Research'!$V$6:$V$505,0)),"")</f>
        <v/>
      </c>
      <c r="F196" s="35" t="str">
        <f aca="false">IFERROR(INDEX('Fund Research'!$H$6:$H$505,MATCH(191,'Fund Research'!$V$6:$V$505,0)),"")</f>
        <v/>
      </c>
      <c r="G196" s="35" t="str">
        <f aca="false">IFERROR(INDEX('Fund Research'!$I$6:$I$505,MATCH(191,'Fund Research'!$V$6:$V$505,0)),"")</f>
        <v/>
      </c>
      <c r="H196" s="36" t="str">
        <f aca="false">IFERROR(INDEX('Fund Research'!$J$6:$J$505,MATCH(191,'Fund Research'!$V$6:$V$505,0)),"")</f>
        <v/>
      </c>
      <c r="I196" s="38" t="str">
        <f aca="false">IFERROR(INDEX('Fund Research'!$L$6:$L$505,MATCH(191,'Fund Research'!$V$6:$V$505,0)),"")</f>
        <v/>
      </c>
      <c r="J196" s="36" t="str">
        <f aca="false">IFERROR(INDEX('Fund Research'!$N$6:$N$505,MATCH(191,'Fund Research'!$V$6:$V$505,0)),"")</f>
        <v/>
      </c>
      <c r="K196" s="36" t="str">
        <f aca="false">IFERROR(INDEX('Fund Research'!$P$6:$P$505,MATCH(191,'Fund Research'!$V$6:$V$505,0)),"")</f>
        <v/>
      </c>
      <c r="L196" s="34" t="str">
        <f aca="false">IFERROR(INDEX('Fund Research'!$S$6:$S$505,MATCH(191,'Fund Research'!$V$6:$V$505,0)),"")</f>
        <v/>
      </c>
      <c r="M196" s="34" t="str">
        <f aca="false">IFERROR(INDEX('Fund Research'!$T$6:$T$505,MATCH(191,'Fund Research'!$V$6:$V$505,0)),"")</f>
        <v/>
      </c>
    </row>
    <row r="197" customFormat="false" ht="15" hidden="false" customHeight="true" outlineLevel="0" collapsed="false">
      <c r="A197" s="33" t="str">
        <f aca="false">IFERROR(IF(INDEX('Fund Research'!$B$6:$B$505,MATCH(192,'Fund Research'!$V$6:$V$505,0))="","",192),"")</f>
        <v/>
      </c>
      <c r="B197" s="34" t="str">
        <f aca="false">IFERROR(INDEX('Fund Research'!$A$6:$A$505,MATCH(192,'Fund Research'!$V$6:$V$505,0)),"")</f>
        <v/>
      </c>
      <c r="C197" s="34" t="str">
        <f aca="false">IFERROR(INDEX('Fund Research'!$B$6:$B$505,MATCH(192,'Fund Research'!$V$6:$V$505,0)),"")</f>
        <v/>
      </c>
      <c r="D197" s="34" t="str">
        <f aca="false">IFERROR(INDEX('Fund Research'!$C$6:$C$505,MATCH(192,'Fund Research'!$V$6:$V$505,0)),"")</f>
        <v/>
      </c>
      <c r="E197" s="35" t="str">
        <f aca="false">IFERROR(INDEX('Fund Research'!$G$6:$G$505,MATCH(192,'Fund Research'!$V$6:$V$505,0)),"")</f>
        <v/>
      </c>
      <c r="F197" s="35" t="str">
        <f aca="false">IFERROR(INDEX('Fund Research'!$H$6:$H$505,MATCH(192,'Fund Research'!$V$6:$V$505,0)),"")</f>
        <v/>
      </c>
      <c r="G197" s="35" t="str">
        <f aca="false">IFERROR(INDEX('Fund Research'!$I$6:$I$505,MATCH(192,'Fund Research'!$V$6:$V$505,0)),"")</f>
        <v/>
      </c>
      <c r="H197" s="36" t="str">
        <f aca="false">IFERROR(INDEX('Fund Research'!$J$6:$J$505,MATCH(192,'Fund Research'!$V$6:$V$505,0)),"")</f>
        <v/>
      </c>
      <c r="I197" s="38" t="str">
        <f aca="false">IFERROR(INDEX('Fund Research'!$L$6:$L$505,MATCH(192,'Fund Research'!$V$6:$V$505,0)),"")</f>
        <v/>
      </c>
      <c r="J197" s="36" t="str">
        <f aca="false">IFERROR(INDEX('Fund Research'!$N$6:$N$505,MATCH(192,'Fund Research'!$V$6:$V$505,0)),"")</f>
        <v/>
      </c>
      <c r="K197" s="36" t="str">
        <f aca="false">IFERROR(INDEX('Fund Research'!$P$6:$P$505,MATCH(192,'Fund Research'!$V$6:$V$505,0)),"")</f>
        <v/>
      </c>
      <c r="L197" s="34" t="str">
        <f aca="false">IFERROR(INDEX('Fund Research'!$S$6:$S$505,MATCH(192,'Fund Research'!$V$6:$V$505,0)),"")</f>
        <v/>
      </c>
      <c r="M197" s="34" t="str">
        <f aca="false">IFERROR(INDEX('Fund Research'!$T$6:$T$505,MATCH(192,'Fund Research'!$V$6:$V$505,0)),"")</f>
        <v/>
      </c>
    </row>
    <row r="198" customFormat="false" ht="15" hidden="false" customHeight="true" outlineLevel="0" collapsed="false">
      <c r="A198" s="33" t="str">
        <f aca="false">IFERROR(IF(INDEX('Fund Research'!$B$6:$B$505,MATCH(193,'Fund Research'!$V$6:$V$505,0))="","",193),"")</f>
        <v/>
      </c>
      <c r="B198" s="34" t="str">
        <f aca="false">IFERROR(INDEX('Fund Research'!$A$6:$A$505,MATCH(193,'Fund Research'!$V$6:$V$505,0)),"")</f>
        <v/>
      </c>
      <c r="C198" s="34" t="str">
        <f aca="false">IFERROR(INDEX('Fund Research'!$B$6:$B$505,MATCH(193,'Fund Research'!$V$6:$V$505,0)),"")</f>
        <v/>
      </c>
      <c r="D198" s="34" t="str">
        <f aca="false">IFERROR(INDEX('Fund Research'!$C$6:$C$505,MATCH(193,'Fund Research'!$V$6:$V$505,0)),"")</f>
        <v/>
      </c>
      <c r="E198" s="35" t="str">
        <f aca="false">IFERROR(INDEX('Fund Research'!$G$6:$G$505,MATCH(193,'Fund Research'!$V$6:$V$505,0)),"")</f>
        <v/>
      </c>
      <c r="F198" s="35" t="str">
        <f aca="false">IFERROR(INDEX('Fund Research'!$H$6:$H$505,MATCH(193,'Fund Research'!$V$6:$V$505,0)),"")</f>
        <v/>
      </c>
      <c r="G198" s="35" t="str">
        <f aca="false">IFERROR(INDEX('Fund Research'!$I$6:$I$505,MATCH(193,'Fund Research'!$V$6:$V$505,0)),"")</f>
        <v/>
      </c>
      <c r="H198" s="36" t="str">
        <f aca="false">IFERROR(INDEX('Fund Research'!$J$6:$J$505,MATCH(193,'Fund Research'!$V$6:$V$505,0)),"")</f>
        <v/>
      </c>
      <c r="I198" s="38" t="str">
        <f aca="false">IFERROR(INDEX('Fund Research'!$L$6:$L$505,MATCH(193,'Fund Research'!$V$6:$V$505,0)),"")</f>
        <v/>
      </c>
      <c r="J198" s="36" t="str">
        <f aca="false">IFERROR(INDEX('Fund Research'!$N$6:$N$505,MATCH(193,'Fund Research'!$V$6:$V$505,0)),"")</f>
        <v/>
      </c>
      <c r="K198" s="36" t="str">
        <f aca="false">IFERROR(INDEX('Fund Research'!$P$6:$P$505,MATCH(193,'Fund Research'!$V$6:$V$505,0)),"")</f>
        <v/>
      </c>
      <c r="L198" s="34" t="str">
        <f aca="false">IFERROR(INDEX('Fund Research'!$S$6:$S$505,MATCH(193,'Fund Research'!$V$6:$V$505,0)),"")</f>
        <v/>
      </c>
      <c r="M198" s="34" t="str">
        <f aca="false">IFERROR(INDEX('Fund Research'!$T$6:$T$505,MATCH(193,'Fund Research'!$V$6:$V$505,0)),"")</f>
        <v/>
      </c>
    </row>
    <row r="199" customFormat="false" ht="15" hidden="false" customHeight="true" outlineLevel="0" collapsed="false">
      <c r="A199" s="33" t="str">
        <f aca="false">IFERROR(IF(INDEX('Fund Research'!$B$6:$B$505,MATCH(194,'Fund Research'!$V$6:$V$505,0))="","",194),"")</f>
        <v/>
      </c>
      <c r="B199" s="34" t="str">
        <f aca="false">IFERROR(INDEX('Fund Research'!$A$6:$A$505,MATCH(194,'Fund Research'!$V$6:$V$505,0)),"")</f>
        <v/>
      </c>
      <c r="C199" s="34" t="str">
        <f aca="false">IFERROR(INDEX('Fund Research'!$B$6:$B$505,MATCH(194,'Fund Research'!$V$6:$V$505,0)),"")</f>
        <v/>
      </c>
      <c r="D199" s="34" t="str">
        <f aca="false">IFERROR(INDEX('Fund Research'!$C$6:$C$505,MATCH(194,'Fund Research'!$V$6:$V$505,0)),"")</f>
        <v/>
      </c>
      <c r="E199" s="35" t="str">
        <f aca="false">IFERROR(INDEX('Fund Research'!$G$6:$G$505,MATCH(194,'Fund Research'!$V$6:$V$505,0)),"")</f>
        <v/>
      </c>
      <c r="F199" s="35" t="str">
        <f aca="false">IFERROR(INDEX('Fund Research'!$H$6:$H$505,MATCH(194,'Fund Research'!$V$6:$V$505,0)),"")</f>
        <v/>
      </c>
      <c r="G199" s="35" t="str">
        <f aca="false">IFERROR(INDEX('Fund Research'!$I$6:$I$505,MATCH(194,'Fund Research'!$V$6:$V$505,0)),"")</f>
        <v/>
      </c>
      <c r="H199" s="36" t="str">
        <f aca="false">IFERROR(INDEX('Fund Research'!$J$6:$J$505,MATCH(194,'Fund Research'!$V$6:$V$505,0)),"")</f>
        <v/>
      </c>
      <c r="I199" s="38" t="str">
        <f aca="false">IFERROR(INDEX('Fund Research'!$L$6:$L$505,MATCH(194,'Fund Research'!$V$6:$V$505,0)),"")</f>
        <v/>
      </c>
      <c r="J199" s="36" t="str">
        <f aca="false">IFERROR(INDEX('Fund Research'!$N$6:$N$505,MATCH(194,'Fund Research'!$V$6:$V$505,0)),"")</f>
        <v/>
      </c>
      <c r="K199" s="36" t="str">
        <f aca="false">IFERROR(INDEX('Fund Research'!$P$6:$P$505,MATCH(194,'Fund Research'!$V$6:$V$505,0)),"")</f>
        <v/>
      </c>
      <c r="L199" s="34" t="str">
        <f aca="false">IFERROR(INDEX('Fund Research'!$S$6:$S$505,MATCH(194,'Fund Research'!$V$6:$V$505,0)),"")</f>
        <v/>
      </c>
      <c r="M199" s="34" t="str">
        <f aca="false">IFERROR(INDEX('Fund Research'!$T$6:$T$505,MATCH(194,'Fund Research'!$V$6:$V$505,0)),"")</f>
        <v/>
      </c>
    </row>
    <row r="200" customFormat="false" ht="15" hidden="false" customHeight="true" outlineLevel="0" collapsed="false">
      <c r="A200" s="33" t="str">
        <f aca="false">IFERROR(IF(INDEX('Fund Research'!$B$6:$B$505,MATCH(195,'Fund Research'!$V$6:$V$505,0))="","",195),"")</f>
        <v/>
      </c>
      <c r="B200" s="34" t="str">
        <f aca="false">IFERROR(INDEX('Fund Research'!$A$6:$A$505,MATCH(195,'Fund Research'!$V$6:$V$505,0)),"")</f>
        <v/>
      </c>
      <c r="C200" s="34" t="str">
        <f aca="false">IFERROR(INDEX('Fund Research'!$B$6:$B$505,MATCH(195,'Fund Research'!$V$6:$V$505,0)),"")</f>
        <v/>
      </c>
      <c r="D200" s="34" t="str">
        <f aca="false">IFERROR(INDEX('Fund Research'!$C$6:$C$505,MATCH(195,'Fund Research'!$V$6:$V$505,0)),"")</f>
        <v/>
      </c>
      <c r="E200" s="35" t="str">
        <f aca="false">IFERROR(INDEX('Fund Research'!$G$6:$G$505,MATCH(195,'Fund Research'!$V$6:$V$505,0)),"")</f>
        <v/>
      </c>
      <c r="F200" s="35" t="str">
        <f aca="false">IFERROR(INDEX('Fund Research'!$H$6:$H$505,MATCH(195,'Fund Research'!$V$6:$V$505,0)),"")</f>
        <v/>
      </c>
      <c r="G200" s="35" t="str">
        <f aca="false">IFERROR(INDEX('Fund Research'!$I$6:$I$505,MATCH(195,'Fund Research'!$V$6:$V$505,0)),"")</f>
        <v/>
      </c>
      <c r="H200" s="36" t="str">
        <f aca="false">IFERROR(INDEX('Fund Research'!$J$6:$J$505,MATCH(195,'Fund Research'!$V$6:$V$505,0)),"")</f>
        <v/>
      </c>
      <c r="I200" s="38" t="str">
        <f aca="false">IFERROR(INDEX('Fund Research'!$L$6:$L$505,MATCH(195,'Fund Research'!$V$6:$V$505,0)),"")</f>
        <v/>
      </c>
      <c r="J200" s="36" t="str">
        <f aca="false">IFERROR(INDEX('Fund Research'!$N$6:$N$505,MATCH(195,'Fund Research'!$V$6:$V$505,0)),"")</f>
        <v/>
      </c>
      <c r="K200" s="36" t="str">
        <f aca="false">IFERROR(INDEX('Fund Research'!$P$6:$P$505,MATCH(195,'Fund Research'!$V$6:$V$505,0)),"")</f>
        <v/>
      </c>
      <c r="L200" s="34" t="str">
        <f aca="false">IFERROR(INDEX('Fund Research'!$S$6:$S$505,MATCH(195,'Fund Research'!$V$6:$V$505,0)),"")</f>
        <v/>
      </c>
      <c r="M200" s="34" t="str">
        <f aca="false">IFERROR(INDEX('Fund Research'!$T$6:$T$505,MATCH(195,'Fund Research'!$V$6:$V$505,0)),"")</f>
        <v/>
      </c>
    </row>
    <row r="201" customFormat="false" ht="15" hidden="false" customHeight="true" outlineLevel="0" collapsed="false">
      <c r="A201" s="33" t="str">
        <f aca="false">IFERROR(IF(INDEX('Fund Research'!$B$6:$B$505,MATCH(196,'Fund Research'!$V$6:$V$505,0))="","",196),"")</f>
        <v/>
      </c>
      <c r="B201" s="34" t="str">
        <f aca="false">IFERROR(INDEX('Fund Research'!$A$6:$A$505,MATCH(196,'Fund Research'!$V$6:$V$505,0)),"")</f>
        <v/>
      </c>
      <c r="C201" s="34" t="str">
        <f aca="false">IFERROR(INDEX('Fund Research'!$B$6:$B$505,MATCH(196,'Fund Research'!$V$6:$V$505,0)),"")</f>
        <v/>
      </c>
      <c r="D201" s="34" t="str">
        <f aca="false">IFERROR(INDEX('Fund Research'!$C$6:$C$505,MATCH(196,'Fund Research'!$V$6:$V$505,0)),"")</f>
        <v/>
      </c>
      <c r="E201" s="35" t="str">
        <f aca="false">IFERROR(INDEX('Fund Research'!$G$6:$G$505,MATCH(196,'Fund Research'!$V$6:$V$505,0)),"")</f>
        <v/>
      </c>
      <c r="F201" s="35" t="str">
        <f aca="false">IFERROR(INDEX('Fund Research'!$H$6:$H$505,MATCH(196,'Fund Research'!$V$6:$V$505,0)),"")</f>
        <v/>
      </c>
      <c r="G201" s="35" t="str">
        <f aca="false">IFERROR(INDEX('Fund Research'!$I$6:$I$505,MATCH(196,'Fund Research'!$V$6:$V$505,0)),"")</f>
        <v/>
      </c>
      <c r="H201" s="36" t="str">
        <f aca="false">IFERROR(INDEX('Fund Research'!$J$6:$J$505,MATCH(196,'Fund Research'!$V$6:$V$505,0)),"")</f>
        <v/>
      </c>
      <c r="I201" s="38" t="str">
        <f aca="false">IFERROR(INDEX('Fund Research'!$L$6:$L$505,MATCH(196,'Fund Research'!$V$6:$V$505,0)),"")</f>
        <v/>
      </c>
      <c r="J201" s="36" t="str">
        <f aca="false">IFERROR(INDEX('Fund Research'!$N$6:$N$505,MATCH(196,'Fund Research'!$V$6:$V$505,0)),"")</f>
        <v/>
      </c>
      <c r="K201" s="36" t="str">
        <f aca="false">IFERROR(INDEX('Fund Research'!$P$6:$P$505,MATCH(196,'Fund Research'!$V$6:$V$505,0)),"")</f>
        <v/>
      </c>
      <c r="L201" s="34" t="str">
        <f aca="false">IFERROR(INDEX('Fund Research'!$S$6:$S$505,MATCH(196,'Fund Research'!$V$6:$V$505,0)),"")</f>
        <v/>
      </c>
      <c r="M201" s="34" t="str">
        <f aca="false">IFERROR(INDEX('Fund Research'!$T$6:$T$505,MATCH(196,'Fund Research'!$V$6:$V$505,0)),"")</f>
        <v/>
      </c>
    </row>
    <row r="202" customFormat="false" ht="15" hidden="false" customHeight="true" outlineLevel="0" collapsed="false">
      <c r="A202" s="33" t="str">
        <f aca="false">IFERROR(IF(INDEX('Fund Research'!$B$6:$B$505,MATCH(197,'Fund Research'!$V$6:$V$505,0))="","",197),"")</f>
        <v/>
      </c>
      <c r="B202" s="34" t="str">
        <f aca="false">IFERROR(INDEX('Fund Research'!$A$6:$A$505,MATCH(197,'Fund Research'!$V$6:$V$505,0)),"")</f>
        <v/>
      </c>
      <c r="C202" s="34" t="str">
        <f aca="false">IFERROR(INDEX('Fund Research'!$B$6:$B$505,MATCH(197,'Fund Research'!$V$6:$V$505,0)),"")</f>
        <v/>
      </c>
      <c r="D202" s="34" t="str">
        <f aca="false">IFERROR(INDEX('Fund Research'!$C$6:$C$505,MATCH(197,'Fund Research'!$V$6:$V$505,0)),"")</f>
        <v/>
      </c>
      <c r="E202" s="35" t="str">
        <f aca="false">IFERROR(INDEX('Fund Research'!$G$6:$G$505,MATCH(197,'Fund Research'!$V$6:$V$505,0)),"")</f>
        <v/>
      </c>
      <c r="F202" s="35" t="str">
        <f aca="false">IFERROR(INDEX('Fund Research'!$H$6:$H$505,MATCH(197,'Fund Research'!$V$6:$V$505,0)),"")</f>
        <v/>
      </c>
      <c r="G202" s="35" t="str">
        <f aca="false">IFERROR(INDEX('Fund Research'!$I$6:$I$505,MATCH(197,'Fund Research'!$V$6:$V$505,0)),"")</f>
        <v/>
      </c>
      <c r="H202" s="36" t="str">
        <f aca="false">IFERROR(INDEX('Fund Research'!$J$6:$J$505,MATCH(197,'Fund Research'!$V$6:$V$505,0)),"")</f>
        <v/>
      </c>
      <c r="I202" s="38" t="str">
        <f aca="false">IFERROR(INDEX('Fund Research'!$L$6:$L$505,MATCH(197,'Fund Research'!$V$6:$V$505,0)),"")</f>
        <v/>
      </c>
      <c r="J202" s="36" t="str">
        <f aca="false">IFERROR(INDEX('Fund Research'!$N$6:$N$505,MATCH(197,'Fund Research'!$V$6:$V$505,0)),"")</f>
        <v/>
      </c>
      <c r="K202" s="36" t="str">
        <f aca="false">IFERROR(INDEX('Fund Research'!$P$6:$P$505,MATCH(197,'Fund Research'!$V$6:$V$505,0)),"")</f>
        <v/>
      </c>
      <c r="L202" s="34" t="str">
        <f aca="false">IFERROR(INDEX('Fund Research'!$S$6:$S$505,MATCH(197,'Fund Research'!$V$6:$V$505,0)),"")</f>
        <v/>
      </c>
      <c r="M202" s="34" t="str">
        <f aca="false">IFERROR(INDEX('Fund Research'!$T$6:$T$505,MATCH(197,'Fund Research'!$V$6:$V$505,0)),"")</f>
        <v/>
      </c>
    </row>
    <row r="203" customFormat="false" ht="15" hidden="false" customHeight="true" outlineLevel="0" collapsed="false">
      <c r="A203" s="33" t="str">
        <f aca="false">IFERROR(IF(INDEX('Fund Research'!$B$6:$B$505,MATCH(198,'Fund Research'!$V$6:$V$505,0))="","",198),"")</f>
        <v/>
      </c>
      <c r="B203" s="34" t="str">
        <f aca="false">IFERROR(INDEX('Fund Research'!$A$6:$A$505,MATCH(198,'Fund Research'!$V$6:$V$505,0)),"")</f>
        <v/>
      </c>
      <c r="C203" s="34" t="str">
        <f aca="false">IFERROR(INDEX('Fund Research'!$B$6:$B$505,MATCH(198,'Fund Research'!$V$6:$V$505,0)),"")</f>
        <v/>
      </c>
      <c r="D203" s="34" t="str">
        <f aca="false">IFERROR(INDEX('Fund Research'!$C$6:$C$505,MATCH(198,'Fund Research'!$V$6:$V$505,0)),"")</f>
        <v/>
      </c>
      <c r="E203" s="35" t="str">
        <f aca="false">IFERROR(INDEX('Fund Research'!$G$6:$G$505,MATCH(198,'Fund Research'!$V$6:$V$505,0)),"")</f>
        <v/>
      </c>
      <c r="F203" s="35" t="str">
        <f aca="false">IFERROR(INDEX('Fund Research'!$H$6:$H$505,MATCH(198,'Fund Research'!$V$6:$V$505,0)),"")</f>
        <v/>
      </c>
      <c r="G203" s="35" t="str">
        <f aca="false">IFERROR(INDEX('Fund Research'!$I$6:$I$505,MATCH(198,'Fund Research'!$V$6:$V$505,0)),"")</f>
        <v/>
      </c>
      <c r="H203" s="36" t="str">
        <f aca="false">IFERROR(INDEX('Fund Research'!$J$6:$J$505,MATCH(198,'Fund Research'!$V$6:$V$505,0)),"")</f>
        <v/>
      </c>
      <c r="I203" s="38" t="str">
        <f aca="false">IFERROR(INDEX('Fund Research'!$L$6:$L$505,MATCH(198,'Fund Research'!$V$6:$V$505,0)),"")</f>
        <v/>
      </c>
      <c r="J203" s="36" t="str">
        <f aca="false">IFERROR(INDEX('Fund Research'!$N$6:$N$505,MATCH(198,'Fund Research'!$V$6:$V$505,0)),"")</f>
        <v/>
      </c>
      <c r="K203" s="36" t="str">
        <f aca="false">IFERROR(INDEX('Fund Research'!$P$6:$P$505,MATCH(198,'Fund Research'!$V$6:$V$505,0)),"")</f>
        <v/>
      </c>
      <c r="L203" s="34" t="str">
        <f aca="false">IFERROR(INDEX('Fund Research'!$S$6:$S$505,MATCH(198,'Fund Research'!$V$6:$V$505,0)),"")</f>
        <v/>
      </c>
      <c r="M203" s="34" t="str">
        <f aca="false">IFERROR(INDEX('Fund Research'!$T$6:$T$505,MATCH(198,'Fund Research'!$V$6:$V$505,0)),"")</f>
        <v/>
      </c>
    </row>
    <row r="204" customFormat="false" ht="15" hidden="false" customHeight="true" outlineLevel="0" collapsed="false">
      <c r="A204" s="33" t="str">
        <f aca="false">IFERROR(IF(INDEX('Fund Research'!$B$6:$B$505,MATCH(199,'Fund Research'!$V$6:$V$505,0))="","",199),"")</f>
        <v/>
      </c>
      <c r="B204" s="34" t="str">
        <f aca="false">IFERROR(INDEX('Fund Research'!$A$6:$A$505,MATCH(199,'Fund Research'!$V$6:$V$505,0)),"")</f>
        <v/>
      </c>
      <c r="C204" s="34" t="str">
        <f aca="false">IFERROR(INDEX('Fund Research'!$B$6:$B$505,MATCH(199,'Fund Research'!$V$6:$V$505,0)),"")</f>
        <v/>
      </c>
      <c r="D204" s="34" t="str">
        <f aca="false">IFERROR(INDEX('Fund Research'!$C$6:$C$505,MATCH(199,'Fund Research'!$V$6:$V$505,0)),"")</f>
        <v/>
      </c>
      <c r="E204" s="35" t="str">
        <f aca="false">IFERROR(INDEX('Fund Research'!$G$6:$G$505,MATCH(199,'Fund Research'!$V$6:$V$505,0)),"")</f>
        <v/>
      </c>
      <c r="F204" s="35" t="str">
        <f aca="false">IFERROR(INDEX('Fund Research'!$H$6:$H$505,MATCH(199,'Fund Research'!$V$6:$V$505,0)),"")</f>
        <v/>
      </c>
      <c r="G204" s="35" t="str">
        <f aca="false">IFERROR(INDEX('Fund Research'!$I$6:$I$505,MATCH(199,'Fund Research'!$V$6:$V$505,0)),"")</f>
        <v/>
      </c>
      <c r="H204" s="36" t="str">
        <f aca="false">IFERROR(INDEX('Fund Research'!$J$6:$J$505,MATCH(199,'Fund Research'!$V$6:$V$505,0)),"")</f>
        <v/>
      </c>
      <c r="I204" s="38" t="str">
        <f aca="false">IFERROR(INDEX('Fund Research'!$L$6:$L$505,MATCH(199,'Fund Research'!$V$6:$V$505,0)),"")</f>
        <v/>
      </c>
      <c r="J204" s="36" t="str">
        <f aca="false">IFERROR(INDEX('Fund Research'!$N$6:$N$505,MATCH(199,'Fund Research'!$V$6:$V$505,0)),"")</f>
        <v/>
      </c>
      <c r="K204" s="36" t="str">
        <f aca="false">IFERROR(INDEX('Fund Research'!$P$6:$P$505,MATCH(199,'Fund Research'!$V$6:$V$505,0)),"")</f>
        <v/>
      </c>
      <c r="L204" s="34" t="str">
        <f aca="false">IFERROR(INDEX('Fund Research'!$S$6:$S$505,MATCH(199,'Fund Research'!$V$6:$V$505,0)),"")</f>
        <v/>
      </c>
      <c r="M204" s="34" t="str">
        <f aca="false">IFERROR(INDEX('Fund Research'!$T$6:$T$505,MATCH(199,'Fund Research'!$V$6:$V$505,0)),"")</f>
        <v/>
      </c>
    </row>
    <row r="205" customFormat="false" ht="15" hidden="false" customHeight="true" outlineLevel="0" collapsed="false">
      <c r="A205" s="33" t="str">
        <f aca="false">IFERROR(IF(INDEX('Fund Research'!$B$6:$B$505,MATCH(200,'Fund Research'!$V$6:$V$505,0))="","",200),"")</f>
        <v/>
      </c>
      <c r="B205" s="34" t="str">
        <f aca="false">IFERROR(INDEX('Fund Research'!$A$6:$A$505,MATCH(200,'Fund Research'!$V$6:$V$505,0)),"")</f>
        <v/>
      </c>
      <c r="C205" s="34" t="str">
        <f aca="false">IFERROR(INDEX('Fund Research'!$B$6:$B$505,MATCH(200,'Fund Research'!$V$6:$V$505,0)),"")</f>
        <v/>
      </c>
      <c r="D205" s="34" t="str">
        <f aca="false">IFERROR(INDEX('Fund Research'!$C$6:$C$505,MATCH(200,'Fund Research'!$V$6:$V$505,0)),"")</f>
        <v/>
      </c>
      <c r="E205" s="35" t="str">
        <f aca="false">IFERROR(INDEX('Fund Research'!$G$6:$G$505,MATCH(200,'Fund Research'!$V$6:$V$505,0)),"")</f>
        <v/>
      </c>
      <c r="F205" s="35" t="str">
        <f aca="false">IFERROR(INDEX('Fund Research'!$H$6:$H$505,MATCH(200,'Fund Research'!$V$6:$V$505,0)),"")</f>
        <v/>
      </c>
      <c r="G205" s="35" t="str">
        <f aca="false">IFERROR(INDEX('Fund Research'!$I$6:$I$505,MATCH(200,'Fund Research'!$V$6:$V$505,0)),"")</f>
        <v/>
      </c>
      <c r="H205" s="36" t="str">
        <f aca="false">IFERROR(INDEX('Fund Research'!$J$6:$J$505,MATCH(200,'Fund Research'!$V$6:$V$505,0)),"")</f>
        <v/>
      </c>
      <c r="I205" s="38" t="str">
        <f aca="false">IFERROR(INDEX('Fund Research'!$L$6:$L$505,MATCH(200,'Fund Research'!$V$6:$V$505,0)),"")</f>
        <v/>
      </c>
      <c r="J205" s="36" t="str">
        <f aca="false">IFERROR(INDEX('Fund Research'!$N$6:$N$505,MATCH(200,'Fund Research'!$V$6:$V$505,0)),"")</f>
        <v/>
      </c>
      <c r="K205" s="36" t="str">
        <f aca="false">IFERROR(INDEX('Fund Research'!$P$6:$P$505,MATCH(200,'Fund Research'!$V$6:$V$505,0)),"")</f>
        <v/>
      </c>
      <c r="L205" s="34" t="str">
        <f aca="false">IFERROR(INDEX('Fund Research'!$S$6:$S$505,MATCH(200,'Fund Research'!$V$6:$V$505,0)),"")</f>
        <v/>
      </c>
      <c r="M205" s="34" t="str">
        <f aca="false">IFERROR(INDEX('Fund Research'!$T$6:$T$505,MATCH(200,'Fund Research'!$V$6:$V$505,0)),"")</f>
        <v/>
      </c>
    </row>
  </sheetData>
  <autoFilter ref="A5:M205"/>
  <mergeCells count="3">
    <mergeCell ref="A1:M1"/>
    <mergeCell ref="A2:M2"/>
    <mergeCell ref="A4:M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44"/>
    <col collapsed="false" customWidth="true" hidden="false" outlineLevel="0" max="4" min="4" style="0" width="30"/>
    <col collapsed="false" customWidth="true" hidden="false" outlineLevel="0" max="6" min="5" style="0" width="16"/>
    <col collapsed="false" customWidth="true" hidden="false" outlineLevel="0" max="7" min="7" style="0" width="15"/>
    <col collapsed="false" customWidth="true" hidden="false" outlineLevel="0" max="8" min="8" style="0" width="11"/>
    <col collapsed="false" customWidth="true" hidden="false" outlineLevel="0" max="9" min="9" style="0" width="12"/>
    <col collapsed="false" customWidth="true" hidden="false" outlineLevel="0" max="10" min="10" style="0" width="13"/>
    <col collapsed="false" customWidth="true" hidden="false" outlineLevel="0" max="11" min="11" style="0" width="12"/>
    <col collapsed="false" customWidth="true" hidden="false" outlineLevel="0" max="12" min="12" style="0" width="26"/>
    <col collapsed="false" customWidth="true" hidden="false" outlineLevel="0" max="13" min="13" style="0" width="46"/>
  </cols>
  <sheetData>
    <row r="1" customFormat="false" ht="25.5" hidden="false" customHeight="true" outlineLevel="0" collapsed="false">
      <c r="A1" s="1" t="s">
        <v>83</v>
      </c>
      <c r="B1" s="1"/>
      <c r="C1" s="1"/>
      <c r="D1" s="1"/>
      <c r="E1" s="1"/>
      <c r="F1" s="1"/>
      <c r="G1" s="1"/>
      <c r="H1" s="1"/>
      <c r="I1" s="1"/>
      <c r="J1" s="1"/>
      <c r="K1" s="1"/>
      <c r="L1" s="1"/>
      <c r="M1" s="1"/>
    </row>
    <row r="2" customFormat="false" ht="15.75" hidden="false" customHeight="true" outlineLevel="0" collapsed="false">
      <c r="A2" s="2" t="s">
        <v>84</v>
      </c>
      <c r="B2" s="2"/>
      <c r="C2" s="2"/>
      <c r="D2" s="2"/>
      <c r="E2" s="2"/>
      <c r="F2" s="2"/>
      <c r="G2" s="2"/>
      <c r="H2" s="2"/>
      <c r="I2" s="2"/>
      <c r="J2" s="2"/>
      <c r="K2" s="2"/>
      <c r="L2" s="2"/>
      <c r="M2" s="2"/>
    </row>
    <row r="3" customFormat="false" ht="15" hidden="false" customHeight="false" outlineLevel="0" collapsed="false">
      <c r="A3" s="4" t="s">
        <v>74</v>
      </c>
      <c r="B3" s="21" t="n">
        <f aca="false">COUNTIF('Fund Research'!$R$6:$R$505,"Not Performing")</f>
        <v>0</v>
      </c>
      <c r="C3" s="20" t="s">
        <v>75</v>
      </c>
      <c r="D3" s="30" t="n">
        <f aca="false">SUMIF('Fund Research'!$R$6:$R$505,"Not Performing",'Fund Research'!$H$6:$H$505)</f>
        <v>0</v>
      </c>
      <c r="E3" s="20" t="s">
        <v>76</v>
      </c>
      <c r="F3" s="30" t="n">
        <f aca="false">SUMIF('Fund Research'!$R$6:$R$505,"Not Performing",'Fund Research'!$G$6:$G$505)</f>
        <v>0</v>
      </c>
      <c r="G3" s="20" t="s">
        <v>77</v>
      </c>
      <c r="H3" s="17" t="str">
        <f aca="false">IFERROR(AVERAGEIF('Fund Research'!$R$6:$R$505,"Not Performing",'Fund Research'!$L$6:$L$505),"")</f>
        <v/>
      </c>
    </row>
    <row r="4" customFormat="false" ht="15" hidden="false" customHeight="false" outlineLevel="0" collapsed="false">
      <c r="A4" s="24" t="s">
        <v>82</v>
      </c>
      <c r="B4" s="24"/>
      <c r="C4" s="24"/>
      <c r="D4" s="24"/>
      <c r="E4" s="24"/>
      <c r="F4" s="24"/>
      <c r="G4" s="24"/>
      <c r="H4" s="24"/>
      <c r="I4" s="24"/>
      <c r="J4" s="24"/>
      <c r="K4" s="24"/>
      <c r="L4" s="24"/>
      <c r="M4" s="24"/>
    </row>
    <row r="5" customFormat="false" ht="31.5" hidden="false" customHeight="true" outlineLevel="0" collapsed="false">
      <c r="A5" s="25" t="s">
        <v>79</v>
      </c>
      <c r="B5" s="25" t="s">
        <v>45</v>
      </c>
      <c r="C5" s="25" t="s">
        <v>46</v>
      </c>
      <c r="D5" s="25" t="s">
        <v>47</v>
      </c>
      <c r="E5" s="25" t="s">
        <v>51</v>
      </c>
      <c r="F5" s="25" t="s">
        <v>52</v>
      </c>
      <c r="G5" s="25" t="s">
        <v>53</v>
      </c>
      <c r="H5" s="25" t="s">
        <v>54</v>
      </c>
      <c r="I5" s="25" t="s">
        <v>56</v>
      </c>
      <c r="J5" s="25" t="s">
        <v>58</v>
      </c>
      <c r="K5" s="25" t="s">
        <v>60</v>
      </c>
      <c r="L5" s="25" t="s">
        <v>62</v>
      </c>
      <c r="M5" s="25" t="s">
        <v>63</v>
      </c>
    </row>
    <row r="6" customFormat="false" ht="15" hidden="false" customHeight="true" outlineLevel="0" collapsed="false">
      <c r="A6" s="33" t="str">
        <f aca="false">IFERROR(IF(INDEX('Fund Research'!$B$6:$B$505,MATCH(1,'Fund Research'!$W$6:$W$505,0))="","",1),"")</f>
        <v/>
      </c>
      <c r="B6" s="34" t="str">
        <f aca="false">IFERROR(INDEX('Fund Research'!$A$6:$A$505,MATCH(1,'Fund Research'!$W$6:$W$505,0)),"")</f>
        <v/>
      </c>
      <c r="C6" s="34" t="str">
        <f aca="false">IFERROR(INDEX('Fund Research'!$B$6:$B$505,MATCH(1,'Fund Research'!$W$6:$W$505,0)),"")</f>
        <v/>
      </c>
      <c r="D6" s="34" t="str">
        <f aca="false">IFERROR(INDEX('Fund Research'!$C$6:$C$505,MATCH(1,'Fund Research'!$W$6:$W$505,0)),"")</f>
        <v/>
      </c>
      <c r="E6" s="35" t="str">
        <f aca="false">IFERROR(INDEX('Fund Research'!$G$6:$G$505,MATCH(1,'Fund Research'!$W$6:$W$505,0)),"")</f>
        <v/>
      </c>
      <c r="F6" s="35" t="str">
        <f aca="false">IFERROR(INDEX('Fund Research'!$H$6:$H$505,MATCH(1,'Fund Research'!$W$6:$W$505,0)),"")</f>
        <v/>
      </c>
      <c r="G6" s="35" t="str">
        <f aca="false">IFERROR(INDEX('Fund Research'!$I$6:$I$505,MATCH(1,'Fund Research'!$W$6:$W$505,0)),"")</f>
        <v/>
      </c>
      <c r="H6" s="36" t="str">
        <f aca="false">IFERROR(INDEX('Fund Research'!$J$6:$J$505,MATCH(1,'Fund Research'!$W$6:$W$505,0)),"")</f>
        <v/>
      </c>
      <c r="I6" s="39" t="str">
        <f aca="false">IFERROR(INDEX('Fund Research'!$L$6:$L$505,MATCH(1,'Fund Research'!$W$6:$W$505,0)),"")</f>
        <v/>
      </c>
      <c r="J6" s="36" t="str">
        <f aca="false">IFERROR(INDEX('Fund Research'!$N$6:$N$505,MATCH(1,'Fund Research'!$W$6:$W$505,0)),"")</f>
        <v/>
      </c>
      <c r="K6" s="36" t="str">
        <f aca="false">IFERROR(INDEX('Fund Research'!$P$6:$P$505,MATCH(1,'Fund Research'!$W$6:$W$505,0)),"")</f>
        <v/>
      </c>
      <c r="L6" s="34" t="str">
        <f aca="false">IFERROR(INDEX('Fund Research'!$S$6:$S$505,MATCH(1,'Fund Research'!$W$6:$W$505,0)),"")</f>
        <v/>
      </c>
      <c r="M6" s="34" t="str">
        <f aca="false">IFERROR(INDEX('Fund Research'!$T$6:$T$505,MATCH(1,'Fund Research'!$W$6:$W$505,0)),"")</f>
        <v/>
      </c>
    </row>
    <row r="7" customFormat="false" ht="15" hidden="false" customHeight="true" outlineLevel="0" collapsed="false">
      <c r="A7" s="33" t="str">
        <f aca="false">IFERROR(IF(INDEX('Fund Research'!$B$6:$B$505,MATCH(2,'Fund Research'!$W$6:$W$505,0))="","",2),"")</f>
        <v/>
      </c>
      <c r="B7" s="34" t="str">
        <f aca="false">IFERROR(INDEX('Fund Research'!$A$6:$A$505,MATCH(2,'Fund Research'!$W$6:$W$505,0)),"")</f>
        <v/>
      </c>
      <c r="C7" s="34" t="str">
        <f aca="false">IFERROR(INDEX('Fund Research'!$B$6:$B$505,MATCH(2,'Fund Research'!$W$6:$W$505,0)),"")</f>
        <v/>
      </c>
      <c r="D7" s="34" t="str">
        <f aca="false">IFERROR(INDEX('Fund Research'!$C$6:$C$505,MATCH(2,'Fund Research'!$W$6:$W$505,0)),"")</f>
        <v/>
      </c>
      <c r="E7" s="35" t="str">
        <f aca="false">IFERROR(INDEX('Fund Research'!$G$6:$G$505,MATCH(2,'Fund Research'!$W$6:$W$505,0)),"")</f>
        <v/>
      </c>
      <c r="F7" s="35" t="str">
        <f aca="false">IFERROR(INDEX('Fund Research'!$H$6:$H$505,MATCH(2,'Fund Research'!$W$6:$W$505,0)),"")</f>
        <v/>
      </c>
      <c r="G7" s="35" t="str">
        <f aca="false">IFERROR(INDEX('Fund Research'!$I$6:$I$505,MATCH(2,'Fund Research'!$W$6:$W$505,0)),"")</f>
        <v/>
      </c>
      <c r="H7" s="36" t="str">
        <f aca="false">IFERROR(INDEX('Fund Research'!$J$6:$J$505,MATCH(2,'Fund Research'!$W$6:$W$505,0)),"")</f>
        <v/>
      </c>
      <c r="I7" s="39" t="str">
        <f aca="false">IFERROR(INDEX('Fund Research'!$L$6:$L$505,MATCH(2,'Fund Research'!$W$6:$W$505,0)),"")</f>
        <v/>
      </c>
      <c r="J7" s="36" t="str">
        <f aca="false">IFERROR(INDEX('Fund Research'!$N$6:$N$505,MATCH(2,'Fund Research'!$W$6:$W$505,0)),"")</f>
        <v/>
      </c>
      <c r="K7" s="36" t="str">
        <f aca="false">IFERROR(INDEX('Fund Research'!$P$6:$P$505,MATCH(2,'Fund Research'!$W$6:$W$505,0)),"")</f>
        <v/>
      </c>
      <c r="L7" s="34" t="str">
        <f aca="false">IFERROR(INDEX('Fund Research'!$S$6:$S$505,MATCH(2,'Fund Research'!$W$6:$W$505,0)),"")</f>
        <v/>
      </c>
      <c r="M7" s="34" t="str">
        <f aca="false">IFERROR(INDEX('Fund Research'!$T$6:$T$505,MATCH(2,'Fund Research'!$W$6:$W$505,0)),"")</f>
        <v/>
      </c>
    </row>
    <row r="8" customFormat="false" ht="15" hidden="false" customHeight="true" outlineLevel="0" collapsed="false">
      <c r="A8" s="33" t="str">
        <f aca="false">IFERROR(IF(INDEX('Fund Research'!$B$6:$B$505,MATCH(3,'Fund Research'!$W$6:$W$505,0))="","",3),"")</f>
        <v/>
      </c>
      <c r="B8" s="34" t="str">
        <f aca="false">IFERROR(INDEX('Fund Research'!$A$6:$A$505,MATCH(3,'Fund Research'!$W$6:$W$505,0)),"")</f>
        <v/>
      </c>
      <c r="C8" s="34" t="str">
        <f aca="false">IFERROR(INDEX('Fund Research'!$B$6:$B$505,MATCH(3,'Fund Research'!$W$6:$W$505,0)),"")</f>
        <v/>
      </c>
      <c r="D8" s="34" t="str">
        <f aca="false">IFERROR(INDEX('Fund Research'!$C$6:$C$505,MATCH(3,'Fund Research'!$W$6:$W$505,0)),"")</f>
        <v/>
      </c>
      <c r="E8" s="35" t="str">
        <f aca="false">IFERROR(INDEX('Fund Research'!$G$6:$G$505,MATCH(3,'Fund Research'!$W$6:$W$505,0)),"")</f>
        <v/>
      </c>
      <c r="F8" s="35" t="str">
        <f aca="false">IFERROR(INDEX('Fund Research'!$H$6:$H$505,MATCH(3,'Fund Research'!$W$6:$W$505,0)),"")</f>
        <v/>
      </c>
      <c r="G8" s="35" t="str">
        <f aca="false">IFERROR(INDEX('Fund Research'!$I$6:$I$505,MATCH(3,'Fund Research'!$W$6:$W$505,0)),"")</f>
        <v/>
      </c>
      <c r="H8" s="36" t="str">
        <f aca="false">IFERROR(INDEX('Fund Research'!$J$6:$J$505,MATCH(3,'Fund Research'!$W$6:$W$505,0)),"")</f>
        <v/>
      </c>
      <c r="I8" s="39" t="str">
        <f aca="false">IFERROR(INDEX('Fund Research'!$L$6:$L$505,MATCH(3,'Fund Research'!$W$6:$W$505,0)),"")</f>
        <v/>
      </c>
      <c r="J8" s="36" t="str">
        <f aca="false">IFERROR(INDEX('Fund Research'!$N$6:$N$505,MATCH(3,'Fund Research'!$W$6:$W$505,0)),"")</f>
        <v/>
      </c>
      <c r="K8" s="36" t="str">
        <f aca="false">IFERROR(INDEX('Fund Research'!$P$6:$P$505,MATCH(3,'Fund Research'!$W$6:$W$505,0)),"")</f>
        <v/>
      </c>
      <c r="L8" s="34" t="str">
        <f aca="false">IFERROR(INDEX('Fund Research'!$S$6:$S$505,MATCH(3,'Fund Research'!$W$6:$W$505,0)),"")</f>
        <v/>
      </c>
      <c r="M8" s="34" t="str">
        <f aca="false">IFERROR(INDEX('Fund Research'!$T$6:$T$505,MATCH(3,'Fund Research'!$W$6:$W$505,0)),"")</f>
        <v/>
      </c>
    </row>
    <row r="9" customFormat="false" ht="15" hidden="false" customHeight="true" outlineLevel="0" collapsed="false">
      <c r="A9" s="33" t="str">
        <f aca="false">IFERROR(IF(INDEX('Fund Research'!$B$6:$B$505,MATCH(4,'Fund Research'!$W$6:$W$505,0))="","",4),"")</f>
        <v/>
      </c>
      <c r="B9" s="34" t="str">
        <f aca="false">IFERROR(INDEX('Fund Research'!$A$6:$A$505,MATCH(4,'Fund Research'!$W$6:$W$505,0)),"")</f>
        <v/>
      </c>
      <c r="C9" s="34" t="str">
        <f aca="false">IFERROR(INDEX('Fund Research'!$B$6:$B$505,MATCH(4,'Fund Research'!$W$6:$W$505,0)),"")</f>
        <v/>
      </c>
      <c r="D9" s="34" t="str">
        <f aca="false">IFERROR(INDEX('Fund Research'!$C$6:$C$505,MATCH(4,'Fund Research'!$W$6:$W$505,0)),"")</f>
        <v/>
      </c>
      <c r="E9" s="35" t="str">
        <f aca="false">IFERROR(INDEX('Fund Research'!$G$6:$G$505,MATCH(4,'Fund Research'!$W$6:$W$505,0)),"")</f>
        <v/>
      </c>
      <c r="F9" s="35" t="str">
        <f aca="false">IFERROR(INDEX('Fund Research'!$H$6:$H$505,MATCH(4,'Fund Research'!$W$6:$W$505,0)),"")</f>
        <v/>
      </c>
      <c r="G9" s="35" t="str">
        <f aca="false">IFERROR(INDEX('Fund Research'!$I$6:$I$505,MATCH(4,'Fund Research'!$W$6:$W$505,0)),"")</f>
        <v/>
      </c>
      <c r="H9" s="36" t="str">
        <f aca="false">IFERROR(INDEX('Fund Research'!$J$6:$J$505,MATCH(4,'Fund Research'!$W$6:$W$505,0)),"")</f>
        <v/>
      </c>
      <c r="I9" s="39" t="str">
        <f aca="false">IFERROR(INDEX('Fund Research'!$L$6:$L$505,MATCH(4,'Fund Research'!$W$6:$W$505,0)),"")</f>
        <v/>
      </c>
      <c r="J9" s="36" t="str">
        <f aca="false">IFERROR(INDEX('Fund Research'!$N$6:$N$505,MATCH(4,'Fund Research'!$W$6:$W$505,0)),"")</f>
        <v/>
      </c>
      <c r="K9" s="36" t="str">
        <f aca="false">IFERROR(INDEX('Fund Research'!$P$6:$P$505,MATCH(4,'Fund Research'!$W$6:$W$505,0)),"")</f>
        <v/>
      </c>
      <c r="L9" s="34" t="str">
        <f aca="false">IFERROR(INDEX('Fund Research'!$S$6:$S$505,MATCH(4,'Fund Research'!$W$6:$W$505,0)),"")</f>
        <v/>
      </c>
      <c r="M9" s="34" t="str">
        <f aca="false">IFERROR(INDEX('Fund Research'!$T$6:$T$505,MATCH(4,'Fund Research'!$W$6:$W$505,0)),"")</f>
        <v/>
      </c>
    </row>
    <row r="10" customFormat="false" ht="15" hidden="false" customHeight="true" outlineLevel="0" collapsed="false">
      <c r="A10" s="33" t="str">
        <f aca="false">IFERROR(IF(INDEX('Fund Research'!$B$6:$B$505,MATCH(5,'Fund Research'!$W$6:$W$505,0))="","",5),"")</f>
        <v/>
      </c>
      <c r="B10" s="34" t="str">
        <f aca="false">IFERROR(INDEX('Fund Research'!$A$6:$A$505,MATCH(5,'Fund Research'!$W$6:$W$505,0)),"")</f>
        <v/>
      </c>
      <c r="C10" s="34" t="str">
        <f aca="false">IFERROR(INDEX('Fund Research'!$B$6:$B$505,MATCH(5,'Fund Research'!$W$6:$W$505,0)),"")</f>
        <v/>
      </c>
      <c r="D10" s="34" t="str">
        <f aca="false">IFERROR(INDEX('Fund Research'!$C$6:$C$505,MATCH(5,'Fund Research'!$W$6:$W$505,0)),"")</f>
        <v/>
      </c>
      <c r="E10" s="35" t="str">
        <f aca="false">IFERROR(INDEX('Fund Research'!$G$6:$G$505,MATCH(5,'Fund Research'!$W$6:$W$505,0)),"")</f>
        <v/>
      </c>
      <c r="F10" s="35" t="str">
        <f aca="false">IFERROR(INDEX('Fund Research'!$H$6:$H$505,MATCH(5,'Fund Research'!$W$6:$W$505,0)),"")</f>
        <v/>
      </c>
      <c r="G10" s="35" t="str">
        <f aca="false">IFERROR(INDEX('Fund Research'!$I$6:$I$505,MATCH(5,'Fund Research'!$W$6:$W$505,0)),"")</f>
        <v/>
      </c>
      <c r="H10" s="36" t="str">
        <f aca="false">IFERROR(INDEX('Fund Research'!$J$6:$J$505,MATCH(5,'Fund Research'!$W$6:$W$505,0)),"")</f>
        <v/>
      </c>
      <c r="I10" s="39" t="str">
        <f aca="false">IFERROR(INDEX('Fund Research'!$L$6:$L$505,MATCH(5,'Fund Research'!$W$6:$W$505,0)),"")</f>
        <v/>
      </c>
      <c r="J10" s="36" t="str">
        <f aca="false">IFERROR(INDEX('Fund Research'!$N$6:$N$505,MATCH(5,'Fund Research'!$W$6:$W$505,0)),"")</f>
        <v/>
      </c>
      <c r="K10" s="36" t="str">
        <f aca="false">IFERROR(INDEX('Fund Research'!$P$6:$P$505,MATCH(5,'Fund Research'!$W$6:$W$505,0)),"")</f>
        <v/>
      </c>
      <c r="L10" s="34" t="str">
        <f aca="false">IFERROR(INDEX('Fund Research'!$S$6:$S$505,MATCH(5,'Fund Research'!$W$6:$W$505,0)),"")</f>
        <v/>
      </c>
      <c r="M10" s="34" t="str">
        <f aca="false">IFERROR(INDEX('Fund Research'!$T$6:$T$505,MATCH(5,'Fund Research'!$W$6:$W$505,0)),"")</f>
        <v/>
      </c>
    </row>
    <row r="11" customFormat="false" ht="15" hidden="false" customHeight="true" outlineLevel="0" collapsed="false">
      <c r="A11" s="33" t="str">
        <f aca="false">IFERROR(IF(INDEX('Fund Research'!$B$6:$B$505,MATCH(6,'Fund Research'!$W$6:$W$505,0))="","",6),"")</f>
        <v/>
      </c>
      <c r="B11" s="34" t="str">
        <f aca="false">IFERROR(INDEX('Fund Research'!$A$6:$A$505,MATCH(6,'Fund Research'!$W$6:$W$505,0)),"")</f>
        <v/>
      </c>
      <c r="C11" s="34" t="str">
        <f aca="false">IFERROR(INDEX('Fund Research'!$B$6:$B$505,MATCH(6,'Fund Research'!$W$6:$W$505,0)),"")</f>
        <v/>
      </c>
      <c r="D11" s="34" t="str">
        <f aca="false">IFERROR(INDEX('Fund Research'!$C$6:$C$505,MATCH(6,'Fund Research'!$W$6:$W$505,0)),"")</f>
        <v/>
      </c>
      <c r="E11" s="35" t="str">
        <f aca="false">IFERROR(INDEX('Fund Research'!$G$6:$G$505,MATCH(6,'Fund Research'!$W$6:$W$505,0)),"")</f>
        <v/>
      </c>
      <c r="F11" s="35" t="str">
        <f aca="false">IFERROR(INDEX('Fund Research'!$H$6:$H$505,MATCH(6,'Fund Research'!$W$6:$W$505,0)),"")</f>
        <v/>
      </c>
      <c r="G11" s="35" t="str">
        <f aca="false">IFERROR(INDEX('Fund Research'!$I$6:$I$505,MATCH(6,'Fund Research'!$W$6:$W$505,0)),"")</f>
        <v/>
      </c>
      <c r="H11" s="36" t="str">
        <f aca="false">IFERROR(INDEX('Fund Research'!$J$6:$J$505,MATCH(6,'Fund Research'!$W$6:$W$505,0)),"")</f>
        <v/>
      </c>
      <c r="I11" s="39" t="str">
        <f aca="false">IFERROR(INDEX('Fund Research'!$L$6:$L$505,MATCH(6,'Fund Research'!$W$6:$W$505,0)),"")</f>
        <v/>
      </c>
      <c r="J11" s="36" t="str">
        <f aca="false">IFERROR(INDEX('Fund Research'!$N$6:$N$505,MATCH(6,'Fund Research'!$W$6:$W$505,0)),"")</f>
        <v/>
      </c>
      <c r="K11" s="36" t="str">
        <f aca="false">IFERROR(INDEX('Fund Research'!$P$6:$P$505,MATCH(6,'Fund Research'!$W$6:$W$505,0)),"")</f>
        <v/>
      </c>
      <c r="L11" s="34" t="str">
        <f aca="false">IFERROR(INDEX('Fund Research'!$S$6:$S$505,MATCH(6,'Fund Research'!$W$6:$W$505,0)),"")</f>
        <v/>
      </c>
      <c r="M11" s="34" t="str">
        <f aca="false">IFERROR(INDEX('Fund Research'!$T$6:$T$505,MATCH(6,'Fund Research'!$W$6:$W$505,0)),"")</f>
        <v/>
      </c>
    </row>
    <row r="12" customFormat="false" ht="15" hidden="false" customHeight="true" outlineLevel="0" collapsed="false">
      <c r="A12" s="33" t="str">
        <f aca="false">IFERROR(IF(INDEX('Fund Research'!$B$6:$B$505,MATCH(7,'Fund Research'!$W$6:$W$505,0))="","",7),"")</f>
        <v/>
      </c>
      <c r="B12" s="34" t="str">
        <f aca="false">IFERROR(INDEX('Fund Research'!$A$6:$A$505,MATCH(7,'Fund Research'!$W$6:$W$505,0)),"")</f>
        <v/>
      </c>
      <c r="C12" s="34" t="str">
        <f aca="false">IFERROR(INDEX('Fund Research'!$B$6:$B$505,MATCH(7,'Fund Research'!$W$6:$W$505,0)),"")</f>
        <v/>
      </c>
      <c r="D12" s="34" t="str">
        <f aca="false">IFERROR(INDEX('Fund Research'!$C$6:$C$505,MATCH(7,'Fund Research'!$W$6:$W$505,0)),"")</f>
        <v/>
      </c>
      <c r="E12" s="35" t="str">
        <f aca="false">IFERROR(INDEX('Fund Research'!$G$6:$G$505,MATCH(7,'Fund Research'!$W$6:$W$505,0)),"")</f>
        <v/>
      </c>
      <c r="F12" s="35" t="str">
        <f aca="false">IFERROR(INDEX('Fund Research'!$H$6:$H$505,MATCH(7,'Fund Research'!$W$6:$W$505,0)),"")</f>
        <v/>
      </c>
      <c r="G12" s="35" t="str">
        <f aca="false">IFERROR(INDEX('Fund Research'!$I$6:$I$505,MATCH(7,'Fund Research'!$W$6:$W$505,0)),"")</f>
        <v/>
      </c>
      <c r="H12" s="36" t="str">
        <f aca="false">IFERROR(INDEX('Fund Research'!$J$6:$J$505,MATCH(7,'Fund Research'!$W$6:$W$505,0)),"")</f>
        <v/>
      </c>
      <c r="I12" s="39" t="str">
        <f aca="false">IFERROR(INDEX('Fund Research'!$L$6:$L$505,MATCH(7,'Fund Research'!$W$6:$W$505,0)),"")</f>
        <v/>
      </c>
      <c r="J12" s="36" t="str">
        <f aca="false">IFERROR(INDEX('Fund Research'!$N$6:$N$505,MATCH(7,'Fund Research'!$W$6:$W$505,0)),"")</f>
        <v/>
      </c>
      <c r="K12" s="36" t="str">
        <f aca="false">IFERROR(INDEX('Fund Research'!$P$6:$P$505,MATCH(7,'Fund Research'!$W$6:$W$505,0)),"")</f>
        <v/>
      </c>
      <c r="L12" s="34" t="str">
        <f aca="false">IFERROR(INDEX('Fund Research'!$S$6:$S$505,MATCH(7,'Fund Research'!$W$6:$W$505,0)),"")</f>
        <v/>
      </c>
      <c r="M12" s="34" t="str">
        <f aca="false">IFERROR(INDEX('Fund Research'!$T$6:$T$505,MATCH(7,'Fund Research'!$W$6:$W$505,0)),"")</f>
        <v/>
      </c>
    </row>
    <row r="13" customFormat="false" ht="15" hidden="false" customHeight="true" outlineLevel="0" collapsed="false">
      <c r="A13" s="33" t="str">
        <f aca="false">IFERROR(IF(INDEX('Fund Research'!$B$6:$B$505,MATCH(8,'Fund Research'!$W$6:$W$505,0))="","",8),"")</f>
        <v/>
      </c>
      <c r="B13" s="34" t="str">
        <f aca="false">IFERROR(INDEX('Fund Research'!$A$6:$A$505,MATCH(8,'Fund Research'!$W$6:$W$505,0)),"")</f>
        <v/>
      </c>
      <c r="C13" s="34" t="str">
        <f aca="false">IFERROR(INDEX('Fund Research'!$B$6:$B$505,MATCH(8,'Fund Research'!$W$6:$W$505,0)),"")</f>
        <v/>
      </c>
      <c r="D13" s="34" t="str">
        <f aca="false">IFERROR(INDEX('Fund Research'!$C$6:$C$505,MATCH(8,'Fund Research'!$W$6:$W$505,0)),"")</f>
        <v/>
      </c>
      <c r="E13" s="35" t="str">
        <f aca="false">IFERROR(INDEX('Fund Research'!$G$6:$G$505,MATCH(8,'Fund Research'!$W$6:$W$505,0)),"")</f>
        <v/>
      </c>
      <c r="F13" s="35" t="str">
        <f aca="false">IFERROR(INDEX('Fund Research'!$H$6:$H$505,MATCH(8,'Fund Research'!$W$6:$W$505,0)),"")</f>
        <v/>
      </c>
      <c r="G13" s="35" t="str">
        <f aca="false">IFERROR(INDEX('Fund Research'!$I$6:$I$505,MATCH(8,'Fund Research'!$W$6:$W$505,0)),"")</f>
        <v/>
      </c>
      <c r="H13" s="36" t="str">
        <f aca="false">IFERROR(INDEX('Fund Research'!$J$6:$J$505,MATCH(8,'Fund Research'!$W$6:$W$505,0)),"")</f>
        <v/>
      </c>
      <c r="I13" s="39" t="str">
        <f aca="false">IFERROR(INDEX('Fund Research'!$L$6:$L$505,MATCH(8,'Fund Research'!$W$6:$W$505,0)),"")</f>
        <v/>
      </c>
      <c r="J13" s="36" t="str">
        <f aca="false">IFERROR(INDEX('Fund Research'!$N$6:$N$505,MATCH(8,'Fund Research'!$W$6:$W$505,0)),"")</f>
        <v/>
      </c>
      <c r="K13" s="36" t="str">
        <f aca="false">IFERROR(INDEX('Fund Research'!$P$6:$P$505,MATCH(8,'Fund Research'!$W$6:$W$505,0)),"")</f>
        <v/>
      </c>
      <c r="L13" s="34" t="str">
        <f aca="false">IFERROR(INDEX('Fund Research'!$S$6:$S$505,MATCH(8,'Fund Research'!$W$6:$W$505,0)),"")</f>
        <v/>
      </c>
      <c r="M13" s="34" t="str">
        <f aca="false">IFERROR(INDEX('Fund Research'!$T$6:$T$505,MATCH(8,'Fund Research'!$W$6:$W$505,0)),"")</f>
        <v/>
      </c>
    </row>
    <row r="14" customFormat="false" ht="15" hidden="false" customHeight="true" outlineLevel="0" collapsed="false">
      <c r="A14" s="33" t="str">
        <f aca="false">IFERROR(IF(INDEX('Fund Research'!$B$6:$B$505,MATCH(9,'Fund Research'!$W$6:$W$505,0))="","",9),"")</f>
        <v/>
      </c>
      <c r="B14" s="34" t="str">
        <f aca="false">IFERROR(INDEX('Fund Research'!$A$6:$A$505,MATCH(9,'Fund Research'!$W$6:$W$505,0)),"")</f>
        <v/>
      </c>
      <c r="C14" s="34" t="str">
        <f aca="false">IFERROR(INDEX('Fund Research'!$B$6:$B$505,MATCH(9,'Fund Research'!$W$6:$W$505,0)),"")</f>
        <v/>
      </c>
      <c r="D14" s="34" t="str">
        <f aca="false">IFERROR(INDEX('Fund Research'!$C$6:$C$505,MATCH(9,'Fund Research'!$W$6:$W$505,0)),"")</f>
        <v/>
      </c>
      <c r="E14" s="35" t="str">
        <f aca="false">IFERROR(INDEX('Fund Research'!$G$6:$G$505,MATCH(9,'Fund Research'!$W$6:$W$505,0)),"")</f>
        <v/>
      </c>
      <c r="F14" s="35" t="str">
        <f aca="false">IFERROR(INDEX('Fund Research'!$H$6:$H$505,MATCH(9,'Fund Research'!$W$6:$W$505,0)),"")</f>
        <v/>
      </c>
      <c r="G14" s="35" t="str">
        <f aca="false">IFERROR(INDEX('Fund Research'!$I$6:$I$505,MATCH(9,'Fund Research'!$W$6:$W$505,0)),"")</f>
        <v/>
      </c>
      <c r="H14" s="36" t="str">
        <f aca="false">IFERROR(INDEX('Fund Research'!$J$6:$J$505,MATCH(9,'Fund Research'!$W$6:$W$505,0)),"")</f>
        <v/>
      </c>
      <c r="I14" s="39" t="str">
        <f aca="false">IFERROR(INDEX('Fund Research'!$L$6:$L$505,MATCH(9,'Fund Research'!$W$6:$W$505,0)),"")</f>
        <v/>
      </c>
      <c r="J14" s="36" t="str">
        <f aca="false">IFERROR(INDEX('Fund Research'!$N$6:$N$505,MATCH(9,'Fund Research'!$W$6:$W$505,0)),"")</f>
        <v/>
      </c>
      <c r="K14" s="36" t="str">
        <f aca="false">IFERROR(INDEX('Fund Research'!$P$6:$P$505,MATCH(9,'Fund Research'!$W$6:$W$505,0)),"")</f>
        <v/>
      </c>
      <c r="L14" s="34" t="str">
        <f aca="false">IFERROR(INDEX('Fund Research'!$S$6:$S$505,MATCH(9,'Fund Research'!$W$6:$W$505,0)),"")</f>
        <v/>
      </c>
      <c r="M14" s="34" t="str">
        <f aca="false">IFERROR(INDEX('Fund Research'!$T$6:$T$505,MATCH(9,'Fund Research'!$W$6:$W$505,0)),"")</f>
        <v/>
      </c>
    </row>
    <row r="15" customFormat="false" ht="15" hidden="false" customHeight="true" outlineLevel="0" collapsed="false">
      <c r="A15" s="33" t="str">
        <f aca="false">IFERROR(IF(INDEX('Fund Research'!$B$6:$B$505,MATCH(10,'Fund Research'!$W$6:$W$505,0))="","",10),"")</f>
        <v/>
      </c>
      <c r="B15" s="34" t="str">
        <f aca="false">IFERROR(INDEX('Fund Research'!$A$6:$A$505,MATCH(10,'Fund Research'!$W$6:$W$505,0)),"")</f>
        <v/>
      </c>
      <c r="C15" s="34" t="str">
        <f aca="false">IFERROR(INDEX('Fund Research'!$B$6:$B$505,MATCH(10,'Fund Research'!$W$6:$W$505,0)),"")</f>
        <v/>
      </c>
      <c r="D15" s="34" t="str">
        <f aca="false">IFERROR(INDEX('Fund Research'!$C$6:$C$505,MATCH(10,'Fund Research'!$W$6:$W$505,0)),"")</f>
        <v/>
      </c>
      <c r="E15" s="35" t="str">
        <f aca="false">IFERROR(INDEX('Fund Research'!$G$6:$G$505,MATCH(10,'Fund Research'!$W$6:$W$505,0)),"")</f>
        <v/>
      </c>
      <c r="F15" s="35" t="str">
        <f aca="false">IFERROR(INDEX('Fund Research'!$H$6:$H$505,MATCH(10,'Fund Research'!$W$6:$W$505,0)),"")</f>
        <v/>
      </c>
      <c r="G15" s="35" t="str">
        <f aca="false">IFERROR(INDEX('Fund Research'!$I$6:$I$505,MATCH(10,'Fund Research'!$W$6:$W$505,0)),"")</f>
        <v/>
      </c>
      <c r="H15" s="36" t="str">
        <f aca="false">IFERROR(INDEX('Fund Research'!$J$6:$J$505,MATCH(10,'Fund Research'!$W$6:$W$505,0)),"")</f>
        <v/>
      </c>
      <c r="I15" s="39" t="str">
        <f aca="false">IFERROR(INDEX('Fund Research'!$L$6:$L$505,MATCH(10,'Fund Research'!$W$6:$W$505,0)),"")</f>
        <v/>
      </c>
      <c r="J15" s="36" t="str">
        <f aca="false">IFERROR(INDEX('Fund Research'!$N$6:$N$505,MATCH(10,'Fund Research'!$W$6:$W$505,0)),"")</f>
        <v/>
      </c>
      <c r="K15" s="36" t="str">
        <f aca="false">IFERROR(INDEX('Fund Research'!$P$6:$P$505,MATCH(10,'Fund Research'!$W$6:$W$505,0)),"")</f>
        <v/>
      </c>
      <c r="L15" s="34" t="str">
        <f aca="false">IFERROR(INDEX('Fund Research'!$S$6:$S$505,MATCH(10,'Fund Research'!$W$6:$W$505,0)),"")</f>
        <v/>
      </c>
      <c r="M15" s="34" t="str">
        <f aca="false">IFERROR(INDEX('Fund Research'!$T$6:$T$505,MATCH(10,'Fund Research'!$W$6:$W$505,0)),"")</f>
        <v/>
      </c>
    </row>
    <row r="16" customFormat="false" ht="15" hidden="false" customHeight="true" outlineLevel="0" collapsed="false">
      <c r="A16" s="33" t="str">
        <f aca="false">IFERROR(IF(INDEX('Fund Research'!$B$6:$B$505,MATCH(11,'Fund Research'!$W$6:$W$505,0))="","",11),"")</f>
        <v/>
      </c>
      <c r="B16" s="34" t="str">
        <f aca="false">IFERROR(INDEX('Fund Research'!$A$6:$A$505,MATCH(11,'Fund Research'!$W$6:$W$505,0)),"")</f>
        <v/>
      </c>
      <c r="C16" s="34" t="str">
        <f aca="false">IFERROR(INDEX('Fund Research'!$B$6:$B$505,MATCH(11,'Fund Research'!$W$6:$W$505,0)),"")</f>
        <v/>
      </c>
      <c r="D16" s="34" t="str">
        <f aca="false">IFERROR(INDEX('Fund Research'!$C$6:$C$505,MATCH(11,'Fund Research'!$W$6:$W$505,0)),"")</f>
        <v/>
      </c>
      <c r="E16" s="35" t="str">
        <f aca="false">IFERROR(INDEX('Fund Research'!$G$6:$G$505,MATCH(11,'Fund Research'!$W$6:$W$505,0)),"")</f>
        <v/>
      </c>
      <c r="F16" s="35" t="str">
        <f aca="false">IFERROR(INDEX('Fund Research'!$H$6:$H$505,MATCH(11,'Fund Research'!$W$6:$W$505,0)),"")</f>
        <v/>
      </c>
      <c r="G16" s="35" t="str">
        <f aca="false">IFERROR(INDEX('Fund Research'!$I$6:$I$505,MATCH(11,'Fund Research'!$W$6:$W$505,0)),"")</f>
        <v/>
      </c>
      <c r="H16" s="36" t="str">
        <f aca="false">IFERROR(INDEX('Fund Research'!$J$6:$J$505,MATCH(11,'Fund Research'!$W$6:$W$505,0)),"")</f>
        <v/>
      </c>
      <c r="I16" s="39" t="str">
        <f aca="false">IFERROR(INDEX('Fund Research'!$L$6:$L$505,MATCH(11,'Fund Research'!$W$6:$W$505,0)),"")</f>
        <v/>
      </c>
      <c r="J16" s="36" t="str">
        <f aca="false">IFERROR(INDEX('Fund Research'!$N$6:$N$505,MATCH(11,'Fund Research'!$W$6:$W$505,0)),"")</f>
        <v/>
      </c>
      <c r="K16" s="36" t="str">
        <f aca="false">IFERROR(INDEX('Fund Research'!$P$6:$P$505,MATCH(11,'Fund Research'!$W$6:$W$505,0)),"")</f>
        <v/>
      </c>
      <c r="L16" s="34" t="str">
        <f aca="false">IFERROR(INDEX('Fund Research'!$S$6:$S$505,MATCH(11,'Fund Research'!$W$6:$W$505,0)),"")</f>
        <v/>
      </c>
      <c r="M16" s="34" t="str">
        <f aca="false">IFERROR(INDEX('Fund Research'!$T$6:$T$505,MATCH(11,'Fund Research'!$W$6:$W$505,0)),"")</f>
        <v/>
      </c>
    </row>
    <row r="17" customFormat="false" ht="15" hidden="false" customHeight="true" outlineLevel="0" collapsed="false">
      <c r="A17" s="33" t="str">
        <f aca="false">IFERROR(IF(INDEX('Fund Research'!$B$6:$B$505,MATCH(12,'Fund Research'!$W$6:$W$505,0))="","",12),"")</f>
        <v/>
      </c>
      <c r="B17" s="34" t="str">
        <f aca="false">IFERROR(INDEX('Fund Research'!$A$6:$A$505,MATCH(12,'Fund Research'!$W$6:$W$505,0)),"")</f>
        <v/>
      </c>
      <c r="C17" s="34" t="str">
        <f aca="false">IFERROR(INDEX('Fund Research'!$B$6:$B$505,MATCH(12,'Fund Research'!$W$6:$W$505,0)),"")</f>
        <v/>
      </c>
      <c r="D17" s="34" t="str">
        <f aca="false">IFERROR(INDEX('Fund Research'!$C$6:$C$505,MATCH(12,'Fund Research'!$W$6:$W$505,0)),"")</f>
        <v/>
      </c>
      <c r="E17" s="35" t="str">
        <f aca="false">IFERROR(INDEX('Fund Research'!$G$6:$G$505,MATCH(12,'Fund Research'!$W$6:$W$505,0)),"")</f>
        <v/>
      </c>
      <c r="F17" s="35" t="str">
        <f aca="false">IFERROR(INDEX('Fund Research'!$H$6:$H$505,MATCH(12,'Fund Research'!$W$6:$W$505,0)),"")</f>
        <v/>
      </c>
      <c r="G17" s="35" t="str">
        <f aca="false">IFERROR(INDEX('Fund Research'!$I$6:$I$505,MATCH(12,'Fund Research'!$W$6:$W$505,0)),"")</f>
        <v/>
      </c>
      <c r="H17" s="36" t="str">
        <f aca="false">IFERROR(INDEX('Fund Research'!$J$6:$J$505,MATCH(12,'Fund Research'!$W$6:$W$505,0)),"")</f>
        <v/>
      </c>
      <c r="I17" s="39" t="str">
        <f aca="false">IFERROR(INDEX('Fund Research'!$L$6:$L$505,MATCH(12,'Fund Research'!$W$6:$W$505,0)),"")</f>
        <v/>
      </c>
      <c r="J17" s="36" t="str">
        <f aca="false">IFERROR(INDEX('Fund Research'!$N$6:$N$505,MATCH(12,'Fund Research'!$W$6:$W$505,0)),"")</f>
        <v/>
      </c>
      <c r="K17" s="36" t="str">
        <f aca="false">IFERROR(INDEX('Fund Research'!$P$6:$P$505,MATCH(12,'Fund Research'!$W$6:$W$505,0)),"")</f>
        <v/>
      </c>
      <c r="L17" s="34" t="str">
        <f aca="false">IFERROR(INDEX('Fund Research'!$S$6:$S$505,MATCH(12,'Fund Research'!$W$6:$W$505,0)),"")</f>
        <v/>
      </c>
      <c r="M17" s="34" t="str">
        <f aca="false">IFERROR(INDEX('Fund Research'!$T$6:$T$505,MATCH(12,'Fund Research'!$W$6:$W$505,0)),"")</f>
        <v/>
      </c>
    </row>
    <row r="18" customFormat="false" ht="15" hidden="false" customHeight="true" outlineLevel="0" collapsed="false">
      <c r="A18" s="33" t="str">
        <f aca="false">IFERROR(IF(INDEX('Fund Research'!$B$6:$B$505,MATCH(13,'Fund Research'!$W$6:$W$505,0))="","",13),"")</f>
        <v/>
      </c>
      <c r="B18" s="34" t="str">
        <f aca="false">IFERROR(INDEX('Fund Research'!$A$6:$A$505,MATCH(13,'Fund Research'!$W$6:$W$505,0)),"")</f>
        <v/>
      </c>
      <c r="C18" s="34" t="str">
        <f aca="false">IFERROR(INDEX('Fund Research'!$B$6:$B$505,MATCH(13,'Fund Research'!$W$6:$W$505,0)),"")</f>
        <v/>
      </c>
      <c r="D18" s="34" t="str">
        <f aca="false">IFERROR(INDEX('Fund Research'!$C$6:$C$505,MATCH(13,'Fund Research'!$W$6:$W$505,0)),"")</f>
        <v/>
      </c>
      <c r="E18" s="35" t="str">
        <f aca="false">IFERROR(INDEX('Fund Research'!$G$6:$G$505,MATCH(13,'Fund Research'!$W$6:$W$505,0)),"")</f>
        <v/>
      </c>
      <c r="F18" s="35" t="str">
        <f aca="false">IFERROR(INDEX('Fund Research'!$H$6:$H$505,MATCH(13,'Fund Research'!$W$6:$W$505,0)),"")</f>
        <v/>
      </c>
      <c r="G18" s="35" t="str">
        <f aca="false">IFERROR(INDEX('Fund Research'!$I$6:$I$505,MATCH(13,'Fund Research'!$W$6:$W$505,0)),"")</f>
        <v/>
      </c>
      <c r="H18" s="36" t="str">
        <f aca="false">IFERROR(INDEX('Fund Research'!$J$6:$J$505,MATCH(13,'Fund Research'!$W$6:$W$505,0)),"")</f>
        <v/>
      </c>
      <c r="I18" s="39" t="str">
        <f aca="false">IFERROR(INDEX('Fund Research'!$L$6:$L$505,MATCH(13,'Fund Research'!$W$6:$W$505,0)),"")</f>
        <v/>
      </c>
      <c r="J18" s="36" t="str">
        <f aca="false">IFERROR(INDEX('Fund Research'!$N$6:$N$505,MATCH(13,'Fund Research'!$W$6:$W$505,0)),"")</f>
        <v/>
      </c>
      <c r="K18" s="36" t="str">
        <f aca="false">IFERROR(INDEX('Fund Research'!$P$6:$P$505,MATCH(13,'Fund Research'!$W$6:$W$505,0)),"")</f>
        <v/>
      </c>
      <c r="L18" s="34" t="str">
        <f aca="false">IFERROR(INDEX('Fund Research'!$S$6:$S$505,MATCH(13,'Fund Research'!$W$6:$W$505,0)),"")</f>
        <v/>
      </c>
      <c r="M18" s="34" t="str">
        <f aca="false">IFERROR(INDEX('Fund Research'!$T$6:$T$505,MATCH(13,'Fund Research'!$W$6:$W$505,0)),"")</f>
        <v/>
      </c>
    </row>
    <row r="19" customFormat="false" ht="15" hidden="false" customHeight="true" outlineLevel="0" collapsed="false">
      <c r="A19" s="33" t="str">
        <f aca="false">IFERROR(IF(INDEX('Fund Research'!$B$6:$B$505,MATCH(14,'Fund Research'!$W$6:$W$505,0))="","",14),"")</f>
        <v/>
      </c>
      <c r="B19" s="34" t="str">
        <f aca="false">IFERROR(INDEX('Fund Research'!$A$6:$A$505,MATCH(14,'Fund Research'!$W$6:$W$505,0)),"")</f>
        <v/>
      </c>
      <c r="C19" s="34" t="str">
        <f aca="false">IFERROR(INDEX('Fund Research'!$B$6:$B$505,MATCH(14,'Fund Research'!$W$6:$W$505,0)),"")</f>
        <v/>
      </c>
      <c r="D19" s="34" t="str">
        <f aca="false">IFERROR(INDEX('Fund Research'!$C$6:$C$505,MATCH(14,'Fund Research'!$W$6:$W$505,0)),"")</f>
        <v/>
      </c>
      <c r="E19" s="35" t="str">
        <f aca="false">IFERROR(INDEX('Fund Research'!$G$6:$G$505,MATCH(14,'Fund Research'!$W$6:$W$505,0)),"")</f>
        <v/>
      </c>
      <c r="F19" s="35" t="str">
        <f aca="false">IFERROR(INDEX('Fund Research'!$H$6:$H$505,MATCH(14,'Fund Research'!$W$6:$W$505,0)),"")</f>
        <v/>
      </c>
      <c r="G19" s="35" t="str">
        <f aca="false">IFERROR(INDEX('Fund Research'!$I$6:$I$505,MATCH(14,'Fund Research'!$W$6:$W$505,0)),"")</f>
        <v/>
      </c>
      <c r="H19" s="36" t="str">
        <f aca="false">IFERROR(INDEX('Fund Research'!$J$6:$J$505,MATCH(14,'Fund Research'!$W$6:$W$505,0)),"")</f>
        <v/>
      </c>
      <c r="I19" s="39" t="str">
        <f aca="false">IFERROR(INDEX('Fund Research'!$L$6:$L$505,MATCH(14,'Fund Research'!$W$6:$W$505,0)),"")</f>
        <v/>
      </c>
      <c r="J19" s="36" t="str">
        <f aca="false">IFERROR(INDEX('Fund Research'!$N$6:$N$505,MATCH(14,'Fund Research'!$W$6:$W$505,0)),"")</f>
        <v/>
      </c>
      <c r="K19" s="36" t="str">
        <f aca="false">IFERROR(INDEX('Fund Research'!$P$6:$P$505,MATCH(14,'Fund Research'!$W$6:$W$505,0)),"")</f>
        <v/>
      </c>
      <c r="L19" s="34" t="str">
        <f aca="false">IFERROR(INDEX('Fund Research'!$S$6:$S$505,MATCH(14,'Fund Research'!$W$6:$W$505,0)),"")</f>
        <v/>
      </c>
      <c r="M19" s="34" t="str">
        <f aca="false">IFERROR(INDEX('Fund Research'!$T$6:$T$505,MATCH(14,'Fund Research'!$W$6:$W$505,0)),"")</f>
        <v/>
      </c>
    </row>
    <row r="20" customFormat="false" ht="15" hidden="false" customHeight="true" outlineLevel="0" collapsed="false">
      <c r="A20" s="33" t="str">
        <f aca="false">IFERROR(IF(INDEX('Fund Research'!$B$6:$B$505,MATCH(15,'Fund Research'!$W$6:$W$505,0))="","",15),"")</f>
        <v/>
      </c>
      <c r="B20" s="34" t="str">
        <f aca="false">IFERROR(INDEX('Fund Research'!$A$6:$A$505,MATCH(15,'Fund Research'!$W$6:$W$505,0)),"")</f>
        <v/>
      </c>
      <c r="C20" s="34" t="str">
        <f aca="false">IFERROR(INDEX('Fund Research'!$B$6:$B$505,MATCH(15,'Fund Research'!$W$6:$W$505,0)),"")</f>
        <v/>
      </c>
      <c r="D20" s="34" t="str">
        <f aca="false">IFERROR(INDEX('Fund Research'!$C$6:$C$505,MATCH(15,'Fund Research'!$W$6:$W$505,0)),"")</f>
        <v/>
      </c>
      <c r="E20" s="35" t="str">
        <f aca="false">IFERROR(INDEX('Fund Research'!$G$6:$G$505,MATCH(15,'Fund Research'!$W$6:$W$505,0)),"")</f>
        <v/>
      </c>
      <c r="F20" s="35" t="str">
        <f aca="false">IFERROR(INDEX('Fund Research'!$H$6:$H$505,MATCH(15,'Fund Research'!$W$6:$W$505,0)),"")</f>
        <v/>
      </c>
      <c r="G20" s="35" t="str">
        <f aca="false">IFERROR(INDEX('Fund Research'!$I$6:$I$505,MATCH(15,'Fund Research'!$W$6:$W$505,0)),"")</f>
        <v/>
      </c>
      <c r="H20" s="36" t="str">
        <f aca="false">IFERROR(INDEX('Fund Research'!$J$6:$J$505,MATCH(15,'Fund Research'!$W$6:$W$505,0)),"")</f>
        <v/>
      </c>
      <c r="I20" s="39" t="str">
        <f aca="false">IFERROR(INDEX('Fund Research'!$L$6:$L$505,MATCH(15,'Fund Research'!$W$6:$W$505,0)),"")</f>
        <v/>
      </c>
      <c r="J20" s="36" t="str">
        <f aca="false">IFERROR(INDEX('Fund Research'!$N$6:$N$505,MATCH(15,'Fund Research'!$W$6:$W$505,0)),"")</f>
        <v/>
      </c>
      <c r="K20" s="36" t="str">
        <f aca="false">IFERROR(INDEX('Fund Research'!$P$6:$P$505,MATCH(15,'Fund Research'!$W$6:$W$505,0)),"")</f>
        <v/>
      </c>
      <c r="L20" s="34" t="str">
        <f aca="false">IFERROR(INDEX('Fund Research'!$S$6:$S$505,MATCH(15,'Fund Research'!$W$6:$W$505,0)),"")</f>
        <v/>
      </c>
      <c r="M20" s="34" t="str">
        <f aca="false">IFERROR(INDEX('Fund Research'!$T$6:$T$505,MATCH(15,'Fund Research'!$W$6:$W$505,0)),"")</f>
        <v/>
      </c>
    </row>
    <row r="21" customFormat="false" ht="15" hidden="false" customHeight="true" outlineLevel="0" collapsed="false">
      <c r="A21" s="33" t="str">
        <f aca="false">IFERROR(IF(INDEX('Fund Research'!$B$6:$B$505,MATCH(16,'Fund Research'!$W$6:$W$505,0))="","",16),"")</f>
        <v/>
      </c>
      <c r="B21" s="34" t="str">
        <f aca="false">IFERROR(INDEX('Fund Research'!$A$6:$A$505,MATCH(16,'Fund Research'!$W$6:$W$505,0)),"")</f>
        <v/>
      </c>
      <c r="C21" s="34" t="str">
        <f aca="false">IFERROR(INDEX('Fund Research'!$B$6:$B$505,MATCH(16,'Fund Research'!$W$6:$W$505,0)),"")</f>
        <v/>
      </c>
      <c r="D21" s="34" t="str">
        <f aca="false">IFERROR(INDEX('Fund Research'!$C$6:$C$505,MATCH(16,'Fund Research'!$W$6:$W$505,0)),"")</f>
        <v/>
      </c>
      <c r="E21" s="35" t="str">
        <f aca="false">IFERROR(INDEX('Fund Research'!$G$6:$G$505,MATCH(16,'Fund Research'!$W$6:$W$505,0)),"")</f>
        <v/>
      </c>
      <c r="F21" s="35" t="str">
        <f aca="false">IFERROR(INDEX('Fund Research'!$H$6:$H$505,MATCH(16,'Fund Research'!$W$6:$W$505,0)),"")</f>
        <v/>
      </c>
      <c r="G21" s="35" t="str">
        <f aca="false">IFERROR(INDEX('Fund Research'!$I$6:$I$505,MATCH(16,'Fund Research'!$W$6:$W$505,0)),"")</f>
        <v/>
      </c>
      <c r="H21" s="36" t="str">
        <f aca="false">IFERROR(INDEX('Fund Research'!$J$6:$J$505,MATCH(16,'Fund Research'!$W$6:$W$505,0)),"")</f>
        <v/>
      </c>
      <c r="I21" s="39" t="str">
        <f aca="false">IFERROR(INDEX('Fund Research'!$L$6:$L$505,MATCH(16,'Fund Research'!$W$6:$W$505,0)),"")</f>
        <v/>
      </c>
      <c r="J21" s="36" t="str">
        <f aca="false">IFERROR(INDEX('Fund Research'!$N$6:$N$505,MATCH(16,'Fund Research'!$W$6:$W$505,0)),"")</f>
        <v/>
      </c>
      <c r="K21" s="36" t="str">
        <f aca="false">IFERROR(INDEX('Fund Research'!$P$6:$P$505,MATCH(16,'Fund Research'!$W$6:$W$505,0)),"")</f>
        <v/>
      </c>
      <c r="L21" s="34" t="str">
        <f aca="false">IFERROR(INDEX('Fund Research'!$S$6:$S$505,MATCH(16,'Fund Research'!$W$6:$W$505,0)),"")</f>
        <v/>
      </c>
      <c r="M21" s="34" t="str">
        <f aca="false">IFERROR(INDEX('Fund Research'!$T$6:$T$505,MATCH(16,'Fund Research'!$W$6:$W$505,0)),"")</f>
        <v/>
      </c>
    </row>
    <row r="22" customFormat="false" ht="15" hidden="false" customHeight="true" outlineLevel="0" collapsed="false">
      <c r="A22" s="33" t="str">
        <f aca="false">IFERROR(IF(INDEX('Fund Research'!$B$6:$B$505,MATCH(17,'Fund Research'!$W$6:$W$505,0))="","",17),"")</f>
        <v/>
      </c>
      <c r="B22" s="34" t="str">
        <f aca="false">IFERROR(INDEX('Fund Research'!$A$6:$A$505,MATCH(17,'Fund Research'!$W$6:$W$505,0)),"")</f>
        <v/>
      </c>
      <c r="C22" s="34" t="str">
        <f aca="false">IFERROR(INDEX('Fund Research'!$B$6:$B$505,MATCH(17,'Fund Research'!$W$6:$W$505,0)),"")</f>
        <v/>
      </c>
      <c r="D22" s="34" t="str">
        <f aca="false">IFERROR(INDEX('Fund Research'!$C$6:$C$505,MATCH(17,'Fund Research'!$W$6:$W$505,0)),"")</f>
        <v/>
      </c>
      <c r="E22" s="35" t="str">
        <f aca="false">IFERROR(INDEX('Fund Research'!$G$6:$G$505,MATCH(17,'Fund Research'!$W$6:$W$505,0)),"")</f>
        <v/>
      </c>
      <c r="F22" s="35" t="str">
        <f aca="false">IFERROR(INDEX('Fund Research'!$H$6:$H$505,MATCH(17,'Fund Research'!$W$6:$W$505,0)),"")</f>
        <v/>
      </c>
      <c r="G22" s="35" t="str">
        <f aca="false">IFERROR(INDEX('Fund Research'!$I$6:$I$505,MATCH(17,'Fund Research'!$W$6:$W$505,0)),"")</f>
        <v/>
      </c>
      <c r="H22" s="36" t="str">
        <f aca="false">IFERROR(INDEX('Fund Research'!$J$6:$J$505,MATCH(17,'Fund Research'!$W$6:$W$505,0)),"")</f>
        <v/>
      </c>
      <c r="I22" s="39" t="str">
        <f aca="false">IFERROR(INDEX('Fund Research'!$L$6:$L$505,MATCH(17,'Fund Research'!$W$6:$W$505,0)),"")</f>
        <v/>
      </c>
      <c r="J22" s="36" t="str">
        <f aca="false">IFERROR(INDEX('Fund Research'!$N$6:$N$505,MATCH(17,'Fund Research'!$W$6:$W$505,0)),"")</f>
        <v/>
      </c>
      <c r="K22" s="36" t="str">
        <f aca="false">IFERROR(INDEX('Fund Research'!$P$6:$P$505,MATCH(17,'Fund Research'!$W$6:$W$505,0)),"")</f>
        <v/>
      </c>
      <c r="L22" s="34" t="str">
        <f aca="false">IFERROR(INDEX('Fund Research'!$S$6:$S$505,MATCH(17,'Fund Research'!$W$6:$W$505,0)),"")</f>
        <v/>
      </c>
      <c r="M22" s="34" t="str">
        <f aca="false">IFERROR(INDEX('Fund Research'!$T$6:$T$505,MATCH(17,'Fund Research'!$W$6:$W$505,0)),"")</f>
        <v/>
      </c>
    </row>
    <row r="23" customFormat="false" ht="15" hidden="false" customHeight="true" outlineLevel="0" collapsed="false">
      <c r="A23" s="33" t="str">
        <f aca="false">IFERROR(IF(INDEX('Fund Research'!$B$6:$B$505,MATCH(18,'Fund Research'!$W$6:$W$505,0))="","",18),"")</f>
        <v/>
      </c>
      <c r="B23" s="34" t="str">
        <f aca="false">IFERROR(INDEX('Fund Research'!$A$6:$A$505,MATCH(18,'Fund Research'!$W$6:$W$505,0)),"")</f>
        <v/>
      </c>
      <c r="C23" s="34" t="str">
        <f aca="false">IFERROR(INDEX('Fund Research'!$B$6:$B$505,MATCH(18,'Fund Research'!$W$6:$W$505,0)),"")</f>
        <v/>
      </c>
      <c r="D23" s="34" t="str">
        <f aca="false">IFERROR(INDEX('Fund Research'!$C$6:$C$505,MATCH(18,'Fund Research'!$W$6:$W$505,0)),"")</f>
        <v/>
      </c>
      <c r="E23" s="35" t="str">
        <f aca="false">IFERROR(INDEX('Fund Research'!$G$6:$G$505,MATCH(18,'Fund Research'!$W$6:$W$505,0)),"")</f>
        <v/>
      </c>
      <c r="F23" s="35" t="str">
        <f aca="false">IFERROR(INDEX('Fund Research'!$H$6:$H$505,MATCH(18,'Fund Research'!$W$6:$W$505,0)),"")</f>
        <v/>
      </c>
      <c r="G23" s="35" t="str">
        <f aca="false">IFERROR(INDEX('Fund Research'!$I$6:$I$505,MATCH(18,'Fund Research'!$W$6:$W$505,0)),"")</f>
        <v/>
      </c>
      <c r="H23" s="36" t="str">
        <f aca="false">IFERROR(INDEX('Fund Research'!$J$6:$J$505,MATCH(18,'Fund Research'!$W$6:$W$505,0)),"")</f>
        <v/>
      </c>
      <c r="I23" s="39" t="str">
        <f aca="false">IFERROR(INDEX('Fund Research'!$L$6:$L$505,MATCH(18,'Fund Research'!$W$6:$W$505,0)),"")</f>
        <v/>
      </c>
      <c r="J23" s="36" t="str">
        <f aca="false">IFERROR(INDEX('Fund Research'!$N$6:$N$505,MATCH(18,'Fund Research'!$W$6:$W$505,0)),"")</f>
        <v/>
      </c>
      <c r="K23" s="36" t="str">
        <f aca="false">IFERROR(INDEX('Fund Research'!$P$6:$P$505,MATCH(18,'Fund Research'!$W$6:$W$505,0)),"")</f>
        <v/>
      </c>
      <c r="L23" s="34" t="str">
        <f aca="false">IFERROR(INDEX('Fund Research'!$S$6:$S$505,MATCH(18,'Fund Research'!$W$6:$W$505,0)),"")</f>
        <v/>
      </c>
      <c r="M23" s="34" t="str">
        <f aca="false">IFERROR(INDEX('Fund Research'!$T$6:$T$505,MATCH(18,'Fund Research'!$W$6:$W$505,0)),"")</f>
        <v/>
      </c>
    </row>
    <row r="24" customFormat="false" ht="15" hidden="false" customHeight="true" outlineLevel="0" collapsed="false">
      <c r="A24" s="33" t="str">
        <f aca="false">IFERROR(IF(INDEX('Fund Research'!$B$6:$B$505,MATCH(19,'Fund Research'!$W$6:$W$505,0))="","",19),"")</f>
        <v/>
      </c>
      <c r="B24" s="34" t="str">
        <f aca="false">IFERROR(INDEX('Fund Research'!$A$6:$A$505,MATCH(19,'Fund Research'!$W$6:$W$505,0)),"")</f>
        <v/>
      </c>
      <c r="C24" s="34" t="str">
        <f aca="false">IFERROR(INDEX('Fund Research'!$B$6:$B$505,MATCH(19,'Fund Research'!$W$6:$W$505,0)),"")</f>
        <v/>
      </c>
      <c r="D24" s="34" t="str">
        <f aca="false">IFERROR(INDEX('Fund Research'!$C$6:$C$505,MATCH(19,'Fund Research'!$W$6:$W$505,0)),"")</f>
        <v/>
      </c>
      <c r="E24" s="35" t="str">
        <f aca="false">IFERROR(INDEX('Fund Research'!$G$6:$G$505,MATCH(19,'Fund Research'!$W$6:$W$505,0)),"")</f>
        <v/>
      </c>
      <c r="F24" s="35" t="str">
        <f aca="false">IFERROR(INDEX('Fund Research'!$H$6:$H$505,MATCH(19,'Fund Research'!$W$6:$W$505,0)),"")</f>
        <v/>
      </c>
      <c r="G24" s="35" t="str">
        <f aca="false">IFERROR(INDEX('Fund Research'!$I$6:$I$505,MATCH(19,'Fund Research'!$W$6:$W$505,0)),"")</f>
        <v/>
      </c>
      <c r="H24" s="36" t="str">
        <f aca="false">IFERROR(INDEX('Fund Research'!$J$6:$J$505,MATCH(19,'Fund Research'!$W$6:$W$505,0)),"")</f>
        <v/>
      </c>
      <c r="I24" s="39" t="str">
        <f aca="false">IFERROR(INDEX('Fund Research'!$L$6:$L$505,MATCH(19,'Fund Research'!$W$6:$W$505,0)),"")</f>
        <v/>
      </c>
      <c r="J24" s="36" t="str">
        <f aca="false">IFERROR(INDEX('Fund Research'!$N$6:$N$505,MATCH(19,'Fund Research'!$W$6:$W$505,0)),"")</f>
        <v/>
      </c>
      <c r="K24" s="36" t="str">
        <f aca="false">IFERROR(INDEX('Fund Research'!$P$6:$P$505,MATCH(19,'Fund Research'!$W$6:$W$505,0)),"")</f>
        <v/>
      </c>
      <c r="L24" s="34" t="str">
        <f aca="false">IFERROR(INDEX('Fund Research'!$S$6:$S$505,MATCH(19,'Fund Research'!$W$6:$W$505,0)),"")</f>
        <v/>
      </c>
      <c r="M24" s="34" t="str">
        <f aca="false">IFERROR(INDEX('Fund Research'!$T$6:$T$505,MATCH(19,'Fund Research'!$W$6:$W$505,0)),"")</f>
        <v/>
      </c>
    </row>
    <row r="25" customFormat="false" ht="15" hidden="false" customHeight="true" outlineLevel="0" collapsed="false">
      <c r="A25" s="33" t="str">
        <f aca="false">IFERROR(IF(INDEX('Fund Research'!$B$6:$B$505,MATCH(20,'Fund Research'!$W$6:$W$505,0))="","",20),"")</f>
        <v/>
      </c>
      <c r="B25" s="34" t="str">
        <f aca="false">IFERROR(INDEX('Fund Research'!$A$6:$A$505,MATCH(20,'Fund Research'!$W$6:$W$505,0)),"")</f>
        <v/>
      </c>
      <c r="C25" s="34" t="str">
        <f aca="false">IFERROR(INDEX('Fund Research'!$B$6:$B$505,MATCH(20,'Fund Research'!$W$6:$W$505,0)),"")</f>
        <v/>
      </c>
      <c r="D25" s="34" t="str">
        <f aca="false">IFERROR(INDEX('Fund Research'!$C$6:$C$505,MATCH(20,'Fund Research'!$W$6:$W$505,0)),"")</f>
        <v/>
      </c>
      <c r="E25" s="35" t="str">
        <f aca="false">IFERROR(INDEX('Fund Research'!$G$6:$G$505,MATCH(20,'Fund Research'!$W$6:$W$505,0)),"")</f>
        <v/>
      </c>
      <c r="F25" s="35" t="str">
        <f aca="false">IFERROR(INDEX('Fund Research'!$H$6:$H$505,MATCH(20,'Fund Research'!$W$6:$W$505,0)),"")</f>
        <v/>
      </c>
      <c r="G25" s="35" t="str">
        <f aca="false">IFERROR(INDEX('Fund Research'!$I$6:$I$505,MATCH(20,'Fund Research'!$W$6:$W$505,0)),"")</f>
        <v/>
      </c>
      <c r="H25" s="36" t="str">
        <f aca="false">IFERROR(INDEX('Fund Research'!$J$6:$J$505,MATCH(20,'Fund Research'!$W$6:$W$505,0)),"")</f>
        <v/>
      </c>
      <c r="I25" s="39" t="str">
        <f aca="false">IFERROR(INDEX('Fund Research'!$L$6:$L$505,MATCH(20,'Fund Research'!$W$6:$W$505,0)),"")</f>
        <v/>
      </c>
      <c r="J25" s="36" t="str">
        <f aca="false">IFERROR(INDEX('Fund Research'!$N$6:$N$505,MATCH(20,'Fund Research'!$W$6:$W$505,0)),"")</f>
        <v/>
      </c>
      <c r="K25" s="36" t="str">
        <f aca="false">IFERROR(INDEX('Fund Research'!$P$6:$P$505,MATCH(20,'Fund Research'!$W$6:$W$505,0)),"")</f>
        <v/>
      </c>
      <c r="L25" s="34" t="str">
        <f aca="false">IFERROR(INDEX('Fund Research'!$S$6:$S$505,MATCH(20,'Fund Research'!$W$6:$W$505,0)),"")</f>
        <v/>
      </c>
      <c r="M25" s="34" t="str">
        <f aca="false">IFERROR(INDEX('Fund Research'!$T$6:$T$505,MATCH(20,'Fund Research'!$W$6:$W$505,0)),"")</f>
        <v/>
      </c>
    </row>
    <row r="26" customFormat="false" ht="15" hidden="false" customHeight="true" outlineLevel="0" collapsed="false">
      <c r="A26" s="33" t="str">
        <f aca="false">IFERROR(IF(INDEX('Fund Research'!$B$6:$B$505,MATCH(21,'Fund Research'!$W$6:$W$505,0))="","",21),"")</f>
        <v/>
      </c>
      <c r="B26" s="34" t="str">
        <f aca="false">IFERROR(INDEX('Fund Research'!$A$6:$A$505,MATCH(21,'Fund Research'!$W$6:$W$505,0)),"")</f>
        <v/>
      </c>
      <c r="C26" s="34" t="str">
        <f aca="false">IFERROR(INDEX('Fund Research'!$B$6:$B$505,MATCH(21,'Fund Research'!$W$6:$W$505,0)),"")</f>
        <v/>
      </c>
      <c r="D26" s="34" t="str">
        <f aca="false">IFERROR(INDEX('Fund Research'!$C$6:$C$505,MATCH(21,'Fund Research'!$W$6:$W$505,0)),"")</f>
        <v/>
      </c>
      <c r="E26" s="35" t="str">
        <f aca="false">IFERROR(INDEX('Fund Research'!$G$6:$G$505,MATCH(21,'Fund Research'!$W$6:$W$505,0)),"")</f>
        <v/>
      </c>
      <c r="F26" s="35" t="str">
        <f aca="false">IFERROR(INDEX('Fund Research'!$H$6:$H$505,MATCH(21,'Fund Research'!$W$6:$W$505,0)),"")</f>
        <v/>
      </c>
      <c r="G26" s="35" t="str">
        <f aca="false">IFERROR(INDEX('Fund Research'!$I$6:$I$505,MATCH(21,'Fund Research'!$W$6:$W$505,0)),"")</f>
        <v/>
      </c>
      <c r="H26" s="36" t="str">
        <f aca="false">IFERROR(INDEX('Fund Research'!$J$6:$J$505,MATCH(21,'Fund Research'!$W$6:$W$505,0)),"")</f>
        <v/>
      </c>
      <c r="I26" s="39" t="str">
        <f aca="false">IFERROR(INDEX('Fund Research'!$L$6:$L$505,MATCH(21,'Fund Research'!$W$6:$W$505,0)),"")</f>
        <v/>
      </c>
      <c r="J26" s="36" t="str">
        <f aca="false">IFERROR(INDEX('Fund Research'!$N$6:$N$505,MATCH(21,'Fund Research'!$W$6:$W$505,0)),"")</f>
        <v/>
      </c>
      <c r="K26" s="36" t="str">
        <f aca="false">IFERROR(INDEX('Fund Research'!$P$6:$P$505,MATCH(21,'Fund Research'!$W$6:$W$505,0)),"")</f>
        <v/>
      </c>
      <c r="L26" s="34" t="str">
        <f aca="false">IFERROR(INDEX('Fund Research'!$S$6:$S$505,MATCH(21,'Fund Research'!$W$6:$W$505,0)),"")</f>
        <v/>
      </c>
      <c r="M26" s="34" t="str">
        <f aca="false">IFERROR(INDEX('Fund Research'!$T$6:$T$505,MATCH(21,'Fund Research'!$W$6:$W$505,0)),"")</f>
        <v/>
      </c>
    </row>
    <row r="27" customFormat="false" ht="15" hidden="false" customHeight="true" outlineLevel="0" collapsed="false">
      <c r="A27" s="33" t="str">
        <f aca="false">IFERROR(IF(INDEX('Fund Research'!$B$6:$B$505,MATCH(22,'Fund Research'!$W$6:$W$505,0))="","",22),"")</f>
        <v/>
      </c>
      <c r="B27" s="34" t="str">
        <f aca="false">IFERROR(INDEX('Fund Research'!$A$6:$A$505,MATCH(22,'Fund Research'!$W$6:$W$505,0)),"")</f>
        <v/>
      </c>
      <c r="C27" s="34" t="str">
        <f aca="false">IFERROR(INDEX('Fund Research'!$B$6:$B$505,MATCH(22,'Fund Research'!$W$6:$W$505,0)),"")</f>
        <v/>
      </c>
      <c r="D27" s="34" t="str">
        <f aca="false">IFERROR(INDEX('Fund Research'!$C$6:$C$505,MATCH(22,'Fund Research'!$W$6:$W$505,0)),"")</f>
        <v/>
      </c>
      <c r="E27" s="35" t="str">
        <f aca="false">IFERROR(INDEX('Fund Research'!$G$6:$G$505,MATCH(22,'Fund Research'!$W$6:$W$505,0)),"")</f>
        <v/>
      </c>
      <c r="F27" s="35" t="str">
        <f aca="false">IFERROR(INDEX('Fund Research'!$H$6:$H$505,MATCH(22,'Fund Research'!$W$6:$W$505,0)),"")</f>
        <v/>
      </c>
      <c r="G27" s="35" t="str">
        <f aca="false">IFERROR(INDEX('Fund Research'!$I$6:$I$505,MATCH(22,'Fund Research'!$W$6:$W$505,0)),"")</f>
        <v/>
      </c>
      <c r="H27" s="36" t="str">
        <f aca="false">IFERROR(INDEX('Fund Research'!$J$6:$J$505,MATCH(22,'Fund Research'!$W$6:$W$505,0)),"")</f>
        <v/>
      </c>
      <c r="I27" s="39" t="str">
        <f aca="false">IFERROR(INDEX('Fund Research'!$L$6:$L$505,MATCH(22,'Fund Research'!$W$6:$W$505,0)),"")</f>
        <v/>
      </c>
      <c r="J27" s="36" t="str">
        <f aca="false">IFERROR(INDEX('Fund Research'!$N$6:$N$505,MATCH(22,'Fund Research'!$W$6:$W$505,0)),"")</f>
        <v/>
      </c>
      <c r="K27" s="36" t="str">
        <f aca="false">IFERROR(INDEX('Fund Research'!$P$6:$P$505,MATCH(22,'Fund Research'!$W$6:$W$505,0)),"")</f>
        <v/>
      </c>
      <c r="L27" s="34" t="str">
        <f aca="false">IFERROR(INDEX('Fund Research'!$S$6:$S$505,MATCH(22,'Fund Research'!$W$6:$W$505,0)),"")</f>
        <v/>
      </c>
      <c r="M27" s="34" t="str">
        <f aca="false">IFERROR(INDEX('Fund Research'!$T$6:$T$505,MATCH(22,'Fund Research'!$W$6:$W$505,0)),"")</f>
        <v/>
      </c>
    </row>
    <row r="28" customFormat="false" ht="15" hidden="false" customHeight="true" outlineLevel="0" collapsed="false">
      <c r="A28" s="33" t="str">
        <f aca="false">IFERROR(IF(INDEX('Fund Research'!$B$6:$B$505,MATCH(23,'Fund Research'!$W$6:$W$505,0))="","",23),"")</f>
        <v/>
      </c>
      <c r="B28" s="34" t="str">
        <f aca="false">IFERROR(INDEX('Fund Research'!$A$6:$A$505,MATCH(23,'Fund Research'!$W$6:$W$505,0)),"")</f>
        <v/>
      </c>
      <c r="C28" s="34" t="str">
        <f aca="false">IFERROR(INDEX('Fund Research'!$B$6:$B$505,MATCH(23,'Fund Research'!$W$6:$W$505,0)),"")</f>
        <v/>
      </c>
      <c r="D28" s="34" t="str">
        <f aca="false">IFERROR(INDEX('Fund Research'!$C$6:$C$505,MATCH(23,'Fund Research'!$W$6:$W$505,0)),"")</f>
        <v/>
      </c>
      <c r="E28" s="35" t="str">
        <f aca="false">IFERROR(INDEX('Fund Research'!$G$6:$G$505,MATCH(23,'Fund Research'!$W$6:$W$505,0)),"")</f>
        <v/>
      </c>
      <c r="F28" s="35" t="str">
        <f aca="false">IFERROR(INDEX('Fund Research'!$H$6:$H$505,MATCH(23,'Fund Research'!$W$6:$W$505,0)),"")</f>
        <v/>
      </c>
      <c r="G28" s="35" t="str">
        <f aca="false">IFERROR(INDEX('Fund Research'!$I$6:$I$505,MATCH(23,'Fund Research'!$W$6:$W$505,0)),"")</f>
        <v/>
      </c>
      <c r="H28" s="36" t="str">
        <f aca="false">IFERROR(INDEX('Fund Research'!$J$6:$J$505,MATCH(23,'Fund Research'!$W$6:$W$505,0)),"")</f>
        <v/>
      </c>
      <c r="I28" s="39" t="str">
        <f aca="false">IFERROR(INDEX('Fund Research'!$L$6:$L$505,MATCH(23,'Fund Research'!$W$6:$W$505,0)),"")</f>
        <v/>
      </c>
      <c r="J28" s="36" t="str">
        <f aca="false">IFERROR(INDEX('Fund Research'!$N$6:$N$505,MATCH(23,'Fund Research'!$W$6:$W$505,0)),"")</f>
        <v/>
      </c>
      <c r="K28" s="36" t="str">
        <f aca="false">IFERROR(INDEX('Fund Research'!$P$6:$P$505,MATCH(23,'Fund Research'!$W$6:$W$505,0)),"")</f>
        <v/>
      </c>
      <c r="L28" s="34" t="str">
        <f aca="false">IFERROR(INDEX('Fund Research'!$S$6:$S$505,MATCH(23,'Fund Research'!$W$6:$W$505,0)),"")</f>
        <v/>
      </c>
      <c r="M28" s="34" t="str">
        <f aca="false">IFERROR(INDEX('Fund Research'!$T$6:$T$505,MATCH(23,'Fund Research'!$W$6:$W$505,0)),"")</f>
        <v/>
      </c>
    </row>
    <row r="29" customFormat="false" ht="15" hidden="false" customHeight="true" outlineLevel="0" collapsed="false">
      <c r="A29" s="33" t="str">
        <f aca="false">IFERROR(IF(INDEX('Fund Research'!$B$6:$B$505,MATCH(24,'Fund Research'!$W$6:$W$505,0))="","",24),"")</f>
        <v/>
      </c>
      <c r="B29" s="34" t="str">
        <f aca="false">IFERROR(INDEX('Fund Research'!$A$6:$A$505,MATCH(24,'Fund Research'!$W$6:$W$505,0)),"")</f>
        <v/>
      </c>
      <c r="C29" s="34" t="str">
        <f aca="false">IFERROR(INDEX('Fund Research'!$B$6:$B$505,MATCH(24,'Fund Research'!$W$6:$W$505,0)),"")</f>
        <v/>
      </c>
      <c r="D29" s="34" t="str">
        <f aca="false">IFERROR(INDEX('Fund Research'!$C$6:$C$505,MATCH(24,'Fund Research'!$W$6:$W$505,0)),"")</f>
        <v/>
      </c>
      <c r="E29" s="35" t="str">
        <f aca="false">IFERROR(INDEX('Fund Research'!$G$6:$G$505,MATCH(24,'Fund Research'!$W$6:$W$505,0)),"")</f>
        <v/>
      </c>
      <c r="F29" s="35" t="str">
        <f aca="false">IFERROR(INDEX('Fund Research'!$H$6:$H$505,MATCH(24,'Fund Research'!$W$6:$W$505,0)),"")</f>
        <v/>
      </c>
      <c r="G29" s="35" t="str">
        <f aca="false">IFERROR(INDEX('Fund Research'!$I$6:$I$505,MATCH(24,'Fund Research'!$W$6:$W$505,0)),"")</f>
        <v/>
      </c>
      <c r="H29" s="36" t="str">
        <f aca="false">IFERROR(INDEX('Fund Research'!$J$6:$J$505,MATCH(24,'Fund Research'!$W$6:$W$505,0)),"")</f>
        <v/>
      </c>
      <c r="I29" s="39" t="str">
        <f aca="false">IFERROR(INDEX('Fund Research'!$L$6:$L$505,MATCH(24,'Fund Research'!$W$6:$W$505,0)),"")</f>
        <v/>
      </c>
      <c r="J29" s="36" t="str">
        <f aca="false">IFERROR(INDEX('Fund Research'!$N$6:$N$505,MATCH(24,'Fund Research'!$W$6:$W$505,0)),"")</f>
        <v/>
      </c>
      <c r="K29" s="36" t="str">
        <f aca="false">IFERROR(INDEX('Fund Research'!$P$6:$P$505,MATCH(24,'Fund Research'!$W$6:$W$505,0)),"")</f>
        <v/>
      </c>
      <c r="L29" s="34" t="str">
        <f aca="false">IFERROR(INDEX('Fund Research'!$S$6:$S$505,MATCH(24,'Fund Research'!$W$6:$W$505,0)),"")</f>
        <v/>
      </c>
      <c r="M29" s="34" t="str">
        <f aca="false">IFERROR(INDEX('Fund Research'!$T$6:$T$505,MATCH(24,'Fund Research'!$W$6:$W$505,0)),"")</f>
        <v/>
      </c>
    </row>
    <row r="30" customFormat="false" ht="15" hidden="false" customHeight="true" outlineLevel="0" collapsed="false">
      <c r="A30" s="33" t="str">
        <f aca="false">IFERROR(IF(INDEX('Fund Research'!$B$6:$B$505,MATCH(25,'Fund Research'!$W$6:$W$505,0))="","",25),"")</f>
        <v/>
      </c>
      <c r="B30" s="34" t="str">
        <f aca="false">IFERROR(INDEX('Fund Research'!$A$6:$A$505,MATCH(25,'Fund Research'!$W$6:$W$505,0)),"")</f>
        <v/>
      </c>
      <c r="C30" s="34" t="str">
        <f aca="false">IFERROR(INDEX('Fund Research'!$B$6:$B$505,MATCH(25,'Fund Research'!$W$6:$W$505,0)),"")</f>
        <v/>
      </c>
      <c r="D30" s="34" t="str">
        <f aca="false">IFERROR(INDEX('Fund Research'!$C$6:$C$505,MATCH(25,'Fund Research'!$W$6:$W$505,0)),"")</f>
        <v/>
      </c>
      <c r="E30" s="35" t="str">
        <f aca="false">IFERROR(INDEX('Fund Research'!$G$6:$G$505,MATCH(25,'Fund Research'!$W$6:$W$505,0)),"")</f>
        <v/>
      </c>
      <c r="F30" s="35" t="str">
        <f aca="false">IFERROR(INDEX('Fund Research'!$H$6:$H$505,MATCH(25,'Fund Research'!$W$6:$W$505,0)),"")</f>
        <v/>
      </c>
      <c r="G30" s="35" t="str">
        <f aca="false">IFERROR(INDEX('Fund Research'!$I$6:$I$505,MATCH(25,'Fund Research'!$W$6:$W$505,0)),"")</f>
        <v/>
      </c>
      <c r="H30" s="36" t="str">
        <f aca="false">IFERROR(INDEX('Fund Research'!$J$6:$J$505,MATCH(25,'Fund Research'!$W$6:$W$505,0)),"")</f>
        <v/>
      </c>
      <c r="I30" s="39" t="str">
        <f aca="false">IFERROR(INDEX('Fund Research'!$L$6:$L$505,MATCH(25,'Fund Research'!$W$6:$W$505,0)),"")</f>
        <v/>
      </c>
      <c r="J30" s="36" t="str">
        <f aca="false">IFERROR(INDEX('Fund Research'!$N$6:$N$505,MATCH(25,'Fund Research'!$W$6:$W$505,0)),"")</f>
        <v/>
      </c>
      <c r="K30" s="36" t="str">
        <f aca="false">IFERROR(INDEX('Fund Research'!$P$6:$P$505,MATCH(25,'Fund Research'!$W$6:$W$505,0)),"")</f>
        <v/>
      </c>
      <c r="L30" s="34" t="str">
        <f aca="false">IFERROR(INDEX('Fund Research'!$S$6:$S$505,MATCH(25,'Fund Research'!$W$6:$W$505,0)),"")</f>
        <v/>
      </c>
      <c r="M30" s="34" t="str">
        <f aca="false">IFERROR(INDEX('Fund Research'!$T$6:$T$505,MATCH(25,'Fund Research'!$W$6:$W$505,0)),"")</f>
        <v/>
      </c>
    </row>
    <row r="31" customFormat="false" ht="15" hidden="false" customHeight="true" outlineLevel="0" collapsed="false">
      <c r="A31" s="33" t="str">
        <f aca="false">IFERROR(IF(INDEX('Fund Research'!$B$6:$B$505,MATCH(26,'Fund Research'!$W$6:$W$505,0))="","",26),"")</f>
        <v/>
      </c>
      <c r="B31" s="34" t="str">
        <f aca="false">IFERROR(INDEX('Fund Research'!$A$6:$A$505,MATCH(26,'Fund Research'!$W$6:$W$505,0)),"")</f>
        <v/>
      </c>
      <c r="C31" s="34" t="str">
        <f aca="false">IFERROR(INDEX('Fund Research'!$B$6:$B$505,MATCH(26,'Fund Research'!$W$6:$W$505,0)),"")</f>
        <v/>
      </c>
      <c r="D31" s="34" t="str">
        <f aca="false">IFERROR(INDEX('Fund Research'!$C$6:$C$505,MATCH(26,'Fund Research'!$W$6:$W$505,0)),"")</f>
        <v/>
      </c>
      <c r="E31" s="35" t="str">
        <f aca="false">IFERROR(INDEX('Fund Research'!$G$6:$G$505,MATCH(26,'Fund Research'!$W$6:$W$505,0)),"")</f>
        <v/>
      </c>
      <c r="F31" s="35" t="str">
        <f aca="false">IFERROR(INDEX('Fund Research'!$H$6:$H$505,MATCH(26,'Fund Research'!$W$6:$W$505,0)),"")</f>
        <v/>
      </c>
      <c r="G31" s="35" t="str">
        <f aca="false">IFERROR(INDEX('Fund Research'!$I$6:$I$505,MATCH(26,'Fund Research'!$W$6:$W$505,0)),"")</f>
        <v/>
      </c>
      <c r="H31" s="36" t="str">
        <f aca="false">IFERROR(INDEX('Fund Research'!$J$6:$J$505,MATCH(26,'Fund Research'!$W$6:$W$505,0)),"")</f>
        <v/>
      </c>
      <c r="I31" s="39" t="str">
        <f aca="false">IFERROR(INDEX('Fund Research'!$L$6:$L$505,MATCH(26,'Fund Research'!$W$6:$W$505,0)),"")</f>
        <v/>
      </c>
      <c r="J31" s="36" t="str">
        <f aca="false">IFERROR(INDEX('Fund Research'!$N$6:$N$505,MATCH(26,'Fund Research'!$W$6:$W$505,0)),"")</f>
        <v/>
      </c>
      <c r="K31" s="36" t="str">
        <f aca="false">IFERROR(INDEX('Fund Research'!$P$6:$P$505,MATCH(26,'Fund Research'!$W$6:$W$505,0)),"")</f>
        <v/>
      </c>
      <c r="L31" s="34" t="str">
        <f aca="false">IFERROR(INDEX('Fund Research'!$S$6:$S$505,MATCH(26,'Fund Research'!$W$6:$W$505,0)),"")</f>
        <v/>
      </c>
      <c r="M31" s="34" t="str">
        <f aca="false">IFERROR(INDEX('Fund Research'!$T$6:$T$505,MATCH(26,'Fund Research'!$W$6:$W$505,0)),"")</f>
        <v/>
      </c>
    </row>
    <row r="32" customFormat="false" ht="15" hidden="false" customHeight="true" outlineLevel="0" collapsed="false">
      <c r="A32" s="33" t="str">
        <f aca="false">IFERROR(IF(INDEX('Fund Research'!$B$6:$B$505,MATCH(27,'Fund Research'!$W$6:$W$505,0))="","",27),"")</f>
        <v/>
      </c>
      <c r="B32" s="34" t="str">
        <f aca="false">IFERROR(INDEX('Fund Research'!$A$6:$A$505,MATCH(27,'Fund Research'!$W$6:$W$505,0)),"")</f>
        <v/>
      </c>
      <c r="C32" s="34" t="str">
        <f aca="false">IFERROR(INDEX('Fund Research'!$B$6:$B$505,MATCH(27,'Fund Research'!$W$6:$W$505,0)),"")</f>
        <v/>
      </c>
      <c r="D32" s="34" t="str">
        <f aca="false">IFERROR(INDEX('Fund Research'!$C$6:$C$505,MATCH(27,'Fund Research'!$W$6:$W$505,0)),"")</f>
        <v/>
      </c>
      <c r="E32" s="35" t="str">
        <f aca="false">IFERROR(INDEX('Fund Research'!$G$6:$G$505,MATCH(27,'Fund Research'!$W$6:$W$505,0)),"")</f>
        <v/>
      </c>
      <c r="F32" s="35" t="str">
        <f aca="false">IFERROR(INDEX('Fund Research'!$H$6:$H$505,MATCH(27,'Fund Research'!$W$6:$W$505,0)),"")</f>
        <v/>
      </c>
      <c r="G32" s="35" t="str">
        <f aca="false">IFERROR(INDEX('Fund Research'!$I$6:$I$505,MATCH(27,'Fund Research'!$W$6:$W$505,0)),"")</f>
        <v/>
      </c>
      <c r="H32" s="36" t="str">
        <f aca="false">IFERROR(INDEX('Fund Research'!$J$6:$J$505,MATCH(27,'Fund Research'!$W$6:$W$505,0)),"")</f>
        <v/>
      </c>
      <c r="I32" s="39" t="str">
        <f aca="false">IFERROR(INDEX('Fund Research'!$L$6:$L$505,MATCH(27,'Fund Research'!$W$6:$W$505,0)),"")</f>
        <v/>
      </c>
      <c r="J32" s="36" t="str">
        <f aca="false">IFERROR(INDEX('Fund Research'!$N$6:$N$505,MATCH(27,'Fund Research'!$W$6:$W$505,0)),"")</f>
        <v/>
      </c>
      <c r="K32" s="36" t="str">
        <f aca="false">IFERROR(INDEX('Fund Research'!$P$6:$P$505,MATCH(27,'Fund Research'!$W$6:$W$505,0)),"")</f>
        <v/>
      </c>
      <c r="L32" s="34" t="str">
        <f aca="false">IFERROR(INDEX('Fund Research'!$S$6:$S$505,MATCH(27,'Fund Research'!$W$6:$W$505,0)),"")</f>
        <v/>
      </c>
      <c r="M32" s="34" t="str">
        <f aca="false">IFERROR(INDEX('Fund Research'!$T$6:$T$505,MATCH(27,'Fund Research'!$W$6:$W$505,0)),"")</f>
        <v/>
      </c>
    </row>
    <row r="33" customFormat="false" ht="15" hidden="false" customHeight="true" outlineLevel="0" collapsed="false">
      <c r="A33" s="33" t="str">
        <f aca="false">IFERROR(IF(INDEX('Fund Research'!$B$6:$B$505,MATCH(28,'Fund Research'!$W$6:$W$505,0))="","",28),"")</f>
        <v/>
      </c>
      <c r="B33" s="34" t="str">
        <f aca="false">IFERROR(INDEX('Fund Research'!$A$6:$A$505,MATCH(28,'Fund Research'!$W$6:$W$505,0)),"")</f>
        <v/>
      </c>
      <c r="C33" s="34" t="str">
        <f aca="false">IFERROR(INDEX('Fund Research'!$B$6:$B$505,MATCH(28,'Fund Research'!$W$6:$W$505,0)),"")</f>
        <v/>
      </c>
      <c r="D33" s="34" t="str">
        <f aca="false">IFERROR(INDEX('Fund Research'!$C$6:$C$505,MATCH(28,'Fund Research'!$W$6:$W$505,0)),"")</f>
        <v/>
      </c>
      <c r="E33" s="35" t="str">
        <f aca="false">IFERROR(INDEX('Fund Research'!$G$6:$G$505,MATCH(28,'Fund Research'!$W$6:$W$505,0)),"")</f>
        <v/>
      </c>
      <c r="F33" s="35" t="str">
        <f aca="false">IFERROR(INDEX('Fund Research'!$H$6:$H$505,MATCH(28,'Fund Research'!$W$6:$W$505,0)),"")</f>
        <v/>
      </c>
      <c r="G33" s="35" t="str">
        <f aca="false">IFERROR(INDEX('Fund Research'!$I$6:$I$505,MATCH(28,'Fund Research'!$W$6:$W$505,0)),"")</f>
        <v/>
      </c>
      <c r="H33" s="36" t="str">
        <f aca="false">IFERROR(INDEX('Fund Research'!$J$6:$J$505,MATCH(28,'Fund Research'!$W$6:$W$505,0)),"")</f>
        <v/>
      </c>
      <c r="I33" s="39" t="str">
        <f aca="false">IFERROR(INDEX('Fund Research'!$L$6:$L$505,MATCH(28,'Fund Research'!$W$6:$W$505,0)),"")</f>
        <v/>
      </c>
      <c r="J33" s="36" t="str">
        <f aca="false">IFERROR(INDEX('Fund Research'!$N$6:$N$505,MATCH(28,'Fund Research'!$W$6:$W$505,0)),"")</f>
        <v/>
      </c>
      <c r="K33" s="36" t="str">
        <f aca="false">IFERROR(INDEX('Fund Research'!$P$6:$P$505,MATCH(28,'Fund Research'!$W$6:$W$505,0)),"")</f>
        <v/>
      </c>
      <c r="L33" s="34" t="str">
        <f aca="false">IFERROR(INDEX('Fund Research'!$S$6:$S$505,MATCH(28,'Fund Research'!$W$6:$W$505,0)),"")</f>
        <v/>
      </c>
      <c r="M33" s="34" t="str">
        <f aca="false">IFERROR(INDEX('Fund Research'!$T$6:$T$505,MATCH(28,'Fund Research'!$W$6:$W$505,0)),"")</f>
        <v/>
      </c>
    </row>
    <row r="34" customFormat="false" ht="15" hidden="false" customHeight="true" outlineLevel="0" collapsed="false">
      <c r="A34" s="33" t="str">
        <f aca="false">IFERROR(IF(INDEX('Fund Research'!$B$6:$B$505,MATCH(29,'Fund Research'!$W$6:$W$505,0))="","",29),"")</f>
        <v/>
      </c>
      <c r="B34" s="34" t="str">
        <f aca="false">IFERROR(INDEX('Fund Research'!$A$6:$A$505,MATCH(29,'Fund Research'!$W$6:$W$505,0)),"")</f>
        <v/>
      </c>
      <c r="C34" s="34" t="str">
        <f aca="false">IFERROR(INDEX('Fund Research'!$B$6:$B$505,MATCH(29,'Fund Research'!$W$6:$W$505,0)),"")</f>
        <v/>
      </c>
      <c r="D34" s="34" t="str">
        <f aca="false">IFERROR(INDEX('Fund Research'!$C$6:$C$505,MATCH(29,'Fund Research'!$W$6:$W$505,0)),"")</f>
        <v/>
      </c>
      <c r="E34" s="35" t="str">
        <f aca="false">IFERROR(INDEX('Fund Research'!$G$6:$G$505,MATCH(29,'Fund Research'!$W$6:$W$505,0)),"")</f>
        <v/>
      </c>
      <c r="F34" s="35" t="str">
        <f aca="false">IFERROR(INDEX('Fund Research'!$H$6:$H$505,MATCH(29,'Fund Research'!$W$6:$W$505,0)),"")</f>
        <v/>
      </c>
      <c r="G34" s="35" t="str">
        <f aca="false">IFERROR(INDEX('Fund Research'!$I$6:$I$505,MATCH(29,'Fund Research'!$W$6:$W$505,0)),"")</f>
        <v/>
      </c>
      <c r="H34" s="36" t="str">
        <f aca="false">IFERROR(INDEX('Fund Research'!$J$6:$J$505,MATCH(29,'Fund Research'!$W$6:$W$505,0)),"")</f>
        <v/>
      </c>
      <c r="I34" s="39" t="str">
        <f aca="false">IFERROR(INDEX('Fund Research'!$L$6:$L$505,MATCH(29,'Fund Research'!$W$6:$W$505,0)),"")</f>
        <v/>
      </c>
      <c r="J34" s="36" t="str">
        <f aca="false">IFERROR(INDEX('Fund Research'!$N$6:$N$505,MATCH(29,'Fund Research'!$W$6:$W$505,0)),"")</f>
        <v/>
      </c>
      <c r="K34" s="36" t="str">
        <f aca="false">IFERROR(INDEX('Fund Research'!$P$6:$P$505,MATCH(29,'Fund Research'!$W$6:$W$505,0)),"")</f>
        <v/>
      </c>
      <c r="L34" s="34" t="str">
        <f aca="false">IFERROR(INDEX('Fund Research'!$S$6:$S$505,MATCH(29,'Fund Research'!$W$6:$W$505,0)),"")</f>
        <v/>
      </c>
      <c r="M34" s="34" t="str">
        <f aca="false">IFERROR(INDEX('Fund Research'!$T$6:$T$505,MATCH(29,'Fund Research'!$W$6:$W$505,0)),"")</f>
        <v/>
      </c>
    </row>
    <row r="35" customFormat="false" ht="15" hidden="false" customHeight="true" outlineLevel="0" collapsed="false">
      <c r="A35" s="33" t="str">
        <f aca="false">IFERROR(IF(INDEX('Fund Research'!$B$6:$B$505,MATCH(30,'Fund Research'!$W$6:$W$505,0))="","",30),"")</f>
        <v/>
      </c>
      <c r="B35" s="34" t="str">
        <f aca="false">IFERROR(INDEX('Fund Research'!$A$6:$A$505,MATCH(30,'Fund Research'!$W$6:$W$505,0)),"")</f>
        <v/>
      </c>
      <c r="C35" s="34" t="str">
        <f aca="false">IFERROR(INDEX('Fund Research'!$B$6:$B$505,MATCH(30,'Fund Research'!$W$6:$W$505,0)),"")</f>
        <v/>
      </c>
      <c r="D35" s="34" t="str">
        <f aca="false">IFERROR(INDEX('Fund Research'!$C$6:$C$505,MATCH(30,'Fund Research'!$W$6:$W$505,0)),"")</f>
        <v/>
      </c>
      <c r="E35" s="35" t="str">
        <f aca="false">IFERROR(INDEX('Fund Research'!$G$6:$G$505,MATCH(30,'Fund Research'!$W$6:$W$505,0)),"")</f>
        <v/>
      </c>
      <c r="F35" s="35" t="str">
        <f aca="false">IFERROR(INDEX('Fund Research'!$H$6:$H$505,MATCH(30,'Fund Research'!$W$6:$W$505,0)),"")</f>
        <v/>
      </c>
      <c r="G35" s="35" t="str">
        <f aca="false">IFERROR(INDEX('Fund Research'!$I$6:$I$505,MATCH(30,'Fund Research'!$W$6:$W$505,0)),"")</f>
        <v/>
      </c>
      <c r="H35" s="36" t="str">
        <f aca="false">IFERROR(INDEX('Fund Research'!$J$6:$J$505,MATCH(30,'Fund Research'!$W$6:$W$505,0)),"")</f>
        <v/>
      </c>
      <c r="I35" s="39" t="str">
        <f aca="false">IFERROR(INDEX('Fund Research'!$L$6:$L$505,MATCH(30,'Fund Research'!$W$6:$W$505,0)),"")</f>
        <v/>
      </c>
      <c r="J35" s="36" t="str">
        <f aca="false">IFERROR(INDEX('Fund Research'!$N$6:$N$505,MATCH(30,'Fund Research'!$W$6:$W$505,0)),"")</f>
        <v/>
      </c>
      <c r="K35" s="36" t="str">
        <f aca="false">IFERROR(INDEX('Fund Research'!$P$6:$P$505,MATCH(30,'Fund Research'!$W$6:$W$505,0)),"")</f>
        <v/>
      </c>
      <c r="L35" s="34" t="str">
        <f aca="false">IFERROR(INDEX('Fund Research'!$S$6:$S$505,MATCH(30,'Fund Research'!$W$6:$W$505,0)),"")</f>
        <v/>
      </c>
      <c r="M35" s="34" t="str">
        <f aca="false">IFERROR(INDEX('Fund Research'!$T$6:$T$505,MATCH(30,'Fund Research'!$W$6:$W$505,0)),"")</f>
        <v/>
      </c>
    </row>
    <row r="36" customFormat="false" ht="15" hidden="false" customHeight="true" outlineLevel="0" collapsed="false">
      <c r="A36" s="33" t="str">
        <f aca="false">IFERROR(IF(INDEX('Fund Research'!$B$6:$B$505,MATCH(31,'Fund Research'!$W$6:$W$505,0))="","",31),"")</f>
        <v/>
      </c>
      <c r="B36" s="34" t="str">
        <f aca="false">IFERROR(INDEX('Fund Research'!$A$6:$A$505,MATCH(31,'Fund Research'!$W$6:$W$505,0)),"")</f>
        <v/>
      </c>
      <c r="C36" s="34" t="str">
        <f aca="false">IFERROR(INDEX('Fund Research'!$B$6:$B$505,MATCH(31,'Fund Research'!$W$6:$W$505,0)),"")</f>
        <v/>
      </c>
      <c r="D36" s="34" t="str">
        <f aca="false">IFERROR(INDEX('Fund Research'!$C$6:$C$505,MATCH(31,'Fund Research'!$W$6:$W$505,0)),"")</f>
        <v/>
      </c>
      <c r="E36" s="35" t="str">
        <f aca="false">IFERROR(INDEX('Fund Research'!$G$6:$G$505,MATCH(31,'Fund Research'!$W$6:$W$505,0)),"")</f>
        <v/>
      </c>
      <c r="F36" s="35" t="str">
        <f aca="false">IFERROR(INDEX('Fund Research'!$H$6:$H$505,MATCH(31,'Fund Research'!$W$6:$W$505,0)),"")</f>
        <v/>
      </c>
      <c r="G36" s="35" t="str">
        <f aca="false">IFERROR(INDEX('Fund Research'!$I$6:$I$505,MATCH(31,'Fund Research'!$W$6:$W$505,0)),"")</f>
        <v/>
      </c>
      <c r="H36" s="36" t="str">
        <f aca="false">IFERROR(INDEX('Fund Research'!$J$6:$J$505,MATCH(31,'Fund Research'!$W$6:$W$505,0)),"")</f>
        <v/>
      </c>
      <c r="I36" s="39" t="str">
        <f aca="false">IFERROR(INDEX('Fund Research'!$L$6:$L$505,MATCH(31,'Fund Research'!$W$6:$W$505,0)),"")</f>
        <v/>
      </c>
      <c r="J36" s="36" t="str">
        <f aca="false">IFERROR(INDEX('Fund Research'!$N$6:$N$505,MATCH(31,'Fund Research'!$W$6:$W$505,0)),"")</f>
        <v/>
      </c>
      <c r="K36" s="36" t="str">
        <f aca="false">IFERROR(INDEX('Fund Research'!$P$6:$P$505,MATCH(31,'Fund Research'!$W$6:$W$505,0)),"")</f>
        <v/>
      </c>
      <c r="L36" s="34" t="str">
        <f aca="false">IFERROR(INDEX('Fund Research'!$S$6:$S$505,MATCH(31,'Fund Research'!$W$6:$W$505,0)),"")</f>
        <v/>
      </c>
      <c r="M36" s="34" t="str">
        <f aca="false">IFERROR(INDEX('Fund Research'!$T$6:$T$505,MATCH(31,'Fund Research'!$W$6:$W$505,0)),"")</f>
        <v/>
      </c>
    </row>
    <row r="37" customFormat="false" ht="15" hidden="false" customHeight="true" outlineLevel="0" collapsed="false">
      <c r="A37" s="33" t="str">
        <f aca="false">IFERROR(IF(INDEX('Fund Research'!$B$6:$B$505,MATCH(32,'Fund Research'!$W$6:$W$505,0))="","",32),"")</f>
        <v/>
      </c>
      <c r="B37" s="34" t="str">
        <f aca="false">IFERROR(INDEX('Fund Research'!$A$6:$A$505,MATCH(32,'Fund Research'!$W$6:$W$505,0)),"")</f>
        <v/>
      </c>
      <c r="C37" s="34" t="str">
        <f aca="false">IFERROR(INDEX('Fund Research'!$B$6:$B$505,MATCH(32,'Fund Research'!$W$6:$W$505,0)),"")</f>
        <v/>
      </c>
      <c r="D37" s="34" t="str">
        <f aca="false">IFERROR(INDEX('Fund Research'!$C$6:$C$505,MATCH(32,'Fund Research'!$W$6:$W$505,0)),"")</f>
        <v/>
      </c>
      <c r="E37" s="35" t="str">
        <f aca="false">IFERROR(INDEX('Fund Research'!$G$6:$G$505,MATCH(32,'Fund Research'!$W$6:$W$505,0)),"")</f>
        <v/>
      </c>
      <c r="F37" s="35" t="str">
        <f aca="false">IFERROR(INDEX('Fund Research'!$H$6:$H$505,MATCH(32,'Fund Research'!$W$6:$W$505,0)),"")</f>
        <v/>
      </c>
      <c r="G37" s="35" t="str">
        <f aca="false">IFERROR(INDEX('Fund Research'!$I$6:$I$505,MATCH(32,'Fund Research'!$W$6:$W$505,0)),"")</f>
        <v/>
      </c>
      <c r="H37" s="36" t="str">
        <f aca="false">IFERROR(INDEX('Fund Research'!$J$6:$J$505,MATCH(32,'Fund Research'!$W$6:$W$505,0)),"")</f>
        <v/>
      </c>
      <c r="I37" s="39" t="str">
        <f aca="false">IFERROR(INDEX('Fund Research'!$L$6:$L$505,MATCH(32,'Fund Research'!$W$6:$W$505,0)),"")</f>
        <v/>
      </c>
      <c r="J37" s="36" t="str">
        <f aca="false">IFERROR(INDEX('Fund Research'!$N$6:$N$505,MATCH(32,'Fund Research'!$W$6:$W$505,0)),"")</f>
        <v/>
      </c>
      <c r="K37" s="36" t="str">
        <f aca="false">IFERROR(INDEX('Fund Research'!$P$6:$P$505,MATCH(32,'Fund Research'!$W$6:$W$505,0)),"")</f>
        <v/>
      </c>
      <c r="L37" s="34" t="str">
        <f aca="false">IFERROR(INDEX('Fund Research'!$S$6:$S$505,MATCH(32,'Fund Research'!$W$6:$W$505,0)),"")</f>
        <v/>
      </c>
      <c r="M37" s="34" t="str">
        <f aca="false">IFERROR(INDEX('Fund Research'!$T$6:$T$505,MATCH(32,'Fund Research'!$W$6:$W$505,0)),"")</f>
        <v/>
      </c>
    </row>
    <row r="38" customFormat="false" ht="15" hidden="false" customHeight="true" outlineLevel="0" collapsed="false">
      <c r="A38" s="33" t="str">
        <f aca="false">IFERROR(IF(INDEX('Fund Research'!$B$6:$B$505,MATCH(33,'Fund Research'!$W$6:$W$505,0))="","",33),"")</f>
        <v/>
      </c>
      <c r="B38" s="34" t="str">
        <f aca="false">IFERROR(INDEX('Fund Research'!$A$6:$A$505,MATCH(33,'Fund Research'!$W$6:$W$505,0)),"")</f>
        <v/>
      </c>
      <c r="C38" s="34" t="str">
        <f aca="false">IFERROR(INDEX('Fund Research'!$B$6:$B$505,MATCH(33,'Fund Research'!$W$6:$W$505,0)),"")</f>
        <v/>
      </c>
      <c r="D38" s="34" t="str">
        <f aca="false">IFERROR(INDEX('Fund Research'!$C$6:$C$505,MATCH(33,'Fund Research'!$W$6:$W$505,0)),"")</f>
        <v/>
      </c>
      <c r="E38" s="35" t="str">
        <f aca="false">IFERROR(INDEX('Fund Research'!$G$6:$G$505,MATCH(33,'Fund Research'!$W$6:$W$505,0)),"")</f>
        <v/>
      </c>
      <c r="F38" s="35" t="str">
        <f aca="false">IFERROR(INDEX('Fund Research'!$H$6:$H$505,MATCH(33,'Fund Research'!$W$6:$W$505,0)),"")</f>
        <v/>
      </c>
      <c r="G38" s="35" t="str">
        <f aca="false">IFERROR(INDEX('Fund Research'!$I$6:$I$505,MATCH(33,'Fund Research'!$W$6:$W$505,0)),"")</f>
        <v/>
      </c>
      <c r="H38" s="36" t="str">
        <f aca="false">IFERROR(INDEX('Fund Research'!$J$6:$J$505,MATCH(33,'Fund Research'!$W$6:$W$505,0)),"")</f>
        <v/>
      </c>
      <c r="I38" s="39" t="str">
        <f aca="false">IFERROR(INDEX('Fund Research'!$L$6:$L$505,MATCH(33,'Fund Research'!$W$6:$W$505,0)),"")</f>
        <v/>
      </c>
      <c r="J38" s="36" t="str">
        <f aca="false">IFERROR(INDEX('Fund Research'!$N$6:$N$505,MATCH(33,'Fund Research'!$W$6:$W$505,0)),"")</f>
        <v/>
      </c>
      <c r="K38" s="36" t="str">
        <f aca="false">IFERROR(INDEX('Fund Research'!$P$6:$P$505,MATCH(33,'Fund Research'!$W$6:$W$505,0)),"")</f>
        <v/>
      </c>
      <c r="L38" s="34" t="str">
        <f aca="false">IFERROR(INDEX('Fund Research'!$S$6:$S$505,MATCH(33,'Fund Research'!$W$6:$W$505,0)),"")</f>
        <v/>
      </c>
      <c r="M38" s="34" t="str">
        <f aca="false">IFERROR(INDEX('Fund Research'!$T$6:$T$505,MATCH(33,'Fund Research'!$W$6:$W$505,0)),"")</f>
        <v/>
      </c>
    </row>
    <row r="39" customFormat="false" ht="15" hidden="false" customHeight="true" outlineLevel="0" collapsed="false">
      <c r="A39" s="33" t="str">
        <f aca="false">IFERROR(IF(INDEX('Fund Research'!$B$6:$B$505,MATCH(34,'Fund Research'!$W$6:$W$505,0))="","",34),"")</f>
        <v/>
      </c>
      <c r="B39" s="34" t="str">
        <f aca="false">IFERROR(INDEX('Fund Research'!$A$6:$A$505,MATCH(34,'Fund Research'!$W$6:$W$505,0)),"")</f>
        <v/>
      </c>
      <c r="C39" s="34" t="str">
        <f aca="false">IFERROR(INDEX('Fund Research'!$B$6:$B$505,MATCH(34,'Fund Research'!$W$6:$W$505,0)),"")</f>
        <v/>
      </c>
      <c r="D39" s="34" t="str">
        <f aca="false">IFERROR(INDEX('Fund Research'!$C$6:$C$505,MATCH(34,'Fund Research'!$W$6:$W$505,0)),"")</f>
        <v/>
      </c>
      <c r="E39" s="35" t="str">
        <f aca="false">IFERROR(INDEX('Fund Research'!$G$6:$G$505,MATCH(34,'Fund Research'!$W$6:$W$505,0)),"")</f>
        <v/>
      </c>
      <c r="F39" s="35" t="str">
        <f aca="false">IFERROR(INDEX('Fund Research'!$H$6:$H$505,MATCH(34,'Fund Research'!$W$6:$W$505,0)),"")</f>
        <v/>
      </c>
      <c r="G39" s="35" t="str">
        <f aca="false">IFERROR(INDEX('Fund Research'!$I$6:$I$505,MATCH(34,'Fund Research'!$W$6:$W$505,0)),"")</f>
        <v/>
      </c>
      <c r="H39" s="36" t="str">
        <f aca="false">IFERROR(INDEX('Fund Research'!$J$6:$J$505,MATCH(34,'Fund Research'!$W$6:$W$505,0)),"")</f>
        <v/>
      </c>
      <c r="I39" s="39" t="str">
        <f aca="false">IFERROR(INDEX('Fund Research'!$L$6:$L$505,MATCH(34,'Fund Research'!$W$6:$W$505,0)),"")</f>
        <v/>
      </c>
      <c r="J39" s="36" t="str">
        <f aca="false">IFERROR(INDEX('Fund Research'!$N$6:$N$505,MATCH(34,'Fund Research'!$W$6:$W$505,0)),"")</f>
        <v/>
      </c>
      <c r="K39" s="36" t="str">
        <f aca="false">IFERROR(INDEX('Fund Research'!$P$6:$P$505,MATCH(34,'Fund Research'!$W$6:$W$505,0)),"")</f>
        <v/>
      </c>
      <c r="L39" s="34" t="str">
        <f aca="false">IFERROR(INDEX('Fund Research'!$S$6:$S$505,MATCH(34,'Fund Research'!$W$6:$W$505,0)),"")</f>
        <v/>
      </c>
      <c r="M39" s="34" t="str">
        <f aca="false">IFERROR(INDEX('Fund Research'!$T$6:$T$505,MATCH(34,'Fund Research'!$W$6:$W$505,0)),"")</f>
        <v/>
      </c>
    </row>
    <row r="40" customFormat="false" ht="15" hidden="false" customHeight="true" outlineLevel="0" collapsed="false">
      <c r="A40" s="33" t="str">
        <f aca="false">IFERROR(IF(INDEX('Fund Research'!$B$6:$B$505,MATCH(35,'Fund Research'!$W$6:$W$505,0))="","",35),"")</f>
        <v/>
      </c>
      <c r="B40" s="34" t="str">
        <f aca="false">IFERROR(INDEX('Fund Research'!$A$6:$A$505,MATCH(35,'Fund Research'!$W$6:$W$505,0)),"")</f>
        <v/>
      </c>
      <c r="C40" s="34" t="str">
        <f aca="false">IFERROR(INDEX('Fund Research'!$B$6:$B$505,MATCH(35,'Fund Research'!$W$6:$W$505,0)),"")</f>
        <v/>
      </c>
      <c r="D40" s="34" t="str">
        <f aca="false">IFERROR(INDEX('Fund Research'!$C$6:$C$505,MATCH(35,'Fund Research'!$W$6:$W$505,0)),"")</f>
        <v/>
      </c>
      <c r="E40" s="35" t="str">
        <f aca="false">IFERROR(INDEX('Fund Research'!$G$6:$G$505,MATCH(35,'Fund Research'!$W$6:$W$505,0)),"")</f>
        <v/>
      </c>
      <c r="F40" s="35" t="str">
        <f aca="false">IFERROR(INDEX('Fund Research'!$H$6:$H$505,MATCH(35,'Fund Research'!$W$6:$W$505,0)),"")</f>
        <v/>
      </c>
      <c r="G40" s="35" t="str">
        <f aca="false">IFERROR(INDEX('Fund Research'!$I$6:$I$505,MATCH(35,'Fund Research'!$W$6:$W$505,0)),"")</f>
        <v/>
      </c>
      <c r="H40" s="36" t="str">
        <f aca="false">IFERROR(INDEX('Fund Research'!$J$6:$J$505,MATCH(35,'Fund Research'!$W$6:$W$505,0)),"")</f>
        <v/>
      </c>
      <c r="I40" s="39" t="str">
        <f aca="false">IFERROR(INDEX('Fund Research'!$L$6:$L$505,MATCH(35,'Fund Research'!$W$6:$W$505,0)),"")</f>
        <v/>
      </c>
      <c r="J40" s="36" t="str">
        <f aca="false">IFERROR(INDEX('Fund Research'!$N$6:$N$505,MATCH(35,'Fund Research'!$W$6:$W$505,0)),"")</f>
        <v/>
      </c>
      <c r="K40" s="36" t="str">
        <f aca="false">IFERROR(INDEX('Fund Research'!$P$6:$P$505,MATCH(35,'Fund Research'!$W$6:$W$505,0)),"")</f>
        <v/>
      </c>
      <c r="L40" s="34" t="str">
        <f aca="false">IFERROR(INDEX('Fund Research'!$S$6:$S$505,MATCH(35,'Fund Research'!$W$6:$W$505,0)),"")</f>
        <v/>
      </c>
      <c r="M40" s="34" t="str">
        <f aca="false">IFERROR(INDEX('Fund Research'!$T$6:$T$505,MATCH(35,'Fund Research'!$W$6:$W$505,0)),"")</f>
        <v/>
      </c>
    </row>
    <row r="41" customFormat="false" ht="15" hidden="false" customHeight="true" outlineLevel="0" collapsed="false">
      <c r="A41" s="33" t="str">
        <f aca="false">IFERROR(IF(INDEX('Fund Research'!$B$6:$B$505,MATCH(36,'Fund Research'!$W$6:$W$505,0))="","",36),"")</f>
        <v/>
      </c>
      <c r="B41" s="34" t="str">
        <f aca="false">IFERROR(INDEX('Fund Research'!$A$6:$A$505,MATCH(36,'Fund Research'!$W$6:$W$505,0)),"")</f>
        <v/>
      </c>
      <c r="C41" s="34" t="str">
        <f aca="false">IFERROR(INDEX('Fund Research'!$B$6:$B$505,MATCH(36,'Fund Research'!$W$6:$W$505,0)),"")</f>
        <v/>
      </c>
      <c r="D41" s="34" t="str">
        <f aca="false">IFERROR(INDEX('Fund Research'!$C$6:$C$505,MATCH(36,'Fund Research'!$W$6:$W$505,0)),"")</f>
        <v/>
      </c>
      <c r="E41" s="35" t="str">
        <f aca="false">IFERROR(INDEX('Fund Research'!$G$6:$G$505,MATCH(36,'Fund Research'!$W$6:$W$505,0)),"")</f>
        <v/>
      </c>
      <c r="F41" s="35" t="str">
        <f aca="false">IFERROR(INDEX('Fund Research'!$H$6:$H$505,MATCH(36,'Fund Research'!$W$6:$W$505,0)),"")</f>
        <v/>
      </c>
      <c r="G41" s="35" t="str">
        <f aca="false">IFERROR(INDEX('Fund Research'!$I$6:$I$505,MATCH(36,'Fund Research'!$W$6:$W$505,0)),"")</f>
        <v/>
      </c>
      <c r="H41" s="36" t="str">
        <f aca="false">IFERROR(INDEX('Fund Research'!$J$6:$J$505,MATCH(36,'Fund Research'!$W$6:$W$505,0)),"")</f>
        <v/>
      </c>
      <c r="I41" s="39" t="str">
        <f aca="false">IFERROR(INDEX('Fund Research'!$L$6:$L$505,MATCH(36,'Fund Research'!$W$6:$W$505,0)),"")</f>
        <v/>
      </c>
      <c r="J41" s="36" t="str">
        <f aca="false">IFERROR(INDEX('Fund Research'!$N$6:$N$505,MATCH(36,'Fund Research'!$W$6:$W$505,0)),"")</f>
        <v/>
      </c>
      <c r="K41" s="36" t="str">
        <f aca="false">IFERROR(INDEX('Fund Research'!$P$6:$P$505,MATCH(36,'Fund Research'!$W$6:$W$505,0)),"")</f>
        <v/>
      </c>
      <c r="L41" s="34" t="str">
        <f aca="false">IFERROR(INDEX('Fund Research'!$S$6:$S$505,MATCH(36,'Fund Research'!$W$6:$W$505,0)),"")</f>
        <v/>
      </c>
      <c r="M41" s="34" t="str">
        <f aca="false">IFERROR(INDEX('Fund Research'!$T$6:$T$505,MATCH(36,'Fund Research'!$W$6:$W$505,0)),"")</f>
        <v/>
      </c>
    </row>
    <row r="42" customFormat="false" ht="15" hidden="false" customHeight="true" outlineLevel="0" collapsed="false">
      <c r="A42" s="33" t="str">
        <f aca="false">IFERROR(IF(INDEX('Fund Research'!$B$6:$B$505,MATCH(37,'Fund Research'!$W$6:$W$505,0))="","",37),"")</f>
        <v/>
      </c>
      <c r="B42" s="34" t="str">
        <f aca="false">IFERROR(INDEX('Fund Research'!$A$6:$A$505,MATCH(37,'Fund Research'!$W$6:$W$505,0)),"")</f>
        <v/>
      </c>
      <c r="C42" s="34" t="str">
        <f aca="false">IFERROR(INDEX('Fund Research'!$B$6:$B$505,MATCH(37,'Fund Research'!$W$6:$W$505,0)),"")</f>
        <v/>
      </c>
      <c r="D42" s="34" t="str">
        <f aca="false">IFERROR(INDEX('Fund Research'!$C$6:$C$505,MATCH(37,'Fund Research'!$W$6:$W$505,0)),"")</f>
        <v/>
      </c>
      <c r="E42" s="35" t="str">
        <f aca="false">IFERROR(INDEX('Fund Research'!$G$6:$G$505,MATCH(37,'Fund Research'!$W$6:$W$505,0)),"")</f>
        <v/>
      </c>
      <c r="F42" s="35" t="str">
        <f aca="false">IFERROR(INDEX('Fund Research'!$H$6:$H$505,MATCH(37,'Fund Research'!$W$6:$W$505,0)),"")</f>
        <v/>
      </c>
      <c r="G42" s="35" t="str">
        <f aca="false">IFERROR(INDEX('Fund Research'!$I$6:$I$505,MATCH(37,'Fund Research'!$W$6:$W$505,0)),"")</f>
        <v/>
      </c>
      <c r="H42" s="36" t="str">
        <f aca="false">IFERROR(INDEX('Fund Research'!$J$6:$J$505,MATCH(37,'Fund Research'!$W$6:$W$505,0)),"")</f>
        <v/>
      </c>
      <c r="I42" s="39" t="str">
        <f aca="false">IFERROR(INDEX('Fund Research'!$L$6:$L$505,MATCH(37,'Fund Research'!$W$6:$W$505,0)),"")</f>
        <v/>
      </c>
      <c r="J42" s="36" t="str">
        <f aca="false">IFERROR(INDEX('Fund Research'!$N$6:$N$505,MATCH(37,'Fund Research'!$W$6:$W$505,0)),"")</f>
        <v/>
      </c>
      <c r="K42" s="36" t="str">
        <f aca="false">IFERROR(INDEX('Fund Research'!$P$6:$P$505,MATCH(37,'Fund Research'!$W$6:$W$505,0)),"")</f>
        <v/>
      </c>
      <c r="L42" s="34" t="str">
        <f aca="false">IFERROR(INDEX('Fund Research'!$S$6:$S$505,MATCH(37,'Fund Research'!$W$6:$W$505,0)),"")</f>
        <v/>
      </c>
      <c r="M42" s="34" t="str">
        <f aca="false">IFERROR(INDEX('Fund Research'!$T$6:$T$505,MATCH(37,'Fund Research'!$W$6:$W$505,0)),"")</f>
        <v/>
      </c>
    </row>
    <row r="43" customFormat="false" ht="15" hidden="false" customHeight="true" outlineLevel="0" collapsed="false">
      <c r="A43" s="33" t="str">
        <f aca="false">IFERROR(IF(INDEX('Fund Research'!$B$6:$B$505,MATCH(38,'Fund Research'!$W$6:$W$505,0))="","",38),"")</f>
        <v/>
      </c>
      <c r="B43" s="34" t="str">
        <f aca="false">IFERROR(INDEX('Fund Research'!$A$6:$A$505,MATCH(38,'Fund Research'!$W$6:$W$505,0)),"")</f>
        <v/>
      </c>
      <c r="C43" s="34" t="str">
        <f aca="false">IFERROR(INDEX('Fund Research'!$B$6:$B$505,MATCH(38,'Fund Research'!$W$6:$W$505,0)),"")</f>
        <v/>
      </c>
      <c r="D43" s="34" t="str">
        <f aca="false">IFERROR(INDEX('Fund Research'!$C$6:$C$505,MATCH(38,'Fund Research'!$W$6:$W$505,0)),"")</f>
        <v/>
      </c>
      <c r="E43" s="35" t="str">
        <f aca="false">IFERROR(INDEX('Fund Research'!$G$6:$G$505,MATCH(38,'Fund Research'!$W$6:$W$505,0)),"")</f>
        <v/>
      </c>
      <c r="F43" s="35" t="str">
        <f aca="false">IFERROR(INDEX('Fund Research'!$H$6:$H$505,MATCH(38,'Fund Research'!$W$6:$W$505,0)),"")</f>
        <v/>
      </c>
      <c r="G43" s="35" t="str">
        <f aca="false">IFERROR(INDEX('Fund Research'!$I$6:$I$505,MATCH(38,'Fund Research'!$W$6:$W$505,0)),"")</f>
        <v/>
      </c>
      <c r="H43" s="36" t="str">
        <f aca="false">IFERROR(INDEX('Fund Research'!$J$6:$J$505,MATCH(38,'Fund Research'!$W$6:$W$505,0)),"")</f>
        <v/>
      </c>
      <c r="I43" s="39" t="str">
        <f aca="false">IFERROR(INDEX('Fund Research'!$L$6:$L$505,MATCH(38,'Fund Research'!$W$6:$W$505,0)),"")</f>
        <v/>
      </c>
      <c r="J43" s="36" t="str">
        <f aca="false">IFERROR(INDEX('Fund Research'!$N$6:$N$505,MATCH(38,'Fund Research'!$W$6:$W$505,0)),"")</f>
        <v/>
      </c>
      <c r="K43" s="36" t="str">
        <f aca="false">IFERROR(INDEX('Fund Research'!$P$6:$P$505,MATCH(38,'Fund Research'!$W$6:$W$505,0)),"")</f>
        <v/>
      </c>
      <c r="L43" s="34" t="str">
        <f aca="false">IFERROR(INDEX('Fund Research'!$S$6:$S$505,MATCH(38,'Fund Research'!$W$6:$W$505,0)),"")</f>
        <v/>
      </c>
      <c r="M43" s="34" t="str">
        <f aca="false">IFERROR(INDEX('Fund Research'!$T$6:$T$505,MATCH(38,'Fund Research'!$W$6:$W$505,0)),"")</f>
        <v/>
      </c>
    </row>
    <row r="44" customFormat="false" ht="15" hidden="false" customHeight="true" outlineLevel="0" collapsed="false">
      <c r="A44" s="33" t="str">
        <f aca="false">IFERROR(IF(INDEX('Fund Research'!$B$6:$B$505,MATCH(39,'Fund Research'!$W$6:$W$505,0))="","",39),"")</f>
        <v/>
      </c>
      <c r="B44" s="34" t="str">
        <f aca="false">IFERROR(INDEX('Fund Research'!$A$6:$A$505,MATCH(39,'Fund Research'!$W$6:$W$505,0)),"")</f>
        <v/>
      </c>
      <c r="C44" s="34" t="str">
        <f aca="false">IFERROR(INDEX('Fund Research'!$B$6:$B$505,MATCH(39,'Fund Research'!$W$6:$W$505,0)),"")</f>
        <v/>
      </c>
      <c r="D44" s="34" t="str">
        <f aca="false">IFERROR(INDEX('Fund Research'!$C$6:$C$505,MATCH(39,'Fund Research'!$W$6:$W$505,0)),"")</f>
        <v/>
      </c>
      <c r="E44" s="35" t="str">
        <f aca="false">IFERROR(INDEX('Fund Research'!$G$6:$G$505,MATCH(39,'Fund Research'!$W$6:$W$505,0)),"")</f>
        <v/>
      </c>
      <c r="F44" s="35" t="str">
        <f aca="false">IFERROR(INDEX('Fund Research'!$H$6:$H$505,MATCH(39,'Fund Research'!$W$6:$W$505,0)),"")</f>
        <v/>
      </c>
      <c r="G44" s="35" t="str">
        <f aca="false">IFERROR(INDEX('Fund Research'!$I$6:$I$505,MATCH(39,'Fund Research'!$W$6:$W$505,0)),"")</f>
        <v/>
      </c>
      <c r="H44" s="36" t="str">
        <f aca="false">IFERROR(INDEX('Fund Research'!$J$6:$J$505,MATCH(39,'Fund Research'!$W$6:$W$505,0)),"")</f>
        <v/>
      </c>
      <c r="I44" s="39" t="str">
        <f aca="false">IFERROR(INDEX('Fund Research'!$L$6:$L$505,MATCH(39,'Fund Research'!$W$6:$W$505,0)),"")</f>
        <v/>
      </c>
      <c r="J44" s="36" t="str">
        <f aca="false">IFERROR(INDEX('Fund Research'!$N$6:$N$505,MATCH(39,'Fund Research'!$W$6:$W$505,0)),"")</f>
        <v/>
      </c>
      <c r="K44" s="36" t="str">
        <f aca="false">IFERROR(INDEX('Fund Research'!$P$6:$P$505,MATCH(39,'Fund Research'!$W$6:$W$505,0)),"")</f>
        <v/>
      </c>
      <c r="L44" s="34" t="str">
        <f aca="false">IFERROR(INDEX('Fund Research'!$S$6:$S$505,MATCH(39,'Fund Research'!$W$6:$W$505,0)),"")</f>
        <v/>
      </c>
      <c r="M44" s="34" t="str">
        <f aca="false">IFERROR(INDEX('Fund Research'!$T$6:$T$505,MATCH(39,'Fund Research'!$W$6:$W$505,0)),"")</f>
        <v/>
      </c>
    </row>
    <row r="45" customFormat="false" ht="15" hidden="false" customHeight="true" outlineLevel="0" collapsed="false">
      <c r="A45" s="33" t="str">
        <f aca="false">IFERROR(IF(INDEX('Fund Research'!$B$6:$B$505,MATCH(40,'Fund Research'!$W$6:$W$505,0))="","",40),"")</f>
        <v/>
      </c>
      <c r="B45" s="34" t="str">
        <f aca="false">IFERROR(INDEX('Fund Research'!$A$6:$A$505,MATCH(40,'Fund Research'!$W$6:$W$505,0)),"")</f>
        <v/>
      </c>
      <c r="C45" s="34" t="str">
        <f aca="false">IFERROR(INDEX('Fund Research'!$B$6:$B$505,MATCH(40,'Fund Research'!$W$6:$W$505,0)),"")</f>
        <v/>
      </c>
      <c r="D45" s="34" t="str">
        <f aca="false">IFERROR(INDEX('Fund Research'!$C$6:$C$505,MATCH(40,'Fund Research'!$W$6:$W$505,0)),"")</f>
        <v/>
      </c>
      <c r="E45" s="35" t="str">
        <f aca="false">IFERROR(INDEX('Fund Research'!$G$6:$G$505,MATCH(40,'Fund Research'!$W$6:$W$505,0)),"")</f>
        <v/>
      </c>
      <c r="F45" s="35" t="str">
        <f aca="false">IFERROR(INDEX('Fund Research'!$H$6:$H$505,MATCH(40,'Fund Research'!$W$6:$W$505,0)),"")</f>
        <v/>
      </c>
      <c r="G45" s="35" t="str">
        <f aca="false">IFERROR(INDEX('Fund Research'!$I$6:$I$505,MATCH(40,'Fund Research'!$W$6:$W$505,0)),"")</f>
        <v/>
      </c>
      <c r="H45" s="36" t="str">
        <f aca="false">IFERROR(INDEX('Fund Research'!$J$6:$J$505,MATCH(40,'Fund Research'!$W$6:$W$505,0)),"")</f>
        <v/>
      </c>
      <c r="I45" s="39" t="str">
        <f aca="false">IFERROR(INDEX('Fund Research'!$L$6:$L$505,MATCH(40,'Fund Research'!$W$6:$W$505,0)),"")</f>
        <v/>
      </c>
      <c r="J45" s="36" t="str">
        <f aca="false">IFERROR(INDEX('Fund Research'!$N$6:$N$505,MATCH(40,'Fund Research'!$W$6:$W$505,0)),"")</f>
        <v/>
      </c>
      <c r="K45" s="36" t="str">
        <f aca="false">IFERROR(INDEX('Fund Research'!$P$6:$P$505,MATCH(40,'Fund Research'!$W$6:$W$505,0)),"")</f>
        <v/>
      </c>
      <c r="L45" s="34" t="str">
        <f aca="false">IFERROR(INDEX('Fund Research'!$S$6:$S$505,MATCH(40,'Fund Research'!$W$6:$W$505,0)),"")</f>
        <v/>
      </c>
      <c r="M45" s="34" t="str">
        <f aca="false">IFERROR(INDEX('Fund Research'!$T$6:$T$505,MATCH(40,'Fund Research'!$W$6:$W$505,0)),"")</f>
        <v/>
      </c>
    </row>
    <row r="46" customFormat="false" ht="15" hidden="false" customHeight="true" outlineLevel="0" collapsed="false">
      <c r="A46" s="33" t="str">
        <f aca="false">IFERROR(IF(INDEX('Fund Research'!$B$6:$B$505,MATCH(41,'Fund Research'!$W$6:$W$505,0))="","",41),"")</f>
        <v/>
      </c>
      <c r="B46" s="34" t="str">
        <f aca="false">IFERROR(INDEX('Fund Research'!$A$6:$A$505,MATCH(41,'Fund Research'!$W$6:$W$505,0)),"")</f>
        <v/>
      </c>
      <c r="C46" s="34" t="str">
        <f aca="false">IFERROR(INDEX('Fund Research'!$B$6:$B$505,MATCH(41,'Fund Research'!$W$6:$W$505,0)),"")</f>
        <v/>
      </c>
      <c r="D46" s="34" t="str">
        <f aca="false">IFERROR(INDEX('Fund Research'!$C$6:$C$505,MATCH(41,'Fund Research'!$W$6:$W$505,0)),"")</f>
        <v/>
      </c>
      <c r="E46" s="35" t="str">
        <f aca="false">IFERROR(INDEX('Fund Research'!$G$6:$G$505,MATCH(41,'Fund Research'!$W$6:$W$505,0)),"")</f>
        <v/>
      </c>
      <c r="F46" s="35" t="str">
        <f aca="false">IFERROR(INDEX('Fund Research'!$H$6:$H$505,MATCH(41,'Fund Research'!$W$6:$W$505,0)),"")</f>
        <v/>
      </c>
      <c r="G46" s="35" t="str">
        <f aca="false">IFERROR(INDEX('Fund Research'!$I$6:$I$505,MATCH(41,'Fund Research'!$W$6:$W$505,0)),"")</f>
        <v/>
      </c>
      <c r="H46" s="36" t="str">
        <f aca="false">IFERROR(INDEX('Fund Research'!$J$6:$J$505,MATCH(41,'Fund Research'!$W$6:$W$505,0)),"")</f>
        <v/>
      </c>
      <c r="I46" s="39" t="str">
        <f aca="false">IFERROR(INDEX('Fund Research'!$L$6:$L$505,MATCH(41,'Fund Research'!$W$6:$W$505,0)),"")</f>
        <v/>
      </c>
      <c r="J46" s="36" t="str">
        <f aca="false">IFERROR(INDEX('Fund Research'!$N$6:$N$505,MATCH(41,'Fund Research'!$W$6:$W$505,0)),"")</f>
        <v/>
      </c>
      <c r="K46" s="36" t="str">
        <f aca="false">IFERROR(INDEX('Fund Research'!$P$6:$P$505,MATCH(41,'Fund Research'!$W$6:$W$505,0)),"")</f>
        <v/>
      </c>
      <c r="L46" s="34" t="str">
        <f aca="false">IFERROR(INDEX('Fund Research'!$S$6:$S$505,MATCH(41,'Fund Research'!$W$6:$W$505,0)),"")</f>
        <v/>
      </c>
      <c r="M46" s="34" t="str">
        <f aca="false">IFERROR(INDEX('Fund Research'!$T$6:$T$505,MATCH(41,'Fund Research'!$W$6:$W$505,0)),"")</f>
        <v/>
      </c>
    </row>
    <row r="47" customFormat="false" ht="15" hidden="false" customHeight="true" outlineLevel="0" collapsed="false">
      <c r="A47" s="33" t="str">
        <f aca="false">IFERROR(IF(INDEX('Fund Research'!$B$6:$B$505,MATCH(42,'Fund Research'!$W$6:$W$505,0))="","",42),"")</f>
        <v/>
      </c>
      <c r="B47" s="34" t="str">
        <f aca="false">IFERROR(INDEX('Fund Research'!$A$6:$A$505,MATCH(42,'Fund Research'!$W$6:$W$505,0)),"")</f>
        <v/>
      </c>
      <c r="C47" s="34" t="str">
        <f aca="false">IFERROR(INDEX('Fund Research'!$B$6:$B$505,MATCH(42,'Fund Research'!$W$6:$W$505,0)),"")</f>
        <v/>
      </c>
      <c r="D47" s="34" t="str">
        <f aca="false">IFERROR(INDEX('Fund Research'!$C$6:$C$505,MATCH(42,'Fund Research'!$W$6:$W$505,0)),"")</f>
        <v/>
      </c>
      <c r="E47" s="35" t="str">
        <f aca="false">IFERROR(INDEX('Fund Research'!$G$6:$G$505,MATCH(42,'Fund Research'!$W$6:$W$505,0)),"")</f>
        <v/>
      </c>
      <c r="F47" s="35" t="str">
        <f aca="false">IFERROR(INDEX('Fund Research'!$H$6:$H$505,MATCH(42,'Fund Research'!$W$6:$W$505,0)),"")</f>
        <v/>
      </c>
      <c r="G47" s="35" t="str">
        <f aca="false">IFERROR(INDEX('Fund Research'!$I$6:$I$505,MATCH(42,'Fund Research'!$W$6:$W$505,0)),"")</f>
        <v/>
      </c>
      <c r="H47" s="36" t="str">
        <f aca="false">IFERROR(INDEX('Fund Research'!$J$6:$J$505,MATCH(42,'Fund Research'!$W$6:$W$505,0)),"")</f>
        <v/>
      </c>
      <c r="I47" s="39" t="str">
        <f aca="false">IFERROR(INDEX('Fund Research'!$L$6:$L$505,MATCH(42,'Fund Research'!$W$6:$W$505,0)),"")</f>
        <v/>
      </c>
      <c r="J47" s="36" t="str">
        <f aca="false">IFERROR(INDEX('Fund Research'!$N$6:$N$505,MATCH(42,'Fund Research'!$W$6:$W$505,0)),"")</f>
        <v/>
      </c>
      <c r="K47" s="36" t="str">
        <f aca="false">IFERROR(INDEX('Fund Research'!$P$6:$P$505,MATCH(42,'Fund Research'!$W$6:$W$505,0)),"")</f>
        <v/>
      </c>
      <c r="L47" s="34" t="str">
        <f aca="false">IFERROR(INDEX('Fund Research'!$S$6:$S$505,MATCH(42,'Fund Research'!$W$6:$W$505,0)),"")</f>
        <v/>
      </c>
      <c r="M47" s="34" t="str">
        <f aca="false">IFERROR(INDEX('Fund Research'!$T$6:$T$505,MATCH(42,'Fund Research'!$W$6:$W$505,0)),"")</f>
        <v/>
      </c>
    </row>
    <row r="48" customFormat="false" ht="15" hidden="false" customHeight="true" outlineLevel="0" collapsed="false">
      <c r="A48" s="33" t="str">
        <f aca="false">IFERROR(IF(INDEX('Fund Research'!$B$6:$B$505,MATCH(43,'Fund Research'!$W$6:$W$505,0))="","",43),"")</f>
        <v/>
      </c>
      <c r="B48" s="34" t="str">
        <f aca="false">IFERROR(INDEX('Fund Research'!$A$6:$A$505,MATCH(43,'Fund Research'!$W$6:$W$505,0)),"")</f>
        <v/>
      </c>
      <c r="C48" s="34" t="str">
        <f aca="false">IFERROR(INDEX('Fund Research'!$B$6:$B$505,MATCH(43,'Fund Research'!$W$6:$W$505,0)),"")</f>
        <v/>
      </c>
      <c r="D48" s="34" t="str">
        <f aca="false">IFERROR(INDEX('Fund Research'!$C$6:$C$505,MATCH(43,'Fund Research'!$W$6:$W$505,0)),"")</f>
        <v/>
      </c>
      <c r="E48" s="35" t="str">
        <f aca="false">IFERROR(INDEX('Fund Research'!$G$6:$G$505,MATCH(43,'Fund Research'!$W$6:$W$505,0)),"")</f>
        <v/>
      </c>
      <c r="F48" s="35" t="str">
        <f aca="false">IFERROR(INDEX('Fund Research'!$H$6:$H$505,MATCH(43,'Fund Research'!$W$6:$W$505,0)),"")</f>
        <v/>
      </c>
      <c r="G48" s="35" t="str">
        <f aca="false">IFERROR(INDEX('Fund Research'!$I$6:$I$505,MATCH(43,'Fund Research'!$W$6:$W$505,0)),"")</f>
        <v/>
      </c>
      <c r="H48" s="36" t="str">
        <f aca="false">IFERROR(INDEX('Fund Research'!$J$6:$J$505,MATCH(43,'Fund Research'!$W$6:$W$505,0)),"")</f>
        <v/>
      </c>
      <c r="I48" s="39" t="str">
        <f aca="false">IFERROR(INDEX('Fund Research'!$L$6:$L$505,MATCH(43,'Fund Research'!$W$6:$W$505,0)),"")</f>
        <v/>
      </c>
      <c r="J48" s="36" t="str">
        <f aca="false">IFERROR(INDEX('Fund Research'!$N$6:$N$505,MATCH(43,'Fund Research'!$W$6:$W$505,0)),"")</f>
        <v/>
      </c>
      <c r="K48" s="36" t="str">
        <f aca="false">IFERROR(INDEX('Fund Research'!$P$6:$P$505,MATCH(43,'Fund Research'!$W$6:$W$505,0)),"")</f>
        <v/>
      </c>
      <c r="L48" s="34" t="str">
        <f aca="false">IFERROR(INDEX('Fund Research'!$S$6:$S$505,MATCH(43,'Fund Research'!$W$6:$W$505,0)),"")</f>
        <v/>
      </c>
      <c r="M48" s="34" t="str">
        <f aca="false">IFERROR(INDEX('Fund Research'!$T$6:$T$505,MATCH(43,'Fund Research'!$W$6:$W$505,0)),"")</f>
        <v/>
      </c>
    </row>
    <row r="49" customFormat="false" ht="15" hidden="false" customHeight="true" outlineLevel="0" collapsed="false">
      <c r="A49" s="33" t="str">
        <f aca="false">IFERROR(IF(INDEX('Fund Research'!$B$6:$B$505,MATCH(44,'Fund Research'!$W$6:$W$505,0))="","",44),"")</f>
        <v/>
      </c>
      <c r="B49" s="34" t="str">
        <f aca="false">IFERROR(INDEX('Fund Research'!$A$6:$A$505,MATCH(44,'Fund Research'!$W$6:$W$505,0)),"")</f>
        <v/>
      </c>
      <c r="C49" s="34" t="str">
        <f aca="false">IFERROR(INDEX('Fund Research'!$B$6:$B$505,MATCH(44,'Fund Research'!$W$6:$W$505,0)),"")</f>
        <v/>
      </c>
      <c r="D49" s="34" t="str">
        <f aca="false">IFERROR(INDEX('Fund Research'!$C$6:$C$505,MATCH(44,'Fund Research'!$W$6:$W$505,0)),"")</f>
        <v/>
      </c>
      <c r="E49" s="35" t="str">
        <f aca="false">IFERROR(INDEX('Fund Research'!$G$6:$G$505,MATCH(44,'Fund Research'!$W$6:$W$505,0)),"")</f>
        <v/>
      </c>
      <c r="F49" s="35" t="str">
        <f aca="false">IFERROR(INDEX('Fund Research'!$H$6:$H$505,MATCH(44,'Fund Research'!$W$6:$W$505,0)),"")</f>
        <v/>
      </c>
      <c r="G49" s="35" t="str">
        <f aca="false">IFERROR(INDEX('Fund Research'!$I$6:$I$505,MATCH(44,'Fund Research'!$W$6:$W$505,0)),"")</f>
        <v/>
      </c>
      <c r="H49" s="36" t="str">
        <f aca="false">IFERROR(INDEX('Fund Research'!$J$6:$J$505,MATCH(44,'Fund Research'!$W$6:$W$505,0)),"")</f>
        <v/>
      </c>
      <c r="I49" s="39" t="str">
        <f aca="false">IFERROR(INDEX('Fund Research'!$L$6:$L$505,MATCH(44,'Fund Research'!$W$6:$W$505,0)),"")</f>
        <v/>
      </c>
      <c r="J49" s="36" t="str">
        <f aca="false">IFERROR(INDEX('Fund Research'!$N$6:$N$505,MATCH(44,'Fund Research'!$W$6:$W$505,0)),"")</f>
        <v/>
      </c>
      <c r="K49" s="36" t="str">
        <f aca="false">IFERROR(INDEX('Fund Research'!$P$6:$P$505,MATCH(44,'Fund Research'!$W$6:$W$505,0)),"")</f>
        <v/>
      </c>
      <c r="L49" s="34" t="str">
        <f aca="false">IFERROR(INDEX('Fund Research'!$S$6:$S$505,MATCH(44,'Fund Research'!$W$6:$W$505,0)),"")</f>
        <v/>
      </c>
      <c r="M49" s="34" t="str">
        <f aca="false">IFERROR(INDEX('Fund Research'!$T$6:$T$505,MATCH(44,'Fund Research'!$W$6:$W$505,0)),"")</f>
        <v/>
      </c>
    </row>
    <row r="50" customFormat="false" ht="15" hidden="false" customHeight="true" outlineLevel="0" collapsed="false">
      <c r="A50" s="33" t="str">
        <f aca="false">IFERROR(IF(INDEX('Fund Research'!$B$6:$B$505,MATCH(45,'Fund Research'!$W$6:$W$505,0))="","",45),"")</f>
        <v/>
      </c>
      <c r="B50" s="34" t="str">
        <f aca="false">IFERROR(INDEX('Fund Research'!$A$6:$A$505,MATCH(45,'Fund Research'!$W$6:$W$505,0)),"")</f>
        <v/>
      </c>
      <c r="C50" s="34" t="str">
        <f aca="false">IFERROR(INDEX('Fund Research'!$B$6:$B$505,MATCH(45,'Fund Research'!$W$6:$W$505,0)),"")</f>
        <v/>
      </c>
      <c r="D50" s="34" t="str">
        <f aca="false">IFERROR(INDEX('Fund Research'!$C$6:$C$505,MATCH(45,'Fund Research'!$W$6:$W$505,0)),"")</f>
        <v/>
      </c>
      <c r="E50" s="35" t="str">
        <f aca="false">IFERROR(INDEX('Fund Research'!$G$6:$G$505,MATCH(45,'Fund Research'!$W$6:$W$505,0)),"")</f>
        <v/>
      </c>
      <c r="F50" s="35" t="str">
        <f aca="false">IFERROR(INDEX('Fund Research'!$H$6:$H$505,MATCH(45,'Fund Research'!$W$6:$W$505,0)),"")</f>
        <v/>
      </c>
      <c r="G50" s="35" t="str">
        <f aca="false">IFERROR(INDEX('Fund Research'!$I$6:$I$505,MATCH(45,'Fund Research'!$W$6:$W$505,0)),"")</f>
        <v/>
      </c>
      <c r="H50" s="36" t="str">
        <f aca="false">IFERROR(INDEX('Fund Research'!$J$6:$J$505,MATCH(45,'Fund Research'!$W$6:$W$505,0)),"")</f>
        <v/>
      </c>
      <c r="I50" s="39" t="str">
        <f aca="false">IFERROR(INDEX('Fund Research'!$L$6:$L$505,MATCH(45,'Fund Research'!$W$6:$W$505,0)),"")</f>
        <v/>
      </c>
      <c r="J50" s="36" t="str">
        <f aca="false">IFERROR(INDEX('Fund Research'!$N$6:$N$505,MATCH(45,'Fund Research'!$W$6:$W$505,0)),"")</f>
        <v/>
      </c>
      <c r="K50" s="36" t="str">
        <f aca="false">IFERROR(INDEX('Fund Research'!$P$6:$P$505,MATCH(45,'Fund Research'!$W$6:$W$505,0)),"")</f>
        <v/>
      </c>
      <c r="L50" s="34" t="str">
        <f aca="false">IFERROR(INDEX('Fund Research'!$S$6:$S$505,MATCH(45,'Fund Research'!$W$6:$W$505,0)),"")</f>
        <v/>
      </c>
      <c r="M50" s="34" t="str">
        <f aca="false">IFERROR(INDEX('Fund Research'!$T$6:$T$505,MATCH(45,'Fund Research'!$W$6:$W$505,0)),"")</f>
        <v/>
      </c>
    </row>
    <row r="51" customFormat="false" ht="15" hidden="false" customHeight="true" outlineLevel="0" collapsed="false">
      <c r="A51" s="33" t="str">
        <f aca="false">IFERROR(IF(INDEX('Fund Research'!$B$6:$B$505,MATCH(46,'Fund Research'!$W$6:$W$505,0))="","",46),"")</f>
        <v/>
      </c>
      <c r="B51" s="34" t="str">
        <f aca="false">IFERROR(INDEX('Fund Research'!$A$6:$A$505,MATCH(46,'Fund Research'!$W$6:$W$505,0)),"")</f>
        <v/>
      </c>
      <c r="C51" s="34" t="str">
        <f aca="false">IFERROR(INDEX('Fund Research'!$B$6:$B$505,MATCH(46,'Fund Research'!$W$6:$W$505,0)),"")</f>
        <v/>
      </c>
      <c r="D51" s="34" t="str">
        <f aca="false">IFERROR(INDEX('Fund Research'!$C$6:$C$505,MATCH(46,'Fund Research'!$W$6:$W$505,0)),"")</f>
        <v/>
      </c>
      <c r="E51" s="35" t="str">
        <f aca="false">IFERROR(INDEX('Fund Research'!$G$6:$G$505,MATCH(46,'Fund Research'!$W$6:$W$505,0)),"")</f>
        <v/>
      </c>
      <c r="F51" s="35" t="str">
        <f aca="false">IFERROR(INDEX('Fund Research'!$H$6:$H$505,MATCH(46,'Fund Research'!$W$6:$W$505,0)),"")</f>
        <v/>
      </c>
      <c r="G51" s="35" t="str">
        <f aca="false">IFERROR(INDEX('Fund Research'!$I$6:$I$505,MATCH(46,'Fund Research'!$W$6:$W$505,0)),"")</f>
        <v/>
      </c>
      <c r="H51" s="36" t="str">
        <f aca="false">IFERROR(INDEX('Fund Research'!$J$6:$J$505,MATCH(46,'Fund Research'!$W$6:$W$505,0)),"")</f>
        <v/>
      </c>
      <c r="I51" s="39" t="str">
        <f aca="false">IFERROR(INDEX('Fund Research'!$L$6:$L$505,MATCH(46,'Fund Research'!$W$6:$W$505,0)),"")</f>
        <v/>
      </c>
      <c r="J51" s="36" t="str">
        <f aca="false">IFERROR(INDEX('Fund Research'!$N$6:$N$505,MATCH(46,'Fund Research'!$W$6:$W$505,0)),"")</f>
        <v/>
      </c>
      <c r="K51" s="36" t="str">
        <f aca="false">IFERROR(INDEX('Fund Research'!$P$6:$P$505,MATCH(46,'Fund Research'!$W$6:$W$505,0)),"")</f>
        <v/>
      </c>
      <c r="L51" s="34" t="str">
        <f aca="false">IFERROR(INDEX('Fund Research'!$S$6:$S$505,MATCH(46,'Fund Research'!$W$6:$W$505,0)),"")</f>
        <v/>
      </c>
      <c r="M51" s="34" t="str">
        <f aca="false">IFERROR(INDEX('Fund Research'!$T$6:$T$505,MATCH(46,'Fund Research'!$W$6:$W$505,0)),"")</f>
        <v/>
      </c>
    </row>
    <row r="52" customFormat="false" ht="15" hidden="false" customHeight="true" outlineLevel="0" collapsed="false">
      <c r="A52" s="33" t="str">
        <f aca="false">IFERROR(IF(INDEX('Fund Research'!$B$6:$B$505,MATCH(47,'Fund Research'!$W$6:$W$505,0))="","",47),"")</f>
        <v/>
      </c>
      <c r="B52" s="34" t="str">
        <f aca="false">IFERROR(INDEX('Fund Research'!$A$6:$A$505,MATCH(47,'Fund Research'!$W$6:$W$505,0)),"")</f>
        <v/>
      </c>
      <c r="C52" s="34" t="str">
        <f aca="false">IFERROR(INDEX('Fund Research'!$B$6:$B$505,MATCH(47,'Fund Research'!$W$6:$W$505,0)),"")</f>
        <v/>
      </c>
      <c r="D52" s="34" t="str">
        <f aca="false">IFERROR(INDEX('Fund Research'!$C$6:$C$505,MATCH(47,'Fund Research'!$W$6:$W$505,0)),"")</f>
        <v/>
      </c>
      <c r="E52" s="35" t="str">
        <f aca="false">IFERROR(INDEX('Fund Research'!$G$6:$G$505,MATCH(47,'Fund Research'!$W$6:$W$505,0)),"")</f>
        <v/>
      </c>
      <c r="F52" s="35" t="str">
        <f aca="false">IFERROR(INDEX('Fund Research'!$H$6:$H$505,MATCH(47,'Fund Research'!$W$6:$W$505,0)),"")</f>
        <v/>
      </c>
      <c r="G52" s="35" t="str">
        <f aca="false">IFERROR(INDEX('Fund Research'!$I$6:$I$505,MATCH(47,'Fund Research'!$W$6:$W$505,0)),"")</f>
        <v/>
      </c>
      <c r="H52" s="36" t="str">
        <f aca="false">IFERROR(INDEX('Fund Research'!$J$6:$J$505,MATCH(47,'Fund Research'!$W$6:$W$505,0)),"")</f>
        <v/>
      </c>
      <c r="I52" s="39" t="str">
        <f aca="false">IFERROR(INDEX('Fund Research'!$L$6:$L$505,MATCH(47,'Fund Research'!$W$6:$W$505,0)),"")</f>
        <v/>
      </c>
      <c r="J52" s="36" t="str">
        <f aca="false">IFERROR(INDEX('Fund Research'!$N$6:$N$505,MATCH(47,'Fund Research'!$W$6:$W$505,0)),"")</f>
        <v/>
      </c>
      <c r="K52" s="36" t="str">
        <f aca="false">IFERROR(INDEX('Fund Research'!$P$6:$P$505,MATCH(47,'Fund Research'!$W$6:$W$505,0)),"")</f>
        <v/>
      </c>
      <c r="L52" s="34" t="str">
        <f aca="false">IFERROR(INDEX('Fund Research'!$S$6:$S$505,MATCH(47,'Fund Research'!$W$6:$W$505,0)),"")</f>
        <v/>
      </c>
      <c r="M52" s="34" t="str">
        <f aca="false">IFERROR(INDEX('Fund Research'!$T$6:$T$505,MATCH(47,'Fund Research'!$W$6:$W$505,0)),"")</f>
        <v/>
      </c>
    </row>
    <row r="53" customFormat="false" ht="15" hidden="false" customHeight="true" outlineLevel="0" collapsed="false">
      <c r="A53" s="33" t="str">
        <f aca="false">IFERROR(IF(INDEX('Fund Research'!$B$6:$B$505,MATCH(48,'Fund Research'!$W$6:$W$505,0))="","",48),"")</f>
        <v/>
      </c>
      <c r="B53" s="34" t="str">
        <f aca="false">IFERROR(INDEX('Fund Research'!$A$6:$A$505,MATCH(48,'Fund Research'!$W$6:$W$505,0)),"")</f>
        <v/>
      </c>
      <c r="C53" s="34" t="str">
        <f aca="false">IFERROR(INDEX('Fund Research'!$B$6:$B$505,MATCH(48,'Fund Research'!$W$6:$W$505,0)),"")</f>
        <v/>
      </c>
      <c r="D53" s="34" t="str">
        <f aca="false">IFERROR(INDEX('Fund Research'!$C$6:$C$505,MATCH(48,'Fund Research'!$W$6:$W$505,0)),"")</f>
        <v/>
      </c>
      <c r="E53" s="35" t="str">
        <f aca="false">IFERROR(INDEX('Fund Research'!$G$6:$G$505,MATCH(48,'Fund Research'!$W$6:$W$505,0)),"")</f>
        <v/>
      </c>
      <c r="F53" s="35" t="str">
        <f aca="false">IFERROR(INDEX('Fund Research'!$H$6:$H$505,MATCH(48,'Fund Research'!$W$6:$W$505,0)),"")</f>
        <v/>
      </c>
      <c r="G53" s="35" t="str">
        <f aca="false">IFERROR(INDEX('Fund Research'!$I$6:$I$505,MATCH(48,'Fund Research'!$W$6:$W$505,0)),"")</f>
        <v/>
      </c>
      <c r="H53" s="36" t="str">
        <f aca="false">IFERROR(INDEX('Fund Research'!$J$6:$J$505,MATCH(48,'Fund Research'!$W$6:$W$505,0)),"")</f>
        <v/>
      </c>
      <c r="I53" s="39" t="str">
        <f aca="false">IFERROR(INDEX('Fund Research'!$L$6:$L$505,MATCH(48,'Fund Research'!$W$6:$W$505,0)),"")</f>
        <v/>
      </c>
      <c r="J53" s="36" t="str">
        <f aca="false">IFERROR(INDEX('Fund Research'!$N$6:$N$505,MATCH(48,'Fund Research'!$W$6:$W$505,0)),"")</f>
        <v/>
      </c>
      <c r="K53" s="36" t="str">
        <f aca="false">IFERROR(INDEX('Fund Research'!$P$6:$P$505,MATCH(48,'Fund Research'!$W$6:$W$505,0)),"")</f>
        <v/>
      </c>
      <c r="L53" s="34" t="str">
        <f aca="false">IFERROR(INDEX('Fund Research'!$S$6:$S$505,MATCH(48,'Fund Research'!$W$6:$W$505,0)),"")</f>
        <v/>
      </c>
      <c r="M53" s="34" t="str">
        <f aca="false">IFERROR(INDEX('Fund Research'!$T$6:$T$505,MATCH(48,'Fund Research'!$W$6:$W$505,0)),"")</f>
        <v/>
      </c>
    </row>
    <row r="54" customFormat="false" ht="15" hidden="false" customHeight="true" outlineLevel="0" collapsed="false">
      <c r="A54" s="33" t="str">
        <f aca="false">IFERROR(IF(INDEX('Fund Research'!$B$6:$B$505,MATCH(49,'Fund Research'!$W$6:$W$505,0))="","",49),"")</f>
        <v/>
      </c>
      <c r="B54" s="34" t="str">
        <f aca="false">IFERROR(INDEX('Fund Research'!$A$6:$A$505,MATCH(49,'Fund Research'!$W$6:$W$505,0)),"")</f>
        <v/>
      </c>
      <c r="C54" s="34" t="str">
        <f aca="false">IFERROR(INDEX('Fund Research'!$B$6:$B$505,MATCH(49,'Fund Research'!$W$6:$W$505,0)),"")</f>
        <v/>
      </c>
      <c r="D54" s="34" t="str">
        <f aca="false">IFERROR(INDEX('Fund Research'!$C$6:$C$505,MATCH(49,'Fund Research'!$W$6:$W$505,0)),"")</f>
        <v/>
      </c>
      <c r="E54" s="35" t="str">
        <f aca="false">IFERROR(INDEX('Fund Research'!$G$6:$G$505,MATCH(49,'Fund Research'!$W$6:$W$505,0)),"")</f>
        <v/>
      </c>
      <c r="F54" s="35" t="str">
        <f aca="false">IFERROR(INDEX('Fund Research'!$H$6:$H$505,MATCH(49,'Fund Research'!$W$6:$W$505,0)),"")</f>
        <v/>
      </c>
      <c r="G54" s="35" t="str">
        <f aca="false">IFERROR(INDEX('Fund Research'!$I$6:$I$505,MATCH(49,'Fund Research'!$W$6:$W$505,0)),"")</f>
        <v/>
      </c>
      <c r="H54" s="36" t="str">
        <f aca="false">IFERROR(INDEX('Fund Research'!$J$6:$J$505,MATCH(49,'Fund Research'!$W$6:$W$505,0)),"")</f>
        <v/>
      </c>
      <c r="I54" s="39" t="str">
        <f aca="false">IFERROR(INDEX('Fund Research'!$L$6:$L$505,MATCH(49,'Fund Research'!$W$6:$W$505,0)),"")</f>
        <v/>
      </c>
      <c r="J54" s="36" t="str">
        <f aca="false">IFERROR(INDEX('Fund Research'!$N$6:$N$505,MATCH(49,'Fund Research'!$W$6:$W$505,0)),"")</f>
        <v/>
      </c>
      <c r="K54" s="36" t="str">
        <f aca="false">IFERROR(INDEX('Fund Research'!$P$6:$P$505,MATCH(49,'Fund Research'!$W$6:$W$505,0)),"")</f>
        <v/>
      </c>
      <c r="L54" s="34" t="str">
        <f aca="false">IFERROR(INDEX('Fund Research'!$S$6:$S$505,MATCH(49,'Fund Research'!$W$6:$W$505,0)),"")</f>
        <v/>
      </c>
      <c r="M54" s="34" t="str">
        <f aca="false">IFERROR(INDEX('Fund Research'!$T$6:$T$505,MATCH(49,'Fund Research'!$W$6:$W$505,0)),"")</f>
        <v/>
      </c>
    </row>
    <row r="55" customFormat="false" ht="15" hidden="false" customHeight="true" outlineLevel="0" collapsed="false">
      <c r="A55" s="33" t="str">
        <f aca="false">IFERROR(IF(INDEX('Fund Research'!$B$6:$B$505,MATCH(50,'Fund Research'!$W$6:$W$505,0))="","",50),"")</f>
        <v/>
      </c>
      <c r="B55" s="34" t="str">
        <f aca="false">IFERROR(INDEX('Fund Research'!$A$6:$A$505,MATCH(50,'Fund Research'!$W$6:$W$505,0)),"")</f>
        <v/>
      </c>
      <c r="C55" s="34" t="str">
        <f aca="false">IFERROR(INDEX('Fund Research'!$B$6:$B$505,MATCH(50,'Fund Research'!$W$6:$W$505,0)),"")</f>
        <v/>
      </c>
      <c r="D55" s="34" t="str">
        <f aca="false">IFERROR(INDEX('Fund Research'!$C$6:$C$505,MATCH(50,'Fund Research'!$W$6:$W$505,0)),"")</f>
        <v/>
      </c>
      <c r="E55" s="35" t="str">
        <f aca="false">IFERROR(INDEX('Fund Research'!$G$6:$G$505,MATCH(50,'Fund Research'!$W$6:$W$505,0)),"")</f>
        <v/>
      </c>
      <c r="F55" s="35" t="str">
        <f aca="false">IFERROR(INDEX('Fund Research'!$H$6:$H$505,MATCH(50,'Fund Research'!$W$6:$W$505,0)),"")</f>
        <v/>
      </c>
      <c r="G55" s="35" t="str">
        <f aca="false">IFERROR(INDEX('Fund Research'!$I$6:$I$505,MATCH(50,'Fund Research'!$W$6:$W$505,0)),"")</f>
        <v/>
      </c>
      <c r="H55" s="36" t="str">
        <f aca="false">IFERROR(INDEX('Fund Research'!$J$6:$J$505,MATCH(50,'Fund Research'!$W$6:$W$505,0)),"")</f>
        <v/>
      </c>
      <c r="I55" s="39" t="str">
        <f aca="false">IFERROR(INDEX('Fund Research'!$L$6:$L$505,MATCH(50,'Fund Research'!$W$6:$W$505,0)),"")</f>
        <v/>
      </c>
      <c r="J55" s="36" t="str">
        <f aca="false">IFERROR(INDEX('Fund Research'!$N$6:$N$505,MATCH(50,'Fund Research'!$W$6:$W$505,0)),"")</f>
        <v/>
      </c>
      <c r="K55" s="36" t="str">
        <f aca="false">IFERROR(INDEX('Fund Research'!$P$6:$P$505,MATCH(50,'Fund Research'!$W$6:$W$505,0)),"")</f>
        <v/>
      </c>
      <c r="L55" s="34" t="str">
        <f aca="false">IFERROR(INDEX('Fund Research'!$S$6:$S$505,MATCH(50,'Fund Research'!$W$6:$W$505,0)),"")</f>
        <v/>
      </c>
      <c r="M55" s="34" t="str">
        <f aca="false">IFERROR(INDEX('Fund Research'!$T$6:$T$505,MATCH(50,'Fund Research'!$W$6:$W$505,0)),"")</f>
        <v/>
      </c>
    </row>
    <row r="56" customFormat="false" ht="15" hidden="false" customHeight="true" outlineLevel="0" collapsed="false">
      <c r="A56" s="33" t="str">
        <f aca="false">IFERROR(IF(INDEX('Fund Research'!$B$6:$B$505,MATCH(51,'Fund Research'!$W$6:$W$505,0))="","",51),"")</f>
        <v/>
      </c>
      <c r="B56" s="34" t="str">
        <f aca="false">IFERROR(INDEX('Fund Research'!$A$6:$A$505,MATCH(51,'Fund Research'!$W$6:$W$505,0)),"")</f>
        <v/>
      </c>
      <c r="C56" s="34" t="str">
        <f aca="false">IFERROR(INDEX('Fund Research'!$B$6:$B$505,MATCH(51,'Fund Research'!$W$6:$W$505,0)),"")</f>
        <v/>
      </c>
      <c r="D56" s="34" t="str">
        <f aca="false">IFERROR(INDEX('Fund Research'!$C$6:$C$505,MATCH(51,'Fund Research'!$W$6:$W$505,0)),"")</f>
        <v/>
      </c>
      <c r="E56" s="35" t="str">
        <f aca="false">IFERROR(INDEX('Fund Research'!$G$6:$G$505,MATCH(51,'Fund Research'!$W$6:$W$505,0)),"")</f>
        <v/>
      </c>
      <c r="F56" s="35" t="str">
        <f aca="false">IFERROR(INDEX('Fund Research'!$H$6:$H$505,MATCH(51,'Fund Research'!$W$6:$W$505,0)),"")</f>
        <v/>
      </c>
      <c r="G56" s="35" t="str">
        <f aca="false">IFERROR(INDEX('Fund Research'!$I$6:$I$505,MATCH(51,'Fund Research'!$W$6:$W$505,0)),"")</f>
        <v/>
      </c>
      <c r="H56" s="36" t="str">
        <f aca="false">IFERROR(INDEX('Fund Research'!$J$6:$J$505,MATCH(51,'Fund Research'!$W$6:$W$505,0)),"")</f>
        <v/>
      </c>
      <c r="I56" s="39" t="str">
        <f aca="false">IFERROR(INDEX('Fund Research'!$L$6:$L$505,MATCH(51,'Fund Research'!$W$6:$W$505,0)),"")</f>
        <v/>
      </c>
      <c r="J56" s="36" t="str">
        <f aca="false">IFERROR(INDEX('Fund Research'!$N$6:$N$505,MATCH(51,'Fund Research'!$W$6:$W$505,0)),"")</f>
        <v/>
      </c>
      <c r="K56" s="36" t="str">
        <f aca="false">IFERROR(INDEX('Fund Research'!$P$6:$P$505,MATCH(51,'Fund Research'!$W$6:$W$505,0)),"")</f>
        <v/>
      </c>
      <c r="L56" s="34" t="str">
        <f aca="false">IFERROR(INDEX('Fund Research'!$S$6:$S$505,MATCH(51,'Fund Research'!$W$6:$W$505,0)),"")</f>
        <v/>
      </c>
      <c r="M56" s="34" t="str">
        <f aca="false">IFERROR(INDEX('Fund Research'!$T$6:$T$505,MATCH(51,'Fund Research'!$W$6:$W$505,0)),"")</f>
        <v/>
      </c>
    </row>
    <row r="57" customFormat="false" ht="15" hidden="false" customHeight="true" outlineLevel="0" collapsed="false">
      <c r="A57" s="33" t="str">
        <f aca="false">IFERROR(IF(INDEX('Fund Research'!$B$6:$B$505,MATCH(52,'Fund Research'!$W$6:$W$505,0))="","",52),"")</f>
        <v/>
      </c>
      <c r="B57" s="34" t="str">
        <f aca="false">IFERROR(INDEX('Fund Research'!$A$6:$A$505,MATCH(52,'Fund Research'!$W$6:$W$505,0)),"")</f>
        <v/>
      </c>
      <c r="C57" s="34" t="str">
        <f aca="false">IFERROR(INDEX('Fund Research'!$B$6:$B$505,MATCH(52,'Fund Research'!$W$6:$W$505,0)),"")</f>
        <v/>
      </c>
      <c r="D57" s="34" t="str">
        <f aca="false">IFERROR(INDEX('Fund Research'!$C$6:$C$505,MATCH(52,'Fund Research'!$W$6:$W$505,0)),"")</f>
        <v/>
      </c>
      <c r="E57" s="35" t="str">
        <f aca="false">IFERROR(INDEX('Fund Research'!$G$6:$G$505,MATCH(52,'Fund Research'!$W$6:$W$505,0)),"")</f>
        <v/>
      </c>
      <c r="F57" s="35" t="str">
        <f aca="false">IFERROR(INDEX('Fund Research'!$H$6:$H$505,MATCH(52,'Fund Research'!$W$6:$W$505,0)),"")</f>
        <v/>
      </c>
      <c r="G57" s="35" t="str">
        <f aca="false">IFERROR(INDEX('Fund Research'!$I$6:$I$505,MATCH(52,'Fund Research'!$W$6:$W$505,0)),"")</f>
        <v/>
      </c>
      <c r="H57" s="36" t="str">
        <f aca="false">IFERROR(INDEX('Fund Research'!$J$6:$J$505,MATCH(52,'Fund Research'!$W$6:$W$505,0)),"")</f>
        <v/>
      </c>
      <c r="I57" s="39" t="str">
        <f aca="false">IFERROR(INDEX('Fund Research'!$L$6:$L$505,MATCH(52,'Fund Research'!$W$6:$W$505,0)),"")</f>
        <v/>
      </c>
      <c r="J57" s="36" t="str">
        <f aca="false">IFERROR(INDEX('Fund Research'!$N$6:$N$505,MATCH(52,'Fund Research'!$W$6:$W$505,0)),"")</f>
        <v/>
      </c>
      <c r="K57" s="36" t="str">
        <f aca="false">IFERROR(INDEX('Fund Research'!$P$6:$P$505,MATCH(52,'Fund Research'!$W$6:$W$505,0)),"")</f>
        <v/>
      </c>
      <c r="L57" s="34" t="str">
        <f aca="false">IFERROR(INDEX('Fund Research'!$S$6:$S$505,MATCH(52,'Fund Research'!$W$6:$W$505,0)),"")</f>
        <v/>
      </c>
      <c r="M57" s="34" t="str">
        <f aca="false">IFERROR(INDEX('Fund Research'!$T$6:$T$505,MATCH(52,'Fund Research'!$W$6:$W$505,0)),"")</f>
        <v/>
      </c>
    </row>
    <row r="58" customFormat="false" ht="15" hidden="false" customHeight="true" outlineLevel="0" collapsed="false">
      <c r="A58" s="33" t="str">
        <f aca="false">IFERROR(IF(INDEX('Fund Research'!$B$6:$B$505,MATCH(53,'Fund Research'!$W$6:$W$505,0))="","",53),"")</f>
        <v/>
      </c>
      <c r="B58" s="34" t="str">
        <f aca="false">IFERROR(INDEX('Fund Research'!$A$6:$A$505,MATCH(53,'Fund Research'!$W$6:$W$505,0)),"")</f>
        <v/>
      </c>
      <c r="C58" s="34" t="str">
        <f aca="false">IFERROR(INDEX('Fund Research'!$B$6:$B$505,MATCH(53,'Fund Research'!$W$6:$W$505,0)),"")</f>
        <v/>
      </c>
      <c r="D58" s="34" t="str">
        <f aca="false">IFERROR(INDEX('Fund Research'!$C$6:$C$505,MATCH(53,'Fund Research'!$W$6:$W$505,0)),"")</f>
        <v/>
      </c>
      <c r="E58" s="35" t="str">
        <f aca="false">IFERROR(INDEX('Fund Research'!$G$6:$G$505,MATCH(53,'Fund Research'!$W$6:$W$505,0)),"")</f>
        <v/>
      </c>
      <c r="F58" s="35" t="str">
        <f aca="false">IFERROR(INDEX('Fund Research'!$H$6:$H$505,MATCH(53,'Fund Research'!$W$6:$W$505,0)),"")</f>
        <v/>
      </c>
      <c r="G58" s="35" t="str">
        <f aca="false">IFERROR(INDEX('Fund Research'!$I$6:$I$505,MATCH(53,'Fund Research'!$W$6:$W$505,0)),"")</f>
        <v/>
      </c>
      <c r="H58" s="36" t="str">
        <f aca="false">IFERROR(INDEX('Fund Research'!$J$6:$J$505,MATCH(53,'Fund Research'!$W$6:$W$505,0)),"")</f>
        <v/>
      </c>
      <c r="I58" s="39" t="str">
        <f aca="false">IFERROR(INDEX('Fund Research'!$L$6:$L$505,MATCH(53,'Fund Research'!$W$6:$W$505,0)),"")</f>
        <v/>
      </c>
      <c r="J58" s="36" t="str">
        <f aca="false">IFERROR(INDEX('Fund Research'!$N$6:$N$505,MATCH(53,'Fund Research'!$W$6:$W$505,0)),"")</f>
        <v/>
      </c>
      <c r="K58" s="36" t="str">
        <f aca="false">IFERROR(INDEX('Fund Research'!$P$6:$P$505,MATCH(53,'Fund Research'!$W$6:$W$505,0)),"")</f>
        <v/>
      </c>
      <c r="L58" s="34" t="str">
        <f aca="false">IFERROR(INDEX('Fund Research'!$S$6:$S$505,MATCH(53,'Fund Research'!$W$6:$W$505,0)),"")</f>
        <v/>
      </c>
      <c r="M58" s="34" t="str">
        <f aca="false">IFERROR(INDEX('Fund Research'!$T$6:$T$505,MATCH(53,'Fund Research'!$W$6:$W$505,0)),"")</f>
        <v/>
      </c>
    </row>
    <row r="59" customFormat="false" ht="15" hidden="false" customHeight="true" outlineLevel="0" collapsed="false">
      <c r="A59" s="33" t="str">
        <f aca="false">IFERROR(IF(INDEX('Fund Research'!$B$6:$B$505,MATCH(54,'Fund Research'!$W$6:$W$505,0))="","",54),"")</f>
        <v/>
      </c>
      <c r="B59" s="34" t="str">
        <f aca="false">IFERROR(INDEX('Fund Research'!$A$6:$A$505,MATCH(54,'Fund Research'!$W$6:$W$505,0)),"")</f>
        <v/>
      </c>
      <c r="C59" s="34" t="str">
        <f aca="false">IFERROR(INDEX('Fund Research'!$B$6:$B$505,MATCH(54,'Fund Research'!$W$6:$W$505,0)),"")</f>
        <v/>
      </c>
      <c r="D59" s="34" t="str">
        <f aca="false">IFERROR(INDEX('Fund Research'!$C$6:$C$505,MATCH(54,'Fund Research'!$W$6:$W$505,0)),"")</f>
        <v/>
      </c>
      <c r="E59" s="35" t="str">
        <f aca="false">IFERROR(INDEX('Fund Research'!$G$6:$G$505,MATCH(54,'Fund Research'!$W$6:$W$505,0)),"")</f>
        <v/>
      </c>
      <c r="F59" s="35" t="str">
        <f aca="false">IFERROR(INDEX('Fund Research'!$H$6:$H$505,MATCH(54,'Fund Research'!$W$6:$W$505,0)),"")</f>
        <v/>
      </c>
      <c r="G59" s="35" t="str">
        <f aca="false">IFERROR(INDEX('Fund Research'!$I$6:$I$505,MATCH(54,'Fund Research'!$W$6:$W$505,0)),"")</f>
        <v/>
      </c>
      <c r="H59" s="36" t="str">
        <f aca="false">IFERROR(INDEX('Fund Research'!$J$6:$J$505,MATCH(54,'Fund Research'!$W$6:$W$505,0)),"")</f>
        <v/>
      </c>
      <c r="I59" s="39" t="str">
        <f aca="false">IFERROR(INDEX('Fund Research'!$L$6:$L$505,MATCH(54,'Fund Research'!$W$6:$W$505,0)),"")</f>
        <v/>
      </c>
      <c r="J59" s="36" t="str">
        <f aca="false">IFERROR(INDEX('Fund Research'!$N$6:$N$505,MATCH(54,'Fund Research'!$W$6:$W$505,0)),"")</f>
        <v/>
      </c>
      <c r="K59" s="36" t="str">
        <f aca="false">IFERROR(INDEX('Fund Research'!$P$6:$P$505,MATCH(54,'Fund Research'!$W$6:$W$505,0)),"")</f>
        <v/>
      </c>
      <c r="L59" s="34" t="str">
        <f aca="false">IFERROR(INDEX('Fund Research'!$S$6:$S$505,MATCH(54,'Fund Research'!$W$6:$W$505,0)),"")</f>
        <v/>
      </c>
      <c r="M59" s="34" t="str">
        <f aca="false">IFERROR(INDEX('Fund Research'!$T$6:$T$505,MATCH(54,'Fund Research'!$W$6:$W$505,0)),"")</f>
        <v/>
      </c>
    </row>
    <row r="60" customFormat="false" ht="15" hidden="false" customHeight="true" outlineLevel="0" collapsed="false">
      <c r="A60" s="33" t="str">
        <f aca="false">IFERROR(IF(INDEX('Fund Research'!$B$6:$B$505,MATCH(55,'Fund Research'!$W$6:$W$505,0))="","",55),"")</f>
        <v/>
      </c>
      <c r="B60" s="34" t="str">
        <f aca="false">IFERROR(INDEX('Fund Research'!$A$6:$A$505,MATCH(55,'Fund Research'!$W$6:$W$505,0)),"")</f>
        <v/>
      </c>
      <c r="C60" s="34" t="str">
        <f aca="false">IFERROR(INDEX('Fund Research'!$B$6:$B$505,MATCH(55,'Fund Research'!$W$6:$W$505,0)),"")</f>
        <v/>
      </c>
      <c r="D60" s="34" t="str">
        <f aca="false">IFERROR(INDEX('Fund Research'!$C$6:$C$505,MATCH(55,'Fund Research'!$W$6:$W$505,0)),"")</f>
        <v/>
      </c>
      <c r="E60" s="35" t="str">
        <f aca="false">IFERROR(INDEX('Fund Research'!$G$6:$G$505,MATCH(55,'Fund Research'!$W$6:$W$505,0)),"")</f>
        <v/>
      </c>
      <c r="F60" s="35" t="str">
        <f aca="false">IFERROR(INDEX('Fund Research'!$H$6:$H$505,MATCH(55,'Fund Research'!$W$6:$W$505,0)),"")</f>
        <v/>
      </c>
      <c r="G60" s="35" t="str">
        <f aca="false">IFERROR(INDEX('Fund Research'!$I$6:$I$505,MATCH(55,'Fund Research'!$W$6:$W$505,0)),"")</f>
        <v/>
      </c>
      <c r="H60" s="36" t="str">
        <f aca="false">IFERROR(INDEX('Fund Research'!$J$6:$J$505,MATCH(55,'Fund Research'!$W$6:$W$505,0)),"")</f>
        <v/>
      </c>
      <c r="I60" s="39" t="str">
        <f aca="false">IFERROR(INDEX('Fund Research'!$L$6:$L$505,MATCH(55,'Fund Research'!$W$6:$W$505,0)),"")</f>
        <v/>
      </c>
      <c r="J60" s="36" t="str">
        <f aca="false">IFERROR(INDEX('Fund Research'!$N$6:$N$505,MATCH(55,'Fund Research'!$W$6:$W$505,0)),"")</f>
        <v/>
      </c>
      <c r="K60" s="36" t="str">
        <f aca="false">IFERROR(INDEX('Fund Research'!$P$6:$P$505,MATCH(55,'Fund Research'!$W$6:$W$505,0)),"")</f>
        <v/>
      </c>
      <c r="L60" s="34" t="str">
        <f aca="false">IFERROR(INDEX('Fund Research'!$S$6:$S$505,MATCH(55,'Fund Research'!$W$6:$W$505,0)),"")</f>
        <v/>
      </c>
      <c r="M60" s="34" t="str">
        <f aca="false">IFERROR(INDEX('Fund Research'!$T$6:$T$505,MATCH(55,'Fund Research'!$W$6:$W$505,0)),"")</f>
        <v/>
      </c>
    </row>
    <row r="61" customFormat="false" ht="15" hidden="false" customHeight="true" outlineLevel="0" collapsed="false">
      <c r="A61" s="33" t="str">
        <f aca="false">IFERROR(IF(INDEX('Fund Research'!$B$6:$B$505,MATCH(56,'Fund Research'!$W$6:$W$505,0))="","",56),"")</f>
        <v/>
      </c>
      <c r="B61" s="34" t="str">
        <f aca="false">IFERROR(INDEX('Fund Research'!$A$6:$A$505,MATCH(56,'Fund Research'!$W$6:$W$505,0)),"")</f>
        <v/>
      </c>
      <c r="C61" s="34" t="str">
        <f aca="false">IFERROR(INDEX('Fund Research'!$B$6:$B$505,MATCH(56,'Fund Research'!$W$6:$W$505,0)),"")</f>
        <v/>
      </c>
      <c r="D61" s="34" t="str">
        <f aca="false">IFERROR(INDEX('Fund Research'!$C$6:$C$505,MATCH(56,'Fund Research'!$W$6:$W$505,0)),"")</f>
        <v/>
      </c>
      <c r="E61" s="35" t="str">
        <f aca="false">IFERROR(INDEX('Fund Research'!$G$6:$G$505,MATCH(56,'Fund Research'!$W$6:$W$505,0)),"")</f>
        <v/>
      </c>
      <c r="F61" s="35" t="str">
        <f aca="false">IFERROR(INDEX('Fund Research'!$H$6:$H$505,MATCH(56,'Fund Research'!$W$6:$W$505,0)),"")</f>
        <v/>
      </c>
      <c r="G61" s="35" t="str">
        <f aca="false">IFERROR(INDEX('Fund Research'!$I$6:$I$505,MATCH(56,'Fund Research'!$W$6:$W$505,0)),"")</f>
        <v/>
      </c>
      <c r="H61" s="36" t="str">
        <f aca="false">IFERROR(INDEX('Fund Research'!$J$6:$J$505,MATCH(56,'Fund Research'!$W$6:$W$505,0)),"")</f>
        <v/>
      </c>
      <c r="I61" s="39" t="str">
        <f aca="false">IFERROR(INDEX('Fund Research'!$L$6:$L$505,MATCH(56,'Fund Research'!$W$6:$W$505,0)),"")</f>
        <v/>
      </c>
      <c r="J61" s="36" t="str">
        <f aca="false">IFERROR(INDEX('Fund Research'!$N$6:$N$505,MATCH(56,'Fund Research'!$W$6:$W$505,0)),"")</f>
        <v/>
      </c>
      <c r="K61" s="36" t="str">
        <f aca="false">IFERROR(INDEX('Fund Research'!$P$6:$P$505,MATCH(56,'Fund Research'!$W$6:$W$505,0)),"")</f>
        <v/>
      </c>
      <c r="L61" s="34" t="str">
        <f aca="false">IFERROR(INDEX('Fund Research'!$S$6:$S$505,MATCH(56,'Fund Research'!$W$6:$W$505,0)),"")</f>
        <v/>
      </c>
      <c r="M61" s="34" t="str">
        <f aca="false">IFERROR(INDEX('Fund Research'!$T$6:$T$505,MATCH(56,'Fund Research'!$W$6:$W$505,0)),"")</f>
        <v/>
      </c>
    </row>
    <row r="62" customFormat="false" ht="15" hidden="false" customHeight="true" outlineLevel="0" collapsed="false">
      <c r="A62" s="33" t="str">
        <f aca="false">IFERROR(IF(INDEX('Fund Research'!$B$6:$B$505,MATCH(57,'Fund Research'!$W$6:$W$505,0))="","",57),"")</f>
        <v/>
      </c>
      <c r="B62" s="34" t="str">
        <f aca="false">IFERROR(INDEX('Fund Research'!$A$6:$A$505,MATCH(57,'Fund Research'!$W$6:$W$505,0)),"")</f>
        <v/>
      </c>
      <c r="C62" s="34" t="str">
        <f aca="false">IFERROR(INDEX('Fund Research'!$B$6:$B$505,MATCH(57,'Fund Research'!$W$6:$W$505,0)),"")</f>
        <v/>
      </c>
      <c r="D62" s="34" t="str">
        <f aca="false">IFERROR(INDEX('Fund Research'!$C$6:$C$505,MATCH(57,'Fund Research'!$W$6:$W$505,0)),"")</f>
        <v/>
      </c>
      <c r="E62" s="35" t="str">
        <f aca="false">IFERROR(INDEX('Fund Research'!$G$6:$G$505,MATCH(57,'Fund Research'!$W$6:$W$505,0)),"")</f>
        <v/>
      </c>
      <c r="F62" s="35" t="str">
        <f aca="false">IFERROR(INDEX('Fund Research'!$H$6:$H$505,MATCH(57,'Fund Research'!$W$6:$W$505,0)),"")</f>
        <v/>
      </c>
      <c r="G62" s="35" t="str">
        <f aca="false">IFERROR(INDEX('Fund Research'!$I$6:$I$505,MATCH(57,'Fund Research'!$W$6:$W$505,0)),"")</f>
        <v/>
      </c>
      <c r="H62" s="36" t="str">
        <f aca="false">IFERROR(INDEX('Fund Research'!$J$6:$J$505,MATCH(57,'Fund Research'!$W$6:$W$505,0)),"")</f>
        <v/>
      </c>
      <c r="I62" s="39" t="str">
        <f aca="false">IFERROR(INDEX('Fund Research'!$L$6:$L$505,MATCH(57,'Fund Research'!$W$6:$W$505,0)),"")</f>
        <v/>
      </c>
      <c r="J62" s="36" t="str">
        <f aca="false">IFERROR(INDEX('Fund Research'!$N$6:$N$505,MATCH(57,'Fund Research'!$W$6:$W$505,0)),"")</f>
        <v/>
      </c>
      <c r="K62" s="36" t="str">
        <f aca="false">IFERROR(INDEX('Fund Research'!$P$6:$P$505,MATCH(57,'Fund Research'!$W$6:$W$505,0)),"")</f>
        <v/>
      </c>
      <c r="L62" s="34" t="str">
        <f aca="false">IFERROR(INDEX('Fund Research'!$S$6:$S$505,MATCH(57,'Fund Research'!$W$6:$W$505,0)),"")</f>
        <v/>
      </c>
      <c r="M62" s="34" t="str">
        <f aca="false">IFERROR(INDEX('Fund Research'!$T$6:$T$505,MATCH(57,'Fund Research'!$W$6:$W$505,0)),"")</f>
        <v/>
      </c>
    </row>
    <row r="63" customFormat="false" ht="15" hidden="false" customHeight="true" outlineLevel="0" collapsed="false">
      <c r="A63" s="33" t="str">
        <f aca="false">IFERROR(IF(INDEX('Fund Research'!$B$6:$B$505,MATCH(58,'Fund Research'!$W$6:$W$505,0))="","",58),"")</f>
        <v/>
      </c>
      <c r="B63" s="34" t="str">
        <f aca="false">IFERROR(INDEX('Fund Research'!$A$6:$A$505,MATCH(58,'Fund Research'!$W$6:$W$505,0)),"")</f>
        <v/>
      </c>
      <c r="C63" s="34" t="str">
        <f aca="false">IFERROR(INDEX('Fund Research'!$B$6:$B$505,MATCH(58,'Fund Research'!$W$6:$W$505,0)),"")</f>
        <v/>
      </c>
      <c r="D63" s="34" t="str">
        <f aca="false">IFERROR(INDEX('Fund Research'!$C$6:$C$505,MATCH(58,'Fund Research'!$W$6:$W$505,0)),"")</f>
        <v/>
      </c>
      <c r="E63" s="35" t="str">
        <f aca="false">IFERROR(INDEX('Fund Research'!$G$6:$G$505,MATCH(58,'Fund Research'!$W$6:$W$505,0)),"")</f>
        <v/>
      </c>
      <c r="F63" s="35" t="str">
        <f aca="false">IFERROR(INDEX('Fund Research'!$H$6:$H$505,MATCH(58,'Fund Research'!$W$6:$W$505,0)),"")</f>
        <v/>
      </c>
      <c r="G63" s="35" t="str">
        <f aca="false">IFERROR(INDEX('Fund Research'!$I$6:$I$505,MATCH(58,'Fund Research'!$W$6:$W$505,0)),"")</f>
        <v/>
      </c>
      <c r="H63" s="36" t="str">
        <f aca="false">IFERROR(INDEX('Fund Research'!$J$6:$J$505,MATCH(58,'Fund Research'!$W$6:$W$505,0)),"")</f>
        <v/>
      </c>
      <c r="I63" s="39" t="str">
        <f aca="false">IFERROR(INDEX('Fund Research'!$L$6:$L$505,MATCH(58,'Fund Research'!$W$6:$W$505,0)),"")</f>
        <v/>
      </c>
      <c r="J63" s="36" t="str">
        <f aca="false">IFERROR(INDEX('Fund Research'!$N$6:$N$505,MATCH(58,'Fund Research'!$W$6:$W$505,0)),"")</f>
        <v/>
      </c>
      <c r="K63" s="36" t="str">
        <f aca="false">IFERROR(INDEX('Fund Research'!$P$6:$P$505,MATCH(58,'Fund Research'!$W$6:$W$505,0)),"")</f>
        <v/>
      </c>
      <c r="L63" s="34" t="str">
        <f aca="false">IFERROR(INDEX('Fund Research'!$S$6:$S$505,MATCH(58,'Fund Research'!$W$6:$W$505,0)),"")</f>
        <v/>
      </c>
      <c r="M63" s="34" t="str">
        <f aca="false">IFERROR(INDEX('Fund Research'!$T$6:$T$505,MATCH(58,'Fund Research'!$W$6:$W$505,0)),"")</f>
        <v/>
      </c>
    </row>
    <row r="64" customFormat="false" ht="15" hidden="false" customHeight="true" outlineLevel="0" collapsed="false">
      <c r="A64" s="33" t="str">
        <f aca="false">IFERROR(IF(INDEX('Fund Research'!$B$6:$B$505,MATCH(59,'Fund Research'!$W$6:$W$505,0))="","",59),"")</f>
        <v/>
      </c>
      <c r="B64" s="34" t="str">
        <f aca="false">IFERROR(INDEX('Fund Research'!$A$6:$A$505,MATCH(59,'Fund Research'!$W$6:$W$505,0)),"")</f>
        <v/>
      </c>
      <c r="C64" s="34" t="str">
        <f aca="false">IFERROR(INDEX('Fund Research'!$B$6:$B$505,MATCH(59,'Fund Research'!$W$6:$W$505,0)),"")</f>
        <v/>
      </c>
      <c r="D64" s="34" t="str">
        <f aca="false">IFERROR(INDEX('Fund Research'!$C$6:$C$505,MATCH(59,'Fund Research'!$W$6:$W$505,0)),"")</f>
        <v/>
      </c>
      <c r="E64" s="35" t="str">
        <f aca="false">IFERROR(INDEX('Fund Research'!$G$6:$G$505,MATCH(59,'Fund Research'!$W$6:$W$505,0)),"")</f>
        <v/>
      </c>
      <c r="F64" s="35" t="str">
        <f aca="false">IFERROR(INDEX('Fund Research'!$H$6:$H$505,MATCH(59,'Fund Research'!$W$6:$W$505,0)),"")</f>
        <v/>
      </c>
      <c r="G64" s="35" t="str">
        <f aca="false">IFERROR(INDEX('Fund Research'!$I$6:$I$505,MATCH(59,'Fund Research'!$W$6:$W$505,0)),"")</f>
        <v/>
      </c>
      <c r="H64" s="36" t="str">
        <f aca="false">IFERROR(INDEX('Fund Research'!$J$6:$J$505,MATCH(59,'Fund Research'!$W$6:$W$505,0)),"")</f>
        <v/>
      </c>
      <c r="I64" s="39" t="str">
        <f aca="false">IFERROR(INDEX('Fund Research'!$L$6:$L$505,MATCH(59,'Fund Research'!$W$6:$W$505,0)),"")</f>
        <v/>
      </c>
      <c r="J64" s="36" t="str">
        <f aca="false">IFERROR(INDEX('Fund Research'!$N$6:$N$505,MATCH(59,'Fund Research'!$W$6:$W$505,0)),"")</f>
        <v/>
      </c>
      <c r="K64" s="36" t="str">
        <f aca="false">IFERROR(INDEX('Fund Research'!$P$6:$P$505,MATCH(59,'Fund Research'!$W$6:$W$505,0)),"")</f>
        <v/>
      </c>
      <c r="L64" s="34" t="str">
        <f aca="false">IFERROR(INDEX('Fund Research'!$S$6:$S$505,MATCH(59,'Fund Research'!$W$6:$W$505,0)),"")</f>
        <v/>
      </c>
      <c r="M64" s="34" t="str">
        <f aca="false">IFERROR(INDEX('Fund Research'!$T$6:$T$505,MATCH(59,'Fund Research'!$W$6:$W$505,0)),"")</f>
        <v/>
      </c>
    </row>
    <row r="65" customFormat="false" ht="15" hidden="false" customHeight="true" outlineLevel="0" collapsed="false">
      <c r="A65" s="33" t="str">
        <f aca="false">IFERROR(IF(INDEX('Fund Research'!$B$6:$B$505,MATCH(60,'Fund Research'!$W$6:$W$505,0))="","",60),"")</f>
        <v/>
      </c>
      <c r="B65" s="34" t="str">
        <f aca="false">IFERROR(INDEX('Fund Research'!$A$6:$A$505,MATCH(60,'Fund Research'!$W$6:$W$505,0)),"")</f>
        <v/>
      </c>
      <c r="C65" s="34" t="str">
        <f aca="false">IFERROR(INDEX('Fund Research'!$B$6:$B$505,MATCH(60,'Fund Research'!$W$6:$W$505,0)),"")</f>
        <v/>
      </c>
      <c r="D65" s="34" t="str">
        <f aca="false">IFERROR(INDEX('Fund Research'!$C$6:$C$505,MATCH(60,'Fund Research'!$W$6:$W$505,0)),"")</f>
        <v/>
      </c>
      <c r="E65" s="35" t="str">
        <f aca="false">IFERROR(INDEX('Fund Research'!$G$6:$G$505,MATCH(60,'Fund Research'!$W$6:$W$505,0)),"")</f>
        <v/>
      </c>
      <c r="F65" s="35" t="str">
        <f aca="false">IFERROR(INDEX('Fund Research'!$H$6:$H$505,MATCH(60,'Fund Research'!$W$6:$W$505,0)),"")</f>
        <v/>
      </c>
      <c r="G65" s="35" t="str">
        <f aca="false">IFERROR(INDEX('Fund Research'!$I$6:$I$505,MATCH(60,'Fund Research'!$W$6:$W$505,0)),"")</f>
        <v/>
      </c>
      <c r="H65" s="36" t="str">
        <f aca="false">IFERROR(INDEX('Fund Research'!$J$6:$J$505,MATCH(60,'Fund Research'!$W$6:$W$505,0)),"")</f>
        <v/>
      </c>
      <c r="I65" s="39" t="str">
        <f aca="false">IFERROR(INDEX('Fund Research'!$L$6:$L$505,MATCH(60,'Fund Research'!$W$6:$W$505,0)),"")</f>
        <v/>
      </c>
      <c r="J65" s="36" t="str">
        <f aca="false">IFERROR(INDEX('Fund Research'!$N$6:$N$505,MATCH(60,'Fund Research'!$W$6:$W$505,0)),"")</f>
        <v/>
      </c>
      <c r="K65" s="36" t="str">
        <f aca="false">IFERROR(INDEX('Fund Research'!$P$6:$P$505,MATCH(60,'Fund Research'!$W$6:$W$505,0)),"")</f>
        <v/>
      </c>
      <c r="L65" s="34" t="str">
        <f aca="false">IFERROR(INDEX('Fund Research'!$S$6:$S$505,MATCH(60,'Fund Research'!$W$6:$W$505,0)),"")</f>
        <v/>
      </c>
      <c r="M65" s="34" t="str">
        <f aca="false">IFERROR(INDEX('Fund Research'!$T$6:$T$505,MATCH(60,'Fund Research'!$W$6:$W$505,0)),"")</f>
        <v/>
      </c>
    </row>
    <row r="66" customFormat="false" ht="15" hidden="false" customHeight="true" outlineLevel="0" collapsed="false">
      <c r="A66" s="33" t="str">
        <f aca="false">IFERROR(IF(INDEX('Fund Research'!$B$6:$B$505,MATCH(61,'Fund Research'!$W$6:$W$505,0))="","",61),"")</f>
        <v/>
      </c>
      <c r="B66" s="34" t="str">
        <f aca="false">IFERROR(INDEX('Fund Research'!$A$6:$A$505,MATCH(61,'Fund Research'!$W$6:$W$505,0)),"")</f>
        <v/>
      </c>
      <c r="C66" s="34" t="str">
        <f aca="false">IFERROR(INDEX('Fund Research'!$B$6:$B$505,MATCH(61,'Fund Research'!$W$6:$W$505,0)),"")</f>
        <v/>
      </c>
      <c r="D66" s="34" t="str">
        <f aca="false">IFERROR(INDEX('Fund Research'!$C$6:$C$505,MATCH(61,'Fund Research'!$W$6:$W$505,0)),"")</f>
        <v/>
      </c>
      <c r="E66" s="35" t="str">
        <f aca="false">IFERROR(INDEX('Fund Research'!$G$6:$G$505,MATCH(61,'Fund Research'!$W$6:$W$505,0)),"")</f>
        <v/>
      </c>
      <c r="F66" s="35" t="str">
        <f aca="false">IFERROR(INDEX('Fund Research'!$H$6:$H$505,MATCH(61,'Fund Research'!$W$6:$W$505,0)),"")</f>
        <v/>
      </c>
      <c r="G66" s="35" t="str">
        <f aca="false">IFERROR(INDEX('Fund Research'!$I$6:$I$505,MATCH(61,'Fund Research'!$W$6:$W$505,0)),"")</f>
        <v/>
      </c>
      <c r="H66" s="36" t="str">
        <f aca="false">IFERROR(INDEX('Fund Research'!$J$6:$J$505,MATCH(61,'Fund Research'!$W$6:$W$505,0)),"")</f>
        <v/>
      </c>
      <c r="I66" s="39" t="str">
        <f aca="false">IFERROR(INDEX('Fund Research'!$L$6:$L$505,MATCH(61,'Fund Research'!$W$6:$W$505,0)),"")</f>
        <v/>
      </c>
      <c r="J66" s="36" t="str">
        <f aca="false">IFERROR(INDEX('Fund Research'!$N$6:$N$505,MATCH(61,'Fund Research'!$W$6:$W$505,0)),"")</f>
        <v/>
      </c>
      <c r="K66" s="36" t="str">
        <f aca="false">IFERROR(INDEX('Fund Research'!$P$6:$P$505,MATCH(61,'Fund Research'!$W$6:$W$505,0)),"")</f>
        <v/>
      </c>
      <c r="L66" s="34" t="str">
        <f aca="false">IFERROR(INDEX('Fund Research'!$S$6:$S$505,MATCH(61,'Fund Research'!$W$6:$W$505,0)),"")</f>
        <v/>
      </c>
      <c r="M66" s="34" t="str">
        <f aca="false">IFERROR(INDEX('Fund Research'!$T$6:$T$505,MATCH(61,'Fund Research'!$W$6:$W$505,0)),"")</f>
        <v/>
      </c>
    </row>
    <row r="67" customFormat="false" ht="15" hidden="false" customHeight="true" outlineLevel="0" collapsed="false">
      <c r="A67" s="33" t="str">
        <f aca="false">IFERROR(IF(INDEX('Fund Research'!$B$6:$B$505,MATCH(62,'Fund Research'!$W$6:$W$505,0))="","",62),"")</f>
        <v/>
      </c>
      <c r="B67" s="34" t="str">
        <f aca="false">IFERROR(INDEX('Fund Research'!$A$6:$A$505,MATCH(62,'Fund Research'!$W$6:$W$505,0)),"")</f>
        <v/>
      </c>
      <c r="C67" s="34" t="str">
        <f aca="false">IFERROR(INDEX('Fund Research'!$B$6:$B$505,MATCH(62,'Fund Research'!$W$6:$W$505,0)),"")</f>
        <v/>
      </c>
      <c r="D67" s="34" t="str">
        <f aca="false">IFERROR(INDEX('Fund Research'!$C$6:$C$505,MATCH(62,'Fund Research'!$W$6:$W$505,0)),"")</f>
        <v/>
      </c>
      <c r="E67" s="35" t="str">
        <f aca="false">IFERROR(INDEX('Fund Research'!$G$6:$G$505,MATCH(62,'Fund Research'!$W$6:$W$505,0)),"")</f>
        <v/>
      </c>
      <c r="F67" s="35" t="str">
        <f aca="false">IFERROR(INDEX('Fund Research'!$H$6:$H$505,MATCH(62,'Fund Research'!$W$6:$W$505,0)),"")</f>
        <v/>
      </c>
      <c r="G67" s="35" t="str">
        <f aca="false">IFERROR(INDEX('Fund Research'!$I$6:$I$505,MATCH(62,'Fund Research'!$W$6:$W$505,0)),"")</f>
        <v/>
      </c>
      <c r="H67" s="36" t="str">
        <f aca="false">IFERROR(INDEX('Fund Research'!$J$6:$J$505,MATCH(62,'Fund Research'!$W$6:$W$505,0)),"")</f>
        <v/>
      </c>
      <c r="I67" s="39" t="str">
        <f aca="false">IFERROR(INDEX('Fund Research'!$L$6:$L$505,MATCH(62,'Fund Research'!$W$6:$W$505,0)),"")</f>
        <v/>
      </c>
      <c r="J67" s="36" t="str">
        <f aca="false">IFERROR(INDEX('Fund Research'!$N$6:$N$505,MATCH(62,'Fund Research'!$W$6:$W$505,0)),"")</f>
        <v/>
      </c>
      <c r="K67" s="36" t="str">
        <f aca="false">IFERROR(INDEX('Fund Research'!$P$6:$P$505,MATCH(62,'Fund Research'!$W$6:$W$505,0)),"")</f>
        <v/>
      </c>
      <c r="L67" s="34" t="str">
        <f aca="false">IFERROR(INDEX('Fund Research'!$S$6:$S$505,MATCH(62,'Fund Research'!$W$6:$W$505,0)),"")</f>
        <v/>
      </c>
      <c r="M67" s="34" t="str">
        <f aca="false">IFERROR(INDEX('Fund Research'!$T$6:$T$505,MATCH(62,'Fund Research'!$W$6:$W$505,0)),"")</f>
        <v/>
      </c>
    </row>
    <row r="68" customFormat="false" ht="15" hidden="false" customHeight="true" outlineLevel="0" collapsed="false">
      <c r="A68" s="33" t="str">
        <f aca="false">IFERROR(IF(INDEX('Fund Research'!$B$6:$B$505,MATCH(63,'Fund Research'!$W$6:$W$505,0))="","",63),"")</f>
        <v/>
      </c>
      <c r="B68" s="34" t="str">
        <f aca="false">IFERROR(INDEX('Fund Research'!$A$6:$A$505,MATCH(63,'Fund Research'!$W$6:$W$505,0)),"")</f>
        <v/>
      </c>
      <c r="C68" s="34" t="str">
        <f aca="false">IFERROR(INDEX('Fund Research'!$B$6:$B$505,MATCH(63,'Fund Research'!$W$6:$W$505,0)),"")</f>
        <v/>
      </c>
      <c r="D68" s="34" t="str">
        <f aca="false">IFERROR(INDEX('Fund Research'!$C$6:$C$505,MATCH(63,'Fund Research'!$W$6:$W$505,0)),"")</f>
        <v/>
      </c>
      <c r="E68" s="35" t="str">
        <f aca="false">IFERROR(INDEX('Fund Research'!$G$6:$G$505,MATCH(63,'Fund Research'!$W$6:$W$505,0)),"")</f>
        <v/>
      </c>
      <c r="F68" s="35" t="str">
        <f aca="false">IFERROR(INDEX('Fund Research'!$H$6:$H$505,MATCH(63,'Fund Research'!$W$6:$W$505,0)),"")</f>
        <v/>
      </c>
      <c r="G68" s="35" t="str">
        <f aca="false">IFERROR(INDEX('Fund Research'!$I$6:$I$505,MATCH(63,'Fund Research'!$W$6:$W$505,0)),"")</f>
        <v/>
      </c>
      <c r="H68" s="36" t="str">
        <f aca="false">IFERROR(INDEX('Fund Research'!$J$6:$J$505,MATCH(63,'Fund Research'!$W$6:$W$505,0)),"")</f>
        <v/>
      </c>
      <c r="I68" s="39" t="str">
        <f aca="false">IFERROR(INDEX('Fund Research'!$L$6:$L$505,MATCH(63,'Fund Research'!$W$6:$W$505,0)),"")</f>
        <v/>
      </c>
      <c r="J68" s="36" t="str">
        <f aca="false">IFERROR(INDEX('Fund Research'!$N$6:$N$505,MATCH(63,'Fund Research'!$W$6:$W$505,0)),"")</f>
        <v/>
      </c>
      <c r="K68" s="36" t="str">
        <f aca="false">IFERROR(INDEX('Fund Research'!$P$6:$P$505,MATCH(63,'Fund Research'!$W$6:$W$505,0)),"")</f>
        <v/>
      </c>
      <c r="L68" s="34" t="str">
        <f aca="false">IFERROR(INDEX('Fund Research'!$S$6:$S$505,MATCH(63,'Fund Research'!$W$6:$W$505,0)),"")</f>
        <v/>
      </c>
      <c r="M68" s="34" t="str">
        <f aca="false">IFERROR(INDEX('Fund Research'!$T$6:$T$505,MATCH(63,'Fund Research'!$W$6:$W$505,0)),"")</f>
        <v/>
      </c>
    </row>
    <row r="69" customFormat="false" ht="15" hidden="false" customHeight="true" outlineLevel="0" collapsed="false">
      <c r="A69" s="33" t="str">
        <f aca="false">IFERROR(IF(INDEX('Fund Research'!$B$6:$B$505,MATCH(64,'Fund Research'!$W$6:$W$505,0))="","",64),"")</f>
        <v/>
      </c>
      <c r="B69" s="34" t="str">
        <f aca="false">IFERROR(INDEX('Fund Research'!$A$6:$A$505,MATCH(64,'Fund Research'!$W$6:$W$505,0)),"")</f>
        <v/>
      </c>
      <c r="C69" s="34" t="str">
        <f aca="false">IFERROR(INDEX('Fund Research'!$B$6:$B$505,MATCH(64,'Fund Research'!$W$6:$W$505,0)),"")</f>
        <v/>
      </c>
      <c r="D69" s="34" t="str">
        <f aca="false">IFERROR(INDEX('Fund Research'!$C$6:$C$505,MATCH(64,'Fund Research'!$W$6:$W$505,0)),"")</f>
        <v/>
      </c>
      <c r="E69" s="35" t="str">
        <f aca="false">IFERROR(INDEX('Fund Research'!$G$6:$G$505,MATCH(64,'Fund Research'!$W$6:$W$505,0)),"")</f>
        <v/>
      </c>
      <c r="F69" s="35" t="str">
        <f aca="false">IFERROR(INDEX('Fund Research'!$H$6:$H$505,MATCH(64,'Fund Research'!$W$6:$W$505,0)),"")</f>
        <v/>
      </c>
      <c r="G69" s="35" t="str">
        <f aca="false">IFERROR(INDEX('Fund Research'!$I$6:$I$505,MATCH(64,'Fund Research'!$W$6:$W$505,0)),"")</f>
        <v/>
      </c>
      <c r="H69" s="36" t="str">
        <f aca="false">IFERROR(INDEX('Fund Research'!$J$6:$J$505,MATCH(64,'Fund Research'!$W$6:$W$505,0)),"")</f>
        <v/>
      </c>
      <c r="I69" s="39" t="str">
        <f aca="false">IFERROR(INDEX('Fund Research'!$L$6:$L$505,MATCH(64,'Fund Research'!$W$6:$W$505,0)),"")</f>
        <v/>
      </c>
      <c r="J69" s="36" t="str">
        <f aca="false">IFERROR(INDEX('Fund Research'!$N$6:$N$505,MATCH(64,'Fund Research'!$W$6:$W$505,0)),"")</f>
        <v/>
      </c>
      <c r="K69" s="36" t="str">
        <f aca="false">IFERROR(INDEX('Fund Research'!$P$6:$P$505,MATCH(64,'Fund Research'!$W$6:$W$505,0)),"")</f>
        <v/>
      </c>
      <c r="L69" s="34" t="str">
        <f aca="false">IFERROR(INDEX('Fund Research'!$S$6:$S$505,MATCH(64,'Fund Research'!$W$6:$W$505,0)),"")</f>
        <v/>
      </c>
      <c r="M69" s="34" t="str">
        <f aca="false">IFERROR(INDEX('Fund Research'!$T$6:$T$505,MATCH(64,'Fund Research'!$W$6:$W$505,0)),"")</f>
        <v/>
      </c>
    </row>
    <row r="70" customFormat="false" ht="15" hidden="false" customHeight="true" outlineLevel="0" collapsed="false">
      <c r="A70" s="33" t="str">
        <f aca="false">IFERROR(IF(INDEX('Fund Research'!$B$6:$B$505,MATCH(65,'Fund Research'!$W$6:$W$505,0))="","",65),"")</f>
        <v/>
      </c>
      <c r="B70" s="34" t="str">
        <f aca="false">IFERROR(INDEX('Fund Research'!$A$6:$A$505,MATCH(65,'Fund Research'!$W$6:$W$505,0)),"")</f>
        <v/>
      </c>
      <c r="C70" s="34" t="str">
        <f aca="false">IFERROR(INDEX('Fund Research'!$B$6:$B$505,MATCH(65,'Fund Research'!$W$6:$W$505,0)),"")</f>
        <v/>
      </c>
      <c r="D70" s="34" t="str">
        <f aca="false">IFERROR(INDEX('Fund Research'!$C$6:$C$505,MATCH(65,'Fund Research'!$W$6:$W$505,0)),"")</f>
        <v/>
      </c>
      <c r="E70" s="35" t="str">
        <f aca="false">IFERROR(INDEX('Fund Research'!$G$6:$G$505,MATCH(65,'Fund Research'!$W$6:$W$505,0)),"")</f>
        <v/>
      </c>
      <c r="F70" s="35" t="str">
        <f aca="false">IFERROR(INDEX('Fund Research'!$H$6:$H$505,MATCH(65,'Fund Research'!$W$6:$W$505,0)),"")</f>
        <v/>
      </c>
      <c r="G70" s="35" t="str">
        <f aca="false">IFERROR(INDEX('Fund Research'!$I$6:$I$505,MATCH(65,'Fund Research'!$W$6:$W$505,0)),"")</f>
        <v/>
      </c>
      <c r="H70" s="36" t="str">
        <f aca="false">IFERROR(INDEX('Fund Research'!$J$6:$J$505,MATCH(65,'Fund Research'!$W$6:$W$505,0)),"")</f>
        <v/>
      </c>
      <c r="I70" s="39" t="str">
        <f aca="false">IFERROR(INDEX('Fund Research'!$L$6:$L$505,MATCH(65,'Fund Research'!$W$6:$W$505,0)),"")</f>
        <v/>
      </c>
      <c r="J70" s="36" t="str">
        <f aca="false">IFERROR(INDEX('Fund Research'!$N$6:$N$505,MATCH(65,'Fund Research'!$W$6:$W$505,0)),"")</f>
        <v/>
      </c>
      <c r="K70" s="36" t="str">
        <f aca="false">IFERROR(INDEX('Fund Research'!$P$6:$P$505,MATCH(65,'Fund Research'!$W$6:$W$505,0)),"")</f>
        <v/>
      </c>
      <c r="L70" s="34" t="str">
        <f aca="false">IFERROR(INDEX('Fund Research'!$S$6:$S$505,MATCH(65,'Fund Research'!$W$6:$W$505,0)),"")</f>
        <v/>
      </c>
      <c r="M70" s="34" t="str">
        <f aca="false">IFERROR(INDEX('Fund Research'!$T$6:$T$505,MATCH(65,'Fund Research'!$W$6:$W$505,0)),"")</f>
        <v/>
      </c>
    </row>
    <row r="71" customFormat="false" ht="15" hidden="false" customHeight="true" outlineLevel="0" collapsed="false">
      <c r="A71" s="33" t="str">
        <f aca="false">IFERROR(IF(INDEX('Fund Research'!$B$6:$B$505,MATCH(66,'Fund Research'!$W$6:$W$505,0))="","",66),"")</f>
        <v/>
      </c>
      <c r="B71" s="34" t="str">
        <f aca="false">IFERROR(INDEX('Fund Research'!$A$6:$A$505,MATCH(66,'Fund Research'!$W$6:$W$505,0)),"")</f>
        <v/>
      </c>
      <c r="C71" s="34" t="str">
        <f aca="false">IFERROR(INDEX('Fund Research'!$B$6:$B$505,MATCH(66,'Fund Research'!$W$6:$W$505,0)),"")</f>
        <v/>
      </c>
      <c r="D71" s="34" t="str">
        <f aca="false">IFERROR(INDEX('Fund Research'!$C$6:$C$505,MATCH(66,'Fund Research'!$W$6:$W$505,0)),"")</f>
        <v/>
      </c>
      <c r="E71" s="35" t="str">
        <f aca="false">IFERROR(INDEX('Fund Research'!$G$6:$G$505,MATCH(66,'Fund Research'!$W$6:$W$505,0)),"")</f>
        <v/>
      </c>
      <c r="F71" s="35" t="str">
        <f aca="false">IFERROR(INDEX('Fund Research'!$H$6:$H$505,MATCH(66,'Fund Research'!$W$6:$W$505,0)),"")</f>
        <v/>
      </c>
      <c r="G71" s="35" t="str">
        <f aca="false">IFERROR(INDEX('Fund Research'!$I$6:$I$505,MATCH(66,'Fund Research'!$W$6:$W$505,0)),"")</f>
        <v/>
      </c>
      <c r="H71" s="36" t="str">
        <f aca="false">IFERROR(INDEX('Fund Research'!$J$6:$J$505,MATCH(66,'Fund Research'!$W$6:$W$505,0)),"")</f>
        <v/>
      </c>
      <c r="I71" s="39" t="str">
        <f aca="false">IFERROR(INDEX('Fund Research'!$L$6:$L$505,MATCH(66,'Fund Research'!$W$6:$W$505,0)),"")</f>
        <v/>
      </c>
      <c r="J71" s="36" t="str">
        <f aca="false">IFERROR(INDEX('Fund Research'!$N$6:$N$505,MATCH(66,'Fund Research'!$W$6:$W$505,0)),"")</f>
        <v/>
      </c>
      <c r="K71" s="36" t="str">
        <f aca="false">IFERROR(INDEX('Fund Research'!$P$6:$P$505,MATCH(66,'Fund Research'!$W$6:$W$505,0)),"")</f>
        <v/>
      </c>
      <c r="L71" s="34" t="str">
        <f aca="false">IFERROR(INDEX('Fund Research'!$S$6:$S$505,MATCH(66,'Fund Research'!$W$6:$W$505,0)),"")</f>
        <v/>
      </c>
      <c r="M71" s="34" t="str">
        <f aca="false">IFERROR(INDEX('Fund Research'!$T$6:$T$505,MATCH(66,'Fund Research'!$W$6:$W$505,0)),"")</f>
        <v/>
      </c>
    </row>
    <row r="72" customFormat="false" ht="15" hidden="false" customHeight="true" outlineLevel="0" collapsed="false">
      <c r="A72" s="33" t="str">
        <f aca="false">IFERROR(IF(INDEX('Fund Research'!$B$6:$B$505,MATCH(67,'Fund Research'!$W$6:$W$505,0))="","",67),"")</f>
        <v/>
      </c>
      <c r="B72" s="34" t="str">
        <f aca="false">IFERROR(INDEX('Fund Research'!$A$6:$A$505,MATCH(67,'Fund Research'!$W$6:$W$505,0)),"")</f>
        <v/>
      </c>
      <c r="C72" s="34" t="str">
        <f aca="false">IFERROR(INDEX('Fund Research'!$B$6:$B$505,MATCH(67,'Fund Research'!$W$6:$W$505,0)),"")</f>
        <v/>
      </c>
      <c r="D72" s="34" t="str">
        <f aca="false">IFERROR(INDEX('Fund Research'!$C$6:$C$505,MATCH(67,'Fund Research'!$W$6:$W$505,0)),"")</f>
        <v/>
      </c>
      <c r="E72" s="35" t="str">
        <f aca="false">IFERROR(INDEX('Fund Research'!$G$6:$G$505,MATCH(67,'Fund Research'!$W$6:$W$505,0)),"")</f>
        <v/>
      </c>
      <c r="F72" s="35" t="str">
        <f aca="false">IFERROR(INDEX('Fund Research'!$H$6:$H$505,MATCH(67,'Fund Research'!$W$6:$W$505,0)),"")</f>
        <v/>
      </c>
      <c r="G72" s="35" t="str">
        <f aca="false">IFERROR(INDEX('Fund Research'!$I$6:$I$505,MATCH(67,'Fund Research'!$W$6:$W$505,0)),"")</f>
        <v/>
      </c>
      <c r="H72" s="36" t="str">
        <f aca="false">IFERROR(INDEX('Fund Research'!$J$6:$J$505,MATCH(67,'Fund Research'!$W$6:$W$505,0)),"")</f>
        <v/>
      </c>
      <c r="I72" s="39" t="str">
        <f aca="false">IFERROR(INDEX('Fund Research'!$L$6:$L$505,MATCH(67,'Fund Research'!$W$6:$W$505,0)),"")</f>
        <v/>
      </c>
      <c r="J72" s="36" t="str">
        <f aca="false">IFERROR(INDEX('Fund Research'!$N$6:$N$505,MATCH(67,'Fund Research'!$W$6:$W$505,0)),"")</f>
        <v/>
      </c>
      <c r="K72" s="36" t="str">
        <f aca="false">IFERROR(INDEX('Fund Research'!$P$6:$P$505,MATCH(67,'Fund Research'!$W$6:$W$505,0)),"")</f>
        <v/>
      </c>
      <c r="L72" s="34" t="str">
        <f aca="false">IFERROR(INDEX('Fund Research'!$S$6:$S$505,MATCH(67,'Fund Research'!$W$6:$W$505,0)),"")</f>
        <v/>
      </c>
      <c r="M72" s="34" t="str">
        <f aca="false">IFERROR(INDEX('Fund Research'!$T$6:$T$505,MATCH(67,'Fund Research'!$W$6:$W$505,0)),"")</f>
        <v/>
      </c>
    </row>
    <row r="73" customFormat="false" ht="15" hidden="false" customHeight="true" outlineLevel="0" collapsed="false">
      <c r="A73" s="33" t="str">
        <f aca="false">IFERROR(IF(INDEX('Fund Research'!$B$6:$B$505,MATCH(68,'Fund Research'!$W$6:$W$505,0))="","",68),"")</f>
        <v/>
      </c>
      <c r="B73" s="34" t="str">
        <f aca="false">IFERROR(INDEX('Fund Research'!$A$6:$A$505,MATCH(68,'Fund Research'!$W$6:$W$505,0)),"")</f>
        <v/>
      </c>
      <c r="C73" s="34" t="str">
        <f aca="false">IFERROR(INDEX('Fund Research'!$B$6:$B$505,MATCH(68,'Fund Research'!$W$6:$W$505,0)),"")</f>
        <v/>
      </c>
      <c r="D73" s="34" t="str">
        <f aca="false">IFERROR(INDEX('Fund Research'!$C$6:$C$505,MATCH(68,'Fund Research'!$W$6:$W$505,0)),"")</f>
        <v/>
      </c>
      <c r="E73" s="35" t="str">
        <f aca="false">IFERROR(INDEX('Fund Research'!$G$6:$G$505,MATCH(68,'Fund Research'!$W$6:$W$505,0)),"")</f>
        <v/>
      </c>
      <c r="F73" s="35" t="str">
        <f aca="false">IFERROR(INDEX('Fund Research'!$H$6:$H$505,MATCH(68,'Fund Research'!$W$6:$W$505,0)),"")</f>
        <v/>
      </c>
      <c r="G73" s="35" t="str">
        <f aca="false">IFERROR(INDEX('Fund Research'!$I$6:$I$505,MATCH(68,'Fund Research'!$W$6:$W$505,0)),"")</f>
        <v/>
      </c>
      <c r="H73" s="36" t="str">
        <f aca="false">IFERROR(INDEX('Fund Research'!$J$6:$J$505,MATCH(68,'Fund Research'!$W$6:$W$505,0)),"")</f>
        <v/>
      </c>
      <c r="I73" s="39" t="str">
        <f aca="false">IFERROR(INDEX('Fund Research'!$L$6:$L$505,MATCH(68,'Fund Research'!$W$6:$W$505,0)),"")</f>
        <v/>
      </c>
      <c r="J73" s="36" t="str">
        <f aca="false">IFERROR(INDEX('Fund Research'!$N$6:$N$505,MATCH(68,'Fund Research'!$W$6:$W$505,0)),"")</f>
        <v/>
      </c>
      <c r="K73" s="36" t="str">
        <f aca="false">IFERROR(INDEX('Fund Research'!$P$6:$P$505,MATCH(68,'Fund Research'!$W$6:$W$505,0)),"")</f>
        <v/>
      </c>
      <c r="L73" s="34" t="str">
        <f aca="false">IFERROR(INDEX('Fund Research'!$S$6:$S$505,MATCH(68,'Fund Research'!$W$6:$W$505,0)),"")</f>
        <v/>
      </c>
      <c r="M73" s="34" t="str">
        <f aca="false">IFERROR(INDEX('Fund Research'!$T$6:$T$505,MATCH(68,'Fund Research'!$W$6:$W$505,0)),"")</f>
        <v/>
      </c>
    </row>
    <row r="74" customFormat="false" ht="15" hidden="false" customHeight="true" outlineLevel="0" collapsed="false">
      <c r="A74" s="33" t="str">
        <f aca="false">IFERROR(IF(INDEX('Fund Research'!$B$6:$B$505,MATCH(69,'Fund Research'!$W$6:$W$505,0))="","",69),"")</f>
        <v/>
      </c>
      <c r="B74" s="34" t="str">
        <f aca="false">IFERROR(INDEX('Fund Research'!$A$6:$A$505,MATCH(69,'Fund Research'!$W$6:$W$505,0)),"")</f>
        <v/>
      </c>
      <c r="C74" s="34" t="str">
        <f aca="false">IFERROR(INDEX('Fund Research'!$B$6:$B$505,MATCH(69,'Fund Research'!$W$6:$W$505,0)),"")</f>
        <v/>
      </c>
      <c r="D74" s="34" t="str">
        <f aca="false">IFERROR(INDEX('Fund Research'!$C$6:$C$505,MATCH(69,'Fund Research'!$W$6:$W$505,0)),"")</f>
        <v/>
      </c>
      <c r="E74" s="35" t="str">
        <f aca="false">IFERROR(INDEX('Fund Research'!$G$6:$G$505,MATCH(69,'Fund Research'!$W$6:$W$505,0)),"")</f>
        <v/>
      </c>
      <c r="F74" s="35" t="str">
        <f aca="false">IFERROR(INDEX('Fund Research'!$H$6:$H$505,MATCH(69,'Fund Research'!$W$6:$W$505,0)),"")</f>
        <v/>
      </c>
      <c r="G74" s="35" t="str">
        <f aca="false">IFERROR(INDEX('Fund Research'!$I$6:$I$505,MATCH(69,'Fund Research'!$W$6:$W$505,0)),"")</f>
        <v/>
      </c>
      <c r="H74" s="36" t="str">
        <f aca="false">IFERROR(INDEX('Fund Research'!$J$6:$J$505,MATCH(69,'Fund Research'!$W$6:$W$505,0)),"")</f>
        <v/>
      </c>
      <c r="I74" s="39" t="str">
        <f aca="false">IFERROR(INDEX('Fund Research'!$L$6:$L$505,MATCH(69,'Fund Research'!$W$6:$W$505,0)),"")</f>
        <v/>
      </c>
      <c r="J74" s="36" t="str">
        <f aca="false">IFERROR(INDEX('Fund Research'!$N$6:$N$505,MATCH(69,'Fund Research'!$W$6:$W$505,0)),"")</f>
        <v/>
      </c>
      <c r="K74" s="36" t="str">
        <f aca="false">IFERROR(INDEX('Fund Research'!$P$6:$P$505,MATCH(69,'Fund Research'!$W$6:$W$505,0)),"")</f>
        <v/>
      </c>
      <c r="L74" s="34" t="str">
        <f aca="false">IFERROR(INDEX('Fund Research'!$S$6:$S$505,MATCH(69,'Fund Research'!$W$6:$W$505,0)),"")</f>
        <v/>
      </c>
      <c r="M74" s="34" t="str">
        <f aca="false">IFERROR(INDEX('Fund Research'!$T$6:$T$505,MATCH(69,'Fund Research'!$W$6:$W$505,0)),"")</f>
        <v/>
      </c>
    </row>
    <row r="75" customFormat="false" ht="15" hidden="false" customHeight="true" outlineLevel="0" collapsed="false">
      <c r="A75" s="33" t="str">
        <f aca="false">IFERROR(IF(INDEX('Fund Research'!$B$6:$B$505,MATCH(70,'Fund Research'!$W$6:$W$505,0))="","",70),"")</f>
        <v/>
      </c>
      <c r="B75" s="34" t="str">
        <f aca="false">IFERROR(INDEX('Fund Research'!$A$6:$A$505,MATCH(70,'Fund Research'!$W$6:$W$505,0)),"")</f>
        <v/>
      </c>
      <c r="C75" s="34" t="str">
        <f aca="false">IFERROR(INDEX('Fund Research'!$B$6:$B$505,MATCH(70,'Fund Research'!$W$6:$W$505,0)),"")</f>
        <v/>
      </c>
      <c r="D75" s="34" t="str">
        <f aca="false">IFERROR(INDEX('Fund Research'!$C$6:$C$505,MATCH(70,'Fund Research'!$W$6:$W$505,0)),"")</f>
        <v/>
      </c>
      <c r="E75" s="35" t="str">
        <f aca="false">IFERROR(INDEX('Fund Research'!$G$6:$G$505,MATCH(70,'Fund Research'!$W$6:$W$505,0)),"")</f>
        <v/>
      </c>
      <c r="F75" s="35" t="str">
        <f aca="false">IFERROR(INDEX('Fund Research'!$H$6:$H$505,MATCH(70,'Fund Research'!$W$6:$W$505,0)),"")</f>
        <v/>
      </c>
      <c r="G75" s="35" t="str">
        <f aca="false">IFERROR(INDEX('Fund Research'!$I$6:$I$505,MATCH(70,'Fund Research'!$W$6:$W$505,0)),"")</f>
        <v/>
      </c>
      <c r="H75" s="36" t="str">
        <f aca="false">IFERROR(INDEX('Fund Research'!$J$6:$J$505,MATCH(70,'Fund Research'!$W$6:$W$505,0)),"")</f>
        <v/>
      </c>
      <c r="I75" s="39" t="str">
        <f aca="false">IFERROR(INDEX('Fund Research'!$L$6:$L$505,MATCH(70,'Fund Research'!$W$6:$W$505,0)),"")</f>
        <v/>
      </c>
      <c r="J75" s="36" t="str">
        <f aca="false">IFERROR(INDEX('Fund Research'!$N$6:$N$505,MATCH(70,'Fund Research'!$W$6:$W$505,0)),"")</f>
        <v/>
      </c>
      <c r="K75" s="36" t="str">
        <f aca="false">IFERROR(INDEX('Fund Research'!$P$6:$P$505,MATCH(70,'Fund Research'!$W$6:$W$505,0)),"")</f>
        <v/>
      </c>
      <c r="L75" s="34" t="str">
        <f aca="false">IFERROR(INDEX('Fund Research'!$S$6:$S$505,MATCH(70,'Fund Research'!$W$6:$W$505,0)),"")</f>
        <v/>
      </c>
      <c r="M75" s="34" t="str">
        <f aca="false">IFERROR(INDEX('Fund Research'!$T$6:$T$505,MATCH(70,'Fund Research'!$W$6:$W$505,0)),"")</f>
        <v/>
      </c>
    </row>
    <row r="76" customFormat="false" ht="15" hidden="false" customHeight="true" outlineLevel="0" collapsed="false">
      <c r="A76" s="33" t="str">
        <f aca="false">IFERROR(IF(INDEX('Fund Research'!$B$6:$B$505,MATCH(71,'Fund Research'!$W$6:$W$505,0))="","",71),"")</f>
        <v/>
      </c>
      <c r="B76" s="34" t="str">
        <f aca="false">IFERROR(INDEX('Fund Research'!$A$6:$A$505,MATCH(71,'Fund Research'!$W$6:$W$505,0)),"")</f>
        <v/>
      </c>
      <c r="C76" s="34" t="str">
        <f aca="false">IFERROR(INDEX('Fund Research'!$B$6:$B$505,MATCH(71,'Fund Research'!$W$6:$W$505,0)),"")</f>
        <v/>
      </c>
      <c r="D76" s="34" t="str">
        <f aca="false">IFERROR(INDEX('Fund Research'!$C$6:$C$505,MATCH(71,'Fund Research'!$W$6:$W$505,0)),"")</f>
        <v/>
      </c>
      <c r="E76" s="35" t="str">
        <f aca="false">IFERROR(INDEX('Fund Research'!$G$6:$G$505,MATCH(71,'Fund Research'!$W$6:$W$505,0)),"")</f>
        <v/>
      </c>
      <c r="F76" s="35" t="str">
        <f aca="false">IFERROR(INDEX('Fund Research'!$H$6:$H$505,MATCH(71,'Fund Research'!$W$6:$W$505,0)),"")</f>
        <v/>
      </c>
      <c r="G76" s="35" t="str">
        <f aca="false">IFERROR(INDEX('Fund Research'!$I$6:$I$505,MATCH(71,'Fund Research'!$W$6:$W$505,0)),"")</f>
        <v/>
      </c>
      <c r="H76" s="36" t="str">
        <f aca="false">IFERROR(INDEX('Fund Research'!$J$6:$J$505,MATCH(71,'Fund Research'!$W$6:$W$505,0)),"")</f>
        <v/>
      </c>
      <c r="I76" s="39" t="str">
        <f aca="false">IFERROR(INDEX('Fund Research'!$L$6:$L$505,MATCH(71,'Fund Research'!$W$6:$W$505,0)),"")</f>
        <v/>
      </c>
      <c r="J76" s="36" t="str">
        <f aca="false">IFERROR(INDEX('Fund Research'!$N$6:$N$505,MATCH(71,'Fund Research'!$W$6:$W$505,0)),"")</f>
        <v/>
      </c>
      <c r="K76" s="36" t="str">
        <f aca="false">IFERROR(INDEX('Fund Research'!$P$6:$P$505,MATCH(71,'Fund Research'!$W$6:$W$505,0)),"")</f>
        <v/>
      </c>
      <c r="L76" s="34" t="str">
        <f aca="false">IFERROR(INDEX('Fund Research'!$S$6:$S$505,MATCH(71,'Fund Research'!$W$6:$W$505,0)),"")</f>
        <v/>
      </c>
      <c r="M76" s="34" t="str">
        <f aca="false">IFERROR(INDEX('Fund Research'!$T$6:$T$505,MATCH(71,'Fund Research'!$W$6:$W$505,0)),"")</f>
        <v/>
      </c>
    </row>
    <row r="77" customFormat="false" ht="15" hidden="false" customHeight="true" outlineLevel="0" collapsed="false">
      <c r="A77" s="33" t="str">
        <f aca="false">IFERROR(IF(INDEX('Fund Research'!$B$6:$B$505,MATCH(72,'Fund Research'!$W$6:$W$505,0))="","",72),"")</f>
        <v/>
      </c>
      <c r="B77" s="34" t="str">
        <f aca="false">IFERROR(INDEX('Fund Research'!$A$6:$A$505,MATCH(72,'Fund Research'!$W$6:$W$505,0)),"")</f>
        <v/>
      </c>
      <c r="C77" s="34" t="str">
        <f aca="false">IFERROR(INDEX('Fund Research'!$B$6:$B$505,MATCH(72,'Fund Research'!$W$6:$W$505,0)),"")</f>
        <v/>
      </c>
      <c r="D77" s="34" t="str">
        <f aca="false">IFERROR(INDEX('Fund Research'!$C$6:$C$505,MATCH(72,'Fund Research'!$W$6:$W$505,0)),"")</f>
        <v/>
      </c>
      <c r="E77" s="35" t="str">
        <f aca="false">IFERROR(INDEX('Fund Research'!$G$6:$G$505,MATCH(72,'Fund Research'!$W$6:$W$505,0)),"")</f>
        <v/>
      </c>
      <c r="F77" s="35" t="str">
        <f aca="false">IFERROR(INDEX('Fund Research'!$H$6:$H$505,MATCH(72,'Fund Research'!$W$6:$W$505,0)),"")</f>
        <v/>
      </c>
      <c r="G77" s="35" t="str">
        <f aca="false">IFERROR(INDEX('Fund Research'!$I$6:$I$505,MATCH(72,'Fund Research'!$W$6:$W$505,0)),"")</f>
        <v/>
      </c>
      <c r="H77" s="36" t="str">
        <f aca="false">IFERROR(INDEX('Fund Research'!$J$6:$J$505,MATCH(72,'Fund Research'!$W$6:$W$505,0)),"")</f>
        <v/>
      </c>
      <c r="I77" s="39" t="str">
        <f aca="false">IFERROR(INDEX('Fund Research'!$L$6:$L$505,MATCH(72,'Fund Research'!$W$6:$W$505,0)),"")</f>
        <v/>
      </c>
      <c r="J77" s="36" t="str">
        <f aca="false">IFERROR(INDEX('Fund Research'!$N$6:$N$505,MATCH(72,'Fund Research'!$W$6:$W$505,0)),"")</f>
        <v/>
      </c>
      <c r="K77" s="36" t="str">
        <f aca="false">IFERROR(INDEX('Fund Research'!$P$6:$P$505,MATCH(72,'Fund Research'!$W$6:$W$505,0)),"")</f>
        <v/>
      </c>
      <c r="L77" s="34" t="str">
        <f aca="false">IFERROR(INDEX('Fund Research'!$S$6:$S$505,MATCH(72,'Fund Research'!$W$6:$W$505,0)),"")</f>
        <v/>
      </c>
      <c r="M77" s="34" t="str">
        <f aca="false">IFERROR(INDEX('Fund Research'!$T$6:$T$505,MATCH(72,'Fund Research'!$W$6:$W$505,0)),"")</f>
        <v/>
      </c>
    </row>
    <row r="78" customFormat="false" ht="15" hidden="false" customHeight="true" outlineLevel="0" collapsed="false">
      <c r="A78" s="33" t="str">
        <f aca="false">IFERROR(IF(INDEX('Fund Research'!$B$6:$B$505,MATCH(73,'Fund Research'!$W$6:$W$505,0))="","",73),"")</f>
        <v/>
      </c>
      <c r="B78" s="34" t="str">
        <f aca="false">IFERROR(INDEX('Fund Research'!$A$6:$A$505,MATCH(73,'Fund Research'!$W$6:$W$505,0)),"")</f>
        <v/>
      </c>
      <c r="C78" s="34" t="str">
        <f aca="false">IFERROR(INDEX('Fund Research'!$B$6:$B$505,MATCH(73,'Fund Research'!$W$6:$W$505,0)),"")</f>
        <v/>
      </c>
      <c r="D78" s="34" t="str">
        <f aca="false">IFERROR(INDEX('Fund Research'!$C$6:$C$505,MATCH(73,'Fund Research'!$W$6:$W$505,0)),"")</f>
        <v/>
      </c>
      <c r="E78" s="35" t="str">
        <f aca="false">IFERROR(INDEX('Fund Research'!$G$6:$G$505,MATCH(73,'Fund Research'!$W$6:$W$505,0)),"")</f>
        <v/>
      </c>
      <c r="F78" s="35" t="str">
        <f aca="false">IFERROR(INDEX('Fund Research'!$H$6:$H$505,MATCH(73,'Fund Research'!$W$6:$W$505,0)),"")</f>
        <v/>
      </c>
      <c r="G78" s="35" t="str">
        <f aca="false">IFERROR(INDEX('Fund Research'!$I$6:$I$505,MATCH(73,'Fund Research'!$W$6:$W$505,0)),"")</f>
        <v/>
      </c>
      <c r="H78" s="36" t="str">
        <f aca="false">IFERROR(INDEX('Fund Research'!$J$6:$J$505,MATCH(73,'Fund Research'!$W$6:$W$505,0)),"")</f>
        <v/>
      </c>
      <c r="I78" s="39" t="str">
        <f aca="false">IFERROR(INDEX('Fund Research'!$L$6:$L$505,MATCH(73,'Fund Research'!$W$6:$W$505,0)),"")</f>
        <v/>
      </c>
      <c r="J78" s="36" t="str">
        <f aca="false">IFERROR(INDEX('Fund Research'!$N$6:$N$505,MATCH(73,'Fund Research'!$W$6:$W$505,0)),"")</f>
        <v/>
      </c>
      <c r="K78" s="36" t="str">
        <f aca="false">IFERROR(INDEX('Fund Research'!$P$6:$P$505,MATCH(73,'Fund Research'!$W$6:$W$505,0)),"")</f>
        <v/>
      </c>
      <c r="L78" s="34" t="str">
        <f aca="false">IFERROR(INDEX('Fund Research'!$S$6:$S$505,MATCH(73,'Fund Research'!$W$6:$W$505,0)),"")</f>
        <v/>
      </c>
      <c r="M78" s="34" t="str">
        <f aca="false">IFERROR(INDEX('Fund Research'!$T$6:$T$505,MATCH(73,'Fund Research'!$W$6:$W$505,0)),"")</f>
        <v/>
      </c>
    </row>
    <row r="79" customFormat="false" ht="15" hidden="false" customHeight="true" outlineLevel="0" collapsed="false">
      <c r="A79" s="33" t="str">
        <f aca="false">IFERROR(IF(INDEX('Fund Research'!$B$6:$B$505,MATCH(74,'Fund Research'!$W$6:$W$505,0))="","",74),"")</f>
        <v/>
      </c>
      <c r="B79" s="34" t="str">
        <f aca="false">IFERROR(INDEX('Fund Research'!$A$6:$A$505,MATCH(74,'Fund Research'!$W$6:$W$505,0)),"")</f>
        <v/>
      </c>
      <c r="C79" s="34" t="str">
        <f aca="false">IFERROR(INDEX('Fund Research'!$B$6:$B$505,MATCH(74,'Fund Research'!$W$6:$W$505,0)),"")</f>
        <v/>
      </c>
      <c r="D79" s="34" t="str">
        <f aca="false">IFERROR(INDEX('Fund Research'!$C$6:$C$505,MATCH(74,'Fund Research'!$W$6:$W$505,0)),"")</f>
        <v/>
      </c>
      <c r="E79" s="35" t="str">
        <f aca="false">IFERROR(INDEX('Fund Research'!$G$6:$G$505,MATCH(74,'Fund Research'!$W$6:$W$505,0)),"")</f>
        <v/>
      </c>
      <c r="F79" s="35" t="str">
        <f aca="false">IFERROR(INDEX('Fund Research'!$H$6:$H$505,MATCH(74,'Fund Research'!$W$6:$W$505,0)),"")</f>
        <v/>
      </c>
      <c r="G79" s="35" t="str">
        <f aca="false">IFERROR(INDEX('Fund Research'!$I$6:$I$505,MATCH(74,'Fund Research'!$W$6:$W$505,0)),"")</f>
        <v/>
      </c>
      <c r="H79" s="36" t="str">
        <f aca="false">IFERROR(INDEX('Fund Research'!$J$6:$J$505,MATCH(74,'Fund Research'!$W$6:$W$505,0)),"")</f>
        <v/>
      </c>
      <c r="I79" s="39" t="str">
        <f aca="false">IFERROR(INDEX('Fund Research'!$L$6:$L$505,MATCH(74,'Fund Research'!$W$6:$W$505,0)),"")</f>
        <v/>
      </c>
      <c r="J79" s="36" t="str">
        <f aca="false">IFERROR(INDEX('Fund Research'!$N$6:$N$505,MATCH(74,'Fund Research'!$W$6:$W$505,0)),"")</f>
        <v/>
      </c>
      <c r="K79" s="36" t="str">
        <f aca="false">IFERROR(INDEX('Fund Research'!$P$6:$P$505,MATCH(74,'Fund Research'!$W$6:$W$505,0)),"")</f>
        <v/>
      </c>
      <c r="L79" s="34" t="str">
        <f aca="false">IFERROR(INDEX('Fund Research'!$S$6:$S$505,MATCH(74,'Fund Research'!$W$6:$W$505,0)),"")</f>
        <v/>
      </c>
      <c r="M79" s="34" t="str">
        <f aca="false">IFERROR(INDEX('Fund Research'!$T$6:$T$505,MATCH(74,'Fund Research'!$W$6:$W$505,0)),"")</f>
        <v/>
      </c>
    </row>
    <row r="80" customFormat="false" ht="15" hidden="false" customHeight="true" outlineLevel="0" collapsed="false">
      <c r="A80" s="33" t="str">
        <f aca="false">IFERROR(IF(INDEX('Fund Research'!$B$6:$B$505,MATCH(75,'Fund Research'!$W$6:$W$505,0))="","",75),"")</f>
        <v/>
      </c>
      <c r="B80" s="34" t="str">
        <f aca="false">IFERROR(INDEX('Fund Research'!$A$6:$A$505,MATCH(75,'Fund Research'!$W$6:$W$505,0)),"")</f>
        <v/>
      </c>
      <c r="C80" s="34" t="str">
        <f aca="false">IFERROR(INDEX('Fund Research'!$B$6:$B$505,MATCH(75,'Fund Research'!$W$6:$W$505,0)),"")</f>
        <v/>
      </c>
      <c r="D80" s="34" t="str">
        <f aca="false">IFERROR(INDEX('Fund Research'!$C$6:$C$505,MATCH(75,'Fund Research'!$W$6:$W$505,0)),"")</f>
        <v/>
      </c>
      <c r="E80" s="35" t="str">
        <f aca="false">IFERROR(INDEX('Fund Research'!$G$6:$G$505,MATCH(75,'Fund Research'!$W$6:$W$505,0)),"")</f>
        <v/>
      </c>
      <c r="F80" s="35" t="str">
        <f aca="false">IFERROR(INDEX('Fund Research'!$H$6:$H$505,MATCH(75,'Fund Research'!$W$6:$W$505,0)),"")</f>
        <v/>
      </c>
      <c r="G80" s="35" t="str">
        <f aca="false">IFERROR(INDEX('Fund Research'!$I$6:$I$505,MATCH(75,'Fund Research'!$W$6:$W$505,0)),"")</f>
        <v/>
      </c>
      <c r="H80" s="36" t="str">
        <f aca="false">IFERROR(INDEX('Fund Research'!$J$6:$J$505,MATCH(75,'Fund Research'!$W$6:$W$505,0)),"")</f>
        <v/>
      </c>
      <c r="I80" s="39" t="str">
        <f aca="false">IFERROR(INDEX('Fund Research'!$L$6:$L$505,MATCH(75,'Fund Research'!$W$6:$W$505,0)),"")</f>
        <v/>
      </c>
      <c r="J80" s="36" t="str">
        <f aca="false">IFERROR(INDEX('Fund Research'!$N$6:$N$505,MATCH(75,'Fund Research'!$W$6:$W$505,0)),"")</f>
        <v/>
      </c>
      <c r="K80" s="36" t="str">
        <f aca="false">IFERROR(INDEX('Fund Research'!$P$6:$P$505,MATCH(75,'Fund Research'!$W$6:$W$505,0)),"")</f>
        <v/>
      </c>
      <c r="L80" s="34" t="str">
        <f aca="false">IFERROR(INDEX('Fund Research'!$S$6:$S$505,MATCH(75,'Fund Research'!$W$6:$W$505,0)),"")</f>
        <v/>
      </c>
      <c r="M80" s="34" t="str">
        <f aca="false">IFERROR(INDEX('Fund Research'!$T$6:$T$505,MATCH(75,'Fund Research'!$W$6:$W$505,0)),"")</f>
        <v/>
      </c>
    </row>
    <row r="81" customFormat="false" ht="15" hidden="false" customHeight="true" outlineLevel="0" collapsed="false">
      <c r="A81" s="33" t="str">
        <f aca="false">IFERROR(IF(INDEX('Fund Research'!$B$6:$B$505,MATCH(76,'Fund Research'!$W$6:$W$505,0))="","",76),"")</f>
        <v/>
      </c>
      <c r="B81" s="34" t="str">
        <f aca="false">IFERROR(INDEX('Fund Research'!$A$6:$A$505,MATCH(76,'Fund Research'!$W$6:$W$505,0)),"")</f>
        <v/>
      </c>
      <c r="C81" s="34" t="str">
        <f aca="false">IFERROR(INDEX('Fund Research'!$B$6:$B$505,MATCH(76,'Fund Research'!$W$6:$W$505,0)),"")</f>
        <v/>
      </c>
      <c r="D81" s="34" t="str">
        <f aca="false">IFERROR(INDEX('Fund Research'!$C$6:$C$505,MATCH(76,'Fund Research'!$W$6:$W$505,0)),"")</f>
        <v/>
      </c>
      <c r="E81" s="35" t="str">
        <f aca="false">IFERROR(INDEX('Fund Research'!$G$6:$G$505,MATCH(76,'Fund Research'!$W$6:$W$505,0)),"")</f>
        <v/>
      </c>
      <c r="F81" s="35" t="str">
        <f aca="false">IFERROR(INDEX('Fund Research'!$H$6:$H$505,MATCH(76,'Fund Research'!$W$6:$W$505,0)),"")</f>
        <v/>
      </c>
      <c r="G81" s="35" t="str">
        <f aca="false">IFERROR(INDEX('Fund Research'!$I$6:$I$505,MATCH(76,'Fund Research'!$W$6:$W$505,0)),"")</f>
        <v/>
      </c>
      <c r="H81" s="36" t="str">
        <f aca="false">IFERROR(INDEX('Fund Research'!$J$6:$J$505,MATCH(76,'Fund Research'!$W$6:$W$505,0)),"")</f>
        <v/>
      </c>
      <c r="I81" s="39" t="str">
        <f aca="false">IFERROR(INDEX('Fund Research'!$L$6:$L$505,MATCH(76,'Fund Research'!$W$6:$W$505,0)),"")</f>
        <v/>
      </c>
      <c r="J81" s="36" t="str">
        <f aca="false">IFERROR(INDEX('Fund Research'!$N$6:$N$505,MATCH(76,'Fund Research'!$W$6:$W$505,0)),"")</f>
        <v/>
      </c>
      <c r="K81" s="36" t="str">
        <f aca="false">IFERROR(INDEX('Fund Research'!$P$6:$P$505,MATCH(76,'Fund Research'!$W$6:$W$505,0)),"")</f>
        <v/>
      </c>
      <c r="L81" s="34" t="str">
        <f aca="false">IFERROR(INDEX('Fund Research'!$S$6:$S$505,MATCH(76,'Fund Research'!$W$6:$W$505,0)),"")</f>
        <v/>
      </c>
      <c r="M81" s="34" t="str">
        <f aca="false">IFERROR(INDEX('Fund Research'!$T$6:$T$505,MATCH(76,'Fund Research'!$W$6:$W$505,0)),"")</f>
        <v/>
      </c>
    </row>
    <row r="82" customFormat="false" ht="15" hidden="false" customHeight="true" outlineLevel="0" collapsed="false">
      <c r="A82" s="33" t="str">
        <f aca="false">IFERROR(IF(INDEX('Fund Research'!$B$6:$B$505,MATCH(77,'Fund Research'!$W$6:$W$505,0))="","",77),"")</f>
        <v/>
      </c>
      <c r="B82" s="34" t="str">
        <f aca="false">IFERROR(INDEX('Fund Research'!$A$6:$A$505,MATCH(77,'Fund Research'!$W$6:$W$505,0)),"")</f>
        <v/>
      </c>
      <c r="C82" s="34" t="str">
        <f aca="false">IFERROR(INDEX('Fund Research'!$B$6:$B$505,MATCH(77,'Fund Research'!$W$6:$W$505,0)),"")</f>
        <v/>
      </c>
      <c r="D82" s="34" t="str">
        <f aca="false">IFERROR(INDEX('Fund Research'!$C$6:$C$505,MATCH(77,'Fund Research'!$W$6:$W$505,0)),"")</f>
        <v/>
      </c>
      <c r="E82" s="35" t="str">
        <f aca="false">IFERROR(INDEX('Fund Research'!$G$6:$G$505,MATCH(77,'Fund Research'!$W$6:$W$505,0)),"")</f>
        <v/>
      </c>
      <c r="F82" s="35" t="str">
        <f aca="false">IFERROR(INDEX('Fund Research'!$H$6:$H$505,MATCH(77,'Fund Research'!$W$6:$W$505,0)),"")</f>
        <v/>
      </c>
      <c r="G82" s="35" t="str">
        <f aca="false">IFERROR(INDEX('Fund Research'!$I$6:$I$505,MATCH(77,'Fund Research'!$W$6:$W$505,0)),"")</f>
        <v/>
      </c>
      <c r="H82" s="36" t="str">
        <f aca="false">IFERROR(INDEX('Fund Research'!$J$6:$J$505,MATCH(77,'Fund Research'!$W$6:$W$505,0)),"")</f>
        <v/>
      </c>
      <c r="I82" s="39" t="str">
        <f aca="false">IFERROR(INDEX('Fund Research'!$L$6:$L$505,MATCH(77,'Fund Research'!$W$6:$W$505,0)),"")</f>
        <v/>
      </c>
      <c r="J82" s="36" t="str">
        <f aca="false">IFERROR(INDEX('Fund Research'!$N$6:$N$505,MATCH(77,'Fund Research'!$W$6:$W$505,0)),"")</f>
        <v/>
      </c>
      <c r="K82" s="36" t="str">
        <f aca="false">IFERROR(INDEX('Fund Research'!$P$6:$P$505,MATCH(77,'Fund Research'!$W$6:$W$505,0)),"")</f>
        <v/>
      </c>
      <c r="L82" s="34" t="str">
        <f aca="false">IFERROR(INDEX('Fund Research'!$S$6:$S$505,MATCH(77,'Fund Research'!$W$6:$W$505,0)),"")</f>
        <v/>
      </c>
      <c r="M82" s="34" t="str">
        <f aca="false">IFERROR(INDEX('Fund Research'!$T$6:$T$505,MATCH(77,'Fund Research'!$W$6:$W$505,0)),"")</f>
        <v/>
      </c>
    </row>
    <row r="83" customFormat="false" ht="15" hidden="false" customHeight="true" outlineLevel="0" collapsed="false">
      <c r="A83" s="33" t="str">
        <f aca="false">IFERROR(IF(INDEX('Fund Research'!$B$6:$B$505,MATCH(78,'Fund Research'!$W$6:$W$505,0))="","",78),"")</f>
        <v/>
      </c>
      <c r="B83" s="34" t="str">
        <f aca="false">IFERROR(INDEX('Fund Research'!$A$6:$A$505,MATCH(78,'Fund Research'!$W$6:$W$505,0)),"")</f>
        <v/>
      </c>
      <c r="C83" s="34" t="str">
        <f aca="false">IFERROR(INDEX('Fund Research'!$B$6:$B$505,MATCH(78,'Fund Research'!$W$6:$W$505,0)),"")</f>
        <v/>
      </c>
      <c r="D83" s="34" t="str">
        <f aca="false">IFERROR(INDEX('Fund Research'!$C$6:$C$505,MATCH(78,'Fund Research'!$W$6:$W$505,0)),"")</f>
        <v/>
      </c>
      <c r="E83" s="35" t="str">
        <f aca="false">IFERROR(INDEX('Fund Research'!$G$6:$G$505,MATCH(78,'Fund Research'!$W$6:$W$505,0)),"")</f>
        <v/>
      </c>
      <c r="F83" s="35" t="str">
        <f aca="false">IFERROR(INDEX('Fund Research'!$H$6:$H$505,MATCH(78,'Fund Research'!$W$6:$W$505,0)),"")</f>
        <v/>
      </c>
      <c r="G83" s="35" t="str">
        <f aca="false">IFERROR(INDEX('Fund Research'!$I$6:$I$505,MATCH(78,'Fund Research'!$W$6:$W$505,0)),"")</f>
        <v/>
      </c>
      <c r="H83" s="36" t="str">
        <f aca="false">IFERROR(INDEX('Fund Research'!$J$6:$J$505,MATCH(78,'Fund Research'!$W$6:$W$505,0)),"")</f>
        <v/>
      </c>
      <c r="I83" s="39" t="str">
        <f aca="false">IFERROR(INDEX('Fund Research'!$L$6:$L$505,MATCH(78,'Fund Research'!$W$6:$W$505,0)),"")</f>
        <v/>
      </c>
      <c r="J83" s="36" t="str">
        <f aca="false">IFERROR(INDEX('Fund Research'!$N$6:$N$505,MATCH(78,'Fund Research'!$W$6:$W$505,0)),"")</f>
        <v/>
      </c>
      <c r="K83" s="36" t="str">
        <f aca="false">IFERROR(INDEX('Fund Research'!$P$6:$P$505,MATCH(78,'Fund Research'!$W$6:$W$505,0)),"")</f>
        <v/>
      </c>
      <c r="L83" s="34" t="str">
        <f aca="false">IFERROR(INDEX('Fund Research'!$S$6:$S$505,MATCH(78,'Fund Research'!$W$6:$W$505,0)),"")</f>
        <v/>
      </c>
      <c r="M83" s="34" t="str">
        <f aca="false">IFERROR(INDEX('Fund Research'!$T$6:$T$505,MATCH(78,'Fund Research'!$W$6:$W$505,0)),"")</f>
        <v/>
      </c>
    </row>
    <row r="84" customFormat="false" ht="15" hidden="false" customHeight="true" outlineLevel="0" collapsed="false">
      <c r="A84" s="33" t="str">
        <f aca="false">IFERROR(IF(INDEX('Fund Research'!$B$6:$B$505,MATCH(79,'Fund Research'!$W$6:$W$505,0))="","",79),"")</f>
        <v/>
      </c>
      <c r="B84" s="34" t="str">
        <f aca="false">IFERROR(INDEX('Fund Research'!$A$6:$A$505,MATCH(79,'Fund Research'!$W$6:$W$505,0)),"")</f>
        <v/>
      </c>
      <c r="C84" s="34" t="str">
        <f aca="false">IFERROR(INDEX('Fund Research'!$B$6:$B$505,MATCH(79,'Fund Research'!$W$6:$W$505,0)),"")</f>
        <v/>
      </c>
      <c r="D84" s="34" t="str">
        <f aca="false">IFERROR(INDEX('Fund Research'!$C$6:$C$505,MATCH(79,'Fund Research'!$W$6:$W$505,0)),"")</f>
        <v/>
      </c>
      <c r="E84" s="35" t="str">
        <f aca="false">IFERROR(INDEX('Fund Research'!$G$6:$G$505,MATCH(79,'Fund Research'!$W$6:$W$505,0)),"")</f>
        <v/>
      </c>
      <c r="F84" s="35" t="str">
        <f aca="false">IFERROR(INDEX('Fund Research'!$H$6:$H$505,MATCH(79,'Fund Research'!$W$6:$W$505,0)),"")</f>
        <v/>
      </c>
      <c r="G84" s="35" t="str">
        <f aca="false">IFERROR(INDEX('Fund Research'!$I$6:$I$505,MATCH(79,'Fund Research'!$W$6:$W$505,0)),"")</f>
        <v/>
      </c>
      <c r="H84" s="36" t="str">
        <f aca="false">IFERROR(INDEX('Fund Research'!$J$6:$J$505,MATCH(79,'Fund Research'!$W$6:$W$505,0)),"")</f>
        <v/>
      </c>
      <c r="I84" s="39" t="str">
        <f aca="false">IFERROR(INDEX('Fund Research'!$L$6:$L$505,MATCH(79,'Fund Research'!$W$6:$W$505,0)),"")</f>
        <v/>
      </c>
      <c r="J84" s="36" t="str">
        <f aca="false">IFERROR(INDEX('Fund Research'!$N$6:$N$505,MATCH(79,'Fund Research'!$W$6:$W$505,0)),"")</f>
        <v/>
      </c>
      <c r="K84" s="36" t="str">
        <f aca="false">IFERROR(INDEX('Fund Research'!$P$6:$P$505,MATCH(79,'Fund Research'!$W$6:$W$505,0)),"")</f>
        <v/>
      </c>
      <c r="L84" s="34" t="str">
        <f aca="false">IFERROR(INDEX('Fund Research'!$S$6:$S$505,MATCH(79,'Fund Research'!$W$6:$W$505,0)),"")</f>
        <v/>
      </c>
      <c r="M84" s="34" t="str">
        <f aca="false">IFERROR(INDEX('Fund Research'!$T$6:$T$505,MATCH(79,'Fund Research'!$W$6:$W$505,0)),"")</f>
        <v/>
      </c>
    </row>
    <row r="85" customFormat="false" ht="15" hidden="false" customHeight="true" outlineLevel="0" collapsed="false">
      <c r="A85" s="33" t="str">
        <f aca="false">IFERROR(IF(INDEX('Fund Research'!$B$6:$B$505,MATCH(80,'Fund Research'!$W$6:$W$505,0))="","",80),"")</f>
        <v/>
      </c>
      <c r="B85" s="34" t="str">
        <f aca="false">IFERROR(INDEX('Fund Research'!$A$6:$A$505,MATCH(80,'Fund Research'!$W$6:$W$505,0)),"")</f>
        <v/>
      </c>
      <c r="C85" s="34" t="str">
        <f aca="false">IFERROR(INDEX('Fund Research'!$B$6:$B$505,MATCH(80,'Fund Research'!$W$6:$W$505,0)),"")</f>
        <v/>
      </c>
      <c r="D85" s="34" t="str">
        <f aca="false">IFERROR(INDEX('Fund Research'!$C$6:$C$505,MATCH(80,'Fund Research'!$W$6:$W$505,0)),"")</f>
        <v/>
      </c>
      <c r="E85" s="35" t="str">
        <f aca="false">IFERROR(INDEX('Fund Research'!$G$6:$G$505,MATCH(80,'Fund Research'!$W$6:$W$505,0)),"")</f>
        <v/>
      </c>
      <c r="F85" s="35" t="str">
        <f aca="false">IFERROR(INDEX('Fund Research'!$H$6:$H$505,MATCH(80,'Fund Research'!$W$6:$W$505,0)),"")</f>
        <v/>
      </c>
      <c r="G85" s="35" t="str">
        <f aca="false">IFERROR(INDEX('Fund Research'!$I$6:$I$505,MATCH(80,'Fund Research'!$W$6:$W$505,0)),"")</f>
        <v/>
      </c>
      <c r="H85" s="36" t="str">
        <f aca="false">IFERROR(INDEX('Fund Research'!$J$6:$J$505,MATCH(80,'Fund Research'!$W$6:$W$505,0)),"")</f>
        <v/>
      </c>
      <c r="I85" s="39" t="str">
        <f aca="false">IFERROR(INDEX('Fund Research'!$L$6:$L$505,MATCH(80,'Fund Research'!$W$6:$W$505,0)),"")</f>
        <v/>
      </c>
      <c r="J85" s="36" t="str">
        <f aca="false">IFERROR(INDEX('Fund Research'!$N$6:$N$505,MATCH(80,'Fund Research'!$W$6:$W$505,0)),"")</f>
        <v/>
      </c>
      <c r="K85" s="36" t="str">
        <f aca="false">IFERROR(INDEX('Fund Research'!$P$6:$P$505,MATCH(80,'Fund Research'!$W$6:$W$505,0)),"")</f>
        <v/>
      </c>
      <c r="L85" s="34" t="str">
        <f aca="false">IFERROR(INDEX('Fund Research'!$S$6:$S$505,MATCH(80,'Fund Research'!$W$6:$W$505,0)),"")</f>
        <v/>
      </c>
      <c r="M85" s="34" t="str">
        <f aca="false">IFERROR(INDEX('Fund Research'!$T$6:$T$505,MATCH(80,'Fund Research'!$W$6:$W$505,0)),"")</f>
        <v/>
      </c>
    </row>
    <row r="86" customFormat="false" ht="15" hidden="false" customHeight="true" outlineLevel="0" collapsed="false">
      <c r="A86" s="33" t="str">
        <f aca="false">IFERROR(IF(INDEX('Fund Research'!$B$6:$B$505,MATCH(81,'Fund Research'!$W$6:$W$505,0))="","",81),"")</f>
        <v/>
      </c>
      <c r="B86" s="34" t="str">
        <f aca="false">IFERROR(INDEX('Fund Research'!$A$6:$A$505,MATCH(81,'Fund Research'!$W$6:$W$505,0)),"")</f>
        <v/>
      </c>
      <c r="C86" s="34" t="str">
        <f aca="false">IFERROR(INDEX('Fund Research'!$B$6:$B$505,MATCH(81,'Fund Research'!$W$6:$W$505,0)),"")</f>
        <v/>
      </c>
      <c r="D86" s="34" t="str">
        <f aca="false">IFERROR(INDEX('Fund Research'!$C$6:$C$505,MATCH(81,'Fund Research'!$W$6:$W$505,0)),"")</f>
        <v/>
      </c>
      <c r="E86" s="35" t="str">
        <f aca="false">IFERROR(INDEX('Fund Research'!$G$6:$G$505,MATCH(81,'Fund Research'!$W$6:$W$505,0)),"")</f>
        <v/>
      </c>
      <c r="F86" s="35" t="str">
        <f aca="false">IFERROR(INDEX('Fund Research'!$H$6:$H$505,MATCH(81,'Fund Research'!$W$6:$W$505,0)),"")</f>
        <v/>
      </c>
      <c r="G86" s="35" t="str">
        <f aca="false">IFERROR(INDEX('Fund Research'!$I$6:$I$505,MATCH(81,'Fund Research'!$W$6:$W$505,0)),"")</f>
        <v/>
      </c>
      <c r="H86" s="36" t="str">
        <f aca="false">IFERROR(INDEX('Fund Research'!$J$6:$J$505,MATCH(81,'Fund Research'!$W$6:$W$505,0)),"")</f>
        <v/>
      </c>
      <c r="I86" s="39" t="str">
        <f aca="false">IFERROR(INDEX('Fund Research'!$L$6:$L$505,MATCH(81,'Fund Research'!$W$6:$W$505,0)),"")</f>
        <v/>
      </c>
      <c r="J86" s="36" t="str">
        <f aca="false">IFERROR(INDEX('Fund Research'!$N$6:$N$505,MATCH(81,'Fund Research'!$W$6:$W$505,0)),"")</f>
        <v/>
      </c>
      <c r="K86" s="36" t="str">
        <f aca="false">IFERROR(INDEX('Fund Research'!$P$6:$P$505,MATCH(81,'Fund Research'!$W$6:$W$505,0)),"")</f>
        <v/>
      </c>
      <c r="L86" s="34" t="str">
        <f aca="false">IFERROR(INDEX('Fund Research'!$S$6:$S$505,MATCH(81,'Fund Research'!$W$6:$W$505,0)),"")</f>
        <v/>
      </c>
      <c r="M86" s="34" t="str">
        <f aca="false">IFERROR(INDEX('Fund Research'!$T$6:$T$505,MATCH(81,'Fund Research'!$W$6:$W$505,0)),"")</f>
        <v/>
      </c>
    </row>
    <row r="87" customFormat="false" ht="15" hidden="false" customHeight="true" outlineLevel="0" collapsed="false">
      <c r="A87" s="33" t="str">
        <f aca="false">IFERROR(IF(INDEX('Fund Research'!$B$6:$B$505,MATCH(82,'Fund Research'!$W$6:$W$505,0))="","",82),"")</f>
        <v/>
      </c>
      <c r="B87" s="34" t="str">
        <f aca="false">IFERROR(INDEX('Fund Research'!$A$6:$A$505,MATCH(82,'Fund Research'!$W$6:$W$505,0)),"")</f>
        <v/>
      </c>
      <c r="C87" s="34" t="str">
        <f aca="false">IFERROR(INDEX('Fund Research'!$B$6:$B$505,MATCH(82,'Fund Research'!$W$6:$W$505,0)),"")</f>
        <v/>
      </c>
      <c r="D87" s="34" t="str">
        <f aca="false">IFERROR(INDEX('Fund Research'!$C$6:$C$505,MATCH(82,'Fund Research'!$W$6:$W$505,0)),"")</f>
        <v/>
      </c>
      <c r="E87" s="35" t="str">
        <f aca="false">IFERROR(INDEX('Fund Research'!$G$6:$G$505,MATCH(82,'Fund Research'!$W$6:$W$505,0)),"")</f>
        <v/>
      </c>
      <c r="F87" s="35" t="str">
        <f aca="false">IFERROR(INDEX('Fund Research'!$H$6:$H$505,MATCH(82,'Fund Research'!$W$6:$W$505,0)),"")</f>
        <v/>
      </c>
      <c r="G87" s="35" t="str">
        <f aca="false">IFERROR(INDEX('Fund Research'!$I$6:$I$505,MATCH(82,'Fund Research'!$W$6:$W$505,0)),"")</f>
        <v/>
      </c>
      <c r="H87" s="36" t="str">
        <f aca="false">IFERROR(INDEX('Fund Research'!$J$6:$J$505,MATCH(82,'Fund Research'!$W$6:$W$505,0)),"")</f>
        <v/>
      </c>
      <c r="I87" s="39" t="str">
        <f aca="false">IFERROR(INDEX('Fund Research'!$L$6:$L$505,MATCH(82,'Fund Research'!$W$6:$W$505,0)),"")</f>
        <v/>
      </c>
      <c r="J87" s="36" t="str">
        <f aca="false">IFERROR(INDEX('Fund Research'!$N$6:$N$505,MATCH(82,'Fund Research'!$W$6:$W$505,0)),"")</f>
        <v/>
      </c>
      <c r="K87" s="36" t="str">
        <f aca="false">IFERROR(INDEX('Fund Research'!$P$6:$P$505,MATCH(82,'Fund Research'!$W$6:$W$505,0)),"")</f>
        <v/>
      </c>
      <c r="L87" s="34" t="str">
        <f aca="false">IFERROR(INDEX('Fund Research'!$S$6:$S$505,MATCH(82,'Fund Research'!$W$6:$W$505,0)),"")</f>
        <v/>
      </c>
      <c r="M87" s="34" t="str">
        <f aca="false">IFERROR(INDEX('Fund Research'!$T$6:$T$505,MATCH(82,'Fund Research'!$W$6:$W$505,0)),"")</f>
        <v/>
      </c>
    </row>
    <row r="88" customFormat="false" ht="15" hidden="false" customHeight="true" outlineLevel="0" collapsed="false">
      <c r="A88" s="33" t="str">
        <f aca="false">IFERROR(IF(INDEX('Fund Research'!$B$6:$B$505,MATCH(83,'Fund Research'!$W$6:$W$505,0))="","",83),"")</f>
        <v/>
      </c>
      <c r="B88" s="34" t="str">
        <f aca="false">IFERROR(INDEX('Fund Research'!$A$6:$A$505,MATCH(83,'Fund Research'!$W$6:$W$505,0)),"")</f>
        <v/>
      </c>
      <c r="C88" s="34" t="str">
        <f aca="false">IFERROR(INDEX('Fund Research'!$B$6:$B$505,MATCH(83,'Fund Research'!$W$6:$W$505,0)),"")</f>
        <v/>
      </c>
      <c r="D88" s="34" t="str">
        <f aca="false">IFERROR(INDEX('Fund Research'!$C$6:$C$505,MATCH(83,'Fund Research'!$W$6:$W$505,0)),"")</f>
        <v/>
      </c>
      <c r="E88" s="35" t="str">
        <f aca="false">IFERROR(INDEX('Fund Research'!$G$6:$G$505,MATCH(83,'Fund Research'!$W$6:$W$505,0)),"")</f>
        <v/>
      </c>
      <c r="F88" s="35" t="str">
        <f aca="false">IFERROR(INDEX('Fund Research'!$H$6:$H$505,MATCH(83,'Fund Research'!$W$6:$W$505,0)),"")</f>
        <v/>
      </c>
      <c r="G88" s="35" t="str">
        <f aca="false">IFERROR(INDEX('Fund Research'!$I$6:$I$505,MATCH(83,'Fund Research'!$W$6:$W$505,0)),"")</f>
        <v/>
      </c>
      <c r="H88" s="36" t="str">
        <f aca="false">IFERROR(INDEX('Fund Research'!$J$6:$J$505,MATCH(83,'Fund Research'!$W$6:$W$505,0)),"")</f>
        <v/>
      </c>
      <c r="I88" s="39" t="str">
        <f aca="false">IFERROR(INDEX('Fund Research'!$L$6:$L$505,MATCH(83,'Fund Research'!$W$6:$W$505,0)),"")</f>
        <v/>
      </c>
      <c r="J88" s="36" t="str">
        <f aca="false">IFERROR(INDEX('Fund Research'!$N$6:$N$505,MATCH(83,'Fund Research'!$W$6:$W$505,0)),"")</f>
        <v/>
      </c>
      <c r="K88" s="36" t="str">
        <f aca="false">IFERROR(INDEX('Fund Research'!$P$6:$P$505,MATCH(83,'Fund Research'!$W$6:$W$505,0)),"")</f>
        <v/>
      </c>
      <c r="L88" s="34" t="str">
        <f aca="false">IFERROR(INDEX('Fund Research'!$S$6:$S$505,MATCH(83,'Fund Research'!$W$6:$W$505,0)),"")</f>
        <v/>
      </c>
      <c r="M88" s="34" t="str">
        <f aca="false">IFERROR(INDEX('Fund Research'!$T$6:$T$505,MATCH(83,'Fund Research'!$W$6:$W$505,0)),"")</f>
        <v/>
      </c>
    </row>
    <row r="89" customFormat="false" ht="15" hidden="false" customHeight="true" outlineLevel="0" collapsed="false">
      <c r="A89" s="33" t="str">
        <f aca="false">IFERROR(IF(INDEX('Fund Research'!$B$6:$B$505,MATCH(84,'Fund Research'!$W$6:$W$505,0))="","",84),"")</f>
        <v/>
      </c>
      <c r="B89" s="34" t="str">
        <f aca="false">IFERROR(INDEX('Fund Research'!$A$6:$A$505,MATCH(84,'Fund Research'!$W$6:$W$505,0)),"")</f>
        <v/>
      </c>
      <c r="C89" s="34" t="str">
        <f aca="false">IFERROR(INDEX('Fund Research'!$B$6:$B$505,MATCH(84,'Fund Research'!$W$6:$W$505,0)),"")</f>
        <v/>
      </c>
      <c r="D89" s="34" t="str">
        <f aca="false">IFERROR(INDEX('Fund Research'!$C$6:$C$505,MATCH(84,'Fund Research'!$W$6:$W$505,0)),"")</f>
        <v/>
      </c>
      <c r="E89" s="35" t="str">
        <f aca="false">IFERROR(INDEX('Fund Research'!$G$6:$G$505,MATCH(84,'Fund Research'!$W$6:$W$505,0)),"")</f>
        <v/>
      </c>
      <c r="F89" s="35" t="str">
        <f aca="false">IFERROR(INDEX('Fund Research'!$H$6:$H$505,MATCH(84,'Fund Research'!$W$6:$W$505,0)),"")</f>
        <v/>
      </c>
      <c r="G89" s="35" t="str">
        <f aca="false">IFERROR(INDEX('Fund Research'!$I$6:$I$505,MATCH(84,'Fund Research'!$W$6:$W$505,0)),"")</f>
        <v/>
      </c>
      <c r="H89" s="36" t="str">
        <f aca="false">IFERROR(INDEX('Fund Research'!$J$6:$J$505,MATCH(84,'Fund Research'!$W$6:$W$505,0)),"")</f>
        <v/>
      </c>
      <c r="I89" s="39" t="str">
        <f aca="false">IFERROR(INDEX('Fund Research'!$L$6:$L$505,MATCH(84,'Fund Research'!$W$6:$W$505,0)),"")</f>
        <v/>
      </c>
      <c r="J89" s="36" t="str">
        <f aca="false">IFERROR(INDEX('Fund Research'!$N$6:$N$505,MATCH(84,'Fund Research'!$W$6:$W$505,0)),"")</f>
        <v/>
      </c>
      <c r="K89" s="36" t="str">
        <f aca="false">IFERROR(INDEX('Fund Research'!$P$6:$P$505,MATCH(84,'Fund Research'!$W$6:$W$505,0)),"")</f>
        <v/>
      </c>
      <c r="L89" s="34" t="str">
        <f aca="false">IFERROR(INDEX('Fund Research'!$S$6:$S$505,MATCH(84,'Fund Research'!$W$6:$W$505,0)),"")</f>
        <v/>
      </c>
      <c r="M89" s="34" t="str">
        <f aca="false">IFERROR(INDEX('Fund Research'!$T$6:$T$505,MATCH(84,'Fund Research'!$W$6:$W$505,0)),"")</f>
        <v/>
      </c>
    </row>
    <row r="90" customFormat="false" ht="15" hidden="false" customHeight="true" outlineLevel="0" collapsed="false">
      <c r="A90" s="33" t="str">
        <f aca="false">IFERROR(IF(INDEX('Fund Research'!$B$6:$B$505,MATCH(85,'Fund Research'!$W$6:$W$505,0))="","",85),"")</f>
        <v/>
      </c>
      <c r="B90" s="34" t="str">
        <f aca="false">IFERROR(INDEX('Fund Research'!$A$6:$A$505,MATCH(85,'Fund Research'!$W$6:$W$505,0)),"")</f>
        <v/>
      </c>
      <c r="C90" s="34" t="str">
        <f aca="false">IFERROR(INDEX('Fund Research'!$B$6:$B$505,MATCH(85,'Fund Research'!$W$6:$W$505,0)),"")</f>
        <v/>
      </c>
      <c r="D90" s="34" t="str">
        <f aca="false">IFERROR(INDEX('Fund Research'!$C$6:$C$505,MATCH(85,'Fund Research'!$W$6:$W$505,0)),"")</f>
        <v/>
      </c>
      <c r="E90" s="35" t="str">
        <f aca="false">IFERROR(INDEX('Fund Research'!$G$6:$G$505,MATCH(85,'Fund Research'!$W$6:$W$505,0)),"")</f>
        <v/>
      </c>
      <c r="F90" s="35" t="str">
        <f aca="false">IFERROR(INDEX('Fund Research'!$H$6:$H$505,MATCH(85,'Fund Research'!$W$6:$W$505,0)),"")</f>
        <v/>
      </c>
      <c r="G90" s="35" t="str">
        <f aca="false">IFERROR(INDEX('Fund Research'!$I$6:$I$505,MATCH(85,'Fund Research'!$W$6:$W$505,0)),"")</f>
        <v/>
      </c>
      <c r="H90" s="36" t="str">
        <f aca="false">IFERROR(INDEX('Fund Research'!$J$6:$J$505,MATCH(85,'Fund Research'!$W$6:$W$505,0)),"")</f>
        <v/>
      </c>
      <c r="I90" s="39" t="str">
        <f aca="false">IFERROR(INDEX('Fund Research'!$L$6:$L$505,MATCH(85,'Fund Research'!$W$6:$W$505,0)),"")</f>
        <v/>
      </c>
      <c r="J90" s="36" t="str">
        <f aca="false">IFERROR(INDEX('Fund Research'!$N$6:$N$505,MATCH(85,'Fund Research'!$W$6:$W$505,0)),"")</f>
        <v/>
      </c>
      <c r="K90" s="36" t="str">
        <f aca="false">IFERROR(INDEX('Fund Research'!$P$6:$P$505,MATCH(85,'Fund Research'!$W$6:$W$505,0)),"")</f>
        <v/>
      </c>
      <c r="L90" s="34" t="str">
        <f aca="false">IFERROR(INDEX('Fund Research'!$S$6:$S$505,MATCH(85,'Fund Research'!$W$6:$W$505,0)),"")</f>
        <v/>
      </c>
      <c r="M90" s="34" t="str">
        <f aca="false">IFERROR(INDEX('Fund Research'!$T$6:$T$505,MATCH(85,'Fund Research'!$W$6:$W$505,0)),"")</f>
        <v/>
      </c>
    </row>
    <row r="91" customFormat="false" ht="15" hidden="false" customHeight="true" outlineLevel="0" collapsed="false">
      <c r="A91" s="33" t="str">
        <f aca="false">IFERROR(IF(INDEX('Fund Research'!$B$6:$B$505,MATCH(86,'Fund Research'!$W$6:$W$505,0))="","",86),"")</f>
        <v/>
      </c>
      <c r="B91" s="34" t="str">
        <f aca="false">IFERROR(INDEX('Fund Research'!$A$6:$A$505,MATCH(86,'Fund Research'!$W$6:$W$505,0)),"")</f>
        <v/>
      </c>
      <c r="C91" s="34" t="str">
        <f aca="false">IFERROR(INDEX('Fund Research'!$B$6:$B$505,MATCH(86,'Fund Research'!$W$6:$W$505,0)),"")</f>
        <v/>
      </c>
      <c r="D91" s="34" t="str">
        <f aca="false">IFERROR(INDEX('Fund Research'!$C$6:$C$505,MATCH(86,'Fund Research'!$W$6:$W$505,0)),"")</f>
        <v/>
      </c>
      <c r="E91" s="35" t="str">
        <f aca="false">IFERROR(INDEX('Fund Research'!$G$6:$G$505,MATCH(86,'Fund Research'!$W$6:$W$505,0)),"")</f>
        <v/>
      </c>
      <c r="F91" s="35" t="str">
        <f aca="false">IFERROR(INDEX('Fund Research'!$H$6:$H$505,MATCH(86,'Fund Research'!$W$6:$W$505,0)),"")</f>
        <v/>
      </c>
      <c r="G91" s="35" t="str">
        <f aca="false">IFERROR(INDEX('Fund Research'!$I$6:$I$505,MATCH(86,'Fund Research'!$W$6:$W$505,0)),"")</f>
        <v/>
      </c>
      <c r="H91" s="36" t="str">
        <f aca="false">IFERROR(INDEX('Fund Research'!$J$6:$J$505,MATCH(86,'Fund Research'!$W$6:$W$505,0)),"")</f>
        <v/>
      </c>
      <c r="I91" s="39" t="str">
        <f aca="false">IFERROR(INDEX('Fund Research'!$L$6:$L$505,MATCH(86,'Fund Research'!$W$6:$W$505,0)),"")</f>
        <v/>
      </c>
      <c r="J91" s="36" t="str">
        <f aca="false">IFERROR(INDEX('Fund Research'!$N$6:$N$505,MATCH(86,'Fund Research'!$W$6:$W$505,0)),"")</f>
        <v/>
      </c>
      <c r="K91" s="36" t="str">
        <f aca="false">IFERROR(INDEX('Fund Research'!$P$6:$P$505,MATCH(86,'Fund Research'!$W$6:$W$505,0)),"")</f>
        <v/>
      </c>
      <c r="L91" s="34" t="str">
        <f aca="false">IFERROR(INDEX('Fund Research'!$S$6:$S$505,MATCH(86,'Fund Research'!$W$6:$W$505,0)),"")</f>
        <v/>
      </c>
      <c r="M91" s="34" t="str">
        <f aca="false">IFERROR(INDEX('Fund Research'!$T$6:$T$505,MATCH(86,'Fund Research'!$W$6:$W$505,0)),"")</f>
        <v/>
      </c>
    </row>
    <row r="92" customFormat="false" ht="15" hidden="false" customHeight="true" outlineLevel="0" collapsed="false">
      <c r="A92" s="33" t="str">
        <f aca="false">IFERROR(IF(INDEX('Fund Research'!$B$6:$B$505,MATCH(87,'Fund Research'!$W$6:$W$505,0))="","",87),"")</f>
        <v/>
      </c>
      <c r="B92" s="34" t="str">
        <f aca="false">IFERROR(INDEX('Fund Research'!$A$6:$A$505,MATCH(87,'Fund Research'!$W$6:$W$505,0)),"")</f>
        <v/>
      </c>
      <c r="C92" s="34" t="str">
        <f aca="false">IFERROR(INDEX('Fund Research'!$B$6:$B$505,MATCH(87,'Fund Research'!$W$6:$W$505,0)),"")</f>
        <v/>
      </c>
      <c r="D92" s="34" t="str">
        <f aca="false">IFERROR(INDEX('Fund Research'!$C$6:$C$505,MATCH(87,'Fund Research'!$W$6:$W$505,0)),"")</f>
        <v/>
      </c>
      <c r="E92" s="35" t="str">
        <f aca="false">IFERROR(INDEX('Fund Research'!$G$6:$G$505,MATCH(87,'Fund Research'!$W$6:$W$505,0)),"")</f>
        <v/>
      </c>
      <c r="F92" s="35" t="str">
        <f aca="false">IFERROR(INDEX('Fund Research'!$H$6:$H$505,MATCH(87,'Fund Research'!$W$6:$W$505,0)),"")</f>
        <v/>
      </c>
      <c r="G92" s="35" t="str">
        <f aca="false">IFERROR(INDEX('Fund Research'!$I$6:$I$505,MATCH(87,'Fund Research'!$W$6:$W$505,0)),"")</f>
        <v/>
      </c>
      <c r="H92" s="36" t="str">
        <f aca="false">IFERROR(INDEX('Fund Research'!$J$6:$J$505,MATCH(87,'Fund Research'!$W$6:$W$505,0)),"")</f>
        <v/>
      </c>
      <c r="I92" s="39" t="str">
        <f aca="false">IFERROR(INDEX('Fund Research'!$L$6:$L$505,MATCH(87,'Fund Research'!$W$6:$W$505,0)),"")</f>
        <v/>
      </c>
      <c r="J92" s="36" t="str">
        <f aca="false">IFERROR(INDEX('Fund Research'!$N$6:$N$505,MATCH(87,'Fund Research'!$W$6:$W$505,0)),"")</f>
        <v/>
      </c>
      <c r="K92" s="36" t="str">
        <f aca="false">IFERROR(INDEX('Fund Research'!$P$6:$P$505,MATCH(87,'Fund Research'!$W$6:$W$505,0)),"")</f>
        <v/>
      </c>
      <c r="L92" s="34" t="str">
        <f aca="false">IFERROR(INDEX('Fund Research'!$S$6:$S$505,MATCH(87,'Fund Research'!$W$6:$W$505,0)),"")</f>
        <v/>
      </c>
      <c r="M92" s="34" t="str">
        <f aca="false">IFERROR(INDEX('Fund Research'!$T$6:$T$505,MATCH(87,'Fund Research'!$W$6:$W$505,0)),"")</f>
        <v/>
      </c>
    </row>
    <row r="93" customFormat="false" ht="15" hidden="false" customHeight="true" outlineLevel="0" collapsed="false">
      <c r="A93" s="33" t="str">
        <f aca="false">IFERROR(IF(INDEX('Fund Research'!$B$6:$B$505,MATCH(88,'Fund Research'!$W$6:$W$505,0))="","",88),"")</f>
        <v/>
      </c>
      <c r="B93" s="34" t="str">
        <f aca="false">IFERROR(INDEX('Fund Research'!$A$6:$A$505,MATCH(88,'Fund Research'!$W$6:$W$505,0)),"")</f>
        <v/>
      </c>
      <c r="C93" s="34" t="str">
        <f aca="false">IFERROR(INDEX('Fund Research'!$B$6:$B$505,MATCH(88,'Fund Research'!$W$6:$W$505,0)),"")</f>
        <v/>
      </c>
      <c r="D93" s="34" t="str">
        <f aca="false">IFERROR(INDEX('Fund Research'!$C$6:$C$505,MATCH(88,'Fund Research'!$W$6:$W$505,0)),"")</f>
        <v/>
      </c>
      <c r="E93" s="35" t="str">
        <f aca="false">IFERROR(INDEX('Fund Research'!$G$6:$G$505,MATCH(88,'Fund Research'!$W$6:$W$505,0)),"")</f>
        <v/>
      </c>
      <c r="F93" s="35" t="str">
        <f aca="false">IFERROR(INDEX('Fund Research'!$H$6:$H$505,MATCH(88,'Fund Research'!$W$6:$W$505,0)),"")</f>
        <v/>
      </c>
      <c r="G93" s="35" t="str">
        <f aca="false">IFERROR(INDEX('Fund Research'!$I$6:$I$505,MATCH(88,'Fund Research'!$W$6:$W$505,0)),"")</f>
        <v/>
      </c>
      <c r="H93" s="36" t="str">
        <f aca="false">IFERROR(INDEX('Fund Research'!$J$6:$J$505,MATCH(88,'Fund Research'!$W$6:$W$505,0)),"")</f>
        <v/>
      </c>
      <c r="I93" s="39" t="str">
        <f aca="false">IFERROR(INDEX('Fund Research'!$L$6:$L$505,MATCH(88,'Fund Research'!$W$6:$W$505,0)),"")</f>
        <v/>
      </c>
      <c r="J93" s="36" t="str">
        <f aca="false">IFERROR(INDEX('Fund Research'!$N$6:$N$505,MATCH(88,'Fund Research'!$W$6:$W$505,0)),"")</f>
        <v/>
      </c>
      <c r="K93" s="36" t="str">
        <f aca="false">IFERROR(INDEX('Fund Research'!$P$6:$P$505,MATCH(88,'Fund Research'!$W$6:$W$505,0)),"")</f>
        <v/>
      </c>
      <c r="L93" s="34" t="str">
        <f aca="false">IFERROR(INDEX('Fund Research'!$S$6:$S$505,MATCH(88,'Fund Research'!$W$6:$W$505,0)),"")</f>
        <v/>
      </c>
      <c r="M93" s="34" t="str">
        <f aca="false">IFERROR(INDEX('Fund Research'!$T$6:$T$505,MATCH(88,'Fund Research'!$W$6:$W$505,0)),"")</f>
        <v/>
      </c>
    </row>
    <row r="94" customFormat="false" ht="15" hidden="false" customHeight="true" outlineLevel="0" collapsed="false">
      <c r="A94" s="33" t="str">
        <f aca="false">IFERROR(IF(INDEX('Fund Research'!$B$6:$B$505,MATCH(89,'Fund Research'!$W$6:$W$505,0))="","",89),"")</f>
        <v/>
      </c>
      <c r="B94" s="34" t="str">
        <f aca="false">IFERROR(INDEX('Fund Research'!$A$6:$A$505,MATCH(89,'Fund Research'!$W$6:$W$505,0)),"")</f>
        <v/>
      </c>
      <c r="C94" s="34" t="str">
        <f aca="false">IFERROR(INDEX('Fund Research'!$B$6:$B$505,MATCH(89,'Fund Research'!$W$6:$W$505,0)),"")</f>
        <v/>
      </c>
      <c r="D94" s="34" t="str">
        <f aca="false">IFERROR(INDEX('Fund Research'!$C$6:$C$505,MATCH(89,'Fund Research'!$W$6:$W$505,0)),"")</f>
        <v/>
      </c>
      <c r="E94" s="35" t="str">
        <f aca="false">IFERROR(INDEX('Fund Research'!$G$6:$G$505,MATCH(89,'Fund Research'!$W$6:$W$505,0)),"")</f>
        <v/>
      </c>
      <c r="F94" s="35" t="str">
        <f aca="false">IFERROR(INDEX('Fund Research'!$H$6:$H$505,MATCH(89,'Fund Research'!$W$6:$W$505,0)),"")</f>
        <v/>
      </c>
      <c r="G94" s="35" t="str">
        <f aca="false">IFERROR(INDEX('Fund Research'!$I$6:$I$505,MATCH(89,'Fund Research'!$W$6:$W$505,0)),"")</f>
        <v/>
      </c>
      <c r="H94" s="36" t="str">
        <f aca="false">IFERROR(INDEX('Fund Research'!$J$6:$J$505,MATCH(89,'Fund Research'!$W$6:$W$505,0)),"")</f>
        <v/>
      </c>
      <c r="I94" s="39" t="str">
        <f aca="false">IFERROR(INDEX('Fund Research'!$L$6:$L$505,MATCH(89,'Fund Research'!$W$6:$W$505,0)),"")</f>
        <v/>
      </c>
      <c r="J94" s="36" t="str">
        <f aca="false">IFERROR(INDEX('Fund Research'!$N$6:$N$505,MATCH(89,'Fund Research'!$W$6:$W$505,0)),"")</f>
        <v/>
      </c>
      <c r="K94" s="36" t="str">
        <f aca="false">IFERROR(INDEX('Fund Research'!$P$6:$P$505,MATCH(89,'Fund Research'!$W$6:$W$505,0)),"")</f>
        <v/>
      </c>
      <c r="L94" s="34" t="str">
        <f aca="false">IFERROR(INDEX('Fund Research'!$S$6:$S$505,MATCH(89,'Fund Research'!$W$6:$W$505,0)),"")</f>
        <v/>
      </c>
      <c r="M94" s="34" t="str">
        <f aca="false">IFERROR(INDEX('Fund Research'!$T$6:$T$505,MATCH(89,'Fund Research'!$W$6:$W$505,0)),"")</f>
        <v/>
      </c>
    </row>
    <row r="95" customFormat="false" ht="15" hidden="false" customHeight="true" outlineLevel="0" collapsed="false">
      <c r="A95" s="33" t="str">
        <f aca="false">IFERROR(IF(INDEX('Fund Research'!$B$6:$B$505,MATCH(90,'Fund Research'!$W$6:$W$505,0))="","",90),"")</f>
        <v/>
      </c>
      <c r="B95" s="34" t="str">
        <f aca="false">IFERROR(INDEX('Fund Research'!$A$6:$A$505,MATCH(90,'Fund Research'!$W$6:$W$505,0)),"")</f>
        <v/>
      </c>
      <c r="C95" s="34" t="str">
        <f aca="false">IFERROR(INDEX('Fund Research'!$B$6:$B$505,MATCH(90,'Fund Research'!$W$6:$W$505,0)),"")</f>
        <v/>
      </c>
      <c r="D95" s="34" t="str">
        <f aca="false">IFERROR(INDEX('Fund Research'!$C$6:$C$505,MATCH(90,'Fund Research'!$W$6:$W$505,0)),"")</f>
        <v/>
      </c>
      <c r="E95" s="35" t="str">
        <f aca="false">IFERROR(INDEX('Fund Research'!$G$6:$G$505,MATCH(90,'Fund Research'!$W$6:$W$505,0)),"")</f>
        <v/>
      </c>
      <c r="F95" s="35" t="str">
        <f aca="false">IFERROR(INDEX('Fund Research'!$H$6:$H$505,MATCH(90,'Fund Research'!$W$6:$W$505,0)),"")</f>
        <v/>
      </c>
      <c r="G95" s="35" t="str">
        <f aca="false">IFERROR(INDEX('Fund Research'!$I$6:$I$505,MATCH(90,'Fund Research'!$W$6:$W$505,0)),"")</f>
        <v/>
      </c>
      <c r="H95" s="36" t="str">
        <f aca="false">IFERROR(INDEX('Fund Research'!$J$6:$J$505,MATCH(90,'Fund Research'!$W$6:$W$505,0)),"")</f>
        <v/>
      </c>
      <c r="I95" s="39" t="str">
        <f aca="false">IFERROR(INDEX('Fund Research'!$L$6:$L$505,MATCH(90,'Fund Research'!$W$6:$W$505,0)),"")</f>
        <v/>
      </c>
      <c r="J95" s="36" t="str">
        <f aca="false">IFERROR(INDEX('Fund Research'!$N$6:$N$505,MATCH(90,'Fund Research'!$W$6:$W$505,0)),"")</f>
        <v/>
      </c>
      <c r="K95" s="36" t="str">
        <f aca="false">IFERROR(INDEX('Fund Research'!$P$6:$P$505,MATCH(90,'Fund Research'!$W$6:$W$505,0)),"")</f>
        <v/>
      </c>
      <c r="L95" s="34" t="str">
        <f aca="false">IFERROR(INDEX('Fund Research'!$S$6:$S$505,MATCH(90,'Fund Research'!$W$6:$W$505,0)),"")</f>
        <v/>
      </c>
      <c r="M95" s="34" t="str">
        <f aca="false">IFERROR(INDEX('Fund Research'!$T$6:$T$505,MATCH(90,'Fund Research'!$W$6:$W$505,0)),"")</f>
        <v/>
      </c>
    </row>
    <row r="96" customFormat="false" ht="15" hidden="false" customHeight="true" outlineLevel="0" collapsed="false">
      <c r="A96" s="33" t="str">
        <f aca="false">IFERROR(IF(INDEX('Fund Research'!$B$6:$B$505,MATCH(91,'Fund Research'!$W$6:$W$505,0))="","",91),"")</f>
        <v/>
      </c>
      <c r="B96" s="34" t="str">
        <f aca="false">IFERROR(INDEX('Fund Research'!$A$6:$A$505,MATCH(91,'Fund Research'!$W$6:$W$505,0)),"")</f>
        <v/>
      </c>
      <c r="C96" s="34" t="str">
        <f aca="false">IFERROR(INDEX('Fund Research'!$B$6:$B$505,MATCH(91,'Fund Research'!$W$6:$W$505,0)),"")</f>
        <v/>
      </c>
      <c r="D96" s="34" t="str">
        <f aca="false">IFERROR(INDEX('Fund Research'!$C$6:$C$505,MATCH(91,'Fund Research'!$W$6:$W$505,0)),"")</f>
        <v/>
      </c>
      <c r="E96" s="35" t="str">
        <f aca="false">IFERROR(INDEX('Fund Research'!$G$6:$G$505,MATCH(91,'Fund Research'!$W$6:$W$505,0)),"")</f>
        <v/>
      </c>
      <c r="F96" s="35" t="str">
        <f aca="false">IFERROR(INDEX('Fund Research'!$H$6:$H$505,MATCH(91,'Fund Research'!$W$6:$W$505,0)),"")</f>
        <v/>
      </c>
      <c r="G96" s="35" t="str">
        <f aca="false">IFERROR(INDEX('Fund Research'!$I$6:$I$505,MATCH(91,'Fund Research'!$W$6:$W$505,0)),"")</f>
        <v/>
      </c>
      <c r="H96" s="36" t="str">
        <f aca="false">IFERROR(INDEX('Fund Research'!$J$6:$J$505,MATCH(91,'Fund Research'!$W$6:$W$505,0)),"")</f>
        <v/>
      </c>
      <c r="I96" s="39" t="str">
        <f aca="false">IFERROR(INDEX('Fund Research'!$L$6:$L$505,MATCH(91,'Fund Research'!$W$6:$W$505,0)),"")</f>
        <v/>
      </c>
      <c r="J96" s="36" t="str">
        <f aca="false">IFERROR(INDEX('Fund Research'!$N$6:$N$505,MATCH(91,'Fund Research'!$W$6:$W$505,0)),"")</f>
        <v/>
      </c>
      <c r="K96" s="36" t="str">
        <f aca="false">IFERROR(INDEX('Fund Research'!$P$6:$P$505,MATCH(91,'Fund Research'!$W$6:$W$505,0)),"")</f>
        <v/>
      </c>
      <c r="L96" s="34" t="str">
        <f aca="false">IFERROR(INDEX('Fund Research'!$S$6:$S$505,MATCH(91,'Fund Research'!$W$6:$W$505,0)),"")</f>
        <v/>
      </c>
      <c r="M96" s="34" t="str">
        <f aca="false">IFERROR(INDEX('Fund Research'!$T$6:$T$505,MATCH(91,'Fund Research'!$W$6:$W$505,0)),"")</f>
        <v/>
      </c>
    </row>
    <row r="97" customFormat="false" ht="15" hidden="false" customHeight="true" outlineLevel="0" collapsed="false">
      <c r="A97" s="33" t="str">
        <f aca="false">IFERROR(IF(INDEX('Fund Research'!$B$6:$B$505,MATCH(92,'Fund Research'!$W$6:$W$505,0))="","",92),"")</f>
        <v/>
      </c>
      <c r="B97" s="34" t="str">
        <f aca="false">IFERROR(INDEX('Fund Research'!$A$6:$A$505,MATCH(92,'Fund Research'!$W$6:$W$505,0)),"")</f>
        <v/>
      </c>
      <c r="C97" s="34" t="str">
        <f aca="false">IFERROR(INDEX('Fund Research'!$B$6:$B$505,MATCH(92,'Fund Research'!$W$6:$W$505,0)),"")</f>
        <v/>
      </c>
      <c r="D97" s="34" t="str">
        <f aca="false">IFERROR(INDEX('Fund Research'!$C$6:$C$505,MATCH(92,'Fund Research'!$W$6:$W$505,0)),"")</f>
        <v/>
      </c>
      <c r="E97" s="35" t="str">
        <f aca="false">IFERROR(INDEX('Fund Research'!$G$6:$G$505,MATCH(92,'Fund Research'!$W$6:$W$505,0)),"")</f>
        <v/>
      </c>
      <c r="F97" s="35" t="str">
        <f aca="false">IFERROR(INDEX('Fund Research'!$H$6:$H$505,MATCH(92,'Fund Research'!$W$6:$W$505,0)),"")</f>
        <v/>
      </c>
      <c r="G97" s="35" t="str">
        <f aca="false">IFERROR(INDEX('Fund Research'!$I$6:$I$505,MATCH(92,'Fund Research'!$W$6:$W$505,0)),"")</f>
        <v/>
      </c>
      <c r="H97" s="36" t="str">
        <f aca="false">IFERROR(INDEX('Fund Research'!$J$6:$J$505,MATCH(92,'Fund Research'!$W$6:$W$505,0)),"")</f>
        <v/>
      </c>
      <c r="I97" s="39" t="str">
        <f aca="false">IFERROR(INDEX('Fund Research'!$L$6:$L$505,MATCH(92,'Fund Research'!$W$6:$W$505,0)),"")</f>
        <v/>
      </c>
      <c r="J97" s="36" t="str">
        <f aca="false">IFERROR(INDEX('Fund Research'!$N$6:$N$505,MATCH(92,'Fund Research'!$W$6:$W$505,0)),"")</f>
        <v/>
      </c>
      <c r="K97" s="36" t="str">
        <f aca="false">IFERROR(INDEX('Fund Research'!$P$6:$P$505,MATCH(92,'Fund Research'!$W$6:$W$505,0)),"")</f>
        <v/>
      </c>
      <c r="L97" s="34" t="str">
        <f aca="false">IFERROR(INDEX('Fund Research'!$S$6:$S$505,MATCH(92,'Fund Research'!$W$6:$W$505,0)),"")</f>
        <v/>
      </c>
      <c r="M97" s="34" t="str">
        <f aca="false">IFERROR(INDEX('Fund Research'!$T$6:$T$505,MATCH(92,'Fund Research'!$W$6:$W$505,0)),"")</f>
        <v/>
      </c>
    </row>
    <row r="98" customFormat="false" ht="15" hidden="false" customHeight="true" outlineLevel="0" collapsed="false">
      <c r="A98" s="33" t="str">
        <f aca="false">IFERROR(IF(INDEX('Fund Research'!$B$6:$B$505,MATCH(93,'Fund Research'!$W$6:$W$505,0))="","",93),"")</f>
        <v/>
      </c>
      <c r="B98" s="34" t="str">
        <f aca="false">IFERROR(INDEX('Fund Research'!$A$6:$A$505,MATCH(93,'Fund Research'!$W$6:$W$505,0)),"")</f>
        <v/>
      </c>
      <c r="C98" s="34" t="str">
        <f aca="false">IFERROR(INDEX('Fund Research'!$B$6:$B$505,MATCH(93,'Fund Research'!$W$6:$W$505,0)),"")</f>
        <v/>
      </c>
      <c r="D98" s="34" t="str">
        <f aca="false">IFERROR(INDEX('Fund Research'!$C$6:$C$505,MATCH(93,'Fund Research'!$W$6:$W$505,0)),"")</f>
        <v/>
      </c>
      <c r="E98" s="35" t="str">
        <f aca="false">IFERROR(INDEX('Fund Research'!$G$6:$G$505,MATCH(93,'Fund Research'!$W$6:$W$505,0)),"")</f>
        <v/>
      </c>
      <c r="F98" s="35" t="str">
        <f aca="false">IFERROR(INDEX('Fund Research'!$H$6:$H$505,MATCH(93,'Fund Research'!$W$6:$W$505,0)),"")</f>
        <v/>
      </c>
      <c r="G98" s="35" t="str">
        <f aca="false">IFERROR(INDEX('Fund Research'!$I$6:$I$505,MATCH(93,'Fund Research'!$W$6:$W$505,0)),"")</f>
        <v/>
      </c>
      <c r="H98" s="36" t="str">
        <f aca="false">IFERROR(INDEX('Fund Research'!$J$6:$J$505,MATCH(93,'Fund Research'!$W$6:$W$505,0)),"")</f>
        <v/>
      </c>
      <c r="I98" s="39" t="str">
        <f aca="false">IFERROR(INDEX('Fund Research'!$L$6:$L$505,MATCH(93,'Fund Research'!$W$6:$W$505,0)),"")</f>
        <v/>
      </c>
      <c r="J98" s="36" t="str">
        <f aca="false">IFERROR(INDEX('Fund Research'!$N$6:$N$505,MATCH(93,'Fund Research'!$W$6:$W$505,0)),"")</f>
        <v/>
      </c>
      <c r="K98" s="36" t="str">
        <f aca="false">IFERROR(INDEX('Fund Research'!$P$6:$P$505,MATCH(93,'Fund Research'!$W$6:$W$505,0)),"")</f>
        <v/>
      </c>
      <c r="L98" s="34" t="str">
        <f aca="false">IFERROR(INDEX('Fund Research'!$S$6:$S$505,MATCH(93,'Fund Research'!$W$6:$W$505,0)),"")</f>
        <v/>
      </c>
      <c r="M98" s="34" t="str">
        <f aca="false">IFERROR(INDEX('Fund Research'!$T$6:$T$505,MATCH(93,'Fund Research'!$W$6:$W$505,0)),"")</f>
        <v/>
      </c>
    </row>
    <row r="99" customFormat="false" ht="15" hidden="false" customHeight="true" outlineLevel="0" collapsed="false">
      <c r="A99" s="33" t="str">
        <f aca="false">IFERROR(IF(INDEX('Fund Research'!$B$6:$B$505,MATCH(94,'Fund Research'!$W$6:$W$505,0))="","",94),"")</f>
        <v/>
      </c>
      <c r="B99" s="34" t="str">
        <f aca="false">IFERROR(INDEX('Fund Research'!$A$6:$A$505,MATCH(94,'Fund Research'!$W$6:$W$505,0)),"")</f>
        <v/>
      </c>
      <c r="C99" s="34" t="str">
        <f aca="false">IFERROR(INDEX('Fund Research'!$B$6:$B$505,MATCH(94,'Fund Research'!$W$6:$W$505,0)),"")</f>
        <v/>
      </c>
      <c r="D99" s="34" t="str">
        <f aca="false">IFERROR(INDEX('Fund Research'!$C$6:$C$505,MATCH(94,'Fund Research'!$W$6:$W$505,0)),"")</f>
        <v/>
      </c>
      <c r="E99" s="35" t="str">
        <f aca="false">IFERROR(INDEX('Fund Research'!$G$6:$G$505,MATCH(94,'Fund Research'!$W$6:$W$505,0)),"")</f>
        <v/>
      </c>
      <c r="F99" s="35" t="str">
        <f aca="false">IFERROR(INDEX('Fund Research'!$H$6:$H$505,MATCH(94,'Fund Research'!$W$6:$W$505,0)),"")</f>
        <v/>
      </c>
      <c r="G99" s="35" t="str">
        <f aca="false">IFERROR(INDEX('Fund Research'!$I$6:$I$505,MATCH(94,'Fund Research'!$W$6:$W$505,0)),"")</f>
        <v/>
      </c>
      <c r="H99" s="36" t="str">
        <f aca="false">IFERROR(INDEX('Fund Research'!$J$6:$J$505,MATCH(94,'Fund Research'!$W$6:$W$505,0)),"")</f>
        <v/>
      </c>
      <c r="I99" s="39" t="str">
        <f aca="false">IFERROR(INDEX('Fund Research'!$L$6:$L$505,MATCH(94,'Fund Research'!$W$6:$W$505,0)),"")</f>
        <v/>
      </c>
      <c r="J99" s="36" t="str">
        <f aca="false">IFERROR(INDEX('Fund Research'!$N$6:$N$505,MATCH(94,'Fund Research'!$W$6:$W$505,0)),"")</f>
        <v/>
      </c>
      <c r="K99" s="36" t="str">
        <f aca="false">IFERROR(INDEX('Fund Research'!$P$6:$P$505,MATCH(94,'Fund Research'!$W$6:$W$505,0)),"")</f>
        <v/>
      </c>
      <c r="L99" s="34" t="str">
        <f aca="false">IFERROR(INDEX('Fund Research'!$S$6:$S$505,MATCH(94,'Fund Research'!$W$6:$W$505,0)),"")</f>
        <v/>
      </c>
      <c r="M99" s="34" t="str">
        <f aca="false">IFERROR(INDEX('Fund Research'!$T$6:$T$505,MATCH(94,'Fund Research'!$W$6:$W$505,0)),"")</f>
        <v/>
      </c>
    </row>
    <row r="100" customFormat="false" ht="15" hidden="false" customHeight="true" outlineLevel="0" collapsed="false">
      <c r="A100" s="33" t="str">
        <f aca="false">IFERROR(IF(INDEX('Fund Research'!$B$6:$B$505,MATCH(95,'Fund Research'!$W$6:$W$505,0))="","",95),"")</f>
        <v/>
      </c>
      <c r="B100" s="34" t="str">
        <f aca="false">IFERROR(INDEX('Fund Research'!$A$6:$A$505,MATCH(95,'Fund Research'!$W$6:$W$505,0)),"")</f>
        <v/>
      </c>
      <c r="C100" s="34" t="str">
        <f aca="false">IFERROR(INDEX('Fund Research'!$B$6:$B$505,MATCH(95,'Fund Research'!$W$6:$W$505,0)),"")</f>
        <v/>
      </c>
      <c r="D100" s="34" t="str">
        <f aca="false">IFERROR(INDEX('Fund Research'!$C$6:$C$505,MATCH(95,'Fund Research'!$W$6:$W$505,0)),"")</f>
        <v/>
      </c>
      <c r="E100" s="35" t="str">
        <f aca="false">IFERROR(INDEX('Fund Research'!$G$6:$G$505,MATCH(95,'Fund Research'!$W$6:$W$505,0)),"")</f>
        <v/>
      </c>
      <c r="F100" s="35" t="str">
        <f aca="false">IFERROR(INDEX('Fund Research'!$H$6:$H$505,MATCH(95,'Fund Research'!$W$6:$W$505,0)),"")</f>
        <v/>
      </c>
      <c r="G100" s="35" t="str">
        <f aca="false">IFERROR(INDEX('Fund Research'!$I$6:$I$505,MATCH(95,'Fund Research'!$W$6:$W$505,0)),"")</f>
        <v/>
      </c>
      <c r="H100" s="36" t="str">
        <f aca="false">IFERROR(INDEX('Fund Research'!$J$6:$J$505,MATCH(95,'Fund Research'!$W$6:$W$505,0)),"")</f>
        <v/>
      </c>
      <c r="I100" s="39" t="str">
        <f aca="false">IFERROR(INDEX('Fund Research'!$L$6:$L$505,MATCH(95,'Fund Research'!$W$6:$W$505,0)),"")</f>
        <v/>
      </c>
      <c r="J100" s="36" t="str">
        <f aca="false">IFERROR(INDEX('Fund Research'!$N$6:$N$505,MATCH(95,'Fund Research'!$W$6:$W$505,0)),"")</f>
        <v/>
      </c>
      <c r="K100" s="36" t="str">
        <f aca="false">IFERROR(INDEX('Fund Research'!$P$6:$P$505,MATCH(95,'Fund Research'!$W$6:$W$505,0)),"")</f>
        <v/>
      </c>
      <c r="L100" s="34" t="str">
        <f aca="false">IFERROR(INDEX('Fund Research'!$S$6:$S$505,MATCH(95,'Fund Research'!$W$6:$W$505,0)),"")</f>
        <v/>
      </c>
      <c r="M100" s="34" t="str">
        <f aca="false">IFERROR(INDEX('Fund Research'!$T$6:$T$505,MATCH(95,'Fund Research'!$W$6:$W$505,0)),"")</f>
        <v/>
      </c>
    </row>
    <row r="101" customFormat="false" ht="15" hidden="false" customHeight="true" outlineLevel="0" collapsed="false">
      <c r="A101" s="33" t="str">
        <f aca="false">IFERROR(IF(INDEX('Fund Research'!$B$6:$B$505,MATCH(96,'Fund Research'!$W$6:$W$505,0))="","",96),"")</f>
        <v/>
      </c>
      <c r="B101" s="34" t="str">
        <f aca="false">IFERROR(INDEX('Fund Research'!$A$6:$A$505,MATCH(96,'Fund Research'!$W$6:$W$505,0)),"")</f>
        <v/>
      </c>
      <c r="C101" s="34" t="str">
        <f aca="false">IFERROR(INDEX('Fund Research'!$B$6:$B$505,MATCH(96,'Fund Research'!$W$6:$W$505,0)),"")</f>
        <v/>
      </c>
      <c r="D101" s="34" t="str">
        <f aca="false">IFERROR(INDEX('Fund Research'!$C$6:$C$505,MATCH(96,'Fund Research'!$W$6:$W$505,0)),"")</f>
        <v/>
      </c>
      <c r="E101" s="35" t="str">
        <f aca="false">IFERROR(INDEX('Fund Research'!$G$6:$G$505,MATCH(96,'Fund Research'!$W$6:$W$505,0)),"")</f>
        <v/>
      </c>
      <c r="F101" s="35" t="str">
        <f aca="false">IFERROR(INDEX('Fund Research'!$H$6:$H$505,MATCH(96,'Fund Research'!$W$6:$W$505,0)),"")</f>
        <v/>
      </c>
      <c r="G101" s="35" t="str">
        <f aca="false">IFERROR(INDEX('Fund Research'!$I$6:$I$505,MATCH(96,'Fund Research'!$W$6:$W$505,0)),"")</f>
        <v/>
      </c>
      <c r="H101" s="36" t="str">
        <f aca="false">IFERROR(INDEX('Fund Research'!$J$6:$J$505,MATCH(96,'Fund Research'!$W$6:$W$505,0)),"")</f>
        <v/>
      </c>
      <c r="I101" s="39" t="str">
        <f aca="false">IFERROR(INDEX('Fund Research'!$L$6:$L$505,MATCH(96,'Fund Research'!$W$6:$W$505,0)),"")</f>
        <v/>
      </c>
      <c r="J101" s="36" t="str">
        <f aca="false">IFERROR(INDEX('Fund Research'!$N$6:$N$505,MATCH(96,'Fund Research'!$W$6:$W$505,0)),"")</f>
        <v/>
      </c>
      <c r="K101" s="36" t="str">
        <f aca="false">IFERROR(INDEX('Fund Research'!$P$6:$P$505,MATCH(96,'Fund Research'!$W$6:$W$505,0)),"")</f>
        <v/>
      </c>
      <c r="L101" s="34" t="str">
        <f aca="false">IFERROR(INDEX('Fund Research'!$S$6:$S$505,MATCH(96,'Fund Research'!$W$6:$W$505,0)),"")</f>
        <v/>
      </c>
      <c r="M101" s="34" t="str">
        <f aca="false">IFERROR(INDEX('Fund Research'!$T$6:$T$505,MATCH(96,'Fund Research'!$W$6:$W$505,0)),"")</f>
        <v/>
      </c>
    </row>
    <row r="102" customFormat="false" ht="15" hidden="false" customHeight="true" outlineLevel="0" collapsed="false">
      <c r="A102" s="33" t="str">
        <f aca="false">IFERROR(IF(INDEX('Fund Research'!$B$6:$B$505,MATCH(97,'Fund Research'!$W$6:$W$505,0))="","",97),"")</f>
        <v/>
      </c>
      <c r="B102" s="34" t="str">
        <f aca="false">IFERROR(INDEX('Fund Research'!$A$6:$A$505,MATCH(97,'Fund Research'!$W$6:$W$505,0)),"")</f>
        <v/>
      </c>
      <c r="C102" s="34" t="str">
        <f aca="false">IFERROR(INDEX('Fund Research'!$B$6:$B$505,MATCH(97,'Fund Research'!$W$6:$W$505,0)),"")</f>
        <v/>
      </c>
      <c r="D102" s="34" t="str">
        <f aca="false">IFERROR(INDEX('Fund Research'!$C$6:$C$505,MATCH(97,'Fund Research'!$W$6:$W$505,0)),"")</f>
        <v/>
      </c>
      <c r="E102" s="35" t="str">
        <f aca="false">IFERROR(INDEX('Fund Research'!$G$6:$G$505,MATCH(97,'Fund Research'!$W$6:$W$505,0)),"")</f>
        <v/>
      </c>
      <c r="F102" s="35" t="str">
        <f aca="false">IFERROR(INDEX('Fund Research'!$H$6:$H$505,MATCH(97,'Fund Research'!$W$6:$W$505,0)),"")</f>
        <v/>
      </c>
      <c r="G102" s="35" t="str">
        <f aca="false">IFERROR(INDEX('Fund Research'!$I$6:$I$505,MATCH(97,'Fund Research'!$W$6:$W$505,0)),"")</f>
        <v/>
      </c>
      <c r="H102" s="36" t="str">
        <f aca="false">IFERROR(INDEX('Fund Research'!$J$6:$J$505,MATCH(97,'Fund Research'!$W$6:$W$505,0)),"")</f>
        <v/>
      </c>
      <c r="I102" s="39" t="str">
        <f aca="false">IFERROR(INDEX('Fund Research'!$L$6:$L$505,MATCH(97,'Fund Research'!$W$6:$W$505,0)),"")</f>
        <v/>
      </c>
      <c r="J102" s="36" t="str">
        <f aca="false">IFERROR(INDEX('Fund Research'!$N$6:$N$505,MATCH(97,'Fund Research'!$W$6:$W$505,0)),"")</f>
        <v/>
      </c>
      <c r="K102" s="36" t="str">
        <f aca="false">IFERROR(INDEX('Fund Research'!$P$6:$P$505,MATCH(97,'Fund Research'!$W$6:$W$505,0)),"")</f>
        <v/>
      </c>
      <c r="L102" s="34" t="str">
        <f aca="false">IFERROR(INDEX('Fund Research'!$S$6:$S$505,MATCH(97,'Fund Research'!$W$6:$W$505,0)),"")</f>
        <v/>
      </c>
      <c r="M102" s="34" t="str">
        <f aca="false">IFERROR(INDEX('Fund Research'!$T$6:$T$505,MATCH(97,'Fund Research'!$W$6:$W$505,0)),"")</f>
        <v/>
      </c>
    </row>
    <row r="103" customFormat="false" ht="15" hidden="false" customHeight="true" outlineLevel="0" collapsed="false">
      <c r="A103" s="33" t="str">
        <f aca="false">IFERROR(IF(INDEX('Fund Research'!$B$6:$B$505,MATCH(98,'Fund Research'!$W$6:$W$505,0))="","",98),"")</f>
        <v/>
      </c>
      <c r="B103" s="34" t="str">
        <f aca="false">IFERROR(INDEX('Fund Research'!$A$6:$A$505,MATCH(98,'Fund Research'!$W$6:$W$505,0)),"")</f>
        <v/>
      </c>
      <c r="C103" s="34" t="str">
        <f aca="false">IFERROR(INDEX('Fund Research'!$B$6:$B$505,MATCH(98,'Fund Research'!$W$6:$W$505,0)),"")</f>
        <v/>
      </c>
      <c r="D103" s="34" t="str">
        <f aca="false">IFERROR(INDEX('Fund Research'!$C$6:$C$505,MATCH(98,'Fund Research'!$W$6:$W$505,0)),"")</f>
        <v/>
      </c>
      <c r="E103" s="35" t="str">
        <f aca="false">IFERROR(INDEX('Fund Research'!$G$6:$G$505,MATCH(98,'Fund Research'!$W$6:$W$505,0)),"")</f>
        <v/>
      </c>
      <c r="F103" s="35" t="str">
        <f aca="false">IFERROR(INDEX('Fund Research'!$H$6:$H$505,MATCH(98,'Fund Research'!$W$6:$W$505,0)),"")</f>
        <v/>
      </c>
      <c r="G103" s="35" t="str">
        <f aca="false">IFERROR(INDEX('Fund Research'!$I$6:$I$505,MATCH(98,'Fund Research'!$W$6:$W$505,0)),"")</f>
        <v/>
      </c>
      <c r="H103" s="36" t="str">
        <f aca="false">IFERROR(INDEX('Fund Research'!$J$6:$J$505,MATCH(98,'Fund Research'!$W$6:$W$505,0)),"")</f>
        <v/>
      </c>
      <c r="I103" s="39" t="str">
        <f aca="false">IFERROR(INDEX('Fund Research'!$L$6:$L$505,MATCH(98,'Fund Research'!$W$6:$W$505,0)),"")</f>
        <v/>
      </c>
      <c r="J103" s="36" t="str">
        <f aca="false">IFERROR(INDEX('Fund Research'!$N$6:$N$505,MATCH(98,'Fund Research'!$W$6:$W$505,0)),"")</f>
        <v/>
      </c>
      <c r="K103" s="36" t="str">
        <f aca="false">IFERROR(INDEX('Fund Research'!$P$6:$P$505,MATCH(98,'Fund Research'!$W$6:$W$505,0)),"")</f>
        <v/>
      </c>
      <c r="L103" s="34" t="str">
        <f aca="false">IFERROR(INDEX('Fund Research'!$S$6:$S$505,MATCH(98,'Fund Research'!$W$6:$W$505,0)),"")</f>
        <v/>
      </c>
      <c r="M103" s="34" t="str">
        <f aca="false">IFERROR(INDEX('Fund Research'!$T$6:$T$505,MATCH(98,'Fund Research'!$W$6:$W$505,0)),"")</f>
        <v/>
      </c>
    </row>
    <row r="104" customFormat="false" ht="15" hidden="false" customHeight="true" outlineLevel="0" collapsed="false">
      <c r="A104" s="33" t="str">
        <f aca="false">IFERROR(IF(INDEX('Fund Research'!$B$6:$B$505,MATCH(99,'Fund Research'!$W$6:$W$505,0))="","",99),"")</f>
        <v/>
      </c>
      <c r="B104" s="34" t="str">
        <f aca="false">IFERROR(INDEX('Fund Research'!$A$6:$A$505,MATCH(99,'Fund Research'!$W$6:$W$505,0)),"")</f>
        <v/>
      </c>
      <c r="C104" s="34" t="str">
        <f aca="false">IFERROR(INDEX('Fund Research'!$B$6:$B$505,MATCH(99,'Fund Research'!$W$6:$W$505,0)),"")</f>
        <v/>
      </c>
      <c r="D104" s="34" t="str">
        <f aca="false">IFERROR(INDEX('Fund Research'!$C$6:$C$505,MATCH(99,'Fund Research'!$W$6:$W$505,0)),"")</f>
        <v/>
      </c>
      <c r="E104" s="35" t="str">
        <f aca="false">IFERROR(INDEX('Fund Research'!$G$6:$G$505,MATCH(99,'Fund Research'!$W$6:$W$505,0)),"")</f>
        <v/>
      </c>
      <c r="F104" s="35" t="str">
        <f aca="false">IFERROR(INDEX('Fund Research'!$H$6:$H$505,MATCH(99,'Fund Research'!$W$6:$W$505,0)),"")</f>
        <v/>
      </c>
      <c r="G104" s="35" t="str">
        <f aca="false">IFERROR(INDEX('Fund Research'!$I$6:$I$505,MATCH(99,'Fund Research'!$W$6:$W$505,0)),"")</f>
        <v/>
      </c>
      <c r="H104" s="36" t="str">
        <f aca="false">IFERROR(INDEX('Fund Research'!$J$6:$J$505,MATCH(99,'Fund Research'!$W$6:$W$505,0)),"")</f>
        <v/>
      </c>
      <c r="I104" s="39" t="str">
        <f aca="false">IFERROR(INDEX('Fund Research'!$L$6:$L$505,MATCH(99,'Fund Research'!$W$6:$W$505,0)),"")</f>
        <v/>
      </c>
      <c r="J104" s="36" t="str">
        <f aca="false">IFERROR(INDEX('Fund Research'!$N$6:$N$505,MATCH(99,'Fund Research'!$W$6:$W$505,0)),"")</f>
        <v/>
      </c>
      <c r="K104" s="36" t="str">
        <f aca="false">IFERROR(INDEX('Fund Research'!$P$6:$P$505,MATCH(99,'Fund Research'!$W$6:$W$505,0)),"")</f>
        <v/>
      </c>
      <c r="L104" s="34" t="str">
        <f aca="false">IFERROR(INDEX('Fund Research'!$S$6:$S$505,MATCH(99,'Fund Research'!$W$6:$W$505,0)),"")</f>
        <v/>
      </c>
      <c r="M104" s="34" t="str">
        <f aca="false">IFERROR(INDEX('Fund Research'!$T$6:$T$505,MATCH(99,'Fund Research'!$W$6:$W$505,0)),"")</f>
        <v/>
      </c>
    </row>
    <row r="105" customFormat="false" ht="15" hidden="false" customHeight="true" outlineLevel="0" collapsed="false">
      <c r="A105" s="33" t="str">
        <f aca="false">IFERROR(IF(INDEX('Fund Research'!$B$6:$B$505,MATCH(100,'Fund Research'!$W$6:$W$505,0))="","",100),"")</f>
        <v/>
      </c>
      <c r="B105" s="34" t="str">
        <f aca="false">IFERROR(INDEX('Fund Research'!$A$6:$A$505,MATCH(100,'Fund Research'!$W$6:$W$505,0)),"")</f>
        <v/>
      </c>
      <c r="C105" s="34" t="str">
        <f aca="false">IFERROR(INDEX('Fund Research'!$B$6:$B$505,MATCH(100,'Fund Research'!$W$6:$W$505,0)),"")</f>
        <v/>
      </c>
      <c r="D105" s="34" t="str">
        <f aca="false">IFERROR(INDEX('Fund Research'!$C$6:$C$505,MATCH(100,'Fund Research'!$W$6:$W$505,0)),"")</f>
        <v/>
      </c>
      <c r="E105" s="35" t="str">
        <f aca="false">IFERROR(INDEX('Fund Research'!$G$6:$G$505,MATCH(100,'Fund Research'!$W$6:$W$505,0)),"")</f>
        <v/>
      </c>
      <c r="F105" s="35" t="str">
        <f aca="false">IFERROR(INDEX('Fund Research'!$H$6:$H$505,MATCH(100,'Fund Research'!$W$6:$W$505,0)),"")</f>
        <v/>
      </c>
      <c r="G105" s="35" t="str">
        <f aca="false">IFERROR(INDEX('Fund Research'!$I$6:$I$505,MATCH(100,'Fund Research'!$W$6:$W$505,0)),"")</f>
        <v/>
      </c>
      <c r="H105" s="36" t="str">
        <f aca="false">IFERROR(INDEX('Fund Research'!$J$6:$J$505,MATCH(100,'Fund Research'!$W$6:$W$505,0)),"")</f>
        <v/>
      </c>
      <c r="I105" s="39" t="str">
        <f aca="false">IFERROR(INDEX('Fund Research'!$L$6:$L$505,MATCH(100,'Fund Research'!$W$6:$W$505,0)),"")</f>
        <v/>
      </c>
      <c r="J105" s="36" t="str">
        <f aca="false">IFERROR(INDEX('Fund Research'!$N$6:$N$505,MATCH(100,'Fund Research'!$W$6:$W$505,0)),"")</f>
        <v/>
      </c>
      <c r="K105" s="36" t="str">
        <f aca="false">IFERROR(INDEX('Fund Research'!$P$6:$P$505,MATCH(100,'Fund Research'!$W$6:$W$505,0)),"")</f>
        <v/>
      </c>
      <c r="L105" s="34" t="str">
        <f aca="false">IFERROR(INDEX('Fund Research'!$S$6:$S$505,MATCH(100,'Fund Research'!$W$6:$W$505,0)),"")</f>
        <v/>
      </c>
      <c r="M105" s="34" t="str">
        <f aca="false">IFERROR(INDEX('Fund Research'!$T$6:$T$505,MATCH(100,'Fund Research'!$W$6:$W$505,0)),"")</f>
        <v/>
      </c>
    </row>
    <row r="106" customFormat="false" ht="15" hidden="false" customHeight="true" outlineLevel="0" collapsed="false">
      <c r="A106" s="33" t="str">
        <f aca="false">IFERROR(IF(INDEX('Fund Research'!$B$6:$B$505,MATCH(101,'Fund Research'!$W$6:$W$505,0))="","",101),"")</f>
        <v/>
      </c>
      <c r="B106" s="34" t="str">
        <f aca="false">IFERROR(INDEX('Fund Research'!$A$6:$A$505,MATCH(101,'Fund Research'!$W$6:$W$505,0)),"")</f>
        <v/>
      </c>
      <c r="C106" s="34" t="str">
        <f aca="false">IFERROR(INDEX('Fund Research'!$B$6:$B$505,MATCH(101,'Fund Research'!$W$6:$W$505,0)),"")</f>
        <v/>
      </c>
      <c r="D106" s="34" t="str">
        <f aca="false">IFERROR(INDEX('Fund Research'!$C$6:$C$505,MATCH(101,'Fund Research'!$W$6:$W$505,0)),"")</f>
        <v/>
      </c>
      <c r="E106" s="35" t="str">
        <f aca="false">IFERROR(INDEX('Fund Research'!$G$6:$G$505,MATCH(101,'Fund Research'!$W$6:$W$505,0)),"")</f>
        <v/>
      </c>
      <c r="F106" s="35" t="str">
        <f aca="false">IFERROR(INDEX('Fund Research'!$H$6:$H$505,MATCH(101,'Fund Research'!$W$6:$W$505,0)),"")</f>
        <v/>
      </c>
      <c r="G106" s="35" t="str">
        <f aca="false">IFERROR(INDEX('Fund Research'!$I$6:$I$505,MATCH(101,'Fund Research'!$W$6:$W$505,0)),"")</f>
        <v/>
      </c>
      <c r="H106" s="36" t="str">
        <f aca="false">IFERROR(INDEX('Fund Research'!$J$6:$J$505,MATCH(101,'Fund Research'!$W$6:$W$505,0)),"")</f>
        <v/>
      </c>
      <c r="I106" s="39" t="str">
        <f aca="false">IFERROR(INDEX('Fund Research'!$L$6:$L$505,MATCH(101,'Fund Research'!$W$6:$W$505,0)),"")</f>
        <v/>
      </c>
      <c r="J106" s="36" t="str">
        <f aca="false">IFERROR(INDEX('Fund Research'!$N$6:$N$505,MATCH(101,'Fund Research'!$W$6:$W$505,0)),"")</f>
        <v/>
      </c>
      <c r="K106" s="36" t="str">
        <f aca="false">IFERROR(INDEX('Fund Research'!$P$6:$P$505,MATCH(101,'Fund Research'!$W$6:$W$505,0)),"")</f>
        <v/>
      </c>
      <c r="L106" s="34" t="str">
        <f aca="false">IFERROR(INDEX('Fund Research'!$S$6:$S$505,MATCH(101,'Fund Research'!$W$6:$W$505,0)),"")</f>
        <v/>
      </c>
      <c r="M106" s="34" t="str">
        <f aca="false">IFERROR(INDEX('Fund Research'!$T$6:$T$505,MATCH(101,'Fund Research'!$W$6:$W$505,0)),"")</f>
        <v/>
      </c>
    </row>
    <row r="107" customFormat="false" ht="15" hidden="false" customHeight="true" outlineLevel="0" collapsed="false">
      <c r="A107" s="33" t="str">
        <f aca="false">IFERROR(IF(INDEX('Fund Research'!$B$6:$B$505,MATCH(102,'Fund Research'!$W$6:$W$505,0))="","",102),"")</f>
        <v/>
      </c>
      <c r="B107" s="34" t="str">
        <f aca="false">IFERROR(INDEX('Fund Research'!$A$6:$A$505,MATCH(102,'Fund Research'!$W$6:$W$505,0)),"")</f>
        <v/>
      </c>
      <c r="C107" s="34" t="str">
        <f aca="false">IFERROR(INDEX('Fund Research'!$B$6:$B$505,MATCH(102,'Fund Research'!$W$6:$W$505,0)),"")</f>
        <v/>
      </c>
      <c r="D107" s="34" t="str">
        <f aca="false">IFERROR(INDEX('Fund Research'!$C$6:$C$505,MATCH(102,'Fund Research'!$W$6:$W$505,0)),"")</f>
        <v/>
      </c>
      <c r="E107" s="35" t="str">
        <f aca="false">IFERROR(INDEX('Fund Research'!$G$6:$G$505,MATCH(102,'Fund Research'!$W$6:$W$505,0)),"")</f>
        <v/>
      </c>
      <c r="F107" s="35" t="str">
        <f aca="false">IFERROR(INDEX('Fund Research'!$H$6:$H$505,MATCH(102,'Fund Research'!$W$6:$W$505,0)),"")</f>
        <v/>
      </c>
      <c r="G107" s="35" t="str">
        <f aca="false">IFERROR(INDEX('Fund Research'!$I$6:$I$505,MATCH(102,'Fund Research'!$W$6:$W$505,0)),"")</f>
        <v/>
      </c>
      <c r="H107" s="36" t="str">
        <f aca="false">IFERROR(INDEX('Fund Research'!$J$6:$J$505,MATCH(102,'Fund Research'!$W$6:$W$505,0)),"")</f>
        <v/>
      </c>
      <c r="I107" s="39" t="str">
        <f aca="false">IFERROR(INDEX('Fund Research'!$L$6:$L$505,MATCH(102,'Fund Research'!$W$6:$W$505,0)),"")</f>
        <v/>
      </c>
      <c r="J107" s="36" t="str">
        <f aca="false">IFERROR(INDEX('Fund Research'!$N$6:$N$505,MATCH(102,'Fund Research'!$W$6:$W$505,0)),"")</f>
        <v/>
      </c>
      <c r="K107" s="36" t="str">
        <f aca="false">IFERROR(INDEX('Fund Research'!$P$6:$P$505,MATCH(102,'Fund Research'!$W$6:$W$505,0)),"")</f>
        <v/>
      </c>
      <c r="L107" s="34" t="str">
        <f aca="false">IFERROR(INDEX('Fund Research'!$S$6:$S$505,MATCH(102,'Fund Research'!$W$6:$W$505,0)),"")</f>
        <v/>
      </c>
      <c r="M107" s="34" t="str">
        <f aca="false">IFERROR(INDEX('Fund Research'!$T$6:$T$505,MATCH(102,'Fund Research'!$W$6:$W$505,0)),"")</f>
        <v/>
      </c>
    </row>
    <row r="108" customFormat="false" ht="15" hidden="false" customHeight="true" outlineLevel="0" collapsed="false">
      <c r="A108" s="33" t="str">
        <f aca="false">IFERROR(IF(INDEX('Fund Research'!$B$6:$B$505,MATCH(103,'Fund Research'!$W$6:$W$505,0))="","",103),"")</f>
        <v/>
      </c>
      <c r="B108" s="34" t="str">
        <f aca="false">IFERROR(INDEX('Fund Research'!$A$6:$A$505,MATCH(103,'Fund Research'!$W$6:$W$505,0)),"")</f>
        <v/>
      </c>
      <c r="C108" s="34" t="str">
        <f aca="false">IFERROR(INDEX('Fund Research'!$B$6:$B$505,MATCH(103,'Fund Research'!$W$6:$W$505,0)),"")</f>
        <v/>
      </c>
      <c r="D108" s="34" t="str">
        <f aca="false">IFERROR(INDEX('Fund Research'!$C$6:$C$505,MATCH(103,'Fund Research'!$W$6:$W$505,0)),"")</f>
        <v/>
      </c>
      <c r="E108" s="35" t="str">
        <f aca="false">IFERROR(INDEX('Fund Research'!$G$6:$G$505,MATCH(103,'Fund Research'!$W$6:$W$505,0)),"")</f>
        <v/>
      </c>
      <c r="F108" s="35" t="str">
        <f aca="false">IFERROR(INDEX('Fund Research'!$H$6:$H$505,MATCH(103,'Fund Research'!$W$6:$W$505,0)),"")</f>
        <v/>
      </c>
      <c r="G108" s="35" t="str">
        <f aca="false">IFERROR(INDEX('Fund Research'!$I$6:$I$505,MATCH(103,'Fund Research'!$W$6:$W$505,0)),"")</f>
        <v/>
      </c>
      <c r="H108" s="36" t="str">
        <f aca="false">IFERROR(INDEX('Fund Research'!$J$6:$J$505,MATCH(103,'Fund Research'!$W$6:$W$505,0)),"")</f>
        <v/>
      </c>
      <c r="I108" s="39" t="str">
        <f aca="false">IFERROR(INDEX('Fund Research'!$L$6:$L$505,MATCH(103,'Fund Research'!$W$6:$W$505,0)),"")</f>
        <v/>
      </c>
      <c r="J108" s="36" t="str">
        <f aca="false">IFERROR(INDEX('Fund Research'!$N$6:$N$505,MATCH(103,'Fund Research'!$W$6:$W$505,0)),"")</f>
        <v/>
      </c>
      <c r="K108" s="36" t="str">
        <f aca="false">IFERROR(INDEX('Fund Research'!$P$6:$P$505,MATCH(103,'Fund Research'!$W$6:$W$505,0)),"")</f>
        <v/>
      </c>
      <c r="L108" s="34" t="str">
        <f aca="false">IFERROR(INDEX('Fund Research'!$S$6:$S$505,MATCH(103,'Fund Research'!$W$6:$W$505,0)),"")</f>
        <v/>
      </c>
      <c r="M108" s="34" t="str">
        <f aca="false">IFERROR(INDEX('Fund Research'!$T$6:$T$505,MATCH(103,'Fund Research'!$W$6:$W$505,0)),"")</f>
        <v/>
      </c>
    </row>
    <row r="109" customFormat="false" ht="15" hidden="false" customHeight="true" outlineLevel="0" collapsed="false">
      <c r="A109" s="33" t="str">
        <f aca="false">IFERROR(IF(INDEX('Fund Research'!$B$6:$B$505,MATCH(104,'Fund Research'!$W$6:$W$505,0))="","",104),"")</f>
        <v/>
      </c>
      <c r="B109" s="34" t="str">
        <f aca="false">IFERROR(INDEX('Fund Research'!$A$6:$A$505,MATCH(104,'Fund Research'!$W$6:$W$505,0)),"")</f>
        <v/>
      </c>
      <c r="C109" s="34" t="str">
        <f aca="false">IFERROR(INDEX('Fund Research'!$B$6:$B$505,MATCH(104,'Fund Research'!$W$6:$W$505,0)),"")</f>
        <v/>
      </c>
      <c r="D109" s="34" t="str">
        <f aca="false">IFERROR(INDEX('Fund Research'!$C$6:$C$505,MATCH(104,'Fund Research'!$W$6:$W$505,0)),"")</f>
        <v/>
      </c>
      <c r="E109" s="35" t="str">
        <f aca="false">IFERROR(INDEX('Fund Research'!$G$6:$G$505,MATCH(104,'Fund Research'!$W$6:$W$505,0)),"")</f>
        <v/>
      </c>
      <c r="F109" s="35" t="str">
        <f aca="false">IFERROR(INDEX('Fund Research'!$H$6:$H$505,MATCH(104,'Fund Research'!$W$6:$W$505,0)),"")</f>
        <v/>
      </c>
      <c r="G109" s="35" t="str">
        <f aca="false">IFERROR(INDEX('Fund Research'!$I$6:$I$505,MATCH(104,'Fund Research'!$W$6:$W$505,0)),"")</f>
        <v/>
      </c>
      <c r="H109" s="36" t="str">
        <f aca="false">IFERROR(INDEX('Fund Research'!$J$6:$J$505,MATCH(104,'Fund Research'!$W$6:$W$505,0)),"")</f>
        <v/>
      </c>
      <c r="I109" s="39" t="str">
        <f aca="false">IFERROR(INDEX('Fund Research'!$L$6:$L$505,MATCH(104,'Fund Research'!$W$6:$W$505,0)),"")</f>
        <v/>
      </c>
      <c r="J109" s="36" t="str">
        <f aca="false">IFERROR(INDEX('Fund Research'!$N$6:$N$505,MATCH(104,'Fund Research'!$W$6:$W$505,0)),"")</f>
        <v/>
      </c>
      <c r="K109" s="36" t="str">
        <f aca="false">IFERROR(INDEX('Fund Research'!$P$6:$P$505,MATCH(104,'Fund Research'!$W$6:$W$505,0)),"")</f>
        <v/>
      </c>
      <c r="L109" s="34" t="str">
        <f aca="false">IFERROR(INDEX('Fund Research'!$S$6:$S$505,MATCH(104,'Fund Research'!$W$6:$W$505,0)),"")</f>
        <v/>
      </c>
      <c r="M109" s="34" t="str">
        <f aca="false">IFERROR(INDEX('Fund Research'!$T$6:$T$505,MATCH(104,'Fund Research'!$W$6:$W$505,0)),"")</f>
        <v/>
      </c>
    </row>
    <row r="110" customFormat="false" ht="15" hidden="false" customHeight="true" outlineLevel="0" collapsed="false">
      <c r="A110" s="33" t="str">
        <f aca="false">IFERROR(IF(INDEX('Fund Research'!$B$6:$B$505,MATCH(105,'Fund Research'!$W$6:$W$505,0))="","",105),"")</f>
        <v/>
      </c>
      <c r="B110" s="34" t="str">
        <f aca="false">IFERROR(INDEX('Fund Research'!$A$6:$A$505,MATCH(105,'Fund Research'!$W$6:$W$505,0)),"")</f>
        <v/>
      </c>
      <c r="C110" s="34" t="str">
        <f aca="false">IFERROR(INDEX('Fund Research'!$B$6:$B$505,MATCH(105,'Fund Research'!$W$6:$W$505,0)),"")</f>
        <v/>
      </c>
      <c r="D110" s="34" t="str">
        <f aca="false">IFERROR(INDEX('Fund Research'!$C$6:$C$505,MATCH(105,'Fund Research'!$W$6:$W$505,0)),"")</f>
        <v/>
      </c>
      <c r="E110" s="35" t="str">
        <f aca="false">IFERROR(INDEX('Fund Research'!$G$6:$G$505,MATCH(105,'Fund Research'!$W$6:$W$505,0)),"")</f>
        <v/>
      </c>
      <c r="F110" s="35" t="str">
        <f aca="false">IFERROR(INDEX('Fund Research'!$H$6:$H$505,MATCH(105,'Fund Research'!$W$6:$W$505,0)),"")</f>
        <v/>
      </c>
      <c r="G110" s="35" t="str">
        <f aca="false">IFERROR(INDEX('Fund Research'!$I$6:$I$505,MATCH(105,'Fund Research'!$W$6:$W$505,0)),"")</f>
        <v/>
      </c>
      <c r="H110" s="36" t="str">
        <f aca="false">IFERROR(INDEX('Fund Research'!$J$6:$J$505,MATCH(105,'Fund Research'!$W$6:$W$505,0)),"")</f>
        <v/>
      </c>
      <c r="I110" s="39" t="str">
        <f aca="false">IFERROR(INDEX('Fund Research'!$L$6:$L$505,MATCH(105,'Fund Research'!$W$6:$W$505,0)),"")</f>
        <v/>
      </c>
      <c r="J110" s="36" t="str">
        <f aca="false">IFERROR(INDEX('Fund Research'!$N$6:$N$505,MATCH(105,'Fund Research'!$W$6:$W$505,0)),"")</f>
        <v/>
      </c>
      <c r="K110" s="36" t="str">
        <f aca="false">IFERROR(INDEX('Fund Research'!$P$6:$P$505,MATCH(105,'Fund Research'!$W$6:$W$505,0)),"")</f>
        <v/>
      </c>
      <c r="L110" s="34" t="str">
        <f aca="false">IFERROR(INDEX('Fund Research'!$S$6:$S$505,MATCH(105,'Fund Research'!$W$6:$W$505,0)),"")</f>
        <v/>
      </c>
      <c r="M110" s="34" t="str">
        <f aca="false">IFERROR(INDEX('Fund Research'!$T$6:$T$505,MATCH(105,'Fund Research'!$W$6:$W$505,0)),"")</f>
        <v/>
      </c>
    </row>
    <row r="111" customFormat="false" ht="15" hidden="false" customHeight="true" outlineLevel="0" collapsed="false">
      <c r="A111" s="33" t="str">
        <f aca="false">IFERROR(IF(INDEX('Fund Research'!$B$6:$B$505,MATCH(106,'Fund Research'!$W$6:$W$505,0))="","",106),"")</f>
        <v/>
      </c>
      <c r="B111" s="34" t="str">
        <f aca="false">IFERROR(INDEX('Fund Research'!$A$6:$A$505,MATCH(106,'Fund Research'!$W$6:$W$505,0)),"")</f>
        <v/>
      </c>
      <c r="C111" s="34" t="str">
        <f aca="false">IFERROR(INDEX('Fund Research'!$B$6:$B$505,MATCH(106,'Fund Research'!$W$6:$W$505,0)),"")</f>
        <v/>
      </c>
      <c r="D111" s="34" t="str">
        <f aca="false">IFERROR(INDEX('Fund Research'!$C$6:$C$505,MATCH(106,'Fund Research'!$W$6:$W$505,0)),"")</f>
        <v/>
      </c>
      <c r="E111" s="35" t="str">
        <f aca="false">IFERROR(INDEX('Fund Research'!$G$6:$G$505,MATCH(106,'Fund Research'!$W$6:$W$505,0)),"")</f>
        <v/>
      </c>
      <c r="F111" s="35" t="str">
        <f aca="false">IFERROR(INDEX('Fund Research'!$H$6:$H$505,MATCH(106,'Fund Research'!$W$6:$W$505,0)),"")</f>
        <v/>
      </c>
      <c r="G111" s="35" t="str">
        <f aca="false">IFERROR(INDEX('Fund Research'!$I$6:$I$505,MATCH(106,'Fund Research'!$W$6:$W$505,0)),"")</f>
        <v/>
      </c>
      <c r="H111" s="36" t="str">
        <f aca="false">IFERROR(INDEX('Fund Research'!$J$6:$J$505,MATCH(106,'Fund Research'!$W$6:$W$505,0)),"")</f>
        <v/>
      </c>
      <c r="I111" s="39" t="str">
        <f aca="false">IFERROR(INDEX('Fund Research'!$L$6:$L$505,MATCH(106,'Fund Research'!$W$6:$W$505,0)),"")</f>
        <v/>
      </c>
      <c r="J111" s="36" t="str">
        <f aca="false">IFERROR(INDEX('Fund Research'!$N$6:$N$505,MATCH(106,'Fund Research'!$W$6:$W$505,0)),"")</f>
        <v/>
      </c>
      <c r="K111" s="36" t="str">
        <f aca="false">IFERROR(INDEX('Fund Research'!$P$6:$P$505,MATCH(106,'Fund Research'!$W$6:$W$505,0)),"")</f>
        <v/>
      </c>
      <c r="L111" s="34" t="str">
        <f aca="false">IFERROR(INDEX('Fund Research'!$S$6:$S$505,MATCH(106,'Fund Research'!$W$6:$W$505,0)),"")</f>
        <v/>
      </c>
      <c r="M111" s="34" t="str">
        <f aca="false">IFERROR(INDEX('Fund Research'!$T$6:$T$505,MATCH(106,'Fund Research'!$W$6:$W$505,0)),"")</f>
        <v/>
      </c>
    </row>
    <row r="112" customFormat="false" ht="15" hidden="false" customHeight="true" outlineLevel="0" collapsed="false">
      <c r="A112" s="33" t="str">
        <f aca="false">IFERROR(IF(INDEX('Fund Research'!$B$6:$B$505,MATCH(107,'Fund Research'!$W$6:$W$505,0))="","",107),"")</f>
        <v/>
      </c>
      <c r="B112" s="34" t="str">
        <f aca="false">IFERROR(INDEX('Fund Research'!$A$6:$A$505,MATCH(107,'Fund Research'!$W$6:$W$505,0)),"")</f>
        <v/>
      </c>
      <c r="C112" s="34" t="str">
        <f aca="false">IFERROR(INDEX('Fund Research'!$B$6:$B$505,MATCH(107,'Fund Research'!$W$6:$W$505,0)),"")</f>
        <v/>
      </c>
      <c r="D112" s="34" t="str">
        <f aca="false">IFERROR(INDEX('Fund Research'!$C$6:$C$505,MATCH(107,'Fund Research'!$W$6:$W$505,0)),"")</f>
        <v/>
      </c>
      <c r="E112" s="35" t="str">
        <f aca="false">IFERROR(INDEX('Fund Research'!$G$6:$G$505,MATCH(107,'Fund Research'!$W$6:$W$505,0)),"")</f>
        <v/>
      </c>
      <c r="F112" s="35" t="str">
        <f aca="false">IFERROR(INDEX('Fund Research'!$H$6:$H$505,MATCH(107,'Fund Research'!$W$6:$W$505,0)),"")</f>
        <v/>
      </c>
      <c r="G112" s="35" t="str">
        <f aca="false">IFERROR(INDEX('Fund Research'!$I$6:$I$505,MATCH(107,'Fund Research'!$W$6:$W$505,0)),"")</f>
        <v/>
      </c>
      <c r="H112" s="36" t="str">
        <f aca="false">IFERROR(INDEX('Fund Research'!$J$6:$J$505,MATCH(107,'Fund Research'!$W$6:$W$505,0)),"")</f>
        <v/>
      </c>
      <c r="I112" s="39" t="str">
        <f aca="false">IFERROR(INDEX('Fund Research'!$L$6:$L$505,MATCH(107,'Fund Research'!$W$6:$W$505,0)),"")</f>
        <v/>
      </c>
      <c r="J112" s="36" t="str">
        <f aca="false">IFERROR(INDEX('Fund Research'!$N$6:$N$505,MATCH(107,'Fund Research'!$W$6:$W$505,0)),"")</f>
        <v/>
      </c>
      <c r="K112" s="36" t="str">
        <f aca="false">IFERROR(INDEX('Fund Research'!$P$6:$P$505,MATCH(107,'Fund Research'!$W$6:$W$505,0)),"")</f>
        <v/>
      </c>
      <c r="L112" s="34" t="str">
        <f aca="false">IFERROR(INDEX('Fund Research'!$S$6:$S$505,MATCH(107,'Fund Research'!$W$6:$W$505,0)),"")</f>
        <v/>
      </c>
      <c r="M112" s="34" t="str">
        <f aca="false">IFERROR(INDEX('Fund Research'!$T$6:$T$505,MATCH(107,'Fund Research'!$W$6:$W$505,0)),"")</f>
        <v/>
      </c>
    </row>
    <row r="113" customFormat="false" ht="15" hidden="false" customHeight="true" outlineLevel="0" collapsed="false">
      <c r="A113" s="33" t="str">
        <f aca="false">IFERROR(IF(INDEX('Fund Research'!$B$6:$B$505,MATCH(108,'Fund Research'!$W$6:$W$505,0))="","",108),"")</f>
        <v/>
      </c>
      <c r="B113" s="34" t="str">
        <f aca="false">IFERROR(INDEX('Fund Research'!$A$6:$A$505,MATCH(108,'Fund Research'!$W$6:$W$505,0)),"")</f>
        <v/>
      </c>
      <c r="C113" s="34" t="str">
        <f aca="false">IFERROR(INDEX('Fund Research'!$B$6:$B$505,MATCH(108,'Fund Research'!$W$6:$W$505,0)),"")</f>
        <v/>
      </c>
      <c r="D113" s="34" t="str">
        <f aca="false">IFERROR(INDEX('Fund Research'!$C$6:$C$505,MATCH(108,'Fund Research'!$W$6:$W$505,0)),"")</f>
        <v/>
      </c>
      <c r="E113" s="35" t="str">
        <f aca="false">IFERROR(INDEX('Fund Research'!$G$6:$G$505,MATCH(108,'Fund Research'!$W$6:$W$505,0)),"")</f>
        <v/>
      </c>
      <c r="F113" s="35" t="str">
        <f aca="false">IFERROR(INDEX('Fund Research'!$H$6:$H$505,MATCH(108,'Fund Research'!$W$6:$W$505,0)),"")</f>
        <v/>
      </c>
      <c r="G113" s="35" t="str">
        <f aca="false">IFERROR(INDEX('Fund Research'!$I$6:$I$505,MATCH(108,'Fund Research'!$W$6:$W$505,0)),"")</f>
        <v/>
      </c>
      <c r="H113" s="36" t="str">
        <f aca="false">IFERROR(INDEX('Fund Research'!$J$6:$J$505,MATCH(108,'Fund Research'!$W$6:$W$505,0)),"")</f>
        <v/>
      </c>
      <c r="I113" s="39" t="str">
        <f aca="false">IFERROR(INDEX('Fund Research'!$L$6:$L$505,MATCH(108,'Fund Research'!$W$6:$W$505,0)),"")</f>
        <v/>
      </c>
      <c r="J113" s="36" t="str">
        <f aca="false">IFERROR(INDEX('Fund Research'!$N$6:$N$505,MATCH(108,'Fund Research'!$W$6:$W$505,0)),"")</f>
        <v/>
      </c>
      <c r="K113" s="36" t="str">
        <f aca="false">IFERROR(INDEX('Fund Research'!$P$6:$P$505,MATCH(108,'Fund Research'!$W$6:$W$505,0)),"")</f>
        <v/>
      </c>
      <c r="L113" s="34" t="str">
        <f aca="false">IFERROR(INDEX('Fund Research'!$S$6:$S$505,MATCH(108,'Fund Research'!$W$6:$W$505,0)),"")</f>
        <v/>
      </c>
      <c r="M113" s="34" t="str">
        <f aca="false">IFERROR(INDEX('Fund Research'!$T$6:$T$505,MATCH(108,'Fund Research'!$W$6:$W$505,0)),"")</f>
        <v/>
      </c>
    </row>
    <row r="114" customFormat="false" ht="15" hidden="false" customHeight="true" outlineLevel="0" collapsed="false">
      <c r="A114" s="33" t="str">
        <f aca="false">IFERROR(IF(INDEX('Fund Research'!$B$6:$B$505,MATCH(109,'Fund Research'!$W$6:$W$505,0))="","",109),"")</f>
        <v/>
      </c>
      <c r="B114" s="34" t="str">
        <f aca="false">IFERROR(INDEX('Fund Research'!$A$6:$A$505,MATCH(109,'Fund Research'!$W$6:$W$505,0)),"")</f>
        <v/>
      </c>
      <c r="C114" s="34" t="str">
        <f aca="false">IFERROR(INDEX('Fund Research'!$B$6:$B$505,MATCH(109,'Fund Research'!$W$6:$W$505,0)),"")</f>
        <v/>
      </c>
      <c r="D114" s="34" t="str">
        <f aca="false">IFERROR(INDEX('Fund Research'!$C$6:$C$505,MATCH(109,'Fund Research'!$W$6:$W$505,0)),"")</f>
        <v/>
      </c>
      <c r="E114" s="35" t="str">
        <f aca="false">IFERROR(INDEX('Fund Research'!$G$6:$G$505,MATCH(109,'Fund Research'!$W$6:$W$505,0)),"")</f>
        <v/>
      </c>
      <c r="F114" s="35" t="str">
        <f aca="false">IFERROR(INDEX('Fund Research'!$H$6:$H$505,MATCH(109,'Fund Research'!$W$6:$W$505,0)),"")</f>
        <v/>
      </c>
      <c r="G114" s="35" t="str">
        <f aca="false">IFERROR(INDEX('Fund Research'!$I$6:$I$505,MATCH(109,'Fund Research'!$W$6:$W$505,0)),"")</f>
        <v/>
      </c>
      <c r="H114" s="36" t="str">
        <f aca="false">IFERROR(INDEX('Fund Research'!$J$6:$J$505,MATCH(109,'Fund Research'!$W$6:$W$505,0)),"")</f>
        <v/>
      </c>
      <c r="I114" s="39" t="str">
        <f aca="false">IFERROR(INDEX('Fund Research'!$L$6:$L$505,MATCH(109,'Fund Research'!$W$6:$W$505,0)),"")</f>
        <v/>
      </c>
      <c r="J114" s="36" t="str">
        <f aca="false">IFERROR(INDEX('Fund Research'!$N$6:$N$505,MATCH(109,'Fund Research'!$W$6:$W$505,0)),"")</f>
        <v/>
      </c>
      <c r="K114" s="36" t="str">
        <f aca="false">IFERROR(INDEX('Fund Research'!$P$6:$P$505,MATCH(109,'Fund Research'!$W$6:$W$505,0)),"")</f>
        <v/>
      </c>
      <c r="L114" s="34" t="str">
        <f aca="false">IFERROR(INDEX('Fund Research'!$S$6:$S$505,MATCH(109,'Fund Research'!$W$6:$W$505,0)),"")</f>
        <v/>
      </c>
      <c r="M114" s="34" t="str">
        <f aca="false">IFERROR(INDEX('Fund Research'!$T$6:$T$505,MATCH(109,'Fund Research'!$W$6:$W$505,0)),"")</f>
        <v/>
      </c>
    </row>
    <row r="115" customFormat="false" ht="15" hidden="false" customHeight="true" outlineLevel="0" collapsed="false">
      <c r="A115" s="33" t="str">
        <f aca="false">IFERROR(IF(INDEX('Fund Research'!$B$6:$B$505,MATCH(110,'Fund Research'!$W$6:$W$505,0))="","",110),"")</f>
        <v/>
      </c>
      <c r="B115" s="34" t="str">
        <f aca="false">IFERROR(INDEX('Fund Research'!$A$6:$A$505,MATCH(110,'Fund Research'!$W$6:$W$505,0)),"")</f>
        <v/>
      </c>
      <c r="C115" s="34" t="str">
        <f aca="false">IFERROR(INDEX('Fund Research'!$B$6:$B$505,MATCH(110,'Fund Research'!$W$6:$W$505,0)),"")</f>
        <v/>
      </c>
      <c r="D115" s="34" t="str">
        <f aca="false">IFERROR(INDEX('Fund Research'!$C$6:$C$505,MATCH(110,'Fund Research'!$W$6:$W$505,0)),"")</f>
        <v/>
      </c>
      <c r="E115" s="35" t="str">
        <f aca="false">IFERROR(INDEX('Fund Research'!$G$6:$G$505,MATCH(110,'Fund Research'!$W$6:$W$505,0)),"")</f>
        <v/>
      </c>
      <c r="F115" s="35" t="str">
        <f aca="false">IFERROR(INDEX('Fund Research'!$H$6:$H$505,MATCH(110,'Fund Research'!$W$6:$W$505,0)),"")</f>
        <v/>
      </c>
      <c r="G115" s="35" t="str">
        <f aca="false">IFERROR(INDEX('Fund Research'!$I$6:$I$505,MATCH(110,'Fund Research'!$W$6:$W$505,0)),"")</f>
        <v/>
      </c>
      <c r="H115" s="36" t="str">
        <f aca="false">IFERROR(INDEX('Fund Research'!$J$6:$J$505,MATCH(110,'Fund Research'!$W$6:$W$505,0)),"")</f>
        <v/>
      </c>
      <c r="I115" s="39" t="str">
        <f aca="false">IFERROR(INDEX('Fund Research'!$L$6:$L$505,MATCH(110,'Fund Research'!$W$6:$W$505,0)),"")</f>
        <v/>
      </c>
      <c r="J115" s="36" t="str">
        <f aca="false">IFERROR(INDEX('Fund Research'!$N$6:$N$505,MATCH(110,'Fund Research'!$W$6:$W$505,0)),"")</f>
        <v/>
      </c>
      <c r="K115" s="36" t="str">
        <f aca="false">IFERROR(INDEX('Fund Research'!$P$6:$P$505,MATCH(110,'Fund Research'!$W$6:$W$505,0)),"")</f>
        <v/>
      </c>
      <c r="L115" s="34" t="str">
        <f aca="false">IFERROR(INDEX('Fund Research'!$S$6:$S$505,MATCH(110,'Fund Research'!$W$6:$W$505,0)),"")</f>
        <v/>
      </c>
      <c r="M115" s="34" t="str">
        <f aca="false">IFERROR(INDEX('Fund Research'!$T$6:$T$505,MATCH(110,'Fund Research'!$W$6:$W$505,0)),"")</f>
        <v/>
      </c>
    </row>
    <row r="116" customFormat="false" ht="15" hidden="false" customHeight="true" outlineLevel="0" collapsed="false">
      <c r="A116" s="33" t="str">
        <f aca="false">IFERROR(IF(INDEX('Fund Research'!$B$6:$B$505,MATCH(111,'Fund Research'!$W$6:$W$505,0))="","",111),"")</f>
        <v/>
      </c>
      <c r="B116" s="34" t="str">
        <f aca="false">IFERROR(INDEX('Fund Research'!$A$6:$A$505,MATCH(111,'Fund Research'!$W$6:$W$505,0)),"")</f>
        <v/>
      </c>
      <c r="C116" s="34" t="str">
        <f aca="false">IFERROR(INDEX('Fund Research'!$B$6:$B$505,MATCH(111,'Fund Research'!$W$6:$W$505,0)),"")</f>
        <v/>
      </c>
      <c r="D116" s="34" t="str">
        <f aca="false">IFERROR(INDEX('Fund Research'!$C$6:$C$505,MATCH(111,'Fund Research'!$W$6:$W$505,0)),"")</f>
        <v/>
      </c>
      <c r="E116" s="35" t="str">
        <f aca="false">IFERROR(INDEX('Fund Research'!$G$6:$G$505,MATCH(111,'Fund Research'!$W$6:$W$505,0)),"")</f>
        <v/>
      </c>
      <c r="F116" s="35" t="str">
        <f aca="false">IFERROR(INDEX('Fund Research'!$H$6:$H$505,MATCH(111,'Fund Research'!$W$6:$W$505,0)),"")</f>
        <v/>
      </c>
      <c r="G116" s="35" t="str">
        <f aca="false">IFERROR(INDEX('Fund Research'!$I$6:$I$505,MATCH(111,'Fund Research'!$W$6:$W$505,0)),"")</f>
        <v/>
      </c>
      <c r="H116" s="36" t="str">
        <f aca="false">IFERROR(INDEX('Fund Research'!$J$6:$J$505,MATCH(111,'Fund Research'!$W$6:$W$505,0)),"")</f>
        <v/>
      </c>
      <c r="I116" s="39" t="str">
        <f aca="false">IFERROR(INDEX('Fund Research'!$L$6:$L$505,MATCH(111,'Fund Research'!$W$6:$W$505,0)),"")</f>
        <v/>
      </c>
      <c r="J116" s="36" t="str">
        <f aca="false">IFERROR(INDEX('Fund Research'!$N$6:$N$505,MATCH(111,'Fund Research'!$W$6:$W$505,0)),"")</f>
        <v/>
      </c>
      <c r="K116" s="36" t="str">
        <f aca="false">IFERROR(INDEX('Fund Research'!$P$6:$P$505,MATCH(111,'Fund Research'!$W$6:$W$505,0)),"")</f>
        <v/>
      </c>
      <c r="L116" s="34" t="str">
        <f aca="false">IFERROR(INDEX('Fund Research'!$S$6:$S$505,MATCH(111,'Fund Research'!$W$6:$W$505,0)),"")</f>
        <v/>
      </c>
      <c r="M116" s="34" t="str">
        <f aca="false">IFERROR(INDEX('Fund Research'!$T$6:$T$505,MATCH(111,'Fund Research'!$W$6:$W$505,0)),"")</f>
        <v/>
      </c>
    </row>
    <row r="117" customFormat="false" ht="15" hidden="false" customHeight="true" outlineLevel="0" collapsed="false">
      <c r="A117" s="33" t="str">
        <f aca="false">IFERROR(IF(INDEX('Fund Research'!$B$6:$B$505,MATCH(112,'Fund Research'!$W$6:$W$505,0))="","",112),"")</f>
        <v/>
      </c>
      <c r="B117" s="34" t="str">
        <f aca="false">IFERROR(INDEX('Fund Research'!$A$6:$A$505,MATCH(112,'Fund Research'!$W$6:$W$505,0)),"")</f>
        <v/>
      </c>
      <c r="C117" s="34" t="str">
        <f aca="false">IFERROR(INDEX('Fund Research'!$B$6:$B$505,MATCH(112,'Fund Research'!$W$6:$W$505,0)),"")</f>
        <v/>
      </c>
      <c r="D117" s="34" t="str">
        <f aca="false">IFERROR(INDEX('Fund Research'!$C$6:$C$505,MATCH(112,'Fund Research'!$W$6:$W$505,0)),"")</f>
        <v/>
      </c>
      <c r="E117" s="35" t="str">
        <f aca="false">IFERROR(INDEX('Fund Research'!$G$6:$G$505,MATCH(112,'Fund Research'!$W$6:$W$505,0)),"")</f>
        <v/>
      </c>
      <c r="F117" s="35" t="str">
        <f aca="false">IFERROR(INDEX('Fund Research'!$H$6:$H$505,MATCH(112,'Fund Research'!$W$6:$W$505,0)),"")</f>
        <v/>
      </c>
      <c r="G117" s="35" t="str">
        <f aca="false">IFERROR(INDEX('Fund Research'!$I$6:$I$505,MATCH(112,'Fund Research'!$W$6:$W$505,0)),"")</f>
        <v/>
      </c>
      <c r="H117" s="36" t="str">
        <f aca="false">IFERROR(INDEX('Fund Research'!$J$6:$J$505,MATCH(112,'Fund Research'!$W$6:$W$505,0)),"")</f>
        <v/>
      </c>
      <c r="I117" s="39" t="str">
        <f aca="false">IFERROR(INDEX('Fund Research'!$L$6:$L$505,MATCH(112,'Fund Research'!$W$6:$W$505,0)),"")</f>
        <v/>
      </c>
      <c r="J117" s="36" t="str">
        <f aca="false">IFERROR(INDEX('Fund Research'!$N$6:$N$505,MATCH(112,'Fund Research'!$W$6:$W$505,0)),"")</f>
        <v/>
      </c>
      <c r="K117" s="36" t="str">
        <f aca="false">IFERROR(INDEX('Fund Research'!$P$6:$P$505,MATCH(112,'Fund Research'!$W$6:$W$505,0)),"")</f>
        <v/>
      </c>
      <c r="L117" s="34" t="str">
        <f aca="false">IFERROR(INDEX('Fund Research'!$S$6:$S$505,MATCH(112,'Fund Research'!$W$6:$W$505,0)),"")</f>
        <v/>
      </c>
      <c r="M117" s="34" t="str">
        <f aca="false">IFERROR(INDEX('Fund Research'!$T$6:$T$505,MATCH(112,'Fund Research'!$W$6:$W$505,0)),"")</f>
        <v/>
      </c>
    </row>
    <row r="118" customFormat="false" ht="15" hidden="false" customHeight="true" outlineLevel="0" collapsed="false">
      <c r="A118" s="33" t="str">
        <f aca="false">IFERROR(IF(INDEX('Fund Research'!$B$6:$B$505,MATCH(113,'Fund Research'!$W$6:$W$505,0))="","",113),"")</f>
        <v/>
      </c>
      <c r="B118" s="34" t="str">
        <f aca="false">IFERROR(INDEX('Fund Research'!$A$6:$A$505,MATCH(113,'Fund Research'!$W$6:$W$505,0)),"")</f>
        <v/>
      </c>
      <c r="C118" s="34" t="str">
        <f aca="false">IFERROR(INDEX('Fund Research'!$B$6:$B$505,MATCH(113,'Fund Research'!$W$6:$W$505,0)),"")</f>
        <v/>
      </c>
      <c r="D118" s="34" t="str">
        <f aca="false">IFERROR(INDEX('Fund Research'!$C$6:$C$505,MATCH(113,'Fund Research'!$W$6:$W$505,0)),"")</f>
        <v/>
      </c>
      <c r="E118" s="35" t="str">
        <f aca="false">IFERROR(INDEX('Fund Research'!$G$6:$G$505,MATCH(113,'Fund Research'!$W$6:$W$505,0)),"")</f>
        <v/>
      </c>
      <c r="F118" s="35" t="str">
        <f aca="false">IFERROR(INDEX('Fund Research'!$H$6:$H$505,MATCH(113,'Fund Research'!$W$6:$W$505,0)),"")</f>
        <v/>
      </c>
      <c r="G118" s="35" t="str">
        <f aca="false">IFERROR(INDEX('Fund Research'!$I$6:$I$505,MATCH(113,'Fund Research'!$W$6:$W$505,0)),"")</f>
        <v/>
      </c>
      <c r="H118" s="36" t="str">
        <f aca="false">IFERROR(INDEX('Fund Research'!$J$6:$J$505,MATCH(113,'Fund Research'!$W$6:$W$505,0)),"")</f>
        <v/>
      </c>
      <c r="I118" s="39" t="str">
        <f aca="false">IFERROR(INDEX('Fund Research'!$L$6:$L$505,MATCH(113,'Fund Research'!$W$6:$W$505,0)),"")</f>
        <v/>
      </c>
      <c r="J118" s="36" t="str">
        <f aca="false">IFERROR(INDEX('Fund Research'!$N$6:$N$505,MATCH(113,'Fund Research'!$W$6:$W$505,0)),"")</f>
        <v/>
      </c>
      <c r="K118" s="36" t="str">
        <f aca="false">IFERROR(INDEX('Fund Research'!$P$6:$P$505,MATCH(113,'Fund Research'!$W$6:$W$505,0)),"")</f>
        <v/>
      </c>
      <c r="L118" s="34" t="str">
        <f aca="false">IFERROR(INDEX('Fund Research'!$S$6:$S$505,MATCH(113,'Fund Research'!$W$6:$W$505,0)),"")</f>
        <v/>
      </c>
      <c r="M118" s="34" t="str">
        <f aca="false">IFERROR(INDEX('Fund Research'!$T$6:$T$505,MATCH(113,'Fund Research'!$W$6:$W$505,0)),"")</f>
        <v/>
      </c>
    </row>
    <row r="119" customFormat="false" ht="15" hidden="false" customHeight="true" outlineLevel="0" collapsed="false">
      <c r="A119" s="33" t="str">
        <f aca="false">IFERROR(IF(INDEX('Fund Research'!$B$6:$B$505,MATCH(114,'Fund Research'!$W$6:$W$505,0))="","",114),"")</f>
        <v/>
      </c>
      <c r="B119" s="34" t="str">
        <f aca="false">IFERROR(INDEX('Fund Research'!$A$6:$A$505,MATCH(114,'Fund Research'!$W$6:$W$505,0)),"")</f>
        <v/>
      </c>
      <c r="C119" s="34" t="str">
        <f aca="false">IFERROR(INDEX('Fund Research'!$B$6:$B$505,MATCH(114,'Fund Research'!$W$6:$W$505,0)),"")</f>
        <v/>
      </c>
      <c r="D119" s="34" t="str">
        <f aca="false">IFERROR(INDEX('Fund Research'!$C$6:$C$505,MATCH(114,'Fund Research'!$W$6:$W$505,0)),"")</f>
        <v/>
      </c>
      <c r="E119" s="35" t="str">
        <f aca="false">IFERROR(INDEX('Fund Research'!$G$6:$G$505,MATCH(114,'Fund Research'!$W$6:$W$505,0)),"")</f>
        <v/>
      </c>
      <c r="F119" s="35" t="str">
        <f aca="false">IFERROR(INDEX('Fund Research'!$H$6:$H$505,MATCH(114,'Fund Research'!$W$6:$W$505,0)),"")</f>
        <v/>
      </c>
      <c r="G119" s="35" t="str">
        <f aca="false">IFERROR(INDEX('Fund Research'!$I$6:$I$505,MATCH(114,'Fund Research'!$W$6:$W$505,0)),"")</f>
        <v/>
      </c>
      <c r="H119" s="36" t="str">
        <f aca="false">IFERROR(INDEX('Fund Research'!$J$6:$J$505,MATCH(114,'Fund Research'!$W$6:$W$505,0)),"")</f>
        <v/>
      </c>
      <c r="I119" s="39" t="str">
        <f aca="false">IFERROR(INDEX('Fund Research'!$L$6:$L$505,MATCH(114,'Fund Research'!$W$6:$W$505,0)),"")</f>
        <v/>
      </c>
      <c r="J119" s="36" t="str">
        <f aca="false">IFERROR(INDEX('Fund Research'!$N$6:$N$505,MATCH(114,'Fund Research'!$W$6:$W$505,0)),"")</f>
        <v/>
      </c>
      <c r="K119" s="36" t="str">
        <f aca="false">IFERROR(INDEX('Fund Research'!$P$6:$P$505,MATCH(114,'Fund Research'!$W$6:$W$505,0)),"")</f>
        <v/>
      </c>
      <c r="L119" s="34" t="str">
        <f aca="false">IFERROR(INDEX('Fund Research'!$S$6:$S$505,MATCH(114,'Fund Research'!$W$6:$W$505,0)),"")</f>
        <v/>
      </c>
      <c r="M119" s="34" t="str">
        <f aca="false">IFERROR(INDEX('Fund Research'!$T$6:$T$505,MATCH(114,'Fund Research'!$W$6:$W$505,0)),"")</f>
        <v/>
      </c>
    </row>
    <row r="120" customFormat="false" ht="15" hidden="false" customHeight="true" outlineLevel="0" collapsed="false">
      <c r="A120" s="33" t="str">
        <f aca="false">IFERROR(IF(INDEX('Fund Research'!$B$6:$B$505,MATCH(115,'Fund Research'!$W$6:$W$505,0))="","",115),"")</f>
        <v/>
      </c>
      <c r="B120" s="34" t="str">
        <f aca="false">IFERROR(INDEX('Fund Research'!$A$6:$A$505,MATCH(115,'Fund Research'!$W$6:$W$505,0)),"")</f>
        <v/>
      </c>
      <c r="C120" s="34" t="str">
        <f aca="false">IFERROR(INDEX('Fund Research'!$B$6:$B$505,MATCH(115,'Fund Research'!$W$6:$W$505,0)),"")</f>
        <v/>
      </c>
      <c r="D120" s="34" t="str">
        <f aca="false">IFERROR(INDEX('Fund Research'!$C$6:$C$505,MATCH(115,'Fund Research'!$W$6:$W$505,0)),"")</f>
        <v/>
      </c>
      <c r="E120" s="35" t="str">
        <f aca="false">IFERROR(INDEX('Fund Research'!$G$6:$G$505,MATCH(115,'Fund Research'!$W$6:$W$505,0)),"")</f>
        <v/>
      </c>
      <c r="F120" s="35" t="str">
        <f aca="false">IFERROR(INDEX('Fund Research'!$H$6:$H$505,MATCH(115,'Fund Research'!$W$6:$W$505,0)),"")</f>
        <v/>
      </c>
      <c r="G120" s="35" t="str">
        <f aca="false">IFERROR(INDEX('Fund Research'!$I$6:$I$505,MATCH(115,'Fund Research'!$W$6:$W$505,0)),"")</f>
        <v/>
      </c>
      <c r="H120" s="36" t="str">
        <f aca="false">IFERROR(INDEX('Fund Research'!$J$6:$J$505,MATCH(115,'Fund Research'!$W$6:$W$505,0)),"")</f>
        <v/>
      </c>
      <c r="I120" s="39" t="str">
        <f aca="false">IFERROR(INDEX('Fund Research'!$L$6:$L$505,MATCH(115,'Fund Research'!$W$6:$W$505,0)),"")</f>
        <v/>
      </c>
      <c r="J120" s="36" t="str">
        <f aca="false">IFERROR(INDEX('Fund Research'!$N$6:$N$505,MATCH(115,'Fund Research'!$W$6:$W$505,0)),"")</f>
        <v/>
      </c>
      <c r="K120" s="36" t="str">
        <f aca="false">IFERROR(INDEX('Fund Research'!$P$6:$P$505,MATCH(115,'Fund Research'!$W$6:$W$505,0)),"")</f>
        <v/>
      </c>
      <c r="L120" s="34" t="str">
        <f aca="false">IFERROR(INDEX('Fund Research'!$S$6:$S$505,MATCH(115,'Fund Research'!$W$6:$W$505,0)),"")</f>
        <v/>
      </c>
      <c r="M120" s="34" t="str">
        <f aca="false">IFERROR(INDEX('Fund Research'!$T$6:$T$505,MATCH(115,'Fund Research'!$W$6:$W$505,0)),"")</f>
        <v/>
      </c>
    </row>
    <row r="121" customFormat="false" ht="15" hidden="false" customHeight="true" outlineLevel="0" collapsed="false">
      <c r="A121" s="33" t="str">
        <f aca="false">IFERROR(IF(INDEX('Fund Research'!$B$6:$B$505,MATCH(116,'Fund Research'!$W$6:$W$505,0))="","",116),"")</f>
        <v/>
      </c>
      <c r="B121" s="34" t="str">
        <f aca="false">IFERROR(INDEX('Fund Research'!$A$6:$A$505,MATCH(116,'Fund Research'!$W$6:$W$505,0)),"")</f>
        <v/>
      </c>
      <c r="C121" s="34" t="str">
        <f aca="false">IFERROR(INDEX('Fund Research'!$B$6:$B$505,MATCH(116,'Fund Research'!$W$6:$W$505,0)),"")</f>
        <v/>
      </c>
      <c r="D121" s="34" t="str">
        <f aca="false">IFERROR(INDEX('Fund Research'!$C$6:$C$505,MATCH(116,'Fund Research'!$W$6:$W$505,0)),"")</f>
        <v/>
      </c>
      <c r="E121" s="35" t="str">
        <f aca="false">IFERROR(INDEX('Fund Research'!$G$6:$G$505,MATCH(116,'Fund Research'!$W$6:$W$505,0)),"")</f>
        <v/>
      </c>
      <c r="F121" s="35" t="str">
        <f aca="false">IFERROR(INDEX('Fund Research'!$H$6:$H$505,MATCH(116,'Fund Research'!$W$6:$W$505,0)),"")</f>
        <v/>
      </c>
      <c r="G121" s="35" t="str">
        <f aca="false">IFERROR(INDEX('Fund Research'!$I$6:$I$505,MATCH(116,'Fund Research'!$W$6:$W$505,0)),"")</f>
        <v/>
      </c>
      <c r="H121" s="36" t="str">
        <f aca="false">IFERROR(INDEX('Fund Research'!$J$6:$J$505,MATCH(116,'Fund Research'!$W$6:$W$505,0)),"")</f>
        <v/>
      </c>
      <c r="I121" s="39" t="str">
        <f aca="false">IFERROR(INDEX('Fund Research'!$L$6:$L$505,MATCH(116,'Fund Research'!$W$6:$W$505,0)),"")</f>
        <v/>
      </c>
      <c r="J121" s="36" t="str">
        <f aca="false">IFERROR(INDEX('Fund Research'!$N$6:$N$505,MATCH(116,'Fund Research'!$W$6:$W$505,0)),"")</f>
        <v/>
      </c>
      <c r="K121" s="36" t="str">
        <f aca="false">IFERROR(INDEX('Fund Research'!$P$6:$P$505,MATCH(116,'Fund Research'!$W$6:$W$505,0)),"")</f>
        <v/>
      </c>
      <c r="L121" s="34" t="str">
        <f aca="false">IFERROR(INDEX('Fund Research'!$S$6:$S$505,MATCH(116,'Fund Research'!$W$6:$W$505,0)),"")</f>
        <v/>
      </c>
      <c r="M121" s="34" t="str">
        <f aca="false">IFERROR(INDEX('Fund Research'!$T$6:$T$505,MATCH(116,'Fund Research'!$W$6:$W$505,0)),"")</f>
        <v/>
      </c>
    </row>
    <row r="122" customFormat="false" ht="15" hidden="false" customHeight="true" outlineLevel="0" collapsed="false">
      <c r="A122" s="33" t="str">
        <f aca="false">IFERROR(IF(INDEX('Fund Research'!$B$6:$B$505,MATCH(117,'Fund Research'!$W$6:$W$505,0))="","",117),"")</f>
        <v/>
      </c>
      <c r="B122" s="34" t="str">
        <f aca="false">IFERROR(INDEX('Fund Research'!$A$6:$A$505,MATCH(117,'Fund Research'!$W$6:$W$505,0)),"")</f>
        <v/>
      </c>
      <c r="C122" s="34" t="str">
        <f aca="false">IFERROR(INDEX('Fund Research'!$B$6:$B$505,MATCH(117,'Fund Research'!$W$6:$W$505,0)),"")</f>
        <v/>
      </c>
      <c r="D122" s="34" t="str">
        <f aca="false">IFERROR(INDEX('Fund Research'!$C$6:$C$505,MATCH(117,'Fund Research'!$W$6:$W$505,0)),"")</f>
        <v/>
      </c>
      <c r="E122" s="35" t="str">
        <f aca="false">IFERROR(INDEX('Fund Research'!$G$6:$G$505,MATCH(117,'Fund Research'!$W$6:$W$505,0)),"")</f>
        <v/>
      </c>
      <c r="F122" s="35" t="str">
        <f aca="false">IFERROR(INDEX('Fund Research'!$H$6:$H$505,MATCH(117,'Fund Research'!$W$6:$W$505,0)),"")</f>
        <v/>
      </c>
      <c r="G122" s="35" t="str">
        <f aca="false">IFERROR(INDEX('Fund Research'!$I$6:$I$505,MATCH(117,'Fund Research'!$W$6:$W$505,0)),"")</f>
        <v/>
      </c>
      <c r="H122" s="36" t="str">
        <f aca="false">IFERROR(INDEX('Fund Research'!$J$6:$J$505,MATCH(117,'Fund Research'!$W$6:$W$505,0)),"")</f>
        <v/>
      </c>
      <c r="I122" s="39" t="str">
        <f aca="false">IFERROR(INDEX('Fund Research'!$L$6:$L$505,MATCH(117,'Fund Research'!$W$6:$W$505,0)),"")</f>
        <v/>
      </c>
      <c r="J122" s="36" t="str">
        <f aca="false">IFERROR(INDEX('Fund Research'!$N$6:$N$505,MATCH(117,'Fund Research'!$W$6:$W$505,0)),"")</f>
        <v/>
      </c>
      <c r="K122" s="36" t="str">
        <f aca="false">IFERROR(INDEX('Fund Research'!$P$6:$P$505,MATCH(117,'Fund Research'!$W$6:$W$505,0)),"")</f>
        <v/>
      </c>
      <c r="L122" s="34" t="str">
        <f aca="false">IFERROR(INDEX('Fund Research'!$S$6:$S$505,MATCH(117,'Fund Research'!$W$6:$W$505,0)),"")</f>
        <v/>
      </c>
      <c r="M122" s="34" t="str">
        <f aca="false">IFERROR(INDEX('Fund Research'!$T$6:$T$505,MATCH(117,'Fund Research'!$W$6:$W$505,0)),"")</f>
        <v/>
      </c>
    </row>
    <row r="123" customFormat="false" ht="15" hidden="false" customHeight="true" outlineLevel="0" collapsed="false">
      <c r="A123" s="33" t="str">
        <f aca="false">IFERROR(IF(INDEX('Fund Research'!$B$6:$B$505,MATCH(118,'Fund Research'!$W$6:$W$505,0))="","",118),"")</f>
        <v/>
      </c>
      <c r="B123" s="34" t="str">
        <f aca="false">IFERROR(INDEX('Fund Research'!$A$6:$A$505,MATCH(118,'Fund Research'!$W$6:$W$505,0)),"")</f>
        <v/>
      </c>
      <c r="C123" s="34" t="str">
        <f aca="false">IFERROR(INDEX('Fund Research'!$B$6:$B$505,MATCH(118,'Fund Research'!$W$6:$W$505,0)),"")</f>
        <v/>
      </c>
      <c r="D123" s="34" t="str">
        <f aca="false">IFERROR(INDEX('Fund Research'!$C$6:$C$505,MATCH(118,'Fund Research'!$W$6:$W$505,0)),"")</f>
        <v/>
      </c>
      <c r="E123" s="35" t="str">
        <f aca="false">IFERROR(INDEX('Fund Research'!$G$6:$G$505,MATCH(118,'Fund Research'!$W$6:$W$505,0)),"")</f>
        <v/>
      </c>
      <c r="F123" s="35" t="str">
        <f aca="false">IFERROR(INDEX('Fund Research'!$H$6:$H$505,MATCH(118,'Fund Research'!$W$6:$W$505,0)),"")</f>
        <v/>
      </c>
      <c r="G123" s="35" t="str">
        <f aca="false">IFERROR(INDEX('Fund Research'!$I$6:$I$505,MATCH(118,'Fund Research'!$W$6:$W$505,0)),"")</f>
        <v/>
      </c>
      <c r="H123" s="36" t="str">
        <f aca="false">IFERROR(INDEX('Fund Research'!$J$6:$J$505,MATCH(118,'Fund Research'!$W$6:$W$505,0)),"")</f>
        <v/>
      </c>
      <c r="I123" s="39" t="str">
        <f aca="false">IFERROR(INDEX('Fund Research'!$L$6:$L$505,MATCH(118,'Fund Research'!$W$6:$W$505,0)),"")</f>
        <v/>
      </c>
      <c r="J123" s="36" t="str">
        <f aca="false">IFERROR(INDEX('Fund Research'!$N$6:$N$505,MATCH(118,'Fund Research'!$W$6:$W$505,0)),"")</f>
        <v/>
      </c>
      <c r="K123" s="36" t="str">
        <f aca="false">IFERROR(INDEX('Fund Research'!$P$6:$P$505,MATCH(118,'Fund Research'!$W$6:$W$505,0)),"")</f>
        <v/>
      </c>
      <c r="L123" s="34" t="str">
        <f aca="false">IFERROR(INDEX('Fund Research'!$S$6:$S$505,MATCH(118,'Fund Research'!$W$6:$W$505,0)),"")</f>
        <v/>
      </c>
      <c r="M123" s="34" t="str">
        <f aca="false">IFERROR(INDEX('Fund Research'!$T$6:$T$505,MATCH(118,'Fund Research'!$W$6:$W$505,0)),"")</f>
        <v/>
      </c>
    </row>
    <row r="124" customFormat="false" ht="15" hidden="false" customHeight="true" outlineLevel="0" collapsed="false">
      <c r="A124" s="33" t="str">
        <f aca="false">IFERROR(IF(INDEX('Fund Research'!$B$6:$B$505,MATCH(119,'Fund Research'!$W$6:$W$505,0))="","",119),"")</f>
        <v/>
      </c>
      <c r="B124" s="34" t="str">
        <f aca="false">IFERROR(INDEX('Fund Research'!$A$6:$A$505,MATCH(119,'Fund Research'!$W$6:$W$505,0)),"")</f>
        <v/>
      </c>
      <c r="C124" s="34" t="str">
        <f aca="false">IFERROR(INDEX('Fund Research'!$B$6:$B$505,MATCH(119,'Fund Research'!$W$6:$W$505,0)),"")</f>
        <v/>
      </c>
      <c r="D124" s="34" t="str">
        <f aca="false">IFERROR(INDEX('Fund Research'!$C$6:$C$505,MATCH(119,'Fund Research'!$W$6:$W$505,0)),"")</f>
        <v/>
      </c>
      <c r="E124" s="35" t="str">
        <f aca="false">IFERROR(INDEX('Fund Research'!$G$6:$G$505,MATCH(119,'Fund Research'!$W$6:$W$505,0)),"")</f>
        <v/>
      </c>
      <c r="F124" s="35" t="str">
        <f aca="false">IFERROR(INDEX('Fund Research'!$H$6:$H$505,MATCH(119,'Fund Research'!$W$6:$W$505,0)),"")</f>
        <v/>
      </c>
      <c r="G124" s="35" t="str">
        <f aca="false">IFERROR(INDEX('Fund Research'!$I$6:$I$505,MATCH(119,'Fund Research'!$W$6:$W$505,0)),"")</f>
        <v/>
      </c>
      <c r="H124" s="36" t="str">
        <f aca="false">IFERROR(INDEX('Fund Research'!$J$6:$J$505,MATCH(119,'Fund Research'!$W$6:$W$505,0)),"")</f>
        <v/>
      </c>
      <c r="I124" s="39" t="str">
        <f aca="false">IFERROR(INDEX('Fund Research'!$L$6:$L$505,MATCH(119,'Fund Research'!$W$6:$W$505,0)),"")</f>
        <v/>
      </c>
      <c r="J124" s="36" t="str">
        <f aca="false">IFERROR(INDEX('Fund Research'!$N$6:$N$505,MATCH(119,'Fund Research'!$W$6:$W$505,0)),"")</f>
        <v/>
      </c>
      <c r="K124" s="36" t="str">
        <f aca="false">IFERROR(INDEX('Fund Research'!$P$6:$P$505,MATCH(119,'Fund Research'!$W$6:$W$505,0)),"")</f>
        <v/>
      </c>
      <c r="L124" s="34" t="str">
        <f aca="false">IFERROR(INDEX('Fund Research'!$S$6:$S$505,MATCH(119,'Fund Research'!$W$6:$W$505,0)),"")</f>
        <v/>
      </c>
      <c r="M124" s="34" t="str">
        <f aca="false">IFERROR(INDEX('Fund Research'!$T$6:$T$505,MATCH(119,'Fund Research'!$W$6:$W$505,0)),"")</f>
        <v/>
      </c>
    </row>
    <row r="125" customFormat="false" ht="15" hidden="false" customHeight="true" outlineLevel="0" collapsed="false">
      <c r="A125" s="33" t="str">
        <f aca="false">IFERROR(IF(INDEX('Fund Research'!$B$6:$B$505,MATCH(120,'Fund Research'!$W$6:$W$505,0))="","",120),"")</f>
        <v/>
      </c>
      <c r="B125" s="34" t="str">
        <f aca="false">IFERROR(INDEX('Fund Research'!$A$6:$A$505,MATCH(120,'Fund Research'!$W$6:$W$505,0)),"")</f>
        <v/>
      </c>
      <c r="C125" s="34" t="str">
        <f aca="false">IFERROR(INDEX('Fund Research'!$B$6:$B$505,MATCH(120,'Fund Research'!$W$6:$W$505,0)),"")</f>
        <v/>
      </c>
      <c r="D125" s="34" t="str">
        <f aca="false">IFERROR(INDEX('Fund Research'!$C$6:$C$505,MATCH(120,'Fund Research'!$W$6:$W$505,0)),"")</f>
        <v/>
      </c>
      <c r="E125" s="35" t="str">
        <f aca="false">IFERROR(INDEX('Fund Research'!$G$6:$G$505,MATCH(120,'Fund Research'!$W$6:$W$505,0)),"")</f>
        <v/>
      </c>
      <c r="F125" s="35" t="str">
        <f aca="false">IFERROR(INDEX('Fund Research'!$H$6:$H$505,MATCH(120,'Fund Research'!$W$6:$W$505,0)),"")</f>
        <v/>
      </c>
      <c r="G125" s="35" t="str">
        <f aca="false">IFERROR(INDEX('Fund Research'!$I$6:$I$505,MATCH(120,'Fund Research'!$W$6:$W$505,0)),"")</f>
        <v/>
      </c>
      <c r="H125" s="36" t="str">
        <f aca="false">IFERROR(INDEX('Fund Research'!$J$6:$J$505,MATCH(120,'Fund Research'!$W$6:$W$505,0)),"")</f>
        <v/>
      </c>
      <c r="I125" s="39" t="str">
        <f aca="false">IFERROR(INDEX('Fund Research'!$L$6:$L$505,MATCH(120,'Fund Research'!$W$6:$W$505,0)),"")</f>
        <v/>
      </c>
      <c r="J125" s="36" t="str">
        <f aca="false">IFERROR(INDEX('Fund Research'!$N$6:$N$505,MATCH(120,'Fund Research'!$W$6:$W$505,0)),"")</f>
        <v/>
      </c>
      <c r="K125" s="36" t="str">
        <f aca="false">IFERROR(INDEX('Fund Research'!$P$6:$P$505,MATCH(120,'Fund Research'!$W$6:$W$505,0)),"")</f>
        <v/>
      </c>
      <c r="L125" s="34" t="str">
        <f aca="false">IFERROR(INDEX('Fund Research'!$S$6:$S$505,MATCH(120,'Fund Research'!$W$6:$W$505,0)),"")</f>
        <v/>
      </c>
      <c r="M125" s="34" t="str">
        <f aca="false">IFERROR(INDEX('Fund Research'!$T$6:$T$505,MATCH(120,'Fund Research'!$W$6:$W$505,0)),"")</f>
        <v/>
      </c>
    </row>
    <row r="126" customFormat="false" ht="15" hidden="false" customHeight="true" outlineLevel="0" collapsed="false">
      <c r="A126" s="33" t="str">
        <f aca="false">IFERROR(IF(INDEX('Fund Research'!$B$6:$B$505,MATCH(121,'Fund Research'!$W$6:$W$505,0))="","",121),"")</f>
        <v/>
      </c>
      <c r="B126" s="34" t="str">
        <f aca="false">IFERROR(INDEX('Fund Research'!$A$6:$A$505,MATCH(121,'Fund Research'!$W$6:$W$505,0)),"")</f>
        <v/>
      </c>
      <c r="C126" s="34" t="str">
        <f aca="false">IFERROR(INDEX('Fund Research'!$B$6:$B$505,MATCH(121,'Fund Research'!$W$6:$W$505,0)),"")</f>
        <v/>
      </c>
      <c r="D126" s="34" t="str">
        <f aca="false">IFERROR(INDEX('Fund Research'!$C$6:$C$505,MATCH(121,'Fund Research'!$W$6:$W$505,0)),"")</f>
        <v/>
      </c>
      <c r="E126" s="35" t="str">
        <f aca="false">IFERROR(INDEX('Fund Research'!$G$6:$G$505,MATCH(121,'Fund Research'!$W$6:$W$505,0)),"")</f>
        <v/>
      </c>
      <c r="F126" s="35" t="str">
        <f aca="false">IFERROR(INDEX('Fund Research'!$H$6:$H$505,MATCH(121,'Fund Research'!$W$6:$W$505,0)),"")</f>
        <v/>
      </c>
      <c r="G126" s="35" t="str">
        <f aca="false">IFERROR(INDEX('Fund Research'!$I$6:$I$505,MATCH(121,'Fund Research'!$W$6:$W$505,0)),"")</f>
        <v/>
      </c>
      <c r="H126" s="36" t="str">
        <f aca="false">IFERROR(INDEX('Fund Research'!$J$6:$J$505,MATCH(121,'Fund Research'!$W$6:$W$505,0)),"")</f>
        <v/>
      </c>
      <c r="I126" s="39" t="str">
        <f aca="false">IFERROR(INDEX('Fund Research'!$L$6:$L$505,MATCH(121,'Fund Research'!$W$6:$W$505,0)),"")</f>
        <v/>
      </c>
      <c r="J126" s="36" t="str">
        <f aca="false">IFERROR(INDEX('Fund Research'!$N$6:$N$505,MATCH(121,'Fund Research'!$W$6:$W$505,0)),"")</f>
        <v/>
      </c>
      <c r="K126" s="36" t="str">
        <f aca="false">IFERROR(INDEX('Fund Research'!$P$6:$P$505,MATCH(121,'Fund Research'!$W$6:$W$505,0)),"")</f>
        <v/>
      </c>
      <c r="L126" s="34" t="str">
        <f aca="false">IFERROR(INDEX('Fund Research'!$S$6:$S$505,MATCH(121,'Fund Research'!$W$6:$W$505,0)),"")</f>
        <v/>
      </c>
      <c r="M126" s="34" t="str">
        <f aca="false">IFERROR(INDEX('Fund Research'!$T$6:$T$505,MATCH(121,'Fund Research'!$W$6:$W$505,0)),"")</f>
        <v/>
      </c>
    </row>
    <row r="127" customFormat="false" ht="15" hidden="false" customHeight="true" outlineLevel="0" collapsed="false">
      <c r="A127" s="33" t="str">
        <f aca="false">IFERROR(IF(INDEX('Fund Research'!$B$6:$B$505,MATCH(122,'Fund Research'!$W$6:$W$505,0))="","",122),"")</f>
        <v/>
      </c>
      <c r="B127" s="34" t="str">
        <f aca="false">IFERROR(INDEX('Fund Research'!$A$6:$A$505,MATCH(122,'Fund Research'!$W$6:$W$505,0)),"")</f>
        <v/>
      </c>
      <c r="C127" s="34" t="str">
        <f aca="false">IFERROR(INDEX('Fund Research'!$B$6:$B$505,MATCH(122,'Fund Research'!$W$6:$W$505,0)),"")</f>
        <v/>
      </c>
      <c r="D127" s="34" t="str">
        <f aca="false">IFERROR(INDEX('Fund Research'!$C$6:$C$505,MATCH(122,'Fund Research'!$W$6:$W$505,0)),"")</f>
        <v/>
      </c>
      <c r="E127" s="35" t="str">
        <f aca="false">IFERROR(INDEX('Fund Research'!$G$6:$G$505,MATCH(122,'Fund Research'!$W$6:$W$505,0)),"")</f>
        <v/>
      </c>
      <c r="F127" s="35" t="str">
        <f aca="false">IFERROR(INDEX('Fund Research'!$H$6:$H$505,MATCH(122,'Fund Research'!$W$6:$W$505,0)),"")</f>
        <v/>
      </c>
      <c r="G127" s="35" t="str">
        <f aca="false">IFERROR(INDEX('Fund Research'!$I$6:$I$505,MATCH(122,'Fund Research'!$W$6:$W$505,0)),"")</f>
        <v/>
      </c>
      <c r="H127" s="36" t="str">
        <f aca="false">IFERROR(INDEX('Fund Research'!$J$6:$J$505,MATCH(122,'Fund Research'!$W$6:$W$505,0)),"")</f>
        <v/>
      </c>
      <c r="I127" s="39" t="str">
        <f aca="false">IFERROR(INDEX('Fund Research'!$L$6:$L$505,MATCH(122,'Fund Research'!$W$6:$W$505,0)),"")</f>
        <v/>
      </c>
      <c r="J127" s="36" t="str">
        <f aca="false">IFERROR(INDEX('Fund Research'!$N$6:$N$505,MATCH(122,'Fund Research'!$W$6:$W$505,0)),"")</f>
        <v/>
      </c>
      <c r="K127" s="36" t="str">
        <f aca="false">IFERROR(INDEX('Fund Research'!$P$6:$P$505,MATCH(122,'Fund Research'!$W$6:$W$505,0)),"")</f>
        <v/>
      </c>
      <c r="L127" s="34" t="str">
        <f aca="false">IFERROR(INDEX('Fund Research'!$S$6:$S$505,MATCH(122,'Fund Research'!$W$6:$W$505,0)),"")</f>
        <v/>
      </c>
      <c r="M127" s="34" t="str">
        <f aca="false">IFERROR(INDEX('Fund Research'!$T$6:$T$505,MATCH(122,'Fund Research'!$W$6:$W$505,0)),"")</f>
        <v/>
      </c>
    </row>
    <row r="128" customFormat="false" ht="15" hidden="false" customHeight="true" outlineLevel="0" collapsed="false">
      <c r="A128" s="33" t="str">
        <f aca="false">IFERROR(IF(INDEX('Fund Research'!$B$6:$B$505,MATCH(123,'Fund Research'!$W$6:$W$505,0))="","",123),"")</f>
        <v/>
      </c>
      <c r="B128" s="34" t="str">
        <f aca="false">IFERROR(INDEX('Fund Research'!$A$6:$A$505,MATCH(123,'Fund Research'!$W$6:$W$505,0)),"")</f>
        <v/>
      </c>
      <c r="C128" s="34" t="str">
        <f aca="false">IFERROR(INDEX('Fund Research'!$B$6:$B$505,MATCH(123,'Fund Research'!$W$6:$W$505,0)),"")</f>
        <v/>
      </c>
      <c r="D128" s="34" t="str">
        <f aca="false">IFERROR(INDEX('Fund Research'!$C$6:$C$505,MATCH(123,'Fund Research'!$W$6:$W$505,0)),"")</f>
        <v/>
      </c>
      <c r="E128" s="35" t="str">
        <f aca="false">IFERROR(INDEX('Fund Research'!$G$6:$G$505,MATCH(123,'Fund Research'!$W$6:$W$505,0)),"")</f>
        <v/>
      </c>
      <c r="F128" s="35" t="str">
        <f aca="false">IFERROR(INDEX('Fund Research'!$H$6:$H$505,MATCH(123,'Fund Research'!$W$6:$W$505,0)),"")</f>
        <v/>
      </c>
      <c r="G128" s="35" t="str">
        <f aca="false">IFERROR(INDEX('Fund Research'!$I$6:$I$505,MATCH(123,'Fund Research'!$W$6:$W$505,0)),"")</f>
        <v/>
      </c>
      <c r="H128" s="36" t="str">
        <f aca="false">IFERROR(INDEX('Fund Research'!$J$6:$J$505,MATCH(123,'Fund Research'!$W$6:$W$505,0)),"")</f>
        <v/>
      </c>
      <c r="I128" s="39" t="str">
        <f aca="false">IFERROR(INDEX('Fund Research'!$L$6:$L$505,MATCH(123,'Fund Research'!$W$6:$W$505,0)),"")</f>
        <v/>
      </c>
      <c r="J128" s="36" t="str">
        <f aca="false">IFERROR(INDEX('Fund Research'!$N$6:$N$505,MATCH(123,'Fund Research'!$W$6:$W$505,0)),"")</f>
        <v/>
      </c>
      <c r="K128" s="36" t="str">
        <f aca="false">IFERROR(INDEX('Fund Research'!$P$6:$P$505,MATCH(123,'Fund Research'!$W$6:$W$505,0)),"")</f>
        <v/>
      </c>
      <c r="L128" s="34" t="str">
        <f aca="false">IFERROR(INDEX('Fund Research'!$S$6:$S$505,MATCH(123,'Fund Research'!$W$6:$W$505,0)),"")</f>
        <v/>
      </c>
      <c r="M128" s="34" t="str">
        <f aca="false">IFERROR(INDEX('Fund Research'!$T$6:$T$505,MATCH(123,'Fund Research'!$W$6:$W$505,0)),"")</f>
        <v/>
      </c>
    </row>
    <row r="129" customFormat="false" ht="15" hidden="false" customHeight="true" outlineLevel="0" collapsed="false">
      <c r="A129" s="33" t="str">
        <f aca="false">IFERROR(IF(INDEX('Fund Research'!$B$6:$B$505,MATCH(124,'Fund Research'!$W$6:$W$505,0))="","",124),"")</f>
        <v/>
      </c>
      <c r="B129" s="34" t="str">
        <f aca="false">IFERROR(INDEX('Fund Research'!$A$6:$A$505,MATCH(124,'Fund Research'!$W$6:$W$505,0)),"")</f>
        <v/>
      </c>
      <c r="C129" s="34" t="str">
        <f aca="false">IFERROR(INDEX('Fund Research'!$B$6:$B$505,MATCH(124,'Fund Research'!$W$6:$W$505,0)),"")</f>
        <v/>
      </c>
      <c r="D129" s="34" t="str">
        <f aca="false">IFERROR(INDEX('Fund Research'!$C$6:$C$505,MATCH(124,'Fund Research'!$W$6:$W$505,0)),"")</f>
        <v/>
      </c>
      <c r="E129" s="35" t="str">
        <f aca="false">IFERROR(INDEX('Fund Research'!$G$6:$G$505,MATCH(124,'Fund Research'!$W$6:$W$505,0)),"")</f>
        <v/>
      </c>
      <c r="F129" s="35" t="str">
        <f aca="false">IFERROR(INDEX('Fund Research'!$H$6:$H$505,MATCH(124,'Fund Research'!$W$6:$W$505,0)),"")</f>
        <v/>
      </c>
      <c r="G129" s="35" t="str">
        <f aca="false">IFERROR(INDEX('Fund Research'!$I$6:$I$505,MATCH(124,'Fund Research'!$W$6:$W$505,0)),"")</f>
        <v/>
      </c>
      <c r="H129" s="36" t="str">
        <f aca="false">IFERROR(INDEX('Fund Research'!$J$6:$J$505,MATCH(124,'Fund Research'!$W$6:$W$505,0)),"")</f>
        <v/>
      </c>
      <c r="I129" s="39" t="str">
        <f aca="false">IFERROR(INDEX('Fund Research'!$L$6:$L$505,MATCH(124,'Fund Research'!$W$6:$W$505,0)),"")</f>
        <v/>
      </c>
      <c r="J129" s="36" t="str">
        <f aca="false">IFERROR(INDEX('Fund Research'!$N$6:$N$505,MATCH(124,'Fund Research'!$W$6:$W$505,0)),"")</f>
        <v/>
      </c>
      <c r="K129" s="36" t="str">
        <f aca="false">IFERROR(INDEX('Fund Research'!$P$6:$P$505,MATCH(124,'Fund Research'!$W$6:$W$505,0)),"")</f>
        <v/>
      </c>
      <c r="L129" s="34" t="str">
        <f aca="false">IFERROR(INDEX('Fund Research'!$S$6:$S$505,MATCH(124,'Fund Research'!$W$6:$W$505,0)),"")</f>
        <v/>
      </c>
      <c r="M129" s="34" t="str">
        <f aca="false">IFERROR(INDEX('Fund Research'!$T$6:$T$505,MATCH(124,'Fund Research'!$W$6:$W$505,0)),"")</f>
        <v/>
      </c>
    </row>
    <row r="130" customFormat="false" ht="15" hidden="false" customHeight="true" outlineLevel="0" collapsed="false">
      <c r="A130" s="33" t="str">
        <f aca="false">IFERROR(IF(INDEX('Fund Research'!$B$6:$B$505,MATCH(125,'Fund Research'!$W$6:$W$505,0))="","",125),"")</f>
        <v/>
      </c>
      <c r="B130" s="34" t="str">
        <f aca="false">IFERROR(INDEX('Fund Research'!$A$6:$A$505,MATCH(125,'Fund Research'!$W$6:$W$505,0)),"")</f>
        <v/>
      </c>
      <c r="C130" s="34" t="str">
        <f aca="false">IFERROR(INDEX('Fund Research'!$B$6:$B$505,MATCH(125,'Fund Research'!$W$6:$W$505,0)),"")</f>
        <v/>
      </c>
      <c r="D130" s="34" t="str">
        <f aca="false">IFERROR(INDEX('Fund Research'!$C$6:$C$505,MATCH(125,'Fund Research'!$W$6:$W$505,0)),"")</f>
        <v/>
      </c>
      <c r="E130" s="35" t="str">
        <f aca="false">IFERROR(INDEX('Fund Research'!$G$6:$G$505,MATCH(125,'Fund Research'!$W$6:$W$505,0)),"")</f>
        <v/>
      </c>
      <c r="F130" s="35" t="str">
        <f aca="false">IFERROR(INDEX('Fund Research'!$H$6:$H$505,MATCH(125,'Fund Research'!$W$6:$W$505,0)),"")</f>
        <v/>
      </c>
      <c r="G130" s="35" t="str">
        <f aca="false">IFERROR(INDEX('Fund Research'!$I$6:$I$505,MATCH(125,'Fund Research'!$W$6:$W$505,0)),"")</f>
        <v/>
      </c>
      <c r="H130" s="36" t="str">
        <f aca="false">IFERROR(INDEX('Fund Research'!$J$6:$J$505,MATCH(125,'Fund Research'!$W$6:$W$505,0)),"")</f>
        <v/>
      </c>
      <c r="I130" s="39" t="str">
        <f aca="false">IFERROR(INDEX('Fund Research'!$L$6:$L$505,MATCH(125,'Fund Research'!$W$6:$W$505,0)),"")</f>
        <v/>
      </c>
      <c r="J130" s="36" t="str">
        <f aca="false">IFERROR(INDEX('Fund Research'!$N$6:$N$505,MATCH(125,'Fund Research'!$W$6:$W$505,0)),"")</f>
        <v/>
      </c>
      <c r="K130" s="36" t="str">
        <f aca="false">IFERROR(INDEX('Fund Research'!$P$6:$P$505,MATCH(125,'Fund Research'!$W$6:$W$505,0)),"")</f>
        <v/>
      </c>
      <c r="L130" s="34" t="str">
        <f aca="false">IFERROR(INDEX('Fund Research'!$S$6:$S$505,MATCH(125,'Fund Research'!$W$6:$W$505,0)),"")</f>
        <v/>
      </c>
      <c r="M130" s="34" t="str">
        <f aca="false">IFERROR(INDEX('Fund Research'!$T$6:$T$505,MATCH(125,'Fund Research'!$W$6:$W$505,0)),"")</f>
        <v/>
      </c>
    </row>
    <row r="131" customFormat="false" ht="15" hidden="false" customHeight="true" outlineLevel="0" collapsed="false">
      <c r="A131" s="33" t="str">
        <f aca="false">IFERROR(IF(INDEX('Fund Research'!$B$6:$B$505,MATCH(126,'Fund Research'!$W$6:$W$505,0))="","",126),"")</f>
        <v/>
      </c>
      <c r="B131" s="34" t="str">
        <f aca="false">IFERROR(INDEX('Fund Research'!$A$6:$A$505,MATCH(126,'Fund Research'!$W$6:$W$505,0)),"")</f>
        <v/>
      </c>
      <c r="C131" s="34" t="str">
        <f aca="false">IFERROR(INDEX('Fund Research'!$B$6:$B$505,MATCH(126,'Fund Research'!$W$6:$W$505,0)),"")</f>
        <v/>
      </c>
      <c r="D131" s="34" t="str">
        <f aca="false">IFERROR(INDEX('Fund Research'!$C$6:$C$505,MATCH(126,'Fund Research'!$W$6:$W$505,0)),"")</f>
        <v/>
      </c>
      <c r="E131" s="35" t="str">
        <f aca="false">IFERROR(INDEX('Fund Research'!$G$6:$G$505,MATCH(126,'Fund Research'!$W$6:$W$505,0)),"")</f>
        <v/>
      </c>
      <c r="F131" s="35" t="str">
        <f aca="false">IFERROR(INDEX('Fund Research'!$H$6:$H$505,MATCH(126,'Fund Research'!$W$6:$W$505,0)),"")</f>
        <v/>
      </c>
      <c r="G131" s="35" t="str">
        <f aca="false">IFERROR(INDEX('Fund Research'!$I$6:$I$505,MATCH(126,'Fund Research'!$W$6:$W$505,0)),"")</f>
        <v/>
      </c>
      <c r="H131" s="36" t="str">
        <f aca="false">IFERROR(INDEX('Fund Research'!$J$6:$J$505,MATCH(126,'Fund Research'!$W$6:$W$505,0)),"")</f>
        <v/>
      </c>
      <c r="I131" s="39" t="str">
        <f aca="false">IFERROR(INDEX('Fund Research'!$L$6:$L$505,MATCH(126,'Fund Research'!$W$6:$W$505,0)),"")</f>
        <v/>
      </c>
      <c r="J131" s="36" t="str">
        <f aca="false">IFERROR(INDEX('Fund Research'!$N$6:$N$505,MATCH(126,'Fund Research'!$W$6:$W$505,0)),"")</f>
        <v/>
      </c>
      <c r="K131" s="36" t="str">
        <f aca="false">IFERROR(INDEX('Fund Research'!$P$6:$P$505,MATCH(126,'Fund Research'!$W$6:$W$505,0)),"")</f>
        <v/>
      </c>
      <c r="L131" s="34" t="str">
        <f aca="false">IFERROR(INDEX('Fund Research'!$S$6:$S$505,MATCH(126,'Fund Research'!$W$6:$W$505,0)),"")</f>
        <v/>
      </c>
      <c r="M131" s="34" t="str">
        <f aca="false">IFERROR(INDEX('Fund Research'!$T$6:$T$505,MATCH(126,'Fund Research'!$W$6:$W$505,0)),"")</f>
        <v/>
      </c>
    </row>
    <row r="132" customFormat="false" ht="15" hidden="false" customHeight="true" outlineLevel="0" collapsed="false">
      <c r="A132" s="33" t="str">
        <f aca="false">IFERROR(IF(INDEX('Fund Research'!$B$6:$B$505,MATCH(127,'Fund Research'!$W$6:$W$505,0))="","",127),"")</f>
        <v/>
      </c>
      <c r="B132" s="34" t="str">
        <f aca="false">IFERROR(INDEX('Fund Research'!$A$6:$A$505,MATCH(127,'Fund Research'!$W$6:$W$505,0)),"")</f>
        <v/>
      </c>
      <c r="C132" s="34" t="str">
        <f aca="false">IFERROR(INDEX('Fund Research'!$B$6:$B$505,MATCH(127,'Fund Research'!$W$6:$W$505,0)),"")</f>
        <v/>
      </c>
      <c r="D132" s="34" t="str">
        <f aca="false">IFERROR(INDEX('Fund Research'!$C$6:$C$505,MATCH(127,'Fund Research'!$W$6:$W$505,0)),"")</f>
        <v/>
      </c>
      <c r="E132" s="35" t="str">
        <f aca="false">IFERROR(INDEX('Fund Research'!$G$6:$G$505,MATCH(127,'Fund Research'!$W$6:$W$505,0)),"")</f>
        <v/>
      </c>
      <c r="F132" s="35" t="str">
        <f aca="false">IFERROR(INDEX('Fund Research'!$H$6:$H$505,MATCH(127,'Fund Research'!$W$6:$W$505,0)),"")</f>
        <v/>
      </c>
      <c r="G132" s="35" t="str">
        <f aca="false">IFERROR(INDEX('Fund Research'!$I$6:$I$505,MATCH(127,'Fund Research'!$W$6:$W$505,0)),"")</f>
        <v/>
      </c>
      <c r="H132" s="36" t="str">
        <f aca="false">IFERROR(INDEX('Fund Research'!$J$6:$J$505,MATCH(127,'Fund Research'!$W$6:$W$505,0)),"")</f>
        <v/>
      </c>
      <c r="I132" s="39" t="str">
        <f aca="false">IFERROR(INDEX('Fund Research'!$L$6:$L$505,MATCH(127,'Fund Research'!$W$6:$W$505,0)),"")</f>
        <v/>
      </c>
      <c r="J132" s="36" t="str">
        <f aca="false">IFERROR(INDEX('Fund Research'!$N$6:$N$505,MATCH(127,'Fund Research'!$W$6:$W$505,0)),"")</f>
        <v/>
      </c>
      <c r="K132" s="36" t="str">
        <f aca="false">IFERROR(INDEX('Fund Research'!$P$6:$P$505,MATCH(127,'Fund Research'!$W$6:$W$505,0)),"")</f>
        <v/>
      </c>
      <c r="L132" s="34" t="str">
        <f aca="false">IFERROR(INDEX('Fund Research'!$S$6:$S$505,MATCH(127,'Fund Research'!$W$6:$W$505,0)),"")</f>
        <v/>
      </c>
      <c r="M132" s="34" t="str">
        <f aca="false">IFERROR(INDEX('Fund Research'!$T$6:$T$505,MATCH(127,'Fund Research'!$W$6:$W$505,0)),"")</f>
        <v/>
      </c>
    </row>
    <row r="133" customFormat="false" ht="15" hidden="false" customHeight="true" outlineLevel="0" collapsed="false">
      <c r="A133" s="33" t="str">
        <f aca="false">IFERROR(IF(INDEX('Fund Research'!$B$6:$B$505,MATCH(128,'Fund Research'!$W$6:$W$505,0))="","",128),"")</f>
        <v/>
      </c>
      <c r="B133" s="34" t="str">
        <f aca="false">IFERROR(INDEX('Fund Research'!$A$6:$A$505,MATCH(128,'Fund Research'!$W$6:$W$505,0)),"")</f>
        <v/>
      </c>
      <c r="C133" s="34" t="str">
        <f aca="false">IFERROR(INDEX('Fund Research'!$B$6:$B$505,MATCH(128,'Fund Research'!$W$6:$W$505,0)),"")</f>
        <v/>
      </c>
      <c r="D133" s="34" t="str">
        <f aca="false">IFERROR(INDEX('Fund Research'!$C$6:$C$505,MATCH(128,'Fund Research'!$W$6:$W$505,0)),"")</f>
        <v/>
      </c>
      <c r="E133" s="35" t="str">
        <f aca="false">IFERROR(INDEX('Fund Research'!$G$6:$G$505,MATCH(128,'Fund Research'!$W$6:$W$505,0)),"")</f>
        <v/>
      </c>
      <c r="F133" s="35" t="str">
        <f aca="false">IFERROR(INDEX('Fund Research'!$H$6:$H$505,MATCH(128,'Fund Research'!$W$6:$W$505,0)),"")</f>
        <v/>
      </c>
      <c r="G133" s="35" t="str">
        <f aca="false">IFERROR(INDEX('Fund Research'!$I$6:$I$505,MATCH(128,'Fund Research'!$W$6:$W$505,0)),"")</f>
        <v/>
      </c>
      <c r="H133" s="36" t="str">
        <f aca="false">IFERROR(INDEX('Fund Research'!$J$6:$J$505,MATCH(128,'Fund Research'!$W$6:$W$505,0)),"")</f>
        <v/>
      </c>
      <c r="I133" s="39" t="str">
        <f aca="false">IFERROR(INDEX('Fund Research'!$L$6:$L$505,MATCH(128,'Fund Research'!$W$6:$W$505,0)),"")</f>
        <v/>
      </c>
      <c r="J133" s="36" t="str">
        <f aca="false">IFERROR(INDEX('Fund Research'!$N$6:$N$505,MATCH(128,'Fund Research'!$W$6:$W$505,0)),"")</f>
        <v/>
      </c>
      <c r="K133" s="36" t="str">
        <f aca="false">IFERROR(INDEX('Fund Research'!$P$6:$P$505,MATCH(128,'Fund Research'!$W$6:$W$505,0)),"")</f>
        <v/>
      </c>
      <c r="L133" s="34" t="str">
        <f aca="false">IFERROR(INDEX('Fund Research'!$S$6:$S$505,MATCH(128,'Fund Research'!$W$6:$W$505,0)),"")</f>
        <v/>
      </c>
      <c r="M133" s="34" t="str">
        <f aca="false">IFERROR(INDEX('Fund Research'!$T$6:$T$505,MATCH(128,'Fund Research'!$W$6:$W$505,0)),"")</f>
        <v/>
      </c>
    </row>
    <row r="134" customFormat="false" ht="15" hidden="false" customHeight="true" outlineLevel="0" collapsed="false">
      <c r="A134" s="33" t="str">
        <f aca="false">IFERROR(IF(INDEX('Fund Research'!$B$6:$B$505,MATCH(129,'Fund Research'!$W$6:$W$505,0))="","",129),"")</f>
        <v/>
      </c>
      <c r="B134" s="34" t="str">
        <f aca="false">IFERROR(INDEX('Fund Research'!$A$6:$A$505,MATCH(129,'Fund Research'!$W$6:$W$505,0)),"")</f>
        <v/>
      </c>
      <c r="C134" s="34" t="str">
        <f aca="false">IFERROR(INDEX('Fund Research'!$B$6:$B$505,MATCH(129,'Fund Research'!$W$6:$W$505,0)),"")</f>
        <v/>
      </c>
      <c r="D134" s="34" t="str">
        <f aca="false">IFERROR(INDEX('Fund Research'!$C$6:$C$505,MATCH(129,'Fund Research'!$W$6:$W$505,0)),"")</f>
        <v/>
      </c>
      <c r="E134" s="35" t="str">
        <f aca="false">IFERROR(INDEX('Fund Research'!$G$6:$G$505,MATCH(129,'Fund Research'!$W$6:$W$505,0)),"")</f>
        <v/>
      </c>
      <c r="F134" s="35" t="str">
        <f aca="false">IFERROR(INDEX('Fund Research'!$H$6:$H$505,MATCH(129,'Fund Research'!$W$6:$W$505,0)),"")</f>
        <v/>
      </c>
      <c r="G134" s="35" t="str">
        <f aca="false">IFERROR(INDEX('Fund Research'!$I$6:$I$505,MATCH(129,'Fund Research'!$W$6:$W$505,0)),"")</f>
        <v/>
      </c>
      <c r="H134" s="36" t="str">
        <f aca="false">IFERROR(INDEX('Fund Research'!$J$6:$J$505,MATCH(129,'Fund Research'!$W$6:$W$505,0)),"")</f>
        <v/>
      </c>
      <c r="I134" s="39" t="str">
        <f aca="false">IFERROR(INDEX('Fund Research'!$L$6:$L$505,MATCH(129,'Fund Research'!$W$6:$W$505,0)),"")</f>
        <v/>
      </c>
      <c r="J134" s="36" t="str">
        <f aca="false">IFERROR(INDEX('Fund Research'!$N$6:$N$505,MATCH(129,'Fund Research'!$W$6:$W$505,0)),"")</f>
        <v/>
      </c>
      <c r="K134" s="36" t="str">
        <f aca="false">IFERROR(INDEX('Fund Research'!$P$6:$P$505,MATCH(129,'Fund Research'!$W$6:$W$505,0)),"")</f>
        <v/>
      </c>
      <c r="L134" s="34" t="str">
        <f aca="false">IFERROR(INDEX('Fund Research'!$S$6:$S$505,MATCH(129,'Fund Research'!$W$6:$W$505,0)),"")</f>
        <v/>
      </c>
      <c r="M134" s="34" t="str">
        <f aca="false">IFERROR(INDEX('Fund Research'!$T$6:$T$505,MATCH(129,'Fund Research'!$W$6:$W$505,0)),"")</f>
        <v/>
      </c>
    </row>
    <row r="135" customFormat="false" ht="15" hidden="false" customHeight="true" outlineLevel="0" collapsed="false">
      <c r="A135" s="33" t="str">
        <f aca="false">IFERROR(IF(INDEX('Fund Research'!$B$6:$B$505,MATCH(130,'Fund Research'!$W$6:$W$505,0))="","",130),"")</f>
        <v/>
      </c>
      <c r="B135" s="34" t="str">
        <f aca="false">IFERROR(INDEX('Fund Research'!$A$6:$A$505,MATCH(130,'Fund Research'!$W$6:$W$505,0)),"")</f>
        <v/>
      </c>
      <c r="C135" s="34" t="str">
        <f aca="false">IFERROR(INDEX('Fund Research'!$B$6:$B$505,MATCH(130,'Fund Research'!$W$6:$W$505,0)),"")</f>
        <v/>
      </c>
      <c r="D135" s="34" t="str">
        <f aca="false">IFERROR(INDEX('Fund Research'!$C$6:$C$505,MATCH(130,'Fund Research'!$W$6:$W$505,0)),"")</f>
        <v/>
      </c>
      <c r="E135" s="35" t="str">
        <f aca="false">IFERROR(INDEX('Fund Research'!$G$6:$G$505,MATCH(130,'Fund Research'!$W$6:$W$505,0)),"")</f>
        <v/>
      </c>
      <c r="F135" s="35" t="str">
        <f aca="false">IFERROR(INDEX('Fund Research'!$H$6:$H$505,MATCH(130,'Fund Research'!$W$6:$W$505,0)),"")</f>
        <v/>
      </c>
      <c r="G135" s="35" t="str">
        <f aca="false">IFERROR(INDEX('Fund Research'!$I$6:$I$505,MATCH(130,'Fund Research'!$W$6:$W$505,0)),"")</f>
        <v/>
      </c>
      <c r="H135" s="36" t="str">
        <f aca="false">IFERROR(INDEX('Fund Research'!$J$6:$J$505,MATCH(130,'Fund Research'!$W$6:$W$505,0)),"")</f>
        <v/>
      </c>
      <c r="I135" s="39" t="str">
        <f aca="false">IFERROR(INDEX('Fund Research'!$L$6:$L$505,MATCH(130,'Fund Research'!$W$6:$W$505,0)),"")</f>
        <v/>
      </c>
      <c r="J135" s="36" t="str">
        <f aca="false">IFERROR(INDEX('Fund Research'!$N$6:$N$505,MATCH(130,'Fund Research'!$W$6:$W$505,0)),"")</f>
        <v/>
      </c>
      <c r="K135" s="36" t="str">
        <f aca="false">IFERROR(INDEX('Fund Research'!$P$6:$P$505,MATCH(130,'Fund Research'!$W$6:$W$505,0)),"")</f>
        <v/>
      </c>
      <c r="L135" s="34" t="str">
        <f aca="false">IFERROR(INDEX('Fund Research'!$S$6:$S$505,MATCH(130,'Fund Research'!$W$6:$W$505,0)),"")</f>
        <v/>
      </c>
      <c r="M135" s="34" t="str">
        <f aca="false">IFERROR(INDEX('Fund Research'!$T$6:$T$505,MATCH(130,'Fund Research'!$W$6:$W$505,0)),"")</f>
        <v/>
      </c>
    </row>
    <row r="136" customFormat="false" ht="15" hidden="false" customHeight="true" outlineLevel="0" collapsed="false">
      <c r="A136" s="33" t="str">
        <f aca="false">IFERROR(IF(INDEX('Fund Research'!$B$6:$B$505,MATCH(131,'Fund Research'!$W$6:$W$505,0))="","",131),"")</f>
        <v/>
      </c>
      <c r="B136" s="34" t="str">
        <f aca="false">IFERROR(INDEX('Fund Research'!$A$6:$A$505,MATCH(131,'Fund Research'!$W$6:$W$505,0)),"")</f>
        <v/>
      </c>
      <c r="C136" s="34" t="str">
        <f aca="false">IFERROR(INDEX('Fund Research'!$B$6:$B$505,MATCH(131,'Fund Research'!$W$6:$W$505,0)),"")</f>
        <v/>
      </c>
      <c r="D136" s="34" t="str">
        <f aca="false">IFERROR(INDEX('Fund Research'!$C$6:$C$505,MATCH(131,'Fund Research'!$W$6:$W$505,0)),"")</f>
        <v/>
      </c>
      <c r="E136" s="35" t="str">
        <f aca="false">IFERROR(INDEX('Fund Research'!$G$6:$G$505,MATCH(131,'Fund Research'!$W$6:$W$505,0)),"")</f>
        <v/>
      </c>
      <c r="F136" s="35" t="str">
        <f aca="false">IFERROR(INDEX('Fund Research'!$H$6:$H$505,MATCH(131,'Fund Research'!$W$6:$W$505,0)),"")</f>
        <v/>
      </c>
      <c r="G136" s="35" t="str">
        <f aca="false">IFERROR(INDEX('Fund Research'!$I$6:$I$505,MATCH(131,'Fund Research'!$W$6:$W$505,0)),"")</f>
        <v/>
      </c>
      <c r="H136" s="36" t="str">
        <f aca="false">IFERROR(INDEX('Fund Research'!$J$6:$J$505,MATCH(131,'Fund Research'!$W$6:$W$505,0)),"")</f>
        <v/>
      </c>
      <c r="I136" s="39" t="str">
        <f aca="false">IFERROR(INDEX('Fund Research'!$L$6:$L$505,MATCH(131,'Fund Research'!$W$6:$W$505,0)),"")</f>
        <v/>
      </c>
      <c r="J136" s="36" t="str">
        <f aca="false">IFERROR(INDEX('Fund Research'!$N$6:$N$505,MATCH(131,'Fund Research'!$W$6:$W$505,0)),"")</f>
        <v/>
      </c>
      <c r="K136" s="36" t="str">
        <f aca="false">IFERROR(INDEX('Fund Research'!$P$6:$P$505,MATCH(131,'Fund Research'!$W$6:$W$505,0)),"")</f>
        <v/>
      </c>
      <c r="L136" s="34" t="str">
        <f aca="false">IFERROR(INDEX('Fund Research'!$S$6:$S$505,MATCH(131,'Fund Research'!$W$6:$W$505,0)),"")</f>
        <v/>
      </c>
      <c r="M136" s="34" t="str">
        <f aca="false">IFERROR(INDEX('Fund Research'!$T$6:$T$505,MATCH(131,'Fund Research'!$W$6:$W$505,0)),"")</f>
        <v/>
      </c>
    </row>
    <row r="137" customFormat="false" ht="15" hidden="false" customHeight="true" outlineLevel="0" collapsed="false">
      <c r="A137" s="33" t="str">
        <f aca="false">IFERROR(IF(INDEX('Fund Research'!$B$6:$B$505,MATCH(132,'Fund Research'!$W$6:$W$505,0))="","",132),"")</f>
        <v/>
      </c>
      <c r="B137" s="34" t="str">
        <f aca="false">IFERROR(INDEX('Fund Research'!$A$6:$A$505,MATCH(132,'Fund Research'!$W$6:$W$505,0)),"")</f>
        <v/>
      </c>
      <c r="C137" s="34" t="str">
        <f aca="false">IFERROR(INDEX('Fund Research'!$B$6:$B$505,MATCH(132,'Fund Research'!$W$6:$W$505,0)),"")</f>
        <v/>
      </c>
      <c r="D137" s="34" t="str">
        <f aca="false">IFERROR(INDEX('Fund Research'!$C$6:$C$505,MATCH(132,'Fund Research'!$W$6:$W$505,0)),"")</f>
        <v/>
      </c>
      <c r="E137" s="35" t="str">
        <f aca="false">IFERROR(INDEX('Fund Research'!$G$6:$G$505,MATCH(132,'Fund Research'!$W$6:$W$505,0)),"")</f>
        <v/>
      </c>
      <c r="F137" s="35" t="str">
        <f aca="false">IFERROR(INDEX('Fund Research'!$H$6:$H$505,MATCH(132,'Fund Research'!$W$6:$W$505,0)),"")</f>
        <v/>
      </c>
      <c r="G137" s="35" t="str">
        <f aca="false">IFERROR(INDEX('Fund Research'!$I$6:$I$505,MATCH(132,'Fund Research'!$W$6:$W$505,0)),"")</f>
        <v/>
      </c>
      <c r="H137" s="36" t="str">
        <f aca="false">IFERROR(INDEX('Fund Research'!$J$6:$J$505,MATCH(132,'Fund Research'!$W$6:$W$505,0)),"")</f>
        <v/>
      </c>
      <c r="I137" s="39" t="str">
        <f aca="false">IFERROR(INDEX('Fund Research'!$L$6:$L$505,MATCH(132,'Fund Research'!$W$6:$W$505,0)),"")</f>
        <v/>
      </c>
      <c r="J137" s="36" t="str">
        <f aca="false">IFERROR(INDEX('Fund Research'!$N$6:$N$505,MATCH(132,'Fund Research'!$W$6:$W$505,0)),"")</f>
        <v/>
      </c>
      <c r="K137" s="36" t="str">
        <f aca="false">IFERROR(INDEX('Fund Research'!$P$6:$P$505,MATCH(132,'Fund Research'!$W$6:$W$505,0)),"")</f>
        <v/>
      </c>
      <c r="L137" s="34" t="str">
        <f aca="false">IFERROR(INDEX('Fund Research'!$S$6:$S$505,MATCH(132,'Fund Research'!$W$6:$W$505,0)),"")</f>
        <v/>
      </c>
      <c r="M137" s="34" t="str">
        <f aca="false">IFERROR(INDEX('Fund Research'!$T$6:$T$505,MATCH(132,'Fund Research'!$W$6:$W$505,0)),"")</f>
        <v/>
      </c>
    </row>
    <row r="138" customFormat="false" ht="15" hidden="false" customHeight="true" outlineLevel="0" collapsed="false">
      <c r="A138" s="33" t="str">
        <f aca="false">IFERROR(IF(INDEX('Fund Research'!$B$6:$B$505,MATCH(133,'Fund Research'!$W$6:$W$505,0))="","",133),"")</f>
        <v/>
      </c>
      <c r="B138" s="34" t="str">
        <f aca="false">IFERROR(INDEX('Fund Research'!$A$6:$A$505,MATCH(133,'Fund Research'!$W$6:$W$505,0)),"")</f>
        <v/>
      </c>
      <c r="C138" s="34" t="str">
        <f aca="false">IFERROR(INDEX('Fund Research'!$B$6:$B$505,MATCH(133,'Fund Research'!$W$6:$W$505,0)),"")</f>
        <v/>
      </c>
      <c r="D138" s="34" t="str">
        <f aca="false">IFERROR(INDEX('Fund Research'!$C$6:$C$505,MATCH(133,'Fund Research'!$W$6:$W$505,0)),"")</f>
        <v/>
      </c>
      <c r="E138" s="35" t="str">
        <f aca="false">IFERROR(INDEX('Fund Research'!$G$6:$G$505,MATCH(133,'Fund Research'!$W$6:$W$505,0)),"")</f>
        <v/>
      </c>
      <c r="F138" s="35" t="str">
        <f aca="false">IFERROR(INDEX('Fund Research'!$H$6:$H$505,MATCH(133,'Fund Research'!$W$6:$W$505,0)),"")</f>
        <v/>
      </c>
      <c r="G138" s="35" t="str">
        <f aca="false">IFERROR(INDEX('Fund Research'!$I$6:$I$505,MATCH(133,'Fund Research'!$W$6:$W$505,0)),"")</f>
        <v/>
      </c>
      <c r="H138" s="36" t="str">
        <f aca="false">IFERROR(INDEX('Fund Research'!$J$6:$J$505,MATCH(133,'Fund Research'!$W$6:$W$505,0)),"")</f>
        <v/>
      </c>
      <c r="I138" s="39" t="str">
        <f aca="false">IFERROR(INDEX('Fund Research'!$L$6:$L$505,MATCH(133,'Fund Research'!$W$6:$W$505,0)),"")</f>
        <v/>
      </c>
      <c r="J138" s="36" t="str">
        <f aca="false">IFERROR(INDEX('Fund Research'!$N$6:$N$505,MATCH(133,'Fund Research'!$W$6:$W$505,0)),"")</f>
        <v/>
      </c>
      <c r="K138" s="36" t="str">
        <f aca="false">IFERROR(INDEX('Fund Research'!$P$6:$P$505,MATCH(133,'Fund Research'!$W$6:$W$505,0)),"")</f>
        <v/>
      </c>
      <c r="L138" s="34" t="str">
        <f aca="false">IFERROR(INDEX('Fund Research'!$S$6:$S$505,MATCH(133,'Fund Research'!$W$6:$W$505,0)),"")</f>
        <v/>
      </c>
      <c r="M138" s="34" t="str">
        <f aca="false">IFERROR(INDEX('Fund Research'!$T$6:$T$505,MATCH(133,'Fund Research'!$W$6:$W$505,0)),"")</f>
        <v/>
      </c>
    </row>
    <row r="139" customFormat="false" ht="15" hidden="false" customHeight="true" outlineLevel="0" collapsed="false">
      <c r="A139" s="33" t="str">
        <f aca="false">IFERROR(IF(INDEX('Fund Research'!$B$6:$B$505,MATCH(134,'Fund Research'!$W$6:$W$505,0))="","",134),"")</f>
        <v/>
      </c>
      <c r="B139" s="34" t="str">
        <f aca="false">IFERROR(INDEX('Fund Research'!$A$6:$A$505,MATCH(134,'Fund Research'!$W$6:$W$505,0)),"")</f>
        <v/>
      </c>
      <c r="C139" s="34" t="str">
        <f aca="false">IFERROR(INDEX('Fund Research'!$B$6:$B$505,MATCH(134,'Fund Research'!$W$6:$W$505,0)),"")</f>
        <v/>
      </c>
      <c r="D139" s="34" t="str">
        <f aca="false">IFERROR(INDEX('Fund Research'!$C$6:$C$505,MATCH(134,'Fund Research'!$W$6:$W$505,0)),"")</f>
        <v/>
      </c>
      <c r="E139" s="35" t="str">
        <f aca="false">IFERROR(INDEX('Fund Research'!$G$6:$G$505,MATCH(134,'Fund Research'!$W$6:$W$505,0)),"")</f>
        <v/>
      </c>
      <c r="F139" s="35" t="str">
        <f aca="false">IFERROR(INDEX('Fund Research'!$H$6:$H$505,MATCH(134,'Fund Research'!$W$6:$W$505,0)),"")</f>
        <v/>
      </c>
      <c r="G139" s="35" t="str">
        <f aca="false">IFERROR(INDEX('Fund Research'!$I$6:$I$505,MATCH(134,'Fund Research'!$W$6:$W$505,0)),"")</f>
        <v/>
      </c>
      <c r="H139" s="36" t="str">
        <f aca="false">IFERROR(INDEX('Fund Research'!$J$6:$J$505,MATCH(134,'Fund Research'!$W$6:$W$505,0)),"")</f>
        <v/>
      </c>
      <c r="I139" s="39" t="str">
        <f aca="false">IFERROR(INDEX('Fund Research'!$L$6:$L$505,MATCH(134,'Fund Research'!$W$6:$W$505,0)),"")</f>
        <v/>
      </c>
      <c r="J139" s="36" t="str">
        <f aca="false">IFERROR(INDEX('Fund Research'!$N$6:$N$505,MATCH(134,'Fund Research'!$W$6:$W$505,0)),"")</f>
        <v/>
      </c>
      <c r="K139" s="36" t="str">
        <f aca="false">IFERROR(INDEX('Fund Research'!$P$6:$P$505,MATCH(134,'Fund Research'!$W$6:$W$505,0)),"")</f>
        <v/>
      </c>
      <c r="L139" s="34" t="str">
        <f aca="false">IFERROR(INDEX('Fund Research'!$S$6:$S$505,MATCH(134,'Fund Research'!$W$6:$W$505,0)),"")</f>
        <v/>
      </c>
      <c r="M139" s="34" t="str">
        <f aca="false">IFERROR(INDEX('Fund Research'!$T$6:$T$505,MATCH(134,'Fund Research'!$W$6:$W$505,0)),"")</f>
        <v/>
      </c>
    </row>
    <row r="140" customFormat="false" ht="15" hidden="false" customHeight="true" outlineLevel="0" collapsed="false">
      <c r="A140" s="33" t="str">
        <f aca="false">IFERROR(IF(INDEX('Fund Research'!$B$6:$B$505,MATCH(135,'Fund Research'!$W$6:$W$505,0))="","",135),"")</f>
        <v/>
      </c>
      <c r="B140" s="34" t="str">
        <f aca="false">IFERROR(INDEX('Fund Research'!$A$6:$A$505,MATCH(135,'Fund Research'!$W$6:$W$505,0)),"")</f>
        <v/>
      </c>
      <c r="C140" s="34" t="str">
        <f aca="false">IFERROR(INDEX('Fund Research'!$B$6:$B$505,MATCH(135,'Fund Research'!$W$6:$W$505,0)),"")</f>
        <v/>
      </c>
      <c r="D140" s="34" t="str">
        <f aca="false">IFERROR(INDEX('Fund Research'!$C$6:$C$505,MATCH(135,'Fund Research'!$W$6:$W$505,0)),"")</f>
        <v/>
      </c>
      <c r="E140" s="35" t="str">
        <f aca="false">IFERROR(INDEX('Fund Research'!$G$6:$G$505,MATCH(135,'Fund Research'!$W$6:$W$505,0)),"")</f>
        <v/>
      </c>
      <c r="F140" s="35" t="str">
        <f aca="false">IFERROR(INDEX('Fund Research'!$H$6:$H$505,MATCH(135,'Fund Research'!$W$6:$W$505,0)),"")</f>
        <v/>
      </c>
      <c r="G140" s="35" t="str">
        <f aca="false">IFERROR(INDEX('Fund Research'!$I$6:$I$505,MATCH(135,'Fund Research'!$W$6:$W$505,0)),"")</f>
        <v/>
      </c>
      <c r="H140" s="36" t="str">
        <f aca="false">IFERROR(INDEX('Fund Research'!$J$6:$J$505,MATCH(135,'Fund Research'!$W$6:$W$505,0)),"")</f>
        <v/>
      </c>
      <c r="I140" s="39" t="str">
        <f aca="false">IFERROR(INDEX('Fund Research'!$L$6:$L$505,MATCH(135,'Fund Research'!$W$6:$W$505,0)),"")</f>
        <v/>
      </c>
      <c r="J140" s="36" t="str">
        <f aca="false">IFERROR(INDEX('Fund Research'!$N$6:$N$505,MATCH(135,'Fund Research'!$W$6:$W$505,0)),"")</f>
        <v/>
      </c>
      <c r="K140" s="36" t="str">
        <f aca="false">IFERROR(INDEX('Fund Research'!$P$6:$P$505,MATCH(135,'Fund Research'!$W$6:$W$505,0)),"")</f>
        <v/>
      </c>
      <c r="L140" s="34" t="str">
        <f aca="false">IFERROR(INDEX('Fund Research'!$S$6:$S$505,MATCH(135,'Fund Research'!$W$6:$W$505,0)),"")</f>
        <v/>
      </c>
      <c r="M140" s="34" t="str">
        <f aca="false">IFERROR(INDEX('Fund Research'!$T$6:$T$505,MATCH(135,'Fund Research'!$W$6:$W$505,0)),"")</f>
        <v/>
      </c>
    </row>
    <row r="141" customFormat="false" ht="15" hidden="false" customHeight="true" outlineLevel="0" collapsed="false">
      <c r="A141" s="33" t="str">
        <f aca="false">IFERROR(IF(INDEX('Fund Research'!$B$6:$B$505,MATCH(136,'Fund Research'!$W$6:$W$505,0))="","",136),"")</f>
        <v/>
      </c>
      <c r="B141" s="34" t="str">
        <f aca="false">IFERROR(INDEX('Fund Research'!$A$6:$A$505,MATCH(136,'Fund Research'!$W$6:$W$505,0)),"")</f>
        <v/>
      </c>
      <c r="C141" s="34" t="str">
        <f aca="false">IFERROR(INDEX('Fund Research'!$B$6:$B$505,MATCH(136,'Fund Research'!$W$6:$W$505,0)),"")</f>
        <v/>
      </c>
      <c r="D141" s="34" t="str">
        <f aca="false">IFERROR(INDEX('Fund Research'!$C$6:$C$505,MATCH(136,'Fund Research'!$W$6:$W$505,0)),"")</f>
        <v/>
      </c>
      <c r="E141" s="35" t="str">
        <f aca="false">IFERROR(INDEX('Fund Research'!$G$6:$G$505,MATCH(136,'Fund Research'!$W$6:$W$505,0)),"")</f>
        <v/>
      </c>
      <c r="F141" s="35" t="str">
        <f aca="false">IFERROR(INDEX('Fund Research'!$H$6:$H$505,MATCH(136,'Fund Research'!$W$6:$W$505,0)),"")</f>
        <v/>
      </c>
      <c r="G141" s="35" t="str">
        <f aca="false">IFERROR(INDEX('Fund Research'!$I$6:$I$505,MATCH(136,'Fund Research'!$W$6:$W$505,0)),"")</f>
        <v/>
      </c>
      <c r="H141" s="36" t="str">
        <f aca="false">IFERROR(INDEX('Fund Research'!$J$6:$J$505,MATCH(136,'Fund Research'!$W$6:$W$505,0)),"")</f>
        <v/>
      </c>
      <c r="I141" s="39" t="str">
        <f aca="false">IFERROR(INDEX('Fund Research'!$L$6:$L$505,MATCH(136,'Fund Research'!$W$6:$W$505,0)),"")</f>
        <v/>
      </c>
      <c r="J141" s="36" t="str">
        <f aca="false">IFERROR(INDEX('Fund Research'!$N$6:$N$505,MATCH(136,'Fund Research'!$W$6:$W$505,0)),"")</f>
        <v/>
      </c>
      <c r="K141" s="36" t="str">
        <f aca="false">IFERROR(INDEX('Fund Research'!$P$6:$P$505,MATCH(136,'Fund Research'!$W$6:$W$505,0)),"")</f>
        <v/>
      </c>
      <c r="L141" s="34" t="str">
        <f aca="false">IFERROR(INDEX('Fund Research'!$S$6:$S$505,MATCH(136,'Fund Research'!$W$6:$W$505,0)),"")</f>
        <v/>
      </c>
      <c r="M141" s="34" t="str">
        <f aca="false">IFERROR(INDEX('Fund Research'!$T$6:$T$505,MATCH(136,'Fund Research'!$W$6:$W$505,0)),"")</f>
        <v/>
      </c>
    </row>
    <row r="142" customFormat="false" ht="15" hidden="false" customHeight="true" outlineLevel="0" collapsed="false">
      <c r="A142" s="33" t="str">
        <f aca="false">IFERROR(IF(INDEX('Fund Research'!$B$6:$B$505,MATCH(137,'Fund Research'!$W$6:$W$505,0))="","",137),"")</f>
        <v/>
      </c>
      <c r="B142" s="34" t="str">
        <f aca="false">IFERROR(INDEX('Fund Research'!$A$6:$A$505,MATCH(137,'Fund Research'!$W$6:$W$505,0)),"")</f>
        <v/>
      </c>
      <c r="C142" s="34" t="str">
        <f aca="false">IFERROR(INDEX('Fund Research'!$B$6:$B$505,MATCH(137,'Fund Research'!$W$6:$W$505,0)),"")</f>
        <v/>
      </c>
      <c r="D142" s="34" t="str">
        <f aca="false">IFERROR(INDEX('Fund Research'!$C$6:$C$505,MATCH(137,'Fund Research'!$W$6:$W$505,0)),"")</f>
        <v/>
      </c>
      <c r="E142" s="35" t="str">
        <f aca="false">IFERROR(INDEX('Fund Research'!$G$6:$G$505,MATCH(137,'Fund Research'!$W$6:$W$505,0)),"")</f>
        <v/>
      </c>
      <c r="F142" s="35" t="str">
        <f aca="false">IFERROR(INDEX('Fund Research'!$H$6:$H$505,MATCH(137,'Fund Research'!$W$6:$W$505,0)),"")</f>
        <v/>
      </c>
      <c r="G142" s="35" t="str">
        <f aca="false">IFERROR(INDEX('Fund Research'!$I$6:$I$505,MATCH(137,'Fund Research'!$W$6:$W$505,0)),"")</f>
        <v/>
      </c>
      <c r="H142" s="36" t="str">
        <f aca="false">IFERROR(INDEX('Fund Research'!$J$6:$J$505,MATCH(137,'Fund Research'!$W$6:$W$505,0)),"")</f>
        <v/>
      </c>
      <c r="I142" s="39" t="str">
        <f aca="false">IFERROR(INDEX('Fund Research'!$L$6:$L$505,MATCH(137,'Fund Research'!$W$6:$W$505,0)),"")</f>
        <v/>
      </c>
      <c r="J142" s="36" t="str">
        <f aca="false">IFERROR(INDEX('Fund Research'!$N$6:$N$505,MATCH(137,'Fund Research'!$W$6:$W$505,0)),"")</f>
        <v/>
      </c>
      <c r="K142" s="36" t="str">
        <f aca="false">IFERROR(INDEX('Fund Research'!$P$6:$P$505,MATCH(137,'Fund Research'!$W$6:$W$505,0)),"")</f>
        <v/>
      </c>
      <c r="L142" s="34" t="str">
        <f aca="false">IFERROR(INDEX('Fund Research'!$S$6:$S$505,MATCH(137,'Fund Research'!$W$6:$W$505,0)),"")</f>
        <v/>
      </c>
      <c r="M142" s="34" t="str">
        <f aca="false">IFERROR(INDEX('Fund Research'!$T$6:$T$505,MATCH(137,'Fund Research'!$W$6:$W$505,0)),"")</f>
        <v/>
      </c>
    </row>
    <row r="143" customFormat="false" ht="15" hidden="false" customHeight="true" outlineLevel="0" collapsed="false">
      <c r="A143" s="33" t="str">
        <f aca="false">IFERROR(IF(INDEX('Fund Research'!$B$6:$B$505,MATCH(138,'Fund Research'!$W$6:$W$505,0))="","",138),"")</f>
        <v/>
      </c>
      <c r="B143" s="34" t="str">
        <f aca="false">IFERROR(INDEX('Fund Research'!$A$6:$A$505,MATCH(138,'Fund Research'!$W$6:$W$505,0)),"")</f>
        <v/>
      </c>
      <c r="C143" s="34" t="str">
        <f aca="false">IFERROR(INDEX('Fund Research'!$B$6:$B$505,MATCH(138,'Fund Research'!$W$6:$W$505,0)),"")</f>
        <v/>
      </c>
      <c r="D143" s="34" t="str">
        <f aca="false">IFERROR(INDEX('Fund Research'!$C$6:$C$505,MATCH(138,'Fund Research'!$W$6:$W$505,0)),"")</f>
        <v/>
      </c>
      <c r="E143" s="35" t="str">
        <f aca="false">IFERROR(INDEX('Fund Research'!$G$6:$G$505,MATCH(138,'Fund Research'!$W$6:$W$505,0)),"")</f>
        <v/>
      </c>
      <c r="F143" s="35" t="str">
        <f aca="false">IFERROR(INDEX('Fund Research'!$H$6:$H$505,MATCH(138,'Fund Research'!$W$6:$W$505,0)),"")</f>
        <v/>
      </c>
      <c r="G143" s="35" t="str">
        <f aca="false">IFERROR(INDEX('Fund Research'!$I$6:$I$505,MATCH(138,'Fund Research'!$W$6:$W$505,0)),"")</f>
        <v/>
      </c>
      <c r="H143" s="36" t="str">
        <f aca="false">IFERROR(INDEX('Fund Research'!$J$6:$J$505,MATCH(138,'Fund Research'!$W$6:$W$505,0)),"")</f>
        <v/>
      </c>
      <c r="I143" s="39" t="str">
        <f aca="false">IFERROR(INDEX('Fund Research'!$L$6:$L$505,MATCH(138,'Fund Research'!$W$6:$W$505,0)),"")</f>
        <v/>
      </c>
      <c r="J143" s="36" t="str">
        <f aca="false">IFERROR(INDEX('Fund Research'!$N$6:$N$505,MATCH(138,'Fund Research'!$W$6:$W$505,0)),"")</f>
        <v/>
      </c>
      <c r="K143" s="36" t="str">
        <f aca="false">IFERROR(INDEX('Fund Research'!$P$6:$P$505,MATCH(138,'Fund Research'!$W$6:$W$505,0)),"")</f>
        <v/>
      </c>
      <c r="L143" s="34" t="str">
        <f aca="false">IFERROR(INDEX('Fund Research'!$S$6:$S$505,MATCH(138,'Fund Research'!$W$6:$W$505,0)),"")</f>
        <v/>
      </c>
      <c r="M143" s="34" t="str">
        <f aca="false">IFERROR(INDEX('Fund Research'!$T$6:$T$505,MATCH(138,'Fund Research'!$W$6:$W$505,0)),"")</f>
        <v/>
      </c>
    </row>
    <row r="144" customFormat="false" ht="15" hidden="false" customHeight="true" outlineLevel="0" collapsed="false">
      <c r="A144" s="33" t="str">
        <f aca="false">IFERROR(IF(INDEX('Fund Research'!$B$6:$B$505,MATCH(139,'Fund Research'!$W$6:$W$505,0))="","",139),"")</f>
        <v/>
      </c>
      <c r="B144" s="34" t="str">
        <f aca="false">IFERROR(INDEX('Fund Research'!$A$6:$A$505,MATCH(139,'Fund Research'!$W$6:$W$505,0)),"")</f>
        <v/>
      </c>
      <c r="C144" s="34" t="str">
        <f aca="false">IFERROR(INDEX('Fund Research'!$B$6:$B$505,MATCH(139,'Fund Research'!$W$6:$W$505,0)),"")</f>
        <v/>
      </c>
      <c r="D144" s="34" t="str">
        <f aca="false">IFERROR(INDEX('Fund Research'!$C$6:$C$505,MATCH(139,'Fund Research'!$W$6:$W$505,0)),"")</f>
        <v/>
      </c>
      <c r="E144" s="35" t="str">
        <f aca="false">IFERROR(INDEX('Fund Research'!$G$6:$G$505,MATCH(139,'Fund Research'!$W$6:$W$505,0)),"")</f>
        <v/>
      </c>
      <c r="F144" s="35" t="str">
        <f aca="false">IFERROR(INDEX('Fund Research'!$H$6:$H$505,MATCH(139,'Fund Research'!$W$6:$W$505,0)),"")</f>
        <v/>
      </c>
      <c r="G144" s="35" t="str">
        <f aca="false">IFERROR(INDEX('Fund Research'!$I$6:$I$505,MATCH(139,'Fund Research'!$W$6:$W$505,0)),"")</f>
        <v/>
      </c>
      <c r="H144" s="36" t="str">
        <f aca="false">IFERROR(INDEX('Fund Research'!$J$6:$J$505,MATCH(139,'Fund Research'!$W$6:$W$505,0)),"")</f>
        <v/>
      </c>
      <c r="I144" s="39" t="str">
        <f aca="false">IFERROR(INDEX('Fund Research'!$L$6:$L$505,MATCH(139,'Fund Research'!$W$6:$W$505,0)),"")</f>
        <v/>
      </c>
      <c r="J144" s="36" t="str">
        <f aca="false">IFERROR(INDEX('Fund Research'!$N$6:$N$505,MATCH(139,'Fund Research'!$W$6:$W$505,0)),"")</f>
        <v/>
      </c>
      <c r="K144" s="36" t="str">
        <f aca="false">IFERROR(INDEX('Fund Research'!$P$6:$P$505,MATCH(139,'Fund Research'!$W$6:$W$505,0)),"")</f>
        <v/>
      </c>
      <c r="L144" s="34" t="str">
        <f aca="false">IFERROR(INDEX('Fund Research'!$S$6:$S$505,MATCH(139,'Fund Research'!$W$6:$W$505,0)),"")</f>
        <v/>
      </c>
      <c r="M144" s="34" t="str">
        <f aca="false">IFERROR(INDEX('Fund Research'!$T$6:$T$505,MATCH(139,'Fund Research'!$W$6:$W$505,0)),"")</f>
        <v/>
      </c>
    </row>
    <row r="145" customFormat="false" ht="15" hidden="false" customHeight="true" outlineLevel="0" collapsed="false">
      <c r="A145" s="33" t="str">
        <f aca="false">IFERROR(IF(INDEX('Fund Research'!$B$6:$B$505,MATCH(140,'Fund Research'!$W$6:$W$505,0))="","",140),"")</f>
        <v/>
      </c>
      <c r="B145" s="34" t="str">
        <f aca="false">IFERROR(INDEX('Fund Research'!$A$6:$A$505,MATCH(140,'Fund Research'!$W$6:$W$505,0)),"")</f>
        <v/>
      </c>
      <c r="C145" s="34" t="str">
        <f aca="false">IFERROR(INDEX('Fund Research'!$B$6:$B$505,MATCH(140,'Fund Research'!$W$6:$W$505,0)),"")</f>
        <v/>
      </c>
      <c r="D145" s="34" t="str">
        <f aca="false">IFERROR(INDEX('Fund Research'!$C$6:$C$505,MATCH(140,'Fund Research'!$W$6:$W$505,0)),"")</f>
        <v/>
      </c>
      <c r="E145" s="35" t="str">
        <f aca="false">IFERROR(INDEX('Fund Research'!$G$6:$G$505,MATCH(140,'Fund Research'!$W$6:$W$505,0)),"")</f>
        <v/>
      </c>
      <c r="F145" s="35" t="str">
        <f aca="false">IFERROR(INDEX('Fund Research'!$H$6:$H$505,MATCH(140,'Fund Research'!$W$6:$W$505,0)),"")</f>
        <v/>
      </c>
      <c r="G145" s="35" t="str">
        <f aca="false">IFERROR(INDEX('Fund Research'!$I$6:$I$505,MATCH(140,'Fund Research'!$W$6:$W$505,0)),"")</f>
        <v/>
      </c>
      <c r="H145" s="36" t="str">
        <f aca="false">IFERROR(INDEX('Fund Research'!$J$6:$J$505,MATCH(140,'Fund Research'!$W$6:$W$505,0)),"")</f>
        <v/>
      </c>
      <c r="I145" s="39" t="str">
        <f aca="false">IFERROR(INDEX('Fund Research'!$L$6:$L$505,MATCH(140,'Fund Research'!$W$6:$W$505,0)),"")</f>
        <v/>
      </c>
      <c r="J145" s="36" t="str">
        <f aca="false">IFERROR(INDEX('Fund Research'!$N$6:$N$505,MATCH(140,'Fund Research'!$W$6:$W$505,0)),"")</f>
        <v/>
      </c>
      <c r="K145" s="36" t="str">
        <f aca="false">IFERROR(INDEX('Fund Research'!$P$6:$P$505,MATCH(140,'Fund Research'!$W$6:$W$505,0)),"")</f>
        <v/>
      </c>
      <c r="L145" s="34" t="str">
        <f aca="false">IFERROR(INDEX('Fund Research'!$S$6:$S$505,MATCH(140,'Fund Research'!$W$6:$W$505,0)),"")</f>
        <v/>
      </c>
      <c r="M145" s="34" t="str">
        <f aca="false">IFERROR(INDEX('Fund Research'!$T$6:$T$505,MATCH(140,'Fund Research'!$W$6:$W$505,0)),"")</f>
        <v/>
      </c>
    </row>
    <row r="146" customFormat="false" ht="15" hidden="false" customHeight="true" outlineLevel="0" collapsed="false">
      <c r="A146" s="33" t="str">
        <f aca="false">IFERROR(IF(INDEX('Fund Research'!$B$6:$B$505,MATCH(141,'Fund Research'!$W$6:$W$505,0))="","",141),"")</f>
        <v/>
      </c>
      <c r="B146" s="34" t="str">
        <f aca="false">IFERROR(INDEX('Fund Research'!$A$6:$A$505,MATCH(141,'Fund Research'!$W$6:$W$505,0)),"")</f>
        <v/>
      </c>
      <c r="C146" s="34" t="str">
        <f aca="false">IFERROR(INDEX('Fund Research'!$B$6:$B$505,MATCH(141,'Fund Research'!$W$6:$W$505,0)),"")</f>
        <v/>
      </c>
      <c r="D146" s="34" t="str">
        <f aca="false">IFERROR(INDEX('Fund Research'!$C$6:$C$505,MATCH(141,'Fund Research'!$W$6:$W$505,0)),"")</f>
        <v/>
      </c>
      <c r="E146" s="35" t="str">
        <f aca="false">IFERROR(INDEX('Fund Research'!$G$6:$G$505,MATCH(141,'Fund Research'!$W$6:$W$505,0)),"")</f>
        <v/>
      </c>
      <c r="F146" s="35" t="str">
        <f aca="false">IFERROR(INDEX('Fund Research'!$H$6:$H$505,MATCH(141,'Fund Research'!$W$6:$W$505,0)),"")</f>
        <v/>
      </c>
      <c r="G146" s="35" t="str">
        <f aca="false">IFERROR(INDEX('Fund Research'!$I$6:$I$505,MATCH(141,'Fund Research'!$W$6:$W$505,0)),"")</f>
        <v/>
      </c>
      <c r="H146" s="36" t="str">
        <f aca="false">IFERROR(INDEX('Fund Research'!$J$6:$J$505,MATCH(141,'Fund Research'!$W$6:$W$505,0)),"")</f>
        <v/>
      </c>
      <c r="I146" s="39" t="str">
        <f aca="false">IFERROR(INDEX('Fund Research'!$L$6:$L$505,MATCH(141,'Fund Research'!$W$6:$W$505,0)),"")</f>
        <v/>
      </c>
      <c r="J146" s="36" t="str">
        <f aca="false">IFERROR(INDEX('Fund Research'!$N$6:$N$505,MATCH(141,'Fund Research'!$W$6:$W$505,0)),"")</f>
        <v/>
      </c>
      <c r="K146" s="36" t="str">
        <f aca="false">IFERROR(INDEX('Fund Research'!$P$6:$P$505,MATCH(141,'Fund Research'!$W$6:$W$505,0)),"")</f>
        <v/>
      </c>
      <c r="L146" s="34" t="str">
        <f aca="false">IFERROR(INDEX('Fund Research'!$S$6:$S$505,MATCH(141,'Fund Research'!$W$6:$W$505,0)),"")</f>
        <v/>
      </c>
      <c r="M146" s="34" t="str">
        <f aca="false">IFERROR(INDEX('Fund Research'!$T$6:$T$505,MATCH(141,'Fund Research'!$W$6:$W$505,0)),"")</f>
        <v/>
      </c>
    </row>
    <row r="147" customFormat="false" ht="15" hidden="false" customHeight="true" outlineLevel="0" collapsed="false">
      <c r="A147" s="33" t="str">
        <f aca="false">IFERROR(IF(INDEX('Fund Research'!$B$6:$B$505,MATCH(142,'Fund Research'!$W$6:$W$505,0))="","",142),"")</f>
        <v/>
      </c>
      <c r="B147" s="34" t="str">
        <f aca="false">IFERROR(INDEX('Fund Research'!$A$6:$A$505,MATCH(142,'Fund Research'!$W$6:$W$505,0)),"")</f>
        <v/>
      </c>
      <c r="C147" s="34" t="str">
        <f aca="false">IFERROR(INDEX('Fund Research'!$B$6:$B$505,MATCH(142,'Fund Research'!$W$6:$W$505,0)),"")</f>
        <v/>
      </c>
      <c r="D147" s="34" t="str">
        <f aca="false">IFERROR(INDEX('Fund Research'!$C$6:$C$505,MATCH(142,'Fund Research'!$W$6:$W$505,0)),"")</f>
        <v/>
      </c>
      <c r="E147" s="35" t="str">
        <f aca="false">IFERROR(INDEX('Fund Research'!$G$6:$G$505,MATCH(142,'Fund Research'!$W$6:$W$505,0)),"")</f>
        <v/>
      </c>
      <c r="F147" s="35" t="str">
        <f aca="false">IFERROR(INDEX('Fund Research'!$H$6:$H$505,MATCH(142,'Fund Research'!$W$6:$W$505,0)),"")</f>
        <v/>
      </c>
      <c r="G147" s="35" t="str">
        <f aca="false">IFERROR(INDEX('Fund Research'!$I$6:$I$505,MATCH(142,'Fund Research'!$W$6:$W$505,0)),"")</f>
        <v/>
      </c>
      <c r="H147" s="36" t="str">
        <f aca="false">IFERROR(INDEX('Fund Research'!$J$6:$J$505,MATCH(142,'Fund Research'!$W$6:$W$505,0)),"")</f>
        <v/>
      </c>
      <c r="I147" s="39" t="str">
        <f aca="false">IFERROR(INDEX('Fund Research'!$L$6:$L$505,MATCH(142,'Fund Research'!$W$6:$W$505,0)),"")</f>
        <v/>
      </c>
      <c r="J147" s="36" t="str">
        <f aca="false">IFERROR(INDEX('Fund Research'!$N$6:$N$505,MATCH(142,'Fund Research'!$W$6:$W$505,0)),"")</f>
        <v/>
      </c>
      <c r="K147" s="36" t="str">
        <f aca="false">IFERROR(INDEX('Fund Research'!$P$6:$P$505,MATCH(142,'Fund Research'!$W$6:$W$505,0)),"")</f>
        <v/>
      </c>
      <c r="L147" s="34" t="str">
        <f aca="false">IFERROR(INDEX('Fund Research'!$S$6:$S$505,MATCH(142,'Fund Research'!$W$6:$W$505,0)),"")</f>
        <v/>
      </c>
      <c r="M147" s="34" t="str">
        <f aca="false">IFERROR(INDEX('Fund Research'!$T$6:$T$505,MATCH(142,'Fund Research'!$W$6:$W$505,0)),"")</f>
        <v/>
      </c>
    </row>
    <row r="148" customFormat="false" ht="15" hidden="false" customHeight="true" outlineLevel="0" collapsed="false">
      <c r="A148" s="33" t="str">
        <f aca="false">IFERROR(IF(INDEX('Fund Research'!$B$6:$B$505,MATCH(143,'Fund Research'!$W$6:$W$505,0))="","",143),"")</f>
        <v/>
      </c>
      <c r="B148" s="34" t="str">
        <f aca="false">IFERROR(INDEX('Fund Research'!$A$6:$A$505,MATCH(143,'Fund Research'!$W$6:$W$505,0)),"")</f>
        <v/>
      </c>
      <c r="C148" s="34" t="str">
        <f aca="false">IFERROR(INDEX('Fund Research'!$B$6:$B$505,MATCH(143,'Fund Research'!$W$6:$W$505,0)),"")</f>
        <v/>
      </c>
      <c r="D148" s="34" t="str">
        <f aca="false">IFERROR(INDEX('Fund Research'!$C$6:$C$505,MATCH(143,'Fund Research'!$W$6:$W$505,0)),"")</f>
        <v/>
      </c>
      <c r="E148" s="35" t="str">
        <f aca="false">IFERROR(INDEX('Fund Research'!$G$6:$G$505,MATCH(143,'Fund Research'!$W$6:$W$505,0)),"")</f>
        <v/>
      </c>
      <c r="F148" s="35" t="str">
        <f aca="false">IFERROR(INDEX('Fund Research'!$H$6:$H$505,MATCH(143,'Fund Research'!$W$6:$W$505,0)),"")</f>
        <v/>
      </c>
      <c r="G148" s="35" t="str">
        <f aca="false">IFERROR(INDEX('Fund Research'!$I$6:$I$505,MATCH(143,'Fund Research'!$W$6:$W$505,0)),"")</f>
        <v/>
      </c>
      <c r="H148" s="36" t="str">
        <f aca="false">IFERROR(INDEX('Fund Research'!$J$6:$J$505,MATCH(143,'Fund Research'!$W$6:$W$505,0)),"")</f>
        <v/>
      </c>
      <c r="I148" s="39" t="str">
        <f aca="false">IFERROR(INDEX('Fund Research'!$L$6:$L$505,MATCH(143,'Fund Research'!$W$6:$W$505,0)),"")</f>
        <v/>
      </c>
      <c r="J148" s="36" t="str">
        <f aca="false">IFERROR(INDEX('Fund Research'!$N$6:$N$505,MATCH(143,'Fund Research'!$W$6:$W$505,0)),"")</f>
        <v/>
      </c>
      <c r="K148" s="36" t="str">
        <f aca="false">IFERROR(INDEX('Fund Research'!$P$6:$P$505,MATCH(143,'Fund Research'!$W$6:$W$505,0)),"")</f>
        <v/>
      </c>
      <c r="L148" s="34" t="str">
        <f aca="false">IFERROR(INDEX('Fund Research'!$S$6:$S$505,MATCH(143,'Fund Research'!$W$6:$W$505,0)),"")</f>
        <v/>
      </c>
      <c r="M148" s="34" t="str">
        <f aca="false">IFERROR(INDEX('Fund Research'!$T$6:$T$505,MATCH(143,'Fund Research'!$W$6:$W$505,0)),"")</f>
        <v/>
      </c>
    </row>
    <row r="149" customFormat="false" ht="15" hidden="false" customHeight="true" outlineLevel="0" collapsed="false">
      <c r="A149" s="33" t="str">
        <f aca="false">IFERROR(IF(INDEX('Fund Research'!$B$6:$B$505,MATCH(144,'Fund Research'!$W$6:$W$505,0))="","",144),"")</f>
        <v/>
      </c>
      <c r="B149" s="34" t="str">
        <f aca="false">IFERROR(INDEX('Fund Research'!$A$6:$A$505,MATCH(144,'Fund Research'!$W$6:$W$505,0)),"")</f>
        <v/>
      </c>
      <c r="C149" s="34" t="str">
        <f aca="false">IFERROR(INDEX('Fund Research'!$B$6:$B$505,MATCH(144,'Fund Research'!$W$6:$W$505,0)),"")</f>
        <v/>
      </c>
      <c r="D149" s="34" t="str">
        <f aca="false">IFERROR(INDEX('Fund Research'!$C$6:$C$505,MATCH(144,'Fund Research'!$W$6:$W$505,0)),"")</f>
        <v/>
      </c>
      <c r="E149" s="35" t="str">
        <f aca="false">IFERROR(INDEX('Fund Research'!$G$6:$G$505,MATCH(144,'Fund Research'!$W$6:$W$505,0)),"")</f>
        <v/>
      </c>
      <c r="F149" s="35" t="str">
        <f aca="false">IFERROR(INDEX('Fund Research'!$H$6:$H$505,MATCH(144,'Fund Research'!$W$6:$W$505,0)),"")</f>
        <v/>
      </c>
      <c r="G149" s="35" t="str">
        <f aca="false">IFERROR(INDEX('Fund Research'!$I$6:$I$505,MATCH(144,'Fund Research'!$W$6:$W$505,0)),"")</f>
        <v/>
      </c>
      <c r="H149" s="36" t="str">
        <f aca="false">IFERROR(INDEX('Fund Research'!$J$6:$J$505,MATCH(144,'Fund Research'!$W$6:$W$505,0)),"")</f>
        <v/>
      </c>
      <c r="I149" s="39" t="str">
        <f aca="false">IFERROR(INDEX('Fund Research'!$L$6:$L$505,MATCH(144,'Fund Research'!$W$6:$W$505,0)),"")</f>
        <v/>
      </c>
      <c r="J149" s="36" t="str">
        <f aca="false">IFERROR(INDEX('Fund Research'!$N$6:$N$505,MATCH(144,'Fund Research'!$W$6:$W$505,0)),"")</f>
        <v/>
      </c>
      <c r="K149" s="36" t="str">
        <f aca="false">IFERROR(INDEX('Fund Research'!$P$6:$P$505,MATCH(144,'Fund Research'!$W$6:$W$505,0)),"")</f>
        <v/>
      </c>
      <c r="L149" s="34" t="str">
        <f aca="false">IFERROR(INDEX('Fund Research'!$S$6:$S$505,MATCH(144,'Fund Research'!$W$6:$W$505,0)),"")</f>
        <v/>
      </c>
      <c r="M149" s="34" t="str">
        <f aca="false">IFERROR(INDEX('Fund Research'!$T$6:$T$505,MATCH(144,'Fund Research'!$W$6:$W$505,0)),"")</f>
        <v/>
      </c>
    </row>
    <row r="150" customFormat="false" ht="15" hidden="false" customHeight="true" outlineLevel="0" collapsed="false">
      <c r="A150" s="33" t="str">
        <f aca="false">IFERROR(IF(INDEX('Fund Research'!$B$6:$B$505,MATCH(145,'Fund Research'!$W$6:$W$505,0))="","",145),"")</f>
        <v/>
      </c>
      <c r="B150" s="34" t="str">
        <f aca="false">IFERROR(INDEX('Fund Research'!$A$6:$A$505,MATCH(145,'Fund Research'!$W$6:$W$505,0)),"")</f>
        <v/>
      </c>
      <c r="C150" s="34" t="str">
        <f aca="false">IFERROR(INDEX('Fund Research'!$B$6:$B$505,MATCH(145,'Fund Research'!$W$6:$W$505,0)),"")</f>
        <v/>
      </c>
      <c r="D150" s="34" t="str">
        <f aca="false">IFERROR(INDEX('Fund Research'!$C$6:$C$505,MATCH(145,'Fund Research'!$W$6:$W$505,0)),"")</f>
        <v/>
      </c>
      <c r="E150" s="35" t="str">
        <f aca="false">IFERROR(INDEX('Fund Research'!$G$6:$G$505,MATCH(145,'Fund Research'!$W$6:$W$505,0)),"")</f>
        <v/>
      </c>
      <c r="F150" s="35" t="str">
        <f aca="false">IFERROR(INDEX('Fund Research'!$H$6:$H$505,MATCH(145,'Fund Research'!$W$6:$W$505,0)),"")</f>
        <v/>
      </c>
      <c r="G150" s="35" t="str">
        <f aca="false">IFERROR(INDEX('Fund Research'!$I$6:$I$505,MATCH(145,'Fund Research'!$W$6:$W$505,0)),"")</f>
        <v/>
      </c>
      <c r="H150" s="36" t="str">
        <f aca="false">IFERROR(INDEX('Fund Research'!$J$6:$J$505,MATCH(145,'Fund Research'!$W$6:$W$505,0)),"")</f>
        <v/>
      </c>
      <c r="I150" s="39" t="str">
        <f aca="false">IFERROR(INDEX('Fund Research'!$L$6:$L$505,MATCH(145,'Fund Research'!$W$6:$W$505,0)),"")</f>
        <v/>
      </c>
      <c r="J150" s="36" t="str">
        <f aca="false">IFERROR(INDEX('Fund Research'!$N$6:$N$505,MATCH(145,'Fund Research'!$W$6:$W$505,0)),"")</f>
        <v/>
      </c>
      <c r="K150" s="36" t="str">
        <f aca="false">IFERROR(INDEX('Fund Research'!$P$6:$P$505,MATCH(145,'Fund Research'!$W$6:$W$505,0)),"")</f>
        <v/>
      </c>
      <c r="L150" s="34" t="str">
        <f aca="false">IFERROR(INDEX('Fund Research'!$S$6:$S$505,MATCH(145,'Fund Research'!$W$6:$W$505,0)),"")</f>
        <v/>
      </c>
      <c r="M150" s="34" t="str">
        <f aca="false">IFERROR(INDEX('Fund Research'!$T$6:$T$505,MATCH(145,'Fund Research'!$W$6:$W$505,0)),"")</f>
        <v/>
      </c>
    </row>
    <row r="151" customFormat="false" ht="15" hidden="false" customHeight="true" outlineLevel="0" collapsed="false">
      <c r="A151" s="33" t="str">
        <f aca="false">IFERROR(IF(INDEX('Fund Research'!$B$6:$B$505,MATCH(146,'Fund Research'!$W$6:$W$505,0))="","",146),"")</f>
        <v/>
      </c>
      <c r="B151" s="34" t="str">
        <f aca="false">IFERROR(INDEX('Fund Research'!$A$6:$A$505,MATCH(146,'Fund Research'!$W$6:$W$505,0)),"")</f>
        <v/>
      </c>
      <c r="C151" s="34" t="str">
        <f aca="false">IFERROR(INDEX('Fund Research'!$B$6:$B$505,MATCH(146,'Fund Research'!$W$6:$W$505,0)),"")</f>
        <v/>
      </c>
      <c r="D151" s="34" t="str">
        <f aca="false">IFERROR(INDEX('Fund Research'!$C$6:$C$505,MATCH(146,'Fund Research'!$W$6:$W$505,0)),"")</f>
        <v/>
      </c>
      <c r="E151" s="35" t="str">
        <f aca="false">IFERROR(INDEX('Fund Research'!$G$6:$G$505,MATCH(146,'Fund Research'!$W$6:$W$505,0)),"")</f>
        <v/>
      </c>
      <c r="F151" s="35" t="str">
        <f aca="false">IFERROR(INDEX('Fund Research'!$H$6:$H$505,MATCH(146,'Fund Research'!$W$6:$W$505,0)),"")</f>
        <v/>
      </c>
      <c r="G151" s="35" t="str">
        <f aca="false">IFERROR(INDEX('Fund Research'!$I$6:$I$505,MATCH(146,'Fund Research'!$W$6:$W$505,0)),"")</f>
        <v/>
      </c>
      <c r="H151" s="36" t="str">
        <f aca="false">IFERROR(INDEX('Fund Research'!$J$6:$J$505,MATCH(146,'Fund Research'!$W$6:$W$505,0)),"")</f>
        <v/>
      </c>
      <c r="I151" s="39" t="str">
        <f aca="false">IFERROR(INDEX('Fund Research'!$L$6:$L$505,MATCH(146,'Fund Research'!$W$6:$W$505,0)),"")</f>
        <v/>
      </c>
      <c r="J151" s="36" t="str">
        <f aca="false">IFERROR(INDEX('Fund Research'!$N$6:$N$505,MATCH(146,'Fund Research'!$W$6:$W$505,0)),"")</f>
        <v/>
      </c>
      <c r="K151" s="36" t="str">
        <f aca="false">IFERROR(INDEX('Fund Research'!$P$6:$P$505,MATCH(146,'Fund Research'!$W$6:$W$505,0)),"")</f>
        <v/>
      </c>
      <c r="L151" s="34" t="str">
        <f aca="false">IFERROR(INDEX('Fund Research'!$S$6:$S$505,MATCH(146,'Fund Research'!$W$6:$W$505,0)),"")</f>
        <v/>
      </c>
      <c r="M151" s="34" t="str">
        <f aca="false">IFERROR(INDEX('Fund Research'!$T$6:$T$505,MATCH(146,'Fund Research'!$W$6:$W$505,0)),"")</f>
        <v/>
      </c>
    </row>
    <row r="152" customFormat="false" ht="15" hidden="false" customHeight="true" outlineLevel="0" collapsed="false">
      <c r="A152" s="33" t="str">
        <f aca="false">IFERROR(IF(INDEX('Fund Research'!$B$6:$B$505,MATCH(147,'Fund Research'!$W$6:$W$505,0))="","",147),"")</f>
        <v/>
      </c>
      <c r="B152" s="34" t="str">
        <f aca="false">IFERROR(INDEX('Fund Research'!$A$6:$A$505,MATCH(147,'Fund Research'!$W$6:$W$505,0)),"")</f>
        <v/>
      </c>
      <c r="C152" s="34" t="str">
        <f aca="false">IFERROR(INDEX('Fund Research'!$B$6:$B$505,MATCH(147,'Fund Research'!$W$6:$W$505,0)),"")</f>
        <v/>
      </c>
      <c r="D152" s="34" t="str">
        <f aca="false">IFERROR(INDEX('Fund Research'!$C$6:$C$505,MATCH(147,'Fund Research'!$W$6:$W$505,0)),"")</f>
        <v/>
      </c>
      <c r="E152" s="35" t="str">
        <f aca="false">IFERROR(INDEX('Fund Research'!$G$6:$G$505,MATCH(147,'Fund Research'!$W$6:$W$505,0)),"")</f>
        <v/>
      </c>
      <c r="F152" s="35" t="str">
        <f aca="false">IFERROR(INDEX('Fund Research'!$H$6:$H$505,MATCH(147,'Fund Research'!$W$6:$W$505,0)),"")</f>
        <v/>
      </c>
      <c r="G152" s="35" t="str">
        <f aca="false">IFERROR(INDEX('Fund Research'!$I$6:$I$505,MATCH(147,'Fund Research'!$W$6:$W$505,0)),"")</f>
        <v/>
      </c>
      <c r="H152" s="36" t="str">
        <f aca="false">IFERROR(INDEX('Fund Research'!$J$6:$J$505,MATCH(147,'Fund Research'!$W$6:$W$505,0)),"")</f>
        <v/>
      </c>
      <c r="I152" s="39" t="str">
        <f aca="false">IFERROR(INDEX('Fund Research'!$L$6:$L$505,MATCH(147,'Fund Research'!$W$6:$W$505,0)),"")</f>
        <v/>
      </c>
      <c r="J152" s="36" t="str">
        <f aca="false">IFERROR(INDEX('Fund Research'!$N$6:$N$505,MATCH(147,'Fund Research'!$W$6:$W$505,0)),"")</f>
        <v/>
      </c>
      <c r="K152" s="36" t="str">
        <f aca="false">IFERROR(INDEX('Fund Research'!$P$6:$P$505,MATCH(147,'Fund Research'!$W$6:$W$505,0)),"")</f>
        <v/>
      </c>
      <c r="L152" s="34" t="str">
        <f aca="false">IFERROR(INDEX('Fund Research'!$S$6:$S$505,MATCH(147,'Fund Research'!$W$6:$W$505,0)),"")</f>
        <v/>
      </c>
      <c r="M152" s="34" t="str">
        <f aca="false">IFERROR(INDEX('Fund Research'!$T$6:$T$505,MATCH(147,'Fund Research'!$W$6:$W$505,0)),"")</f>
        <v/>
      </c>
    </row>
    <row r="153" customFormat="false" ht="15" hidden="false" customHeight="true" outlineLevel="0" collapsed="false">
      <c r="A153" s="33" t="str">
        <f aca="false">IFERROR(IF(INDEX('Fund Research'!$B$6:$B$505,MATCH(148,'Fund Research'!$W$6:$W$505,0))="","",148),"")</f>
        <v/>
      </c>
      <c r="B153" s="34" t="str">
        <f aca="false">IFERROR(INDEX('Fund Research'!$A$6:$A$505,MATCH(148,'Fund Research'!$W$6:$W$505,0)),"")</f>
        <v/>
      </c>
      <c r="C153" s="34" t="str">
        <f aca="false">IFERROR(INDEX('Fund Research'!$B$6:$B$505,MATCH(148,'Fund Research'!$W$6:$W$505,0)),"")</f>
        <v/>
      </c>
      <c r="D153" s="34" t="str">
        <f aca="false">IFERROR(INDEX('Fund Research'!$C$6:$C$505,MATCH(148,'Fund Research'!$W$6:$W$505,0)),"")</f>
        <v/>
      </c>
      <c r="E153" s="35" t="str">
        <f aca="false">IFERROR(INDEX('Fund Research'!$G$6:$G$505,MATCH(148,'Fund Research'!$W$6:$W$505,0)),"")</f>
        <v/>
      </c>
      <c r="F153" s="35" t="str">
        <f aca="false">IFERROR(INDEX('Fund Research'!$H$6:$H$505,MATCH(148,'Fund Research'!$W$6:$W$505,0)),"")</f>
        <v/>
      </c>
      <c r="G153" s="35" t="str">
        <f aca="false">IFERROR(INDEX('Fund Research'!$I$6:$I$505,MATCH(148,'Fund Research'!$W$6:$W$505,0)),"")</f>
        <v/>
      </c>
      <c r="H153" s="36" t="str">
        <f aca="false">IFERROR(INDEX('Fund Research'!$J$6:$J$505,MATCH(148,'Fund Research'!$W$6:$W$505,0)),"")</f>
        <v/>
      </c>
      <c r="I153" s="39" t="str">
        <f aca="false">IFERROR(INDEX('Fund Research'!$L$6:$L$505,MATCH(148,'Fund Research'!$W$6:$W$505,0)),"")</f>
        <v/>
      </c>
      <c r="J153" s="36" t="str">
        <f aca="false">IFERROR(INDEX('Fund Research'!$N$6:$N$505,MATCH(148,'Fund Research'!$W$6:$W$505,0)),"")</f>
        <v/>
      </c>
      <c r="K153" s="36" t="str">
        <f aca="false">IFERROR(INDEX('Fund Research'!$P$6:$P$505,MATCH(148,'Fund Research'!$W$6:$W$505,0)),"")</f>
        <v/>
      </c>
      <c r="L153" s="34" t="str">
        <f aca="false">IFERROR(INDEX('Fund Research'!$S$6:$S$505,MATCH(148,'Fund Research'!$W$6:$W$505,0)),"")</f>
        <v/>
      </c>
      <c r="M153" s="34" t="str">
        <f aca="false">IFERROR(INDEX('Fund Research'!$T$6:$T$505,MATCH(148,'Fund Research'!$W$6:$W$505,0)),"")</f>
        <v/>
      </c>
    </row>
    <row r="154" customFormat="false" ht="15" hidden="false" customHeight="true" outlineLevel="0" collapsed="false">
      <c r="A154" s="33" t="str">
        <f aca="false">IFERROR(IF(INDEX('Fund Research'!$B$6:$B$505,MATCH(149,'Fund Research'!$W$6:$W$505,0))="","",149),"")</f>
        <v/>
      </c>
      <c r="B154" s="34" t="str">
        <f aca="false">IFERROR(INDEX('Fund Research'!$A$6:$A$505,MATCH(149,'Fund Research'!$W$6:$W$505,0)),"")</f>
        <v/>
      </c>
      <c r="C154" s="34" t="str">
        <f aca="false">IFERROR(INDEX('Fund Research'!$B$6:$B$505,MATCH(149,'Fund Research'!$W$6:$W$505,0)),"")</f>
        <v/>
      </c>
      <c r="D154" s="34" t="str">
        <f aca="false">IFERROR(INDEX('Fund Research'!$C$6:$C$505,MATCH(149,'Fund Research'!$W$6:$W$505,0)),"")</f>
        <v/>
      </c>
      <c r="E154" s="35" t="str">
        <f aca="false">IFERROR(INDEX('Fund Research'!$G$6:$G$505,MATCH(149,'Fund Research'!$W$6:$W$505,0)),"")</f>
        <v/>
      </c>
      <c r="F154" s="35" t="str">
        <f aca="false">IFERROR(INDEX('Fund Research'!$H$6:$H$505,MATCH(149,'Fund Research'!$W$6:$W$505,0)),"")</f>
        <v/>
      </c>
      <c r="G154" s="35" t="str">
        <f aca="false">IFERROR(INDEX('Fund Research'!$I$6:$I$505,MATCH(149,'Fund Research'!$W$6:$W$505,0)),"")</f>
        <v/>
      </c>
      <c r="H154" s="36" t="str">
        <f aca="false">IFERROR(INDEX('Fund Research'!$J$6:$J$505,MATCH(149,'Fund Research'!$W$6:$W$505,0)),"")</f>
        <v/>
      </c>
      <c r="I154" s="39" t="str">
        <f aca="false">IFERROR(INDEX('Fund Research'!$L$6:$L$505,MATCH(149,'Fund Research'!$W$6:$W$505,0)),"")</f>
        <v/>
      </c>
      <c r="J154" s="36" t="str">
        <f aca="false">IFERROR(INDEX('Fund Research'!$N$6:$N$505,MATCH(149,'Fund Research'!$W$6:$W$505,0)),"")</f>
        <v/>
      </c>
      <c r="K154" s="36" t="str">
        <f aca="false">IFERROR(INDEX('Fund Research'!$P$6:$P$505,MATCH(149,'Fund Research'!$W$6:$W$505,0)),"")</f>
        <v/>
      </c>
      <c r="L154" s="34" t="str">
        <f aca="false">IFERROR(INDEX('Fund Research'!$S$6:$S$505,MATCH(149,'Fund Research'!$W$6:$W$505,0)),"")</f>
        <v/>
      </c>
      <c r="M154" s="34" t="str">
        <f aca="false">IFERROR(INDEX('Fund Research'!$T$6:$T$505,MATCH(149,'Fund Research'!$W$6:$W$505,0)),"")</f>
        <v/>
      </c>
    </row>
    <row r="155" customFormat="false" ht="15" hidden="false" customHeight="true" outlineLevel="0" collapsed="false">
      <c r="A155" s="33" t="str">
        <f aca="false">IFERROR(IF(INDEX('Fund Research'!$B$6:$B$505,MATCH(150,'Fund Research'!$W$6:$W$505,0))="","",150),"")</f>
        <v/>
      </c>
      <c r="B155" s="34" t="str">
        <f aca="false">IFERROR(INDEX('Fund Research'!$A$6:$A$505,MATCH(150,'Fund Research'!$W$6:$W$505,0)),"")</f>
        <v/>
      </c>
      <c r="C155" s="34" t="str">
        <f aca="false">IFERROR(INDEX('Fund Research'!$B$6:$B$505,MATCH(150,'Fund Research'!$W$6:$W$505,0)),"")</f>
        <v/>
      </c>
      <c r="D155" s="34" t="str">
        <f aca="false">IFERROR(INDEX('Fund Research'!$C$6:$C$505,MATCH(150,'Fund Research'!$W$6:$W$505,0)),"")</f>
        <v/>
      </c>
      <c r="E155" s="35" t="str">
        <f aca="false">IFERROR(INDEX('Fund Research'!$G$6:$G$505,MATCH(150,'Fund Research'!$W$6:$W$505,0)),"")</f>
        <v/>
      </c>
      <c r="F155" s="35" t="str">
        <f aca="false">IFERROR(INDEX('Fund Research'!$H$6:$H$505,MATCH(150,'Fund Research'!$W$6:$W$505,0)),"")</f>
        <v/>
      </c>
      <c r="G155" s="35" t="str">
        <f aca="false">IFERROR(INDEX('Fund Research'!$I$6:$I$505,MATCH(150,'Fund Research'!$W$6:$W$505,0)),"")</f>
        <v/>
      </c>
      <c r="H155" s="36" t="str">
        <f aca="false">IFERROR(INDEX('Fund Research'!$J$6:$J$505,MATCH(150,'Fund Research'!$W$6:$W$505,0)),"")</f>
        <v/>
      </c>
      <c r="I155" s="39" t="str">
        <f aca="false">IFERROR(INDEX('Fund Research'!$L$6:$L$505,MATCH(150,'Fund Research'!$W$6:$W$505,0)),"")</f>
        <v/>
      </c>
      <c r="J155" s="36" t="str">
        <f aca="false">IFERROR(INDEX('Fund Research'!$N$6:$N$505,MATCH(150,'Fund Research'!$W$6:$W$505,0)),"")</f>
        <v/>
      </c>
      <c r="K155" s="36" t="str">
        <f aca="false">IFERROR(INDEX('Fund Research'!$P$6:$P$505,MATCH(150,'Fund Research'!$W$6:$W$505,0)),"")</f>
        <v/>
      </c>
      <c r="L155" s="34" t="str">
        <f aca="false">IFERROR(INDEX('Fund Research'!$S$6:$S$505,MATCH(150,'Fund Research'!$W$6:$W$505,0)),"")</f>
        <v/>
      </c>
      <c r="M155" s="34" t="str">
        <f aca="false">IFERROR(INDEX('Fund Research'!$T$6:$T$505,MATCH(150,'Fund Research'!$W$6:$W$505,0)),"")</f>
        <v/>
      </c>
    </row>
    <row r="156" customFormat="false" ht="15" hidden="false" customHeight="true" outlineLevel="0" collapsed="false">
      <c r="A156" s="33" t="str">
        <f aca="false">IFERROR(IF(INDEX('Fund Research'!$B$6:$B$505,MATCH(151,'Fund Research'!$W$6:$W$505,0))="","",151),"")</f>
        <v/>
      </c>
      <c r="B156" s="34" t="str">
        <f aca="false">IFERROR(INDEX('Fund Research'!$A$6:$A$505,MATCH(151,'Fund Research'!$W$6:$W$505,0)),"")</f>
        <v/>
      </c>
      <c r="C156" s="34" t="str">
        <f aca="false">IFERROR(INDEX('Fund Research'!$B$6:$B$505,MATCH(151,'Fund Research'!$W$6:$W$505,0)),"")</f>
        <v/>
      </c>
      <c r="D156" s="34" t="str">
        <f aca="false">IFERROR(INDEX('Fund Research'!$C$6:$C$505,MATCH(151,'Fund Research'!$W$6:$W$505,0)),"")</f>
        <v/>
      </c>
      <c r="E156" s="35" t="str">
        <f aca="false">IFERROR(INDEX('Fund Research'!$G$6:$G$505,MATCH(151,'Fund Research'!$W$6:$W$505,0)),"")</f>
        <v/>
      </c>
      <c r="F156" s="35" t="str">
        <f aca="false">IFERROR(INDEX('Fund Research'!$H$6:$H$505,MATCH(151,'Fund Research'!$W$6:$W$505,0)),"")</f>
        <v/>
      </c>
      <c r="G156" s="35" t="str">
        <f aca="false">IFERROR(INDEX('Fund Research'!$I$6:$I$505,MATCH(151,'Fund Research'!$W$6:$W$505,0)),"")</f>
        <v/>
      </c>
      <c r="H156" s="36" t="str">
        <f aca="false">IFERROR(INDEX('Fund Research'!$J$6:$J$505,MATCH(151,'Fund Research'!$W$6:$W$505,0)),"")</f>
        <v/>
      </c>
      <c r="I156" s="39" t="str">
        <f aca="false">IFERROR(INDEX('Fund Research'!$L$6:$L$505,MATCH(151,'Fund Research'!$W$6:$W$505,0)),"")</f>
        <v/>
      </c>
      <c r="J156" s="36" t="str">
        <f aca="false">IFERROR(INDEX('Fund Research'!$N$6:$N$505,MATCH(151,'Fund Research'!$W$6:$W$505,0)),"")</f>
        <v/>
      </c>
      <c r="K156" s="36" t="str">
        <f aca="false">IFERROR(INDEX('Fund Research'!$P$6:$P$505,MATCH(151,'Fund Research'!$W$6:$W$505,0)),"")</f>
        <v/>
      </c>
      <c r="L156" s="34" t="str">
        <f aca="false">IFERROR(INDEX('Fund Research'!$S$6:$S$505,MATCH(151,'Fund Research'!$W$6:$W$505,0)),"")</f>
        <v/>
      </c>
      <c r="M156" s="34" t="str">
        <f aca="false">IFERROR(INDEX('Fund Research'!$T$6:$T$505,MATCH(151,'Fund Research'!$W$6:$W$505,0)),"")</f>
        <v/>
      </c>
    </row>
    <row r="157" customFormat="false" ht="15" hidden="false" customHeight="true" outlineLevel="0" collapsed="false">
      <c r="A157" s="33" t="str">
        <f aca="false">IFERROR(IF(INDEX('Fund Research'!$B$6:$B$505,MATCH(152,'Fund Research'!$W$6:$W$505,0))="","",152),"")</f>
        <v/>
      </c>
      <c r="B157" s="34" t="str">
        <f aca="false">IFERROR(INDEX('Fund Research'!$A$6:$A$505,MATCH(152,'Fund Research'!$W$6:$W$505,0)),"")</f>
        <v/>
      </c>
      <c r="C157" s="34" t="str">
        <f aca="false">IFERROR(INDEX('Fund Research'!$B$6:$B$505,MATCH(152,'Fund Research'!$W$6:$W$505,0)),"")</f>
        <v/>
      </c>
      <c r="D157" s="34" t="str">
        <f aca="false">IFERROR(INDEX('Fund Research'!$C$6:$C$505,MATCH(152,'Fund Research'!$W$6:$W$505,0)),"")</f>
        <v/>
      </c>
      <c r="E157" s="35" t="str">
        <f aca="false">IFERROR(INDEX('Fund Research'!$G$6:$G$505,MATCH(152,'Fund Research'!$W$6:$W$505,0)),"")</f>
        <v/>
      </c>
      <c r="F157" s="35" t="str">
        <f aca="false">IFERROR(INDEX('Fund Research'!$H$6:$H$505,MATCH(152,'Fund Research'!$W$6:$W$505,0)),"")</f>
        <v/>
      </c>
      <c r="G157" s="35" t="str">
        <f aca="false">IFERROR(INDEX('Fund Research'!$I$6:$I$505,MATCH(152,'Fund Research'!$W$6:$W$505,0)),"")</f>
        <v/>
      </c>
      <c r="H157" s="36" t="str">
        <f aca="false">IFERROR(INDEX('Fund Research'!$J$6:$J$505,MATCH(152,'Fund Research'!$W$6:$W$505,0)),"")</f>
        <v/>
      </c>
      <c r="I157" s="39" t="str">
        <f aca="false">IFERROR(INDEX('Fund Research'!$L$6:$L$505,MATCH(152,'Fund Research'!$W$6:$W$505,0)),"")</f>
        <v/>
      </c>
      <c r="J157" s="36" t="str">
        <f aca="false">IFERROR(INDEX('Fund Research'!$N$6:$N$505,MATCH(152,'Fund Research'!$W$6:$W$505,0)),"")</f>
        <v/>
      </c>
      <c r="K157" s="36" t="str">
        <f aca="false">IFERROR(INDEX('Fund Research'!$P$6:$P$505,MATCH(152,'Fund Research'!$W$6:$W$505,0)),"")</f>
        <v/>
      </c>
      <c r="L157" s="34" t="str">
        <f aca="false">IFERROR(INDEX('Fund Research'!$S$6:$S$505,MATCH(152,'Fund Research'!$W$6:$W$505,0)),"")</f>
        <v/>
      </c>
      <c r="M157" s="34" t="str">
        <f aca="false">IFERROR(INDEX('Fund Research'!$T$6:$T$505,MATCH(152,'Fund Research'!$W$6:$W$505,0)),"")</f>
        <v/>
      </c>
    </row>
    <row r="158" customFormat="false" ht="15" hidden="false" customHeight="true" outlineLevel="0" collapsed="false">
      <c r="A158" s="33" t="str">
        <f aca="false">IFERROR(IF(INDEX('Fund Research'!$B$6:$B$505,MATCH(153,'Fund Research'!$W$6:$W$505,0))="","",153),"")</f>
        <v/>
      </c>
      <c r="B158" s="34" t="str">
        <f aca="false">IFERROR(INDEX('Fund Research'!$A$6:$A$505,MATCH(153,'Fund Research'!$W$6:$W$505,0)),"")</f>
        <v/>
      </c>
      <c r="C158" s="34" t="str">
        <f aca="false">IFERROR(INDEX('Fund Research'!$B$6:$B$505,MATCH(153,'Fund Research'!$W$6:$W$505,0)),"")</f>
        <v/>
      </c>
      <c r="D158" s="34" t="str">
        <f aca="false">IFERROR(INDEX('Fund Research'!$C$6:$C$505,MATCH(153,'Fund Research'!$W$6:$W$505,0)),"")</f>
        <v/>
      </c>
      <c r="E158" s="35" t="str">
        <f aca="false">IFERROR(INDEX('Fund Research'!$G$6:$G$505,MATCH(153,'Fund Research'!$W$6:$W$505,0)),"")</f>
        <v/>
      </c>
      <c r="F158" s="35" t="str">
        <f aca="false">IFERROR(INDEX('Fund Research'!$H$6:$H$505,MATCH(153,'Fund Research'!$W$6:$W$505,0)),"")</f>
        <v/>
      </c>
      <c r="G158" s="35" t="str">
        <f aca="false">IFERROR(INDEX('Fund Research'!$I$6:$I$505,MATCH(153,'Fund Research'!$W$6:$W$505,0)),"")</f>
        <v/>
      </c>
      <c r="H158" s="36" t="str">
        <f aca="false">IFERROR(INDEX('Fund Research'!$J$6:$J$505,MATCH(153,'Fund Research'!$W$6:$W$505,0)),"")</f>
        <v/>
      </c>
      <c r="I158" s="39" t="str">
        <f aca="false">IFERROR(INDEX('Fund Research'!$L$6:$L$505,MATCH(153,'Fund Research'!$W$6:$W$505,0)),"")</f>
        <v/>
      </c>
      <c r="J158" s="36" t="str">
        <f aca="false">IFERROR(INDEX('Fund Research'!$N$6:$N$505,MATCH(153,'Fund Research'!$W$6:$W$505,0)),"")</f>
        <v/>
      </c>
      <c r="K158" s="36" t="str">
        <f aca="false">IFERROR(INDEX('Fund Research'!$P$6:$P$505,MATCH(153,'Fund Research'!$W$6:$W$505,0)),"")</f>
        <v/>
      </c>
      <c r="L158" s="34" t="str">
        <f aca="false">IFERROR(INDEX('Fund Research'!$S$6:$S$505,MATCH(153,'Fund Research'!$W$6:$W$505,0)),"")</f>
        <v/>
      </c>
      <c r="M158" s="34" t="str">
        <f aca="false">IFERROR(INDEX('Fund Research'!$T$6:$T$505,MATCH(153,'Fund Research'!$W$6:$W$505,0)),"")</f>
        <v/>
      </c>
    </row>
    <row r="159" customFormat="false" ht="15" hidden="false" customHeight="true" outlineLevel="0" collapsed="false">
      <c r="A159" s="33" t="str">
        <f aca="false">IFERROR(IF(INDEX('Fund Research'!$B$6:$B$505,MATCH(154,'Fund Research'!$W$6:$W$505,0))="","",154),"")</f>
        <v/>
      </c>
      <c r="B159" s="34" t="str">
        <f aca="false">IFERROR(INDEX('Fund Research'!$A$6:$A$505,MATCH(154,'Fund Research'!$W$6:$W$505,0)),"")</f>
        <v/>
      </c>
      <c r="C159" s="34" t="str">
        <f aca="false">IFERROR(INDEX('Fund Research'!$B$6:$B$505,MATCH(154,'Fund Research'!$W$6:$W$505,0)),"")</f>
        <v/>
      </c>
      <c r="D159" s="34" t="str">
        <f aca="false">IFERROR(INDEX('Fund Research'!$C$6:$C$505,MATCH(154,'Fund Research'!$W$6:$W$505,0)),"")</f>
        <v/>
      </c>
      <c r="E159" s="35" t="str">
        <f aca="false">IFERROR(INDEX('Fund Research'!$G$6:$G$505,MATCH(154,'Fund Research'!$W$6:$W$505,0)),"")</f>
        <v/>
      </c>
      <c r="F159" s="35" t="str">
        <f aca="false">IFERROR(INDEX('Fund Research'!$H$6:$H$505,MATCH(154,'Fund Research'!$W$6:$W$505,0)),"")</f>
        <v/>
      </c>
      <c r="G159" s="35" t="str">
        <f aca="false">IFERROR(INDEX('Fund Research'!$I$6:$I$505,MATCH(154,'Fund Research'!$W$6:$W$505,0)),"")</f>
        <v/>
      </c>
      <c r="H159" s="36" t="str">
        <f aca="false">IFERROR(INDEX('Fund Research'!$J$6:$J$505,MATCH(154,'Fund Research'!$W$6:$W$505,0)),"")</f>
        <v/>
      </c>
      <c r="I159" s="39" t="str">
        <f aca="false">IFERROR(INDEX('Fund Research'!$L$6:$L$505,MATCH(154,'Fund Research'!$W$6:$W$505,0)),"")</f>
        <v/>
      </c>
      <c r="J159" s="36" t="str">
        <f aca="false">IFERROR(INDEX('Fund Research'!$N$6:$N$505,MATCH(154,'Fund Research'!$W$6:$W$505,0)),"")</f>
        <v/>
      </c>
      <c r="K159" s="36" t="str">
        <f aca="false">IFERROR(INDEX('Fund Research'!$P$6:$P$505,MATCH(154,'Fund Research'!$W$6:$W$505,0)),"")</f>
        <v/>
      </c>
      <c r="L159" s="34" t="str">
        <f aca="false">IFERROR(INDEX('Fund Research'!$S$6:$S$505,MATCH(154,'Fund Research'!$W$6:$W$505,0)),"")</f>
        <v/>
      </c>
      <c r="M159" s="34" t="str">
        <f aca="false">IFERROR(INDEX('Fund Research'!$T$6:$T$505,MATCH(154,'Fund Research'!$W$6:$W$505,0)),"")</f>
        <v/>
      </c>
    </row>
    <row r="160" customFormat="false" ht="15" hidden="false" customHeight="true" outlineLevel="0" collapsed="false">
      <c r="A160" s="33" t="str">
        <f aca="false">IFERROR(IF(INDEX('Fund Research'!$B$6:$B$505,MATCH(155,'Fund Research'!$W$6:$W$505,0))="","",155),"")</f>
        <v/>
      </c>
      <c r="B160" s="34" t="str">
        <f aca="false">IFERROR(INDEX('Fund Research'!$A$6:$A$505,MATCH(155,'Fund Research'!$W$6:$W$505,0)),"")</f>
        <v/>
      </c>
      <c r="C160" s="34" t="str">
        <f aca="false">IFERROR(INDEX('Fund Research'!$B$6:$B$505,MATCH(155,'Fund Research'!$W$6:$W$505,0)),"")</f>
        <v/>
      </c>
      <c r="D160" s="34" t="str">
        <f aca="false">IFERROR(INDEX('Fund Research'!$C$6:$C$505,MATCH(155,'Fund Research'!$W$6:$W$505,0)),"")</f>
        <v/>
      </c>
      <c r="E160" s="35" t="str">
        <f aca="false">IFERROR(INDEX('Fund Research'!$G$6:$G$505,MATCH(155,'Fund Research'!$W$6:$W$505,0)),"")</f>
        <v/>
      </c>
      <c r="F160" s="35" t="str">
        <f aca="false">IFERROR(INDEX('Fund Research'!$H$6:$H$505,MATCH(155,'Fund Research'!$W$6:$W$505,0)),"")</f>
        <v/>
      </c>
      <c r="G160" s="35" t="str">
        <f aca="false">IFERROR(INDEX('Fund Research'!$I$6:$I$505,MATCH(155,'Fund Research'!$W$6:$W$505,0)),"")</f>
        <v/>
      </c>
      <c r="H160" s="36" t="str">
        <f aca="false">IFERROR(INDEX('Fund Research'!$J$6:$J$505,MATCH(155,'Fund Research'!$W$6:$W$505,0)),"")</f>
        <v/>
      </c>
      <c r="I160" s="39" t="str">
        <f aca="false">IFERROR(INDEX('Fund Research'!$L$6:$L$505,MATCH(155,'Fund Research'!$W$6:$W$505,0)),"")</f>
        <v/>
      </c>
      <c r="J160" s="36" t="str">
        <f aca="false">IFERROR(INDEX('Fund Research'!$N$6:$N$505,MATCH(155,'Fund Research'!$W$6:$W$505,0)),"")</f>
        <v/>
      </c>
      <c r="K160" s="36" t="str">
        <f aca="false">IFERROR(INDEX('Fund Research'!$P$6:$P$505,MATCH(155,'Fund Research'!$W$6:$W$505,0)),"")</f>
        <v/>
      </c>
      <c r="L160" s="34" t="str">
        <f aca="false">IFERROR(INDEX('Fund Research'!$S$6:$S$505,MATCH(155,'Fund Research'!$W$6:$W$505,0)),"")</f>
        <v/>
      </c>
      <c r="M160" s="34" t="str">
        <f aca="false">IFERROR(INDEX('Fund Research'!$T$6:$T$505,MATCH(155,'Fund Research'!$W$6:$W$505,0)),"")</f>
        <v/>
      </c>
    </row>
    <row r="161" customFormat="false" ht="15" hidden="false" customHeight="true" outlineLevel="0" collapsed="false">
      <c r="A161" s="33" t="str">
        <f aca="false">IFERROR(IF(INDEX('Fund Research'!$B$6:$B$505,MATCH(156,'Fund Research'!$W$6:$W$505,0))="","",156),"")</f>
        <v/>
      </c>
      <c r="B161" s="34" t="str">
        <f aca="false">IFERROR(INDEX('Fund Research'!$A$6:$A$505,MATCH(156,'Fund Research'!$W$6:$W$505,0)),"")</f>
        <v/>
      </c>
      <c r="C161" s="34" t="str">
        <f aca="false">IFERROR(INDEX('Fund Research'!$B$6:$B$505,MATCH(156,'Fund Research'!$W$6:$W$505,0)),"")</f>
        <v/>
      </c>
      <c r="D161" s="34" t="str">
        <f aca="false">IFERROR(INDEX('Fund Research'!$C$6:$C$505,MATCH(156,'Fund Research'!$W$6:$W$505,0)),"")</f>
        <v/>
      </c>
      <c r="E161" s="35" t="str">
        <f aca="false">IFERROR(INDEX('Fund Research'!$G$6:$G$505,MATCH(156,'Fund Research'!$W$6:$W$505,0)),"")</f>
        <v/>
      </c>
      <c r="F161" s="35" t="str">
        <f aca="false">IFERROR(INDEX('Fund Research'!$H$6:$H$505,MATCH(156,'Fund Research'!$W$6:$W$505,0)),"")</f>
        <v/>
      </c>
      <c r="G161" s="35" t="str">
        <f aca="false">IFERROR(INDEX('Fund Research'!$I$6:$I$505,MATCH(156,'Fund Research'!$W$6:$W$505,0)),"")</f>
        <v/>
      </c>
      <c r="H161" s="36" t="str">
        <f aca="false">IFERROR(INDEX('Fund Research'!$J$6:$J$505,MATCH(156,'Fund Research'!$W$6:$W$505,0)),"")</f>
        <v/>
      </c>
      <c r="I161" s="39" t="str">
        <f aca="false">IFERROR(INDEX('Fund Research'!$L$6:$L$505,MATCH(156,'Fund Research'!$W$6:$W$505,0)),"")</f>
        <v/>
      </c>
      <c r="J161" s="36" t="str">
        <f aca="false">IFERROR(INDEX('Fund Research'!$N$6:$N$505,MATCH(156,'Fund Research'!$W$6:$W$505,0)),"")</f>
        <v/>
      </c>
      <c r="K161" s="36" t="str">
        <f aca="false">IFERROR(INDEX('Fund Research'!$P$6:$P$505,MATCH(156,'Fund Research'!$W$6:$W$505,0)),"")</f>
        <v/>
      </c>
      <c r="L161" s="34" t="str">
        <f aca="false">IFERROR(INDEX('Fund Research'!$S$6:$S$505,MATCH(156,'Fund Research'!$W$6:$W$505,0)),"")</f>
        <v/>
      </c>
      <c r="M161" s="34" t="str">
        <f aca="false">IFERROR(INDEX('Fund Research'!$T$6:$T$505,MATCH(156,'Fund Research'!$W$6:$W$505,0)),"")</f>
        <v/>
      </c>
    </row>
    <row r="162" customFormat="false" ht="15" hidden="false" customHeight="true" outlineLevel="0" collapsed="false">
      <c r="A162" s="33" t="str">
        <f aca="false">IFERROR(IF(INDEX('Fund Research'!$B$6:$B$505,MATCH(157,'Fund Research'!$W$6:$W$505,0))="","",157),"")</f>
        <v/>
      </c>
      <c r="B162" s="34" t="str">
        <f aca="false">IFERROR(INDEX('Fund Research'!$A$6:$A$505,MATCH(157,'Fund Research'!$W$6:$W$505,0)),"")</f>
        <v/>
      </c>
      <c r="C162" s="34" t="str">
        <f aca="false">IFERROR(INDEX('Fund Research'!$B$6:$B$505,MATCH(157,'Fund Research'!$W$6:$W$505,0)),"")</f>
        <v/>
      </c>
      <c r="D162" s="34" t="str">
        <f aca="false">IFERROR(INDEX('Fund Research'!$C$6:$C$505,MATCH(157,'Fund Research'!$W$6:$W$505,0)),"")</f>
        <v/>
      </c>
      <c r="E162" s="35" t="str">
        <f aca="false">IFERROR(INDEX('Fund Research'!$G$6:$G$505,MATCH(157,'Fund Research'!$W$6:$W$505,0)),"")</f>
        <v/>
      </c>
      <c r="F162" s="35" t="str">
        <f aca="false">IFERROR(INDEX('Fund Research'!$H$6:$H$505,MATCH(157,'Fund Research'!$W$6:$W$505,0)),"")</f>
        <v/>
      </c>
      <c r="G162" s="35" t="str">
        <f aca="false">IFERROR(INDEX('Fund Research'!$I$6:$I$505,MATCH(157,'Fund Research'!$W$6:$W$505,0)),"")</f>
        <v/>
      </c>
      <c r="H162" s="36" t="str">
        <f aca="false">IFERROR(INDEX('Fund Research'!$J$6:$J$505,MATCH(157,'Fund Research'!$W$6:$W$505,0)),"")</f>
        <v/>
      </c>
      <c r="I162" s="39" t="str">
        <f aca="false">IFERROR(INDEX('Fund Research'!$L$6:$L$505,MATCH(157,'Fund Research'!$W$6:$W$505,0)),"")</f>
        <v/>
      </c>
      <c r="J162" s="36" t="str">
        <f aca="false">IFERROR(INDEX('Fund Research'!$N$6:$N$505,MATCH(157,'Fund Research'!$W$6:$W$505,0)),"")</f>
        <v/>
      </c>
      <c r="K162" s="36" t="str">
        <f aca="false">IFERROR(INDEX('Fund Research'!$P$6:$P$505,MATCH(157,'Fund Research'!$W$6:$W$505,0)),"")</f>
        <v/>
      </c>
      <c r="L162" s="34" t="str">
        <f aca="false">IFERROR(INDEX('Fund Research'!$S$6:$S$505,MATCH(157,'Fund Research'!$W$6:$W$505,0)),"")</f>
        <v/>
      </c>
      <c r="M162" s="34" t="str">
        <f aca="false">IFERROR(INDEX('Fund Research'!$T$6:$T$505,MATCH(157,'Fund Research'!$W$6:$W$505,0)),"")</f>
        <v/>
      </c>
    </row>
    <row r="163" customFormat="false" ht="15" hidden="false" customHeight="true" outlineLevel="0" collapsed="false">
      <c r="A163" s="33" t="str">
        <f aca="false">IFERROR(IF(INDEX('Fund Research'!$B$6:$B$505,MATCH(158,'Fund Research'!$W$6:$W$505,0))="","",158),"")</f>
        <v/>
      </c>
      <c r="B163" s="34" t="str">
        <f aca="false">IFERROR(INDEX('Fund Research'!$A$6:$A$505,MATCH(158,'Fund Research'!$W$6:$W$505,0)),"")</f>
        <v/>
      </c>
      <c r="C163" s="34" t="str">
        <f aca="false">IFERROR(INDEX('Fund Research'!$B$6:$B$505,MATCH(158,'Fund Research'!$W$6:$W$505,0)),"")</f>
        <v/>
      </c>
      <c r="D163" s="34" t="str">
        <f aca="false">IFERROR(INDEX('Fund Research'!$C$6:$C$505,MATCH(158,'Fund Research'!$W$6:$W$505,0)),"")</f>
        <v/>
      </c>
      <c r="E163" s="35" t="str">
        <f aca="false">IFERROR(INDEX('Fund Research'!$G$6:$G$505,MATCH(158,'Fund Research'!$W$6:$W$505,0)),"")</f>
        <v/>
      </c>
      <c r="F163" s="35" t="str">
        <f aca="false">IFERROR(INDEX('Fund Research'!$H$6:$H$505,MATCH(158,'Fund Research'!$W$6:$W$505,0)),"")</f>
        <v/>
      </c>
      <c r="G163" s="35" t="str">
        <f aca="false">IFERROR(INDEX('Fund Research'!$I$6:$I$505,MATCH(158,'Fund Research'!$W$6:$W$505,0)),"")</f>
        <v/>
      </c>
      <c r="H163" s="36" t="str">
        <f aca="false">IFERROR(INDEX('Fund Research'!$J$6:$J$505,MATCH(158,'Fund Research'!$W$6:$W$505,0)),"")</f>
        <v/>
      </c>
      <c r="I163" s="39" t="str">
        <f aca="false">IFERROR(INDEX('Fund Research'!$L$6:$L$505,MATCH(158,'Fund Research'!$W$6:$W$505,0)),"")</f>
        <v/>
      </c>
      <c r="J163" s="36" t="str">
        <f aca="false">IFERROR(INDEX('Fund Research'!$N$6:$N$505,MATCH(158,'Fund Research'!$W$6:$W$505,0)),"")</f>
        <v/>
      </c>
      <c r="K163" s="36" t="str">
        <f aca="false">IFERROR(INDEX('Fund Research'!$P$6:$P$505,MATCH(158,'Fund Research'!$W$6:$W$505,0)),"")</f>
        <v/>
      </c>
      <c r="L163" s="34" t="str">
        <f aca="false">IFERROR(INDEX('Fund Research'!$S$6:$S$505,MATCH(158,'Fund Research'!$W$6:$W$505,0)),"")</f>
        <v/>
      </c>
      <c r="M163" s="34" t="str">
        <f aca="false">IFERROR(INDEX('Fund Research'!$T$6:$T$505,MATCH(158,'Fund Research'!$W$6:$W$505,0)),"")</f>
        <v/>
      </c>
    </row>
    <row r="164" customFormat="false" ht="15" hidden="false" customHeight="true" outlineLevel="0" collapsed="false">
      <c r="A164" s="33" t="str">
        <f aca="false">IFERROR(IF(INDEX('Fund Research'!$B$6:$B$505,MATCH(159,'Fund Research'!$W$6:$W$505,0))="","",159),"")</f>
        <v/>
      </c>
      <c r="B164" s="34" t="str">
        <f aca="false">IFERROR(INDEX('Fund Research'!$A$6:$A$505,MATCH(159,'Fund Research'!$W$6:$W$505,0)),"")</f>
        <v/>
      </c>
      <c r="C164" s="34" t="str">
        <f aca="false">IFERROR(INDEX('Fund Research'!$B$6:$B$505,MATCH(159,'Fund Research'!$W$6:$W$505,0)),"")</f>
        <v/>
      </c>
      <c r="D164" s="34" t="str">
        <f aca="false">IFERROR(INDEX('Fund Research'!$C$6:$C$505,MATCH(159,'Fund Research'!$W$6:$W$505,0)),"")</f>
        <v/>
      </c>
      <c r="E164" s="35" t="str">
        <f aca="false">IFERROR(INDEX('Fund Research'!$G$6:$G$505,MATCH(159,'Fund Research'!$W$6:$W$505,0)),"")</f>
        <v/>
      </c>
      <c r="F164" s="35" t="str">
        <f aca="false">IFERROR(INDEX('Fund Research'!$H$6:$H$505,MATCH(159,'Fund Research'!$W$6:$W$505,0)),"")</f>
        <v/>
      </c>
      <c r="G164" s="35" t="str">
        <f aca="false">IFERROR(INDEX('Fund Research'!$I$6:$I$505,MATCH(159,'Fund Research'!$W$6:$W$505,0)),"")</f>
        <v/>
      </c>
      <c r="H164" s="36" t="str">
        <f aca="false">IFERROR(INDEX('Fund Research'!$J$6:$J$505,MATCH(159,'Fund Research'!$W$6:$W$505,0)),"")</f>
        <v/>
      </c>
      <c r="I164" s="39" t="str">
        <f aca="false">IFERROR(INDEX('Fund Research'!$L$6:$L$505,MATCH(159,'Fund Research'!$W$6:$W$505,0)),"")</f>
        <v/>
      </c>
      <c r="J164" s="36" t="str">
        <f aca="false">IFERROR(INDEX('Fund Research'!$N$6:$N$505,MATCH(159,'Fund Research'!$W$6:$W$505,0)),"")</f>
        <v/>
      </c>
      <c r="K164" s="36" t="str">
        <f aca="false">IFERROR(INDEX('Fund Research'!$P$6:$P$505,MATCH(159,'Fund Research'!$W$6:$W$505,0)),"")</f>
        <v/>
      </c>
      <c r="L164" s="34" t="str">
        <f aca="false">IFERROR(INDEX('Fund Research'!$S$6:$S$505,MATCH(159,'Fund Research'!$W$6:$W$505,0)),"")</f>
        <v/>
      </c>
      <c r="M164" s="34" t="str">
        <f aca="false">IFERROR(INDEX('Fund Research'!$T$6:$T$505,MATCH(159,'Fund Research'!$W$6:$W$505,0)),"")</f>
        <v/>
      </c>
    </row>
    <row r="165" customFormat="false" ht="15" hidden="false" customHeight="true" outlineLevel="0" collapsed="false">
      <c r="A165" s="33" t="str">
        <f aca="false">IFERROR(IF(INDEX('Fund Research'!$B$6:$B$505,MATCH(160,'Fund Research'!$W$6:$W$505,0))="","",160),"")</f>
        <v/>
      </c>
      <c r="B165" s="34" t="str">
        <f aca="false">IFERROR(INDEX('Fund Research'!$A$6:$A$505,MATCH(160,'Fund Research'!$W$6:$W$505,0)),"")</f>
        <v/>
      </c>
      <c r="C165" s="34" t="str">
        <f aca="false">IFERROR(INDEX('Fund Research'!$B$6:$B$505,MATCH(160,'Fund Research'!$W$6:$W$505,0)),"")</f>
        <v/>
      </c>
      <c r="D165" s="34" t="str">
        <f aca="false">IFERROR(INDEX('Fund Research'!$C$6:$C$505,MATCH(160,'Fund Research'!$W$6:$W$505,0)),"")</f>
        <v/>
      </c>
      <c r="E165" s="35" t="str">
        <f aca="false">IFERROR(INDEX('Fund Research'!$G$6:$G$505,MATCH(160,'Fund Research'!$W$6:$W$505,0)),"")</f>
        <v/>
      </c>
      <c r="F165" s="35" t="str">
        <f aca="false">IFERROR(INDEX('Fund Research'!$H$6:$H$505,MATCH(160,'Fund Research'!$W$6:$W$505,0)),"")</f>
        <v/>
      </c>
      <c r="G165" s="35" t="str">
        <f aca="false">IFERROR(INDEX('Fund Research'!$I$6:$I$505,MATCH(160,'Fund Research'!$W$6:$W$505,0)),"")</f>
        <v/>
      </c>
      <c r="H165" s="36" t="str">
        <f aca="false">IFERROR(INDEX('Fund Research'!$J$6:$J$505,MATCH(160,'Fund Research'!$W$6:$W$505,0)),"")</f>
        <v/>
      </c>
      <c r="I165" s="39" t="str">
        <f aca="false">IFERROR(INDEX('Fund Research'!$L$6:$L$505,MATCH(160,'Fund Research'!$W$6:$W$505,0)),"")</f>
        <v/>
      </c>
      <c r="J165" s="36" t="str">
        <f aca="false">IFERROR(INDEX('Fund Research'!$N$6:$N$505,MATCH(160,'Fund Research'!$W$6:$W$505,0)),"")</f>
        <v/>
      </c>
      <c r="K165" s="36" t="str">
        <f aca="false">IFERROR(INDEX('Fund Research'!$P$6:$P$505,MATCH(160,'Fund Research'!$W$6:$W$505,0)),"")</f>
        <v/>
      </c>
      <c r="L165" s="34" t="str">
        <f aca="false">IFERROR(INDEX('Fund Research'!$S$6:$S$505,MATCH(160,'Fund Research'!$W$6:$W$505,0)),"")</f>
        <v/>
      </c>
      <c r="M165" s="34" t="str">
        <f aca="false">IFERROR(INDEX('Fund Research'!$T$6:$T$505,MATCH(160,'Fund Research'!$W$6:$W$505,0)),"")</f>
        <v/>
      </c>
    </row>
    <row r="166" customFormat="false" ht="15" hidden="false" customHeight="true" outlineLevel="0" collapsed="false">
      <c r="A166" s="33" t="str">
        <f aca="false">IFERROR(IF(INDEX('Fund Research'!$B$6:$B$505,MATCH(161,'Fund Research'!$W$6:$W$505,0))="","",161),"")</f>
        <v/>
      </c>
      <c r="B166" s="34" t="str">
        <f aca="false">IFERROR(INDEX('Fund Research'!$A$6:$A$505,MATCH(161,'Fund Research'!$W$6:$W$505,0)),"")</f>
        <v/>
      </c>
      <c r="C166" s="34" t="str">
        <f aca="false">IFERROR(INDEX('Fund Research'!$B$6:$B$505,MATCH(161,'Fund Research'!$W$6:$W$505,0)),"")</f>
        <v/>
      </c>
      <c r="D166" s="34" t="str">
        <f aca="false">IFERROR(INDEX('Fund Research'!$C$6:$C$505,MATCH(161,'Fund Research'!$W$6:$W$505,0)),"")</f>
        <v/>
      </c>
      <c r="E166" s="35" t="str">
        <f aca="false">IFERROR(INDEX('Fund Research'!$G$6:$G$505,MATCH(161,'Fund Research'!$W$6:$W$505,0)),"")</f>
        <v/>
      </c>
      <c r="F166" s="35" t="str">
        <f aca="false">IFERROR(INDEX('Fund Research'!$H$6:$H$505,MATCH(161,'Fund Research'!$W$6:$W$505,0)),"")</f>
        <v/>
      </c>
      <c r="G166" s="35" t="str">
        <f aca="false">IFERROR(INDEX('Fund Research'!$I$6:$I$505,MATCH(161,'Fund Research'!$W$6:$W$505,0)),"")</f>
        <v/>
      </c>
      <c r="H166" s="36" t="str">
        <f aca="false">IFERROR(INDEX('Fund Research'!$J$6:$J$505,MATCH(161,'Fund Research'!$W$6:$W$505,0)),"")</f>
        <v/>
      </c>
      <c r="I166" s="39" t="str">
        <f aca="false">IFERROR(INDEX('Fund Research'!$L$6:$L$505,MATCH(161,'Fund Research'!$W$6:$W$505,0)),"")</f>
        <v/>
      </c>
      <c r="J166" s="36" t="str">
        <f aca="false">IFERROR(INDEX('Fund Research'!$N$6:$N$505,MATCH(161,'Fund Research'!$W$6:$W$505,0)),"")</f>
        <v/>
      </c>
      <c r="K166" s="36" t="str">
        <f aca="false">IFERROR(INDEX('Fund Research'!$P$6:$P$505,MATCH(161,'Fund Research'!$W$6:$W$505,0)),"")</f>
        <v/>
      </c>
      <c r="L166" s="34" t="str">
        <f aca="false">IFERROR(INDEX('Fund Research'!$S$6:$S$505,MATCH(161,'Fund Research'!$W$6:$W$505,0)),"")</f>
        <v/>
      </c>
      <c r="M166" s="34" t="str">
        <f aca="false">IFERROR(INDEX('Fund Research'!$T$6:$T$505,MATCH(161,'Fund Research'!$W$6:$W$505,0)),"")</f>
        <v/>
      </c>
    </row>
    <row r="167" customFormat="false" ht="15" hidden="false" customHeight="true" outlineLevel="0" collapsed="false">
      <c r="A167" s="33" t="str">
        <f aca="false">IFERROR(IF(INDEX('Fund Research'!$B$6:$B$505,MATCH(162,'Fund Research'!$W$6:$W$505,0))="","",162),"")</f>
        <v/>
      </c>
      <c r="B167" s="34" t="str">
        <f aca="false">IFERROR(INDEX('Fund Research'!$A$6:$A$505,MATCH(162,'Fund Research'!$W$6:$W$505,0)),"")</f>
        <v/>
      </c>
      <c r="C167" s="34" t="str">
        <f aca="false">IFERROR(INDEX('Fund Research'!$B$6:$B$505,MATCH(162,'Fund Research'!$W$6:$W$505,0)),"")</f>
        <v/>
      </c>
      <c r="D167" s="34" t="str">
        <f aca="false">IFERROR(INDEX('Fund Research'!$C$6:$C$505,MATCH(162,'Fund Research'!$W$6:$W$505,0)),"")</f>
        <v/>
      </c>
      <c r="E167" s="35" t="str">
        <f aca="false">IFERROR(INDEX('Fund Research'!$G$6:$G$505,MATCH(162,'Fund Research'!$W$6:$W$505,0)),"")</f>
        <v/>
      </c>
      <c r="F167" s="35" t="str">
        <f aca="false">IFERROR(INDEX('Fund Research'!$H$6:$H$505,MATCH(162,'Fund Research'!$W$6:$W$505,0)),"")</f>
        <v/>
      </c>
      <c r="G167" s="35" t="str">
        <f aca="false">IFERROR(INDEX('Fund Research'!$I$6:$I$505,MATCH(162,'Fund Research'!$W$6:$W$505,0)),"")</f>
        <v/>
      </c>
      <c r="H167" s="36" t="str">
        <f aca="false">IFERROR(INDEX('Fund Research'!$J$6:$J$505,MATCH(162,'Fund Research'!$W$6:$W$505,0)),"")</f>
        <v/>
      </c>
      <c r="I167" s="39" t="str">
        <f aca="false">IFERROR(INDEX('Fund Research'!$L$6:$L$505,MATCH(162,'Fund Research'!$W$6:$W$505,0)),"")</f>
        <v/>
      </c>
      <c r="J167" s="36" t="str">
        <f aca="false">IFERROR(INDEX('Fund Research'!$N$6:$N$505,MATCH(162,'Fund Research'!$W$6:$W$505,0)),"")</f>
        <v/>
      </c>
      <c r="K167" s="36" t="str">
        <f aca="false">IFERROR(INDEX('Fund Research'!$P$6:$P$505,MATCH(162,'Fund Research'!$W$6:$W$505,0)),"")</f>
        <v/>
      </c>
      <c r="L167" s="34" t="str">
        <f aca="false">IFERROR(INDEX('Fund Research'!$S$6:$S$505,MATCH(162,'Fund Research'!$W$6:$W$505,0)),"")</f>
        <v/>
      </c>
      <c r="M167" s="34" t="str">
        <f aca="false">IFERROR(INDEX('Fund Research'!$T$6:$T$505,MATCH(162,'Fund Research'!$W$6:$W$505,0)),"")</f>
        <v/>
      </c>
    </row>
    <row r="168" customFormat="false" ht="15" hidden="false" customHeight="true" outlineLevel="0" collapsed="false">
      <c r="A168" s="33" t="str">
        <f aca="false">IFERROR(IF(INDEX('Fund Research'!$B$6:$B$505,MATCH(163,'Fund Research'!$W$6:$W$505,0))="","",163),"")</f>
        <v/>
      </c>
      <c r="B168" s="34" t="str">
        <f aca="false">IFERROR(INDEX('Fund Research'!$A$6:$A$505,MATCH(163,'Fund Research'!$W$6:$W$505,0)),"")</f>
        <v/>
      </c>
      <c r="C168" s="34" t="str">
        <f aca="false">IFERROR(INDEX('Fund Research'!$B$6:$B$505,MATCH(163,'Fund Research'!$W$6:$W$505,0)),"")</f>
        <v/>
      </c>
      <c r="D168" s="34" t="str">
        <f aca="false">IFERROR(INDEX('Fund Research'!$C$6:$C$505,MATCH(163,'Fund Research'!$W$6:$W$505,0)),"")</f>
        <v/>
      </c>
      <c r="E168" s="35" t="str">
        <f aca="false">IFERROR(INDEX('Fund Research'!$G$6:$G$505,MATCH(163,'Fund Research'!$W$6:$W$505,0)),"")</f>
        <v/>
      </c>
      <c r="F168" s="35" t="str">
        <f aca="false">IFERROR(INDEX('Fund Research'!$H$6:$H$505,MATCH(163,'Fund Research'!$W$6:$W$505,0)),"")</f>
        <v/>
      </c>
      <c r="G168" s="35" t="str">
        <f aca="false">IFERROR(INDEX('Fund Research'!$I$6:$I$505,MATCH(163,'Fund Research'!$W$6:$W$505,0)),"")</f>
        <v/>
      </c>
      <c r="H168" s="36" t="str">
        <f aca="false">IFERROR(INDEX('Fund Research'!$J$6:$J$505,MATCH(163,'Fund Research'!$W$6:$W$505,0)),"")</f>
        <v/>
      </c>
      <c r="I168" s="39" t="str">
        <f aca="false">IFERROR(INDEX('Fund Research'!$L$6:$L$505,MATCH(163,'Fund Research'!$W$6:$W$505,0)),"")</f>
        <v/>
      </c>
      <c r="J168" s="36" t="str">
        <f aca="false">IFERROR(INDEX('Fund Research'!$N$6:$N$505,MATCH(163,'Fund Research'!$W$6:$W$505,0)),"")</f>
        <v/>
      </c>
      <c r="K168" s="36" t="str">
        <f aca="false">IFERROR(INDEX('Fund Research'!$P$6:$P$505,MATCH(163,'Fund Research'!$W$6:$W$505,0)),"")</f>
        <v/>
      </c>
      <c r="L168" s="34" t="str">
        <f aca="false">IFERROR(INDEX('Fund Research'!$S$6:$S$505,MATCH(163,'Fund Research'!$W$6:$W$505,0)),"")</f>
        <v/>
      </c>
      <c r="M168" s="34" t="str">
        <f aca="false">IFERROR(INDEX('Fund Research'!$T$6:$T$505,MATCH(163,'Fund Research'!$W$6:$W$505,0)),"")</f>
        <v/>
      </c>
    </row>
    <row r="169" customFormat="false" ht="15" hidden="false" customHeight="true" outlineLevel="0" collapsed="false">
      <c r="A169" s="33" t="str">
        <f aca="false">IFERROR(IF(INDEX('Fund Research'!$B$6:$B$505,MATCH(164,'Fund Research'!$W$6:$W$505,0))="","",164),"")</f>
        <v/>
      </c>
      <c r="B169" s="34" t="str">
        <f aca="false">IFERROR(INDEX('Fund Research'!$A$6:$A$505,MATCH(164,'Fund Research'!$W$6:$W$505,0)),"")</f>
        <v/>
      </c>
      <c r="C169" s="34" t="str">
        <f aca="false">IFERROR(INDEX('Fund Research'!$B$6:$B$505,MATCH(164,'Fund Research'!$W$6:$W$505,0)),"")</f>
        <v/>
      </c>
      <c r="D169" s="34" t="str">
        <f aca="false">IFERROR(INDEX('Fund Research'!$C$6:$C$505,MATCH(164,'Fund Research'!$W$6:$W$505,0)),"")</f>
        <v/>
      </c>
      <c r="E169" s="35" t="str">
        <f aca="false">IFERROR(INDEX('Fund Research'!$G$6:$G$505,MATCH(164,'Fund Research'!$W$6:$W$505,0)),"")</f>
        <v/>
      </c>
      <c r="F169" s="35" t="str">
        <f aca="false">IFERROR(INDEX('Fund Research'!$H$6:$H$505,MATCH(164,'Fund Research'!$W$6:$W$505,0)),"")</f>
        <v/>
      </c>
      <c r="G169" s="35" t="str">
        <f aca="false">IFERROR(INDEX('Fund Research'!$I$6:$I$505,MATCH(164,'Fund Research'!$W$6:$W$505,0)),"")</f>
        <v/>
      </c>
      <c r="H169" s="36" t="str">
        <f aca="false">IFERROR(INDEX('Fund Research'!$J$6:$J$505,MATCH(164,'Fund Research'!$W$6:$W$505,0)),"")</f>
        <v/>
      </c>
      <c r="I169" s="39" t="str">
        <f aca="false">IFERROR(INDEX('Fund Research'!$L$6:$L$505,MATCH(164,'Fund Research'!$W$6:$W$505,0)),"")</f>
        <v/>
      </c>
      <c r="J169" s="36" t="str">
        <f aca="false">IFERROR(INDEX('Fund Research'!$N$6:$N$505,MATCH(164,'Fund Research'!$W$6:$W$505,0)),"")</f>
        <v/>
      </c>
      <c r="K169" s="36" t="str">
        <f aca="false">IFERROR(INDEX('Fund Research'!$P$6:$P$505,MATCH(164,'Fund Research'!$W$6:$W$505,0)),"")</f>
        <v/>
      </c>
      <c r="L169" s="34" t="str">
        <f aca="false">IFERROR(INDEX('Fund Research'!$S$6:$S$505,MATCH(164,'Fund Research'!$W$6:$W$505,0)),"")</f>
        <v/>
      </c>
      <c r="M169" s="34" t="str">
        <f aca="false">IFERROR(INDEX('Fund Research'!$T$6:$T$505,MATCH(164,'Fund Research'!$W$6:$W$505,0)),"")</f>
        <v/>
      </c>
    </row>
    <row r="170" customFormat="false" ht="15" hidden="false" customHeight="true" outlineLevel="0" collapsed="false">
      <c r="A170" s="33" t="str">
        <f aca="false">IFERROR(IF(INDEX('Fund Research'!$B$6:$B$505,MATCH(165,'Fund Research'!$W$6:$W$505,0))="","",165),"")</f>
        <v/>
      </c>
      <c r="B170" s="34" t="str">
        <f aca="false">IFERROR(INDEX('Fund Research'!$A$6:$A$505,MATCH(165,'Fund Research'!$W$6:$W$505,0)),"")</f>
        <v/>
      </c>
      <c r="C170" s="34" t="str">
        <f aca="false">IFERROR(INDEX('Fund Research'!$B$6:$B$505,MATCH(165,'Fund Research'!$W$6:$W$505,0)),"")</f>
        <v/>
      </c>
      <c r="D170" s="34" t="str">
        <f aca="false">IFERROR(INDEX('Fund Research'!$C$6:$C$505,MATCH(165,'Fund Research'!$W$6:$W$505,0)),"")</f>
        <v/>
      </c>
      <c r="E170" s="35" t="str">
        <f aca="false">IFERROR(INDEX('Fund Research'!$G$6:$G$505,MATCH(165,'Fund Research'!$W$6:$W$505,0)),"")</f>
        <v/>
      </c>
      <c r="F170" s="35" t="str">
        <f aca="false">IFERROR(INDEX('Fund Research'!$H$6:$H$505,MATCH(165,'Fund Research'!$W$6:$W$505,0)),"")</f>
        <v/>
      </c>
      <c r="G170" s="35" t="str">
        <f aca="false">IFERROR(INDEX('Fund Research'!$I$6:$I$505,MATCH(165,'Fund Research'!$W$6:$W$505,0)),"")</f>
        <v/>
      </c>
      <c r="H170" s="36" t="str">
        <f aca="false">IFERROR(INDEX('Fund Research'!$J$6:$J$505,MATCH(165,'Fund Research'!$W$6:$W$505,0)),"")</f>
        <v/>
      </c>
      <c r="I170" s="39" t="str">
        <f aca="false">IFERROR(INDEX('Fund Research'!$L$6:$L$505,MATCH(165,'Fund Research'!$W$6:$W$505,0)),"")</f>
        <v/>
      </c>
      <c r="J170" s="36" t="str">
        <f aca="false">IFERROR(INDEX('Fund Research'!$N$6:$N$505,MATCH(165,'Fund Research'!$W$6:$W$505,0)),"")</f>
        <v/>
      </c>
      <c r="K170" s="36" t="str">
        <f aca="false">IFERROR(INDEX('Fund Research'!$P$6:$P$505,MATCH(165,'Fund Research'!$W$6:$W$505,0)),"")</f>
        <v/>
      </c>
      <c r="L170" s="34" t="str">
        <f aca="false">IFERROR(INDEX('Fund Research'!$S$6:$S$505,MATCH(165,'Fund Research'!$W$6:$W$505,0)),"")</f>
        <v/>
      </c>
      <c r="M170" s="34" t="str">
        <f aca="false">IFERROR(INDEX('Fund Research'!$T$6:$T$505,MATCH(165,'Fund Research'!$W$6:$W$505,0)),"")</f>
        <v/>
      </c>
    </row>
    <row r="171" customFormat="false" ht="15" hidden="false" customHeight="true" outlineLevel="0" collapsed="false">
      <c r="A171" s="33" t="str">
        <f aca="false">IFERROR(IF(INDEX('Fund Research'!$B$6:$B$505,MATCH(166,'Fund Research'!$W$6:$W$505,0))="","",166),"")</f>
        <v/>
      </c>
      <c r="B171" s="34" t="str">
        <f aca="false">IFERROR(INDEX('Fund Research'!$A$6:$A$505,MATCH(166,'Fund Research'!$W$6:$W$505,0)),"")</f>
        <v/>
      </c>
      <c r="C171" s="34" t="str">
        <f aca="false">IFERROR(INDEX('Fund Research'!$B$6:$B$505,MATCH(166,'Fund Research'!$W$6:$W$505,0)),"")</f>
        <v/>
      </c>
      <c r="D171" s="34" t="str">
        <f aca="false">IFERROR(INDEX('Fund Research'!$C$6:$C$505,MATCH(166,'Fund Research'!$W$6:$W$505,0)),"")</f>
        <v/>
      </c>
      <c r="E171" s="35" t="str">
        <f aca="false">IFERROR(INDEX('Fund Research'!$G$6:$G$505,MATCH(166,'Fund Research'!$W$6:$W$505,0)),"")</f>
        <v/>
      </c>
      <c r="F171" s="35" t="str">
        <f aca="false">IFERROR(INDEX('Fund Research'!$H$6:$H$505,MATCH(166,'Fund Research'!$W$6:$W$505,0)),"")</f>
        <v/>
      </c>
      <c r="G171" s="35" t="str">
        <f aca="false">IFERROR(INDEX('Fund Research'!$I$6:$I$505,MATCH(166,'Fund Research'!$W$6:$W$505,0)),"")</f>
        <v/>
      </c>
      <c r="H171" s="36" t="str">
        <f aca="false">IFERROR(INDEX('Fund Research'!$J$6:$J$505,MATCH(166,'Fund Research'!$W$6:$W$505,0)),"")</f>
        <v/>
      </c>
      <c r="I171" s="39" t="str">
        <f aca="false">IFERROR(INDEX('Fund Research'!$L$6:$L$505,MATCH(166,'Fund Research'!$W$6:$W$505,0)),"")</f>
        <v/>
      </c>
      <c r="J171" s="36" t="str">
        <f aca="false">IFERROR(INDEX('Fund Research'!$N$6:$N$505,MATCH(166,'Fund Research'!$W$6:$W$505,0)),"")</f>
        <v/>
      </c>
      <c r="K171" s="36" t="str">
        <f aca="false">IFERROR(INDEX('Fund Research'!$P$6:$P$505,MATCH(166,'Fund Research'!$W$6:$W$505,0)),"")</f>
        <v/>
      </c>
      <c r="L171" s="34" t="str">
        <f aca="false">IFERROR(INDEX('Fund Research'!$S$6:$S$505,MATCH(166,'Fund Research'!$W$6:$W$505,0)),"")</f>
        <v/>
      </c>
      <c r="M171" s="34" t="str">
        <f aca="false">IFERROR(INDEX('Fund Research'!$T$6:$T$505,MATCH(166,'Fund Research'!$W$6:$W$505,0)),"")</f>
        <v/>
      </c>
    </row>
    <row r="172" customFormat="false" ht="15" hidden="false" customHeight="true" outlineLevel="0" collapsed="false">
      <c r="A172" s="33" t="str">
        <f aca="false">IFERROR(IF(INDEX('Fund Research'!$B$6:$B$505,MATCH(167,'Fund Research'!$W$6:$W$505,0))="","",167),"")</f>
        <v/>
      </c>
      <c r="B172" s="34" t="str">
        <f aca="false">IFERROR(INDEX('Fund Research'!$A$6:$A$505,MATCH(167,'Fund Research'!$W$6:$W$505,0)),"")</f>
        <v/>
      </c>
      <c r="C172" s="34" t="str">
        <f aca="false">IFERROR(INDEX('Fund Research'!$B$6:$B$505,MATCH(167,'Fund Research'!$W$6:$W$505,0)),"")</f>
        <v/>
      </c>
      <c r="D172" s="34" t="str">
        <f aca="false">IFERROR(INDEX('Fund Research'!$C$6:$C$505,MATCH(167,'Fund Research'!$W$6:$W$505,0)),"")</f>
        <v/>
      </c>
      <c r="E172" s="35" t="str">
        <f aca="false">IFERROR(INDEX('Fund Research'!$G$6:$G$505,MATCH(167,'Fund Research'!$W$6:$W$505,0)),"")</f>
        <v/>
      </c>
      <c r="F172" s="35" t="str">
        <f aca="false">IFERROR(INDEX('Fund Research'!$H$6:$H$505,MATCH(167,'Fund Research'!$W$6:$W$505,0)),"")</f>
        <v/>
      </c>
      <c r="G172" s="35" t="str">
        <f aca="false">IFERROR(INDEX('Fund Research'!$I$6:$I$505,MATCH(167,'Fund Research'!$W$6:$W$505,0)),"")</f>
        <v/>
      </c>
      <c r="H172" s="36" t="str">
        <f aca="false">IFERROR(INDEX('Fund Research'!$J$6:$J$505,MATCH(167,'Fund Research'!$W$6:$W$505,0)),"")</f>
        <v/>
      </c>
      <c r="I172" s="39" t="str">
        <f aca="false">IFERROR(INDEX('Fund Research'!$L$6:$L$505,MATCH(167,'Fund Research'!$W$6:$W$505,0)),"")</f>
        <v/>
      </c>
      <c r="J172" s="36" t="str">
        <f aca="false">IFERROR(INDEX('Fund Research'!$N$6:$N$505,MATCH(167,'Fund Research'!$W$6:$W$505,0)),"")</f>
        <v/>
      </c>
      <c r="K172" s="36" t="str">
        <f aca="false">IFERROR(INDEX('Fund Research'!$P$6:$P$505,MATCH(167,'Fund Research'!$W$6:$W$505,0)),"")</f>
        <v/>
      </c>
      <c r="L172" s="34" t="str">
        <f aca="false">IFERROR(INDEX('Fund Research'!$S$6:$S$505,MATCH(167,'Fund Research'!$W$6:$W$505,0)),"")</f>
        <v/>
      </c>
      <c r="M172" s="34" t="str">
        <f aca="false">IFERROR(INDEX('Fund Research'!$T$6:$T$505,MATCH(167,'Fund Research'!$W$6:$W$505,0)),"")</f>
        <v/>
      </c>
    </row>
    <row r="173" customFormat="false" ht="15" hidden="false" customHeight="true" outlineLevel="0" collapsed="false">
      <c r="A173" s="33" t="str">
        <f aca="false">IFERROR(IF(INDEX('Fund Research'!$B$6:$B$505,MATCH(168,'Fund Research'!$W$6:$W$505,0))="","",168),"")</f>
        <v/>
      </c>
      <c r="B173" s="34" t="str">
        <f aca="false">IFERROR(INDEX('Fund Research'!$A$6:$A$505,MATCH(168,'Fund Research'!$W$6:$W$505,0)),"")</f>
        <v/>
      </c>
      <c r="C173" s="34" t="str">
        <f aca="false">IFERROR(INDEX('Fund Research'!$B$6:$B$505,MATCH(168,'Fund Research'!$W$6:$W$505,0)),"")</f>
        <v/>
      </c>
      <c r="D173" s="34" t="str">
        <f aca="false">IFERROR(INDEX('Fund Research'!$C$6:$C$505,MATCH(168,'Fund Research'!$W$6:$W$505,0)),"")</f>
        <v/>
      </c>
      <c r="E173" s="35" t="str">
        <f aca="false">IFERROR(INDEX('Fund Research'!$G$6:$G$505,MATCH(168,'Fund Research'!$W$6:$W$505,0)),"")</f>
        <v/>
      </c>
      <c r="F173" s="35" t="str">
        <f aca="false">IFERROR(INDEX('Fund Research'!$H$6:$H$505,MATCH(168,'Fund Research'!$W$6:$W$505,0)),"")</f>
        <v/>
      </c>
      <c r="G173" s="35" t="str">
        <f aca="false">IFERROR(INDEX('Fund Research'!$I$6:$I$505,MATCH(168,'Fund Research'!$W$6:$W$505,0)),"")</f>
        <v/>
      </c>
      <c r="H173" s="36" t="str">
        <f aca="false">IFERROR(INDEX('Fund Research'!$J$6:$J$505,MATCH(168,'Fund Research'!$W$6:$W$505,0)),"")</f>
        <v/>
      </c>
      <c r="I173" s="39" t="str">
        <f aca="false">IFERROR(INDEX('Fund Research'!$L$6:$L$505,MATCH(168,'Fund Research'!$W$6:$W$505,0)),"")</f>
        <v/>
      </c>
      <c r="J173" s="36" t="str">
        <f aca="false">IFERROR(INDEX('Fund Research'!$N$6:$N$505,MATCH(168,'Fund Research'!$W$6:$W$505,0)),"")</f>
        <v/>
      </c>
      <c r="K173" s="36" t="str">
        <f aca="false">IFERROR(INDEX('Fund Research'!$P$6:$P$505,MATCH(168,'Fund Research'!$W$6:$W$505,0)),"")</f>
        <v/>
      </c>
      <c r="L173" s="34" t="str">
        <f aca="false">IFERROR(INDEX('Fund Research'!$S$6:$S$505,MATCH(168,'Fund Research'!$W$6:$W$505,0)),"")</f>
        <v/>
      </c>
      <c r="M173" s="34" t="str">
        <f aca="false">IFERROR(INDEX('Fund Research'!$T$6:$T$505,MATCH(168,'Fund Research'!$W$6:$W$505,0)),"")</f>
        <v/>
      </c>
    </row>
    <row r="174" customFormat="false" ht="15" hidden="false" customHeight="true" outlineLevel="0" collapsed="false">
      <c r="A174" s="33" t="str">
        <f aca="false">IFERROR(IF(INDEX('Fund Research'!$B$6:$B$505,MATCH(169,'Fund Research'!$W$6:$W$505,0))="","",169),"")</f>
        <v/>
      </c>
      <c r="B174" s="34" t="str">
        <f aca="false">IFERROR(INDEX('Fund Research'!$A$6:$A$505,MATCH(169,'Fund Research'!$W$6:$W$505,0)),"")</f>
        <v/>
      </c>
      <c r="C174" s="34" t="str">
        <f aca="false">IFERROR(INDEX('Fund Research'!$B$6:$B$505,MATCH(169,'Fund Research'!$W$6:$W$505,0)),"")</f>
        <v/>
      </c>
      <c r="D174" s="34" t="str">
        <f aca="false">IFERROR(INDEX('Fund Research'!$C$6:$C$505,MATCH(169,'Fund Research'!$W$6:$W$505,0)),"")</f>
        <v/>
      </c>
      <c r="E174" s="35" t="str">
        <f aca="false">IFERROR(INDEX('Fund Research'!$G$6:$G$505,MATCH(169,'Fund Research'!$W$6:$W$505,0)),"")</f>
        <v/>
      </c>
      <c r="F174" s="35" t="str">
        <f aca="false">IFERROR(INDEX('Fund Research'!$H$6:$H$505,MATCH(169,'Fund Research'!$W$6:$W$505,0)),"")</f>
        <v/>
      </c>
      <c r="G174" s="35" t="str">
        <f aca="false">IFERROR(INDEX('Fund Research'!$I$6:$I$505,MATCH(169,'Fund Research'!$W$6:$W$505,0)),"")</f>
        <v/>
      </c>
      <c r="H174" s="36" t="str">
        <f aca="false">IFERROR(INDEX('Fund Research'!$J$6:$J$505,MATCH(169,'Fund Research'!$W$6:$W$505,0)),"")</f>
        <v/>
      </c>
      <c r="I174" s="39" t="str">
        <f aca="false">IFERROR(INDEX('Fund Research'!$L$6:$L$505,MATCH(169,'Fund Research'!$W$6:$W$505,0)),"")</f>
        <v/>
      </c>
      <c r="J174" s="36" t="str">
        <f aca="false">IFERROR(INDEX('Fund Research'!$N$6:$N$505,MATCH(169,'Fund Research'!$W$6:$W$505,0)),"")</f>
        <v/>
      </c>
      <c r="K174" s="36" t="str">
        <f aca="false">IFERROR(INDEX('Fund Research'!$P$6:$P$505,MATCH(169,'Fund Research'!$W$6:$W$505,0)),"")</f>
        <v/>
      </c>
      <c r="L174" s="34" t="str">
        <f aca="false">IFERROR(INDEX('Fund Research'!$S$6:$S$505,MATCH(169,'Fund Research'!$W$6:$W$505,0)),"")</f>
        <v/>
      </c>
      <c r="M174" s="34" t="str">
        <f aca="false">IFERROR(INDEX('Fund Research'!$T$6:$T$505,MATCH(169,'Fund Research'!$W$6:$W$505,0)),"")</f>
        <v/>
      </c>
    </row>
    <row r="175" customFormat="false" ht="15" hidden="false" customHeight="true" outlineLevel="0" collapsed="false">
      <c r="A175" s="33" t="str">
        <f aca="false">IFERROR(IF(INDEX('Fund Research'!$B$6:$B$505,MATCH(170,'Fund Research'!$W$6:$W$505,0))="","",170),"")</f>
        <v/>
      </c>
      <c r="B175" s="34" t="str">
        <f aca="false">IFERROR(INDEX('Fund Research'!$A$6:$A$505,MATCH(170,'Fund Research'!$W$6:$W$505,0)),"")</f>
        <v/>
      </c>
      <c r="C175" s="34" t="str">
        <f aca="false">IFERROR(INDEX('Fund Research'!$B$6:$B$505,MATCH(170,'Fund Research'!$W$6:$W$505,0)),"")</f>
        <v/>
      </c>
      <c r="D175" s="34" t="str">
        <f aca="false">IFERROR(INDEX('Fund Research'!$C$6:$C$505,MATCH(170,'Fund Research'!$W$6:$W$505,0)),"")</f>
        <v/>
      </c>
      <c r="E175" s="35" t="str">
        <f aca="false">IFERROR(INDEX('Fund Research'!$G$6:$G$505,MATCH(170,'Fund Research'!$W$6:$W$505,0)),"")</f>
        <v/>
      </c>
      <c r="F175" s="35" t="str">
        <f aca="false">IFERROR(INDEX('Fund Research'!$H$6:$H$505,MATCH(170,'Fund Research'!$W$6:$W$505,0)),"")</f>
        <v/>
      </c>
      <c r="G175" s="35" t="str">
        <f aca="false">IFERROR(INDEX('Fund Research'!$I$6:$I$505,MATCH(170,'Fund Research'!$W$6:$W$505,0)),"")</f>
        <v/>
      </c>
      <c r="H175" s="36" t="str">
        <f aca="false">IFERROR(INDEX('Fund Research'!$J$6:$J$505,MATCH(170,'Fund Research'!$W$6:$W$505,0)),"")</f>
        <v/>
      </c>
      <c r="I175" s="39" t="str">
        <f aca="false">IFERROR(INDEX('Fund Research'!$L$6:$L$505,MATCH(170,'Fund Research'!$W$6:$W$505,0)),"")</f>
        <v/>
      </c>
      <c r="J175" s="36" t="str">
        <f aca="false">IFERROR(INDEX('Fund Research'!$N$6:$N$505,MATCH(170,'Fund Research'!$W$6:$W$505,0)),"")</f>
        <v/>
      </c>
      <c r="K175" s="36" t="str">
        <f aca="false">IFERROR(INDEX('Fund Research'!$P$6:$P$505,MATCH(170,'Fund Research'!$W$6:$W$505,0)),"")</f>
        <v/>
      </c>
      <c r="L175" s="34" t="str">
        <f aca="false">IFERROR(INDEX('Fund Research'!$S$6:$S$505,MATCH(170,'Fund Research'!$W$6:$W$505,0)),"")</f>
        <v/>
      </c>
      <c r="M175" s="34" t="str">
        <f aca="false">IFERROR(INDEX('Fund Research'!$T$6:$T$505,MATCH(170,'Fund Research'!$W$6:$W$505,0)),"")</f>
        <v/>
      </c>
    </row>
    <row r="176" customFormat="false" ht="15" hidden="false" customHeight="true" outlineLevel="0" collapsed="false">
      <c r="A176" s="33" t="str">
        <f aca="false">IFERROR(IF(INDEX('Fund Research'!$B$6:$B$505,MATCH(171,'Fund Research'!$W$6:$W$505,0))="","",171),"")</f>
        <v/>
      </c>
      <c r="B176" s="34" t="str">
        <f aca="false">IFERROR(INDEX('Fund Research'!$A$6:$A$505,MATCH(171,'Fund Research'!$W$6:$W$505,0)),"")</f>
        <v/>
      </c>
      <c r="C176" s="34" t="str">
        <f aca="false">IFERROR(INDEX('Fund Research'!$B$6:$B$505,MATCH(171,'Fund Research'!$W$6:$W$505,0)),"")</f>
        <v/>
      </c>
      <c r="D176" s="34" t="str">
        <f aca="false">IFERROR(INDEX('Fund Research'!$C$6:$C$505,MATCH(171,'Fund Research'!$W$6:$W$505,0)),"")</f>
        <v/>
      </c>
      <c r="E176" s="35" t="str">
        <f aca="false">IFERROR(INDEX('Fund Research'!$G$6:$G$505,MATCH(171,'Fund Research'!$W$6:$W$505,0)),"")</f>
        <v/>
      </c>
      <c r="F176" s="35" t="str">
        <f aca="false">IFERROR(INDEX('Fund Research'!$H$6:$H$505,MATCH(171,'Fund Research'!$W$6:$W$505,0)),"")</f>
        <v/>
      </c>
      <c r="G176" s="35" t="str">
        <f aca="false">IFERROR(INDEX('Fund Research'!$I$6:$I$505,MATCH(171,'Fund Research'!$W$6:$W$505,0)),"")</f>
        <v/>
      </c>
      <c r="H176" s="36" t="str">
        <f aca="false">IFERROR(INDEX('Fund Research'!$J$6:$J$505,MATCH(171,'Fund Research'!$W$6:$W$505,0)),"")</f>
        <v/>
      </c>
      <c r="I176" s="39" t="str">
        <f aca="false">IFERROR(INDEX('Fund Research'!$L$6:$L$505,MATCH(171,'Fund Research'!$W$6:$W$505,0)),"")</f>
        <v/>
      </c>
      <c r="J176" s="36" t="str">
        <f aca="false">IFERROR(INDEX('Fund Research'!$N$6:$N$505,MATCH(171,'Fund Research'!$W$6:$W$505,0)),"")</f>
        <v/>
      </c>
      <c r="K176" s="36" t="str">
        <f aca="false">IFERROR(INDEX('Fund Research'!$P$6:$P$505,MATCH(171,'Fund Research'!$W$6:$W$505,0)),"")</f>
        <v/>
      </c>
      <c r="L176" s="34" t="str">
        <f aca="false">IFERROR(INDEX('Fund Research'!$S$6:$S$505,MATCH(171,'Fund Research'!$W$6:$W$505,0)),"")</f>
        <v/>
      </c>
      <c r="M176" s="34" t="str">
        <f aca="false">IFERROR(INDEX('Fund Research'!$T$6:$T$505,MATCH(171,'Fund Research'!$W$6:$W$505,0)),"")</f>
        <v/>
      </c>
    </row>
    <row r="177" customFormat="false" ht="15" hidden="false" customHeight="true" outlineLevel="0" collapsed="false">
      <c r="A177" s="33" t="str">
        <f aca="false">IFERROR(IF(INDEX('Fund Research'!$B$6:$B$505,MATCH(172,'Fund Research'!$W$6:$W$505,0))="","",172),"")</f>
        <v/>
      </c>
      <c r="B177" s="34" t="str">
        <f aca="false">IFERROR(INDEX('Fund Research'!$A$6:$A$505,MATCH(172,'Fund Research'!$W$6:$W$505,0)),"")</f>
        <v/>
      </c>
      <c r="C177" s="34" t="str">
        <f aca="false">IFERROR(INDEX('Fund Research'!$B$6:$B$505,MATCH(172,'Fund Research'!$W$6:$W$505,0)),"")</f>
        <v/>
      </c>
      <c r="D177" s="34" t="str">
        <f aca="false">IFERROR(INDEX('Fund Research'!$C$6:$C$505,MATCH(172,'Fund Research'!$W$6:$W$505,0)),"")</f>
        <v/>
      </c>
      <c r="E177" s="35" t="str">
        <f aca="false">IFERROR(INDEX('Fund Research'!$G$6:$G$505,MATCH(172,'Fund Research'!$W$6:$W$505,0)),"")</f>
        <v/>
      </c>
      <c r="F177" s="35" t="str">
        <f aca="false">IFERROR(INDEX('Fund Research'!$H$6:$H$505,MATCH(172,'Fund Research'!$W$6:$W$505,0)),"")</f>
        <v/>
      </c>
      <c r="G177" s="35" t="str">
        <f aca="false">IFERROR(INDEX('Fund Research'!$I$6:$I$505,MATCH(172,'Fund Research'!$W$6:$W$505,0)),"")</f>
        <v/>
      </c>
      <c r="H177" s="36" t="str">
        <f aca="false">IFERROR(INDEX('Fund Research'!$J$6:$J$505,MATCH(172,'Fund Research'!$W$6:$W$505,0)),"")</f>
        <v/>
      </c>
      <c r="I177" s="39" t="str">
        <f aca="false">IFERROR(INDEX('Fund Research'!$L$6:$L$505,MATCH(172,'Fund Research'!$W$6:$W$505,0)),"")</f>
        <v/>
      </c>
      <c r="J177" s="36" t="str">
        <f aca="false">IFERROR(INDEX('Fund Research'!$N$6:$N$505,MATCH(172,'Fund Research'!$W$6:$W$505,0)),"")</f>
        <v/>
      </c>
      <c r="K177" s="36" t="str">
        <f aca="false">IFERROR(INDEX('Fund Research'!$P$6:$P$505,MATCH(172,'Fund Research'!$W$6:$W$505,0)),"")</f>
        <v/>
      </c>
      <c r="L177" s="34" t="str">
        <f aca="false">IFERROR(INDEX('Fund Research'!$S$6:$S$505,MATCH(172,'Fund Research'!$W$6:$W$505,0)),"")</f>
        <v/>
      </c>
      <c r="M177" s="34" t="str">
        <f aca="false">IFERROR(INDEX('Fund Research'!$T$6:$T$505,MATCH(172,'Fund Research'!$W$6:$W$505,0)),"")</f>
        <v/>
      </c>
    </row>
    <row r="178" customFormat="false" ht="15" hidden="false" customHeight="true" outlineLevel="0" collapsed="false">
      <c r="A178" s="33" t="str">
        <f aca="false">IFERROR(IF(INDEX('Fund Research'!$B$6:$B$505,MATCH(173,'Fund Research'!$W$6:$W$505,0))="","",173),"")</f>
        <v/>
      </c>
      <c r="B178" s="34" t="str">
        <f aca="false">IFERROR(INDEX('Fund Research'!$A$6:$A$505,MATCH(173,'Fund Research'!$W$6:$W$505,0)),"")</f>
        <v/>
      </c>
      <c r="C178" s="34" t="str">
        <f aca="false">IFERROR(INDEX('Fund Research'!$B$6:$B$505,MATCH(173,'Fund Research'!$W$6:$W$505,0)),"")</f>
        <v/>
      </c>
      <c r="D178" s="34" t="str">
        <f aca="false">IFERROR(INDEX('Fund Research'!$C$6:$C$505,MATCH(173,'Fund Research'!$W$6:$W$505,0)),"")</f>
        <v/>
      </c>
      <c r="E178" s="35" t="str">
        <f aca="false">IFERROR(INDEX('Fund Research'!$G$6:$G$505,MATCH(173,'Fund Research'!$W$6:$W$505,0)),"")</f>
        <v/>
      </c>
      <c r="F178" s="35" t="str">
        <f aca="false">IFERROR(INDEX('Fund Research'!$H$6:$H$505,MATCH(173,'Fund Research'!$W$6:$W$505,0)),"")</f>
        <v/>
      </c>
      <c r="G178" s="35" t="str">
        <f aca="false">IFERROR(INDEX('Fund Research'!$I$6:$I$505,MATCH(173,'Fund Research'!$W$6:$W$505,0)),"")</f>
        <v/>
      </c>
      <c r="H178" s="36" t="str">
        <f aca="false">IFERROR(INDEX('Fund Research'!$J$6:$J$505,MATCH(173,'Fund Research'!$W$6:$W$505,0)),"")</f>
        <v/>
      </c>
      <c r="I178" s="39" t="str">
        <f aca="false">IFERROR(INDEX('Fund Research'!$L$6:$L$505,MATCH(173,'Fund Research'!$W$6:$W$505,0)),"")</f>
        <v/>
      </c>
      <c r="J178" s="36" t="str">
        <f aca="false">IFERROR(INDEX('Fund Research'!$N$6:$N$505,MATCH(173,'Fund Research'!$W$6:$W$505,0)),"")</f>
        <v/>
      </c>
      <c r="K178" s="36" t="str">
        <f aca="false">IFERROR(INDEX('Fund Research'!$P$6:$P$505,MATCH(173,'Fund Research'!$W$6:$W$505,0)),"")</f>
        <v/>
      </c>
      <c r="L178" s="34" t="str">
        <f aca="false">IFERROR(INDEX('Fund Research'!$S$6:$S$505,MATCH(173,'Fund Research'!$W$6:$W$505,0)),"")</f>
        <v/>
      </c>
      <c r="M178" s="34" t="str">
        <f aca="false">IFERROR(INDEX('Fund Research'!$T$6:$T$505,MATCH(173,'Fund Research'!$W$6:$W$505,0)),"")</f>
        <v/>
      </c>
    </row>
    <row r="179" customFormat="false" ht="15" hidden="false" customHeight="true" outlineLevel="0" collapsed="false">
      <c r="A179" s="33" t="str">
        <f aca="false">IFERROR(IF(INDEX('Fund Research'!$B$6:$B$505,MATCH(174,'Fund Research'!$W$6:$W$505,0))="","",174),"")</f>
        <v/>
      </c>
      <c r="B179" s="34" t="str">
        <f aca="false">IFERROR(INDEX('Fund Research'!$A$6:$A$505,MATCH(174,'Fund Research'!$W$6:$W$505,0)),"")</f>
        <v/>
      </c>
      <c r="C179" s="34" t="str">
        <f aca="false">IFERROR(INDEX('Fund Research'!$B$6:$B$505,MATCH(174,'Fund Research'!$W$6:$W$505,0)),"")</f>
        <v/>
      </c>
      <c r="D179" s="34" t="str">
        <f aca="false">IFERROR(INDEX('Fund Research'!$C$6:$C$505,MATCH(174,'Fund Research'!$W$6:$W$505,0)),"")</f>
        <v/>
      </c>
      <c r="E179" s="35" t="str">
        <f aca="false">IFERROR(INDEX('Fund Research'!$G$6:$G$505,MATCH(174,'Fund Research'!$W$6:$W$505,0)),"")</f>
        <v/>
      </c>
      <c r="F179" s="35" t="str">
        <f aca="false">IFERROR(INDEX('Fund Research'!$H$6:$H$505,MATCH(174,'Fund Research'!$W$6:$W$505,0)),"")</f>
        <v/>
      </c>
      <c r="G179" s="35" t="str">
        <f aca="false">IFERROR(INDEX('Fund Research'!$I$6:$I$505,MATCH(174,'Fund Research'!$W$6:$W$505,0)),"")</f>
        <v/>
      </c>
      <c r="H179" s="36" t="str">
        <f aca="false">IFERROR(INDEX('Fund Research'!$J$6:$J$505,MATCH(174,'Fund Research'!$W$6:$W$505,0)),"")</f>
        <v/>
      </c>
      <c r="I179" s="39" t="str">
        <f aca="false">IFERROR(INDEX('Fund Research'!$L$6:$L$505,MATCH(174,'Fund Research'!$W$6:$W$505,0)),"")</f>
        <v/>
      </c>
      <c r="J179" s="36" t="str">
        <f aca="false">IFERROR(INDEX('Fund Research'!$N$6:$N$505,MATCH(174,'Fund Research'!$W$6:$W$505,0)),"")</f>
        <v/>
      </c>
      <c r="K179" s="36" t="str">
        <f aca="false">IFERROR(INDEX('Fund Research'!$P$6:$P$505,MATCH(174,'Fund Research'!$W$6:$W$505,0)),"")</f>
        <v/>
      </c>
      <c r="L179" s="34" t="str">
        <f aca="false">IFERROR(INDEX('Fund Research'!$S$6:$S$505,MATCH(174,'Fund Research'!$W$6:$W$505,0)),"")</f>
        <v/>
      </c>
      <c r="M179" s="34" t="str">
        <f aca="false">IFERROR(INDEX('Fund Research'!$T$6:$T$505,MATCH(174,'Fund Research'!$W$6:$W$505,0)),"")</f>
        <v/>
      </c>
    </row>
    <row r="180" customFormat="false" ht="15" hidden="false" customHeight="true" outlineLevel="0" collapsed="false">
      <c r="A180" s="33" t="str">
        <f aca="false">IFERROR(IF(INDEX('Fund Research'!$B$6:$B$505,MATCH(175,'Fund Research'!$W$6:$W$505,0))="","",175),"")</f>
        <v/>
      </c>
      <c r="B180" s="34" t="str">
        <f aca="false">IFERROR(INDEX('Fund Research'!$A$6:$A$505,MATCH(175,'Fund Research'!$W$6:$W$505,0)),"")</f>
        <v/>
      </c>
      <c r="C180" s="34" t="str">
        <f aca="false">IFERROR(INDEX('Fund Research'!$B$6:$B$505,MATCH(175,'Fund Research'!$W$6:$W$505,0)),"")</f>
        <v/>
      </c>
      <c r="D180" s="34" t="str">
        <f aca="false">IFERROR(INDEX('Fund Research'!$C$6:$C$505,MATCH(175,'Fund Research'!$W$6:$W$505,0)),"")</f>
        <v/>
      </c>
      <c r="E180" s="35" t="str">
        <f aca="false">IFERROR(INDEX('Fund Research'!$G$6:$G$505,MATCH(175,'Fund Research'!$W$6:$W$505,0)),"")</f>
        <v/>
      </c>
      <c r="F180" s="35" t="str">
        <f aca="false">IFERROR(INDEX('Fund Research'!$H$6:$H$505,MATCH(175,'Fund Research'!$W$6:$W$505,0)),"")</f>
        <v/>
      </c>
      <c r="G180" s="35" t="str">
        <f aca="false">IFERROR(INDEX('Fund Research'!$I$6:$I$505,MATCH(175,'Fund Research'!$W$6:$W$505,0)),"")</f>
        <v/>
      </c>
      <c r="H180" s="36" t="str">
        <f aca="false">IFERROR(INDEX('Fund Research'!$J$6:$J$505,MATCH(175,'Fund Research'!$W$6:$W$505,0)),"")</f>
        <v/>
      </c>
      <c r="I180" s="39" t="str">
        <f aca="false">IFERROR(INDEX('Fund Research'!$L$6:$L$505,MATCH(175,'Fund Research'!$W$6:$W$505,0)),"")</f>
        <v/>
      </c>
      <c r="J180" s="36" t="str">
        <f aca="false">IFERROR(INDEX('Fund Research'!$N$6:$N$505,MATCH(175,'Fund Research'!$W$6:$W$505,0)),"")</f>
        <v/>
      </c>
      <c r="K180" s="36" t="str">
        <f aca="false">IFERROR(INDEX('Fund Research'!$P$6:$P$505,MATCH(175,'Fund Research'!$W$6:$W$505,0)),"")</f>
        <v/>
      </c>
      <c r="L180" s="34" t="str">
        <f aca="false">IFERROR(INDEX('Fund Research'!$S$6:$S$505,MATCH(175,'Fund Research'!$W$6:$W$505,0)),"")</f>
        <v/>
      </c>
      <c r="M180" s="34" t="str">
        <f aca="false">IFERROR(INDEX('Fund Research'!$T$6:$T$505,MATCH(175,'Fund Research'!$W$6:$W$505,0)),"")</f>
        <v/>
      </c>
    </row>
    <row r="181" customFormat="false" ht="15" hidden="false" customHeight="true" outlineLevel="0" collapsed="false">
      <c r="A181" s="33" t="str">
        <f aca="false">IFERROR(IF(INDEX('Fund Research'!$B$6:$B$505,MATCH(176,'Fund Research'!$W$6:$W$505,0))="","",176),"")</f>
        <v/>
      </c>
      <c r="B181" s="34" t="str">
        <f aca="false">IFERROR(INDEX('Fund Research'!$A$6:$A$505,MATCH(176,'Fund Research'!$W$6:$W$505,0)),"")</f>
        <v/>
      </c>
      <c r="C181" s="34" t="str">
        <f aca="false">IFERROR(INDEX('Fund Research'!$B$6:$B$505,MATCH(176,'Fund Research'!$W$6:$W$505,0)),"")</f>
        <v/>
      </c>
      <c r="D181" s="34" t="str">
        <f aca="false">IFERROR(INDEX('Fund Research'!$C$6:$C$505,MATCH(176,'Fund Research'!$W$6:$W$505,0)),"")</f>
        <v/>
      </c>
      <c r="E181" s="35" t="str">
        <f aca="false">IFERROR(INDEX('Fund Research'!$G$6:$G$505,MATCH(176,'Fund Research'!$W$6:$W$505,0)),"")</f>
        <v/>
      </c>
      <c r="F181" s="35" t="str">
        <f aca="false">IFERROR(INDEX('Fund Research'!$H$6:$H$505,MATCH(176,'Fund Research'!$W$6:$W$505,0)),"")</f>
        <v/>
      </c>
      <c r="G181" s="35" t="str">
        <f aca="false">IFERROR(INDEX('Fund Research'!$I$6:$I$505,MATCH(176,'Fund Research'!$W$6:$W$505,0)),"")</f>
        <v/>
      </c>
      <c r="H181" s="36" t="str">
        <f aca="false">IFERROR(INDEX('Fund Research'!$J$6:$J$505,MATCH(176,'Fund Research'!$W$6:$W$505,0)),"")</f>
        <v/>
      </c>
      <c r="I181" s="39" t="str">
        <f aca="false">IFERROR(INDEX('Fund Research'!$L$6:$L$505,MATCH(176,'Fund Research'!$W$6:$W$505,0)),"")</f>
        <v/>
      </c>
      <c r="J181" s="36" t="str">
        <f aca="false">IFERROR(INDEX('Fund Research'!$N$6:$N$505,MATCH(176,'Fund Research'!$W$6:$W$505,0)),"")</f>
        <v/>
      </c>
      <c r="K181" s="36" t="str">
        <f aca="false">IFERROR(INDEX('Fund Research'!$P$6:$P$505,MATCH(176,'Fund Research'!$W$6:$W$505,0)),"")</f>
        <v/>
      </c>
      <c r="L181" s="34" t="str">
        <f aca="false">IFERROR(INDEX('Fund Research'!$S$6:$S$505,MATCH(176,'Fund Research'!$W$6:$W$505,0)),"")</f>
        <v/>
      </c>
      <c r="M181" s="34" t="str">
        <f aca="false">IFERROR(INDEX('Fund Research'!$T$6:$T$505,MATCH(176,'Fund Research'!$W$6:$W$505,0)),"")</f>
        <v/>
      </c>
    </row>
    <row r="182" customFormat="false" ht="15" hidden="false" customHeight="true" outlineLevel="0" collapsed="false">
      <c r="A182" s="33" t="str">
        <f aca="false">IFERROR(IF(INDEX('Fund Research'!$B$6:$B$505,MATCH(177,'Fund Research'!$W$6:$W$505,0))="","",177),"")</f>
        <v/>
      </c>
      <c r="B182" s="34" t="str">
        <f aca="false">IFERROR(INDEX('Fund Research'!$A$6:$A$505,MATCH(177,'Fund Research'!$W$6:$W$505,0)),"")</f>
        <v/>
      </c>
      <c r="C182" s="34" t="str">
        <f aca="false">IFERROR(INDEX('Fund Research'!$B$6:$B$505,MATCH(177,'Fund Research'!$W$6:$W$505,0)),"")</f>
        <v/>
      </c>
      <c r="D182" s="34" t="str">
        <f aca="false">IFERROR(INDEX('Fund Research'!$C$6:$C$505,MATCH(177,'Fund Research'!$W$6:$W$505,0)),"")</f>
        <v/>
      </c>
      <c r="E182" s="35" t="str">
        <f aca="false">IFERROR(INDEX('Fund Research'!$G$6:$G$505,MATCH(177,'Fund Research'!$W$6:$W$505,0)),"")</f>
        <v/>
      </c>
      <c r="F182" s="35" t="str">
        <f aca="false">IFERROR(INDEX('Fund Research'!$H$6:$H$505,MATCH(177,'Fund Research'!$W$6:$W$505,0)),"")</f>
        <v/>
      </c>
      <c r="G182" s="35" t="str">
        <f aca="false">IFERROR(INDEX('Fund Research'!$I$6:$I$505,MATCH(177,'Fund Research'!$W$6:$W$505,0)),"")</f>
        <v/>
      </c>
      <c r="H182" s="36" t="str">
        <f aca="false">IFERROR(INDEX('Fund Research'!$J$6:$J$505,MATCH(177,'Fund Research'!$W$6:$W$505,0)),"")</f>
        <v/>
      </c>
      <c r="I182" s="39" t="str">
        <f aca="false">IFERROR(INDEX('Fund Research'!$L$6:$L$505,MATCH(177,'Fund Research'!$W$6:$W$505,0)),"")</f>
        <v/>
      </c>
      <c r="J182" s="36" t="str">
        <f aca="false">IFERROR(INDEX('Fund Research'!$N$6:$N$505,MATCH(177,'Fund Research'!$W$6:$W$505,0)),"")</f>
        <v/>
      </c>
      <c r="K182" s="36" t="str">
        <f aca="false">IFERROR(INDEX('Fund Research'!$P$6:$P$505,MATCH(177,'Fund Research'!$W$6:$W$505,0)),"")</f>
        <v/>
      </c>
      <c r="L182" s="34" t="str">
        <f aca="false">IFERROR(INDEX('Fund Research'!$S$6:$S$505,MATCH(177,'Fund Research'!$W$6:$W$505,0)),"")</f>
        <v/>
      </c>
      <c r="M182" s="34" t="str">
        <f aca="false">IFERROR(INDEX('Fund Research'!$T$6:$T$505,MATCH(177,'Fund Research'!$W$6:$W$505,0)),"")</f>
        <v/>
      </c>
    </row>
    <row r="183" customFormat="false" ht="15" hidden="false" customHeight="true" outlineLevel="0" collapsed="false">
      <c r="A183" s="33" t="str">
        <f aca="false">IFERROR(IF(INDEX('Fund Research'!$B$6:$B$505,MATCH(178,'Fund Research'!$W$6:$W$505,0))="","",178),"")</f>
        <v/>
      </c>
      <c r="B183" s="34" t="str">
        <f aca="false">IFERROR(INDEX('Fund Research'!$A$6:$A$505,MATCH(178,'Fund Research'!$W$6:$W$505,0)),"")</f>
        <v/>
      </c>
      <c r="C183" s="34" t="str">
        <f aca="false">IFERROR(INDEX('Fund Research'!$B$6:$B$505,MATCH(178,'Fund Research'!$W$6:$W$505,0)),"")</f>
        <v/>
      </c>
      <c r="D183" s="34" t="str">
        <f aca="false">IFERROR(INDEX('Fund Research'!$C$6:$C$505,MATCH(178,'Fund Research'!$W$6:$W$505,0)),"")</f>
        <v/>
      </c>
      <c r="E183" s="35" t="str">
        <f aca="false">IFERROR(INDEX('Fund Research'!$G$6:$G$505,MATCH(178,'Fund Research'!$W$6:$W$505,0)),"")</f>
        <v/>
      </c>
      <c r="F183" s="35" t="str">
        <f aca="false">IFERROR(INDEX('Fund Research'!$H$6:$H$505,MATCH(178,'Fund Research'!$W$6:$W$505,0)),"")</f>
        <v/>
      </c>
      <c r="G183" s="35" t="str">
        <f aca="false">IFERROR(INDEX('Fund Research'!$I$6:$I$505,MATCH(178,'Fund Research'!$W$6:$W$505,0)),"")</f>
        <v/>
      </c>
      <c r="H183" s="36" t="str">
        <f aca="false">IFERROR(INDEX('Fund Research'!$J$6:$J$505,MATCH(178,'Fund Research'!$W$6:$W$505,0)),"")</f>
        <v/>
      </c>
      <c r="I183" s="39" t="str">
        <f aca="false">IFERROR(INDEX('Fund Research'!$L$6:$L$505,MATCH(178,'Fund Research'!$W$6:$W$505,0)),"")</f>
        <v/>
      </c>
      <c r="J183" s="36" t="str">
        <f aca="false">IFERROR(INDEX('Fund Research'!$N$6:$N$505,MATCH(178,'Fund Research'!$W$6:$W$505,0)),"")</f>
        <v/>
      </c>
      <c r="K183" s="36" t="str">
        <f aca="false">IFERROR(INDEX('Fund Research'!$P$6:$P$505,MATCH(178,'Fund Research'!$W$6:$W$505,0)),"")</f>
        <v/>
      </c>
      <c r="L183" s="34" t="str">
        <f aca="false">IFERROR(INDEX('Fund Research'!$S$6:$S$505,MATCH(178,'Fund Research'!$W$6:$W$505,0)),"")</f>
        <v/>
      </c>
      <c r="M183" s="34" t="str">
        <f aca="false">IFERROR(INDEX('Fund Research'!$T$6:$T$505,MATCH(178,'Fund Research'!$W$6:$W$505,0)),"")</f>
        <v/>
      </c>
    </row>
    <row r="184" customFormat="false" ht="15" hidden="false" customHeight="true" outlineLevel="0" collapsed="false">
      <c r="A184" s="33" t="str">
        <f aca="false">IFERROR(IF(INDEX('Fund Research'!$B$6:$B$505,MATCH(179,'Fund Research'!$W$6:$W$505,0))="","",179),"")</f>
        <v/>
      </c>
      <c r="B184" s="34" t="str">
        <f aca="false">IFERROR(INDEX('Fund Research'!$A$6:$A$505,MATCH(179,'Fund Research'!$W$6:$W$505,0)),"")</f>
        <v/>
      </c>
      <c r="C184" s="34" t="str">
        <f aca="false">IFERROR(INDEX('Fund Research'!$B$6:$B$505,MATCH(179,'Fund Research'!$W$6:$W$505,0)),"")</f>
        <v/>
      </c>
      <c r="D184" s="34" t="str">
        <f aca="false">IFERROR(INDEX('Fund Research'!$C$6:$C$505,MATCH(179,'Fund Research'!$W$6:$W$505,0)),"")</f>
        <v/>
      </c>
      <c r="E184" s="35" t="str">
        <f aca="false">IFERROR(INDEX('Fund Research'!$G$6:$G$505,MATCH(179,'Fund Research'!$W$6:$W$505,0)),"")</f>
        <v/>
      </c>
      <c r="F184" s="35" t="str">
        <f aca="false">IFERROR(INDEX('Fund Research'!$H$6:$H$505,MATCH(179,'Fund Research'!$W$6:$W$505,0)),"")</f>
        <v/>
      </c>
      <c r="G184" s="35" t="str">
        <f aca="false">IFERROR(INDEX('Fund Research'!$I$6:$I$505,MATCH(179,'Fund Research'!$W$6:$W$505,0)),"")</f>
        <v/>
      </c>
      <c r="H184" s="36" t="str">
        <f aca="false">IFERROR(INDEX('Fund Research'!$J$6:$J$505,MATCH(179,'Fund Research'!$W$6:$W$505,0)),"")</f>
        <v/>
      </c>
      <c r="I184" s="39" t="str">
        <f aca="false">IFERROR(INDEX('Fund Research'!$L$6:$L$505,MATCH(179,'Fund Research'!$W$6:$W$505,0)),"")</f>
        <v/>
      </c>
      <c r="J184" s="36" t="str">
        <f aca="false">IFERROR(INDEX('Fund Research'!$N$6:$N$505,MATCH(179,'Fund Research'!$W$6:$W$505,0)),"")</f>
        <v/>
      </c>
      <c r="K184" s="36" t="str">
        <f aca="false">IFERROR(INDEX('Fund Research'!$P$6:$P$505,MATCH(179,'Fund Research'!$W$6:$W$505,0)),"")</f>
        <v/>
      </c>
      <c r="L184" s="34" t="str">
        <f aca="false">IFERROR(INDEX('Fund Research'!$S$6:$S$505,MATCH(179,'Fund Research'!$W$6:$W$505,0)),"")</f>
        <v/>
      </c>
      <c r="M184" s="34" t="str">
        <f aca="false">IFERROR(INDEX('Fund Research'!$T$6:$T$505,MATCH(179,'Fund Research'!$W$6:$W$505,0)),"")</f>
        <v/>
      </c>
    </row>
    <row r="185" customFormat="false" ht="15" hidden="false" customHeight="true" outlineLevel="0" collapsed="false">
      <c r="A185" s="33" t="str">
        <f aca="false">IFERROR(IF(INDEX('Fund Research'!$B$6:$B$505,MATCH(180,'Fund Research'!$W$6:$W$505,0))="","",180),"")</f>
        <v/>
      </c>
      <c r="B185" s="34" t="str">
        <f aca="false">IFERROR(INDEX('Fund Research'!$A$6:$A$505,MATCH(180,'Fund Research'!$W$6:$W$505,0)),"")</f>
        <v/>
      </c>
      <c r="C185" s="34" t="str">
        <f aca="false">IFERROR(INDEX('Fund Research'!$B$6:$B$505,MATCH(180,'Fund Research'!$W$6:$W$505,0)),"")</f>
        <v/>
      </c>
      <c r="D185" s="34" t="str">
        <f aca="false">IFERROR(INDEX('Fund Research'!$C$6:$C$505,MATCH(180,'Fund Research'!$W$6:$W$505,0)),"")</f>
        <v/>
      </c>
      <c r="E185" s="35" t="str">
        <f aca="false">IFERROR(INDEX('Fund Research'!$G$6:$G$505,MATCH(180,'Fund Research'!$W$6:$W$505,0)),"")</f>
        <v/>
      </c>
      <c r="F185" s="35" t="str">
        <f aca="false">IFERROR(INDEX('Fund Research'!$H$6:$H$505,MATCH(180,'Fund Research'!$W$6:$W$505,0)),"")</f>
        <v/>
      </c>
      <c r="G185" s="35" t="str">
        <f aca="false">IFERROR(INDEX('Fund Research'!$I$6:$I$505,MATCH(180,'Fund Research'!$W$6:$W$505,0)),"")</f>
        <v/>
      </c>
      <c r="H185" s="36" t="str">
        <f aca="false">IFERROR(INDEX('Fund Research'!$J$6:$J$505,MATCH(180,'Fund Research'!$W$6:$W$505,0)),"")</f>
        <v/>
      </c>
      <c r="I185" s="39" t="str">
        <f aca="false">IFERROR(INDEX('Fund Research'!$L$6:$L$505,MATCH(180,'Fund Research'!$W$6:$W$505,0)),"")</f>
        <v/>
      </c>
      <c r="J185" s="36" t="str">
        <f aca="false">IFERROR(INDEX('Fund Research'!$N$6:$N$505,MATCH(180,'Fund Research'!$W$6:$W$505,0)),"")</f>
        <v/>
      </c>
      <c r="K185" s="36" t="str">
        <f aca="false">IFERROR(INDEX('Fund Research'!$P$6:$P$505,MATCH(180,'Fund Research'!$W$6:$W$505,0)),"")</f>
        <v/>
      </c>
      <c r="L185" s="34" t="str">
        <f aca="false">IFERROR(INDEX('Fund Research'!$S$6:$S$505,MATCH(180,'Fund Research'!$W$6:$W$505,0)),"")</f>
        <v/>
      </c>
      <c r="M185" s="34" t="str">
        <f aca="false">IFERROR(INDEX('Fund Research'!$T$6:$T$505,MATCH(180,'Fund Research'!$W$6:$W$505,0)),"")</f>
        <v/>
      </c>
    </row>
    <row r="186" customFormat="false" ht="15" hidden="false" customHeight="true" outlineLevel="0" collapsed="false">
      <c r="A186" s="33" t="str">
        <f aca="false">IFERROR(IF(INDEX('Fund Research'!$B$6:$B$505,MATCH(181,'Fund Research'!$W$6:$W$505,0))="","",181),"")</f>
        <v/>
      </c>
      <c r="B186" s="34" t="str">
        <f aca="false">IFERROR(INDEX('Fund Research'!$A$6:$A$505,MATCH(181,'Fund Research'!$W$6:$W$505,0)),"")</f>
        <v/>
      </c>
      <c r="C186" s="34" t="str">
        <f aca="false">IFERROR(INDEX('Fund Research'!$B$6:$B$505,MATCH(181,'Fund Research'!$W$6:$W$505,0)),"")</f>
        <v/>
      </c>
      <c r="D186" s="34" t="str">
        <f aca="false">IFERROR(INDEX('Fund Research'!$C$6:$C$505,MATCH(181,'Fund Research'!$W$6:$W$505,0)),"")</f>
        <v/>
      </c>
      <c r="E186" s="35" t="str">
        <f aca="false">IFERROR(INDEX('Fund Research'!$G$6:$G$505,MATCH(181,'Fund Research'!$W$6:$W$505,0)),"")</f>
        <v/>
      </c>
      <c r="F186" s="35" t="str">
        <f aca="false">IFERROR(INDEX('Fund Research'!$H$6:$H$505,MATCH(181,'Fund Research'!$W$6:$W$505,0)),"")</f>
        <v/>
      </c>
      <c r="G186" s="35" t="str">
        <f aca="false">IFERROR(INDEX('Fund Research'!$I$6:$I$505,MATCH(181,'Fund Research'!$W$6:$W$505,0)),"")</f>
        <v/>
      </c>
      <c r="H186" s="36" t="str">
        <f aca="false">IFERROR(INDEX('Fund Research'!$J$6:$J$505,MATCH(181,'Fund Research'!$W$6:$W$505,0)),"")</f>
        <v/>
      </c>
      <c r="I186" s="39" t="str">
        <f aca="false">IFERROR(INDEX('Fund Research'!$L$6:$L$505,MATCH(181,'Fund Research'!$W$6:$W$505,0)),"")</f>
        <v/>
      </c>
      <c r="J186" s="36" t="str">
        <f aca="false">IFERROR(INDEX('Fund Research'!$N$6:$N$505,MATCH(181,'Fund Research'!$W$6:$W$505,0)),"")</f>
        <v/>
      </c>
      <c r="K186" s="36" t="str">
        <f aca="false">IFERROR(INDEX('Fund Research'!$P$6:$P$505,MATCH(181,'Fund Research'!$W$6:$W$505,0)),"")</f>
        <v/>
      </c>
      <c r="L186" s="34" t="str">
        <f aca="false">IFERROR(INDEX('Fund Research'!$S$6:$S$505,MATCH(181,'Fund Research'!$W$6:$W$505,0)),"")</f>
        <v/>
      </c>
      <c r="M186" s="34" t="str">
        <f aca="false">IFERROR(INDEX('Fund Research'!$T$6:$T$505,MATCH(181,'Fund Research'!$W$6:$W$505,0)),"")</f>
        <v/>
      </c>
    </row>
    <row r="187" customFormat="false" ht="15" hidden="false" customHeight="true" outlineLevel="0" collapsed="false">
      <c r="A187" s="33" t="str">
        <f aca="false">IFERROR(IF(INDEX('Fund Research'!$B$6:$B$505,MATCH(182,'Fund Research'!$W$6:$W$505,0))="","",182),"")</f>
        <v/>
      </c>
      <c r="B187" s="34" t="str">
        <f aca="false">IFERROR(INDEX('Fund Research'!$A$6:$A$505,MATCH(182,'Fund Research'!$W$6:$W$505,0)),"")</f>
        <v/>
      </c>
      <c r="C187" s="34" t="str">
        <f aca="false">IFERROR(INDEX('Fund Research'!$B$6:$B$505,MATCH(182,'Fund Research'!$W$6:$W$505,0)),"")</f>
        <v/>
      </c>
      <c r="D187" s="34" t="str">
        <f aca="false">IFERROR(INDEX('Fund Research'!$C$6:$C$505,MATCH(182,'Fund Research'!$W$6:$W$505,0)),"")</f>
        <v/>
      </c>
      <c r="E187" s="35" t="str">
        <f aca="false">IFERROR(INDEX('Fund Research'!$G$6:$G$505,MATCH(182,'Fund Research'!$W$6:$W$505,0)),"")</f>
        <v/>
      </c>
      <c r="F187" s="35" t="str">
        <f aca="false">IFERROR(INDEX('Fund Research'!$H$6:$H$505,MATCH(182,'Fund Research'!$W$6:$W$505,0)),"")</f>
        <v/>
      </c>
      <c r="G187" s="35" t="str">
        <f aca="false">IFERROR(INDEX('Fund Research'!$I$6:$I$505,MATCH(182,'Fund Research'!$W$6:$W$505,0)),"")</f>
        <v/>
      </c>
      <c r="H187" s="36" t="str">
        <f aca="false">IFERROR(INDEX('Fund Research'!$J$6:$J$505,MATCH(182,'Fund Research'!$W$6:$W$505,0)),"")</f>
        <v/>
      </c>
      <c r="I187" s="39" t="str">
        <f aca="false">IFERROR(INDEX('Fund Research'!$L$6:$L$505,MATCH(182,'Fund Research'!$W$6:$W$505,0)),"")</f>
        <v/>
      </c>
      <c r="J187" s="36" t="str">
        <f aca="false">IFERROR(INDEX('Fund Research'!$N$6:$N$505,MATCH(182,'Fund Research'!$W$6:$W$505,0)),"")</f>
        <v/>
      </c>
      <c r="K187" s="36" t="str">
        <f aca="false">IFERROR(INDEX('Fund Research'!$P$6:$P$505,MATCH(182,'Fund Research'!$W$6:$W$505,0)),"")</f>
        <v/>
      </c>
      <c r="L187" s="34" t="str">
        <f aca="false">IFERROR(INDEX('Fund Research'!$S$6:$S$505,MATCH(182,'Fund Research'!$W$6:$W$505,0)),"")</f>
        <v/>
      </c>
      <c r="M187" s="34" t="str">
        <f aca="false">IFERROR(INDEX('Fund Research'!$T$6:$T$505,MATCH(182,'Fund Research'!$W$6:$W$505,0)),"")</f>
        <v/>
      </c>
    </row>
    <row r="188" customFormat="false" ht="15" hidden="false" customHeight="true" outlineLevel="0" collapsed="false">
      <c r="A188" s="33" t="str">
        <f aca="false">IFERROR(IF(INDEX('Fund Research'!$B$6:$B$505,MATCH(183,'Fund Research'!$W$6:$W$505,0))="","",183),"")</f>
        <v/>
      </c>
      <c r="B188" s="34" t="str">
        <f aca="false">IFERROR(INDEX('Fund Research'!$A$6:$A$505,MATCH(183,'Fund Research'!$W$6:$W$505,0)),"")</f>
        <v/>
      </c>
      <c r="C188" s="34" t="str">
        <f aca="false">IFERROR(INDEX('Fund Research'!$B$6:$B$505,MATCH(183,'Fund Research'!$W$6:$W$505,0)),"")</f>
        <v/>
      </c>
      <c r="D188" s="34" t="str">
        <f aca="false">IFERROR(INDEX('Fund Research'!$C$6:$C$505,MATCH(183,'Fund Research'!$W$6:$W$505,0)),"")</f>
        <v/>
      </c>
      <c r="E188" s="35" t="str">
        <f aca="false">IFERROR(INDEX('Fund Research'!$G$6:$G$505,MATCH(183,'Fund Research'!$W$6:$W$505,0)),"")</f>
        <v/>
      </c>
      <c r="F188" s="35" t="str">
        <f aca="false">IFERROR(INDEX('Fund Research'!$H$6:$H$505,MATCH(183,'Fund Research'!$W$6:$W$505,0)),"")</f>
        <v/>
      </c>
      <c r="G188" s="35" t="str">
        <f aca="false">IFERROR(INDEX('Fund Research'!$I$6:$I$505,MATCH(183,'Fund Research'!$W$6:$W$505,0)),"")</f>
        <v/>
      </c>
      <c r="H188" s="36" t="str">
        <f aca="false">IFERROR(INDEX('Fund Research'!$J$6:$J$505,MATCH(183,'Fund Research'!$W$6:$W$505,0)),"")</f>
        <v/>
      </c>
      <c r="I188" s="39" t="str">
        <f aca="false">IFERROR(INDEX('Fund Research'!$L$6:$L$505,MATCH(183,'Fund Research'!$W$6:$W$505,0)),"")</f>
        <v/>
      </c>
      <c r="J188" s="36" t="str">
        <f aca="false">IFERROR(INDEX('Fund Research'!$N$6:$N$505,MATCH(183,'Fund Research'!$W$6:$W$505,0)),"")</f>
        <v/>
      </c>
      <c r="K188" s="36" t="str">
        <f aca="false">IFERROR(INDEX('Fund Research'!$P$6:$P$505,MATCH(183,'Fund Research'!$W$6:$W$505,0)),"")</f>
        <v/>
      </c>
      <c r="L188" s="34" t="str">
        <f aca="false">IFERROR(INDEX('Fund Research'!$S$6:$S$505,MATCH(183,'Fund Research'!$W$6:$W$505,0)),"")</f>
        <v/>
      </c>
      <c r="M188" s="34" t="str">
        <f aca="false">IFERROR(INDEX('Fund Research'!$T$6:$T$505,MATCH(183,'Fund Research'!$W$6:$W$505,0)),"")</f>
        <v/>
      </c>
    </row>
    <row r="189" customFormat="false" ht="15" hidden="false" customHeight="true" outlineLevel="0" collapsed="false">
      <c r="A189" s="33" t="str">
        <f aca="false">IFERROR(IF(INDEX('Fund Research'!$B$6:$B$505,MATCH(184,'Fund Research'!$W$6:$W$505,0))="","",184),"")</f>
        <v/>
      </c>
      <c r="B189" s="34" t="str">
        <f aca="false">IFERROR(INDEX('Fund Research'!$A$6:$A$505,MATCH(184,'Fund Research'!$W$6:$W$505,0)),"")</f>
        <v/>
      </c>
      <c r="C189" s="34" t="str">
        <f aca="false">IFERROR(INDEX('Fund Research'!$B$6:$B$505,MATCH(184,'Fund Research'!$W$6:$W$505,0)),"")</f>
        <v/>
      </c>
      <c r="D189" s="34" t="str">
        <f aca="false">IFERROR(INDEX('Fund Research'!$C$6:$C$505,MATCH(184,'Fund Research'!$W$6:$W$505,0)),"")</f>
        <v/>
      </c>
      <c r="E189" s="35" t="str">
        <f aca="false">IFERROR(INDEX('Fund Research'!$G$6:$G$505,MATCH(184,'Fund Research'!$W$6:$W$505,0)),"")</f>
        <v/>
      </c>
      <c r="F189" s="35" t="str">
        <f aca="false">IFERROR(INDEX('Fund Research'!$H$6:$H$505,MATCH(184,'Fund Research'!$W$6:$W$505,0)),"")</f>
        <v/>
      </c>
      <c r="G189" s="35" t="str">
        <f aca="false">IFERROR(INDEX('Fund Research'!$I$6:$I$505,MATCH(184,'Fund Research'!$W$6:$W$505,0)),"")</f>
        <v/>
      </c>
      <c r="H189" s="36" t="str">
        <f aca="false">IFERROR(INDEX('Fund Research'!$J$6:$J$505,MATCH(184,'Fund Research'!$W$6:$W$505,0)),"")</f>
        <v/>
      </c>
      <c r="I189" s="39" t="str">
        <f aca="false">IFERROR(INDEX('Fund Research'!$L$6:$L$505,MATCH(184,'Fund Research'!$W$6:$W$505,0)),"")</f>
        <v/>
      </c>
      <c r="J189" s="36" t="str">
        <f aca="false">IFERROR(INDEX('Fund Research'!$N$6:$N$505,MATCH(184,'Fund Research'!$W$6:$W$505,0)),"")</f>
        <v/>
      </c>
      <c r="K189" s="36" t="str">
        <f aca="false">IFERROR(INDEX('Fund Research'!$P$6:$P$505,MATCH(184,'Fund Research'!$W$6:$W$505,0)),"")</f>
        <v/>
      </c>
      <c r="L189" s="34" t="str">
        <f aca="false">IFERROR(INDEX('Fund Research'!$S$6:$S$505,MATCH(184,'Fund Research'!$W$6:$W$505,0)),"")</f>
        <v/>
      </c>
      <c r="M189" s="34" t="str">
        <f aca="false">IFERROR(INDEX('Fund Research'!$T$6:$T$505,MATCH(184,'Fund Research'!$W$6:$W$505,0)),"")</f>
        <v/>
      </c>
    </row>
    <row r="190" customFormat="false" ht="15" hidden="false" customHeight="true" outlineLevel="0" collapsed="false">
      <c r="A190" s="33" t="str">
        <f aca="false">IFERROR(IF(INDEX('Fund Research'!$B$6:$B$505,MATCH(185,'Fund Research'!$W$6:$W$505,0))="","",185),"")</f>
        <v/>
      </c>
      <c r="B190" s="34" t="str">
        <f aca="false">IFERROR(INDEX('Fund Research'!$A$6:$A$505,MATCH(185,'Fund Research'!$W$6:$W$505,0)),"")</f>
        <v/>
      </c>
      <c r="C190" s="34" t="str">
        <f aca="false">IFERROR(INDEX('Fund Research'!$B$6:$B$505,MATCH(185,'Fund Research'!$W$6:$W$505,0)),"")</f>
        <v/>
      </c>
      <c r="D190" s="34" t="str">
        <f aca="false">IFERROR(INDEX('Fund Research'!$C$6:$C$505,MATCH(185,'Fund Research'!$W$6:$W$505,0)),"")</f>
        <v/>
      </c>
      <c r="E190" s="35" t="str">
        <f aca="false">IFERROR(INDEX('Fund Research'!$G$6:$G$505,MATCH(185,'Fund Research'!$W$6:$W$505,0)),"")</f>
        <v/>
      </c>
      <c r="F190" s="35" t="str">
        <f aca="false">IFERROR(INDEX('Fund Research'!$H$6:$H$505,MATCH(185,'Fund Research'!$W$6:$W$505,0)),"")</f>
        <v/>
      </c>
      <c r="G190" s="35" t="str">
        <f aca="false">IFERROR(INDEX('Fund Research'!$I$6:$I$505,MATCH(185,'Fund Research'!$W$6:$W$505,0)),"")</f>
        <v/>
      </c>
      <c r="H190" s="36" t="str">
        <f aca="false">IFERROR(INDEX('Fund Research'!$J$6:$J$505,MATCH(185,'Fund Research'!$W$6:$W$505,0)),"")</f>
        <v/>
      </c>
      <c r="I190" s="39" t="str">
        <f aca="false">IFERROR(INDEX('Fund Research'!$L$6:$L$505,MATCH(185,'Fund Research'!$W$6:$W$505,0)),"")</f>
        <v/>
      </c>
      <c r="J190" s="36" t="str">
        <f aca="false">IFERROR(INDEX('Fund Research'!$N$6:$N$505,MATCH(185,'Fund Research'!$W$6:$W$505,0)),"")</f>
        <v/>
      </c>
      <c r="K190" s="36" t="str">
        <f aca="false">IFERROR(INDEX('Fund Research'!$P$6:$P$505,MATCH(185,'Fund Research'!$W$6:$W$505,0)),"")</f>
        <v/>
      </c>
      <c r="L190" s="34" t="str">
        <f aca="false">IFERROR(INDEX('Fund Research'!$S$6:$S$505,MATCH(185,'Fund Research'!$W$6:$W$505,0)),"")</f>
        <v/>
      </c>
      <c r="M190" s="34" t="str">
        <f aca="false">IFERROR(INDEX('Fund Research'!$T$6:$T$505,MATCH(185,'Fund Research'!$W$6:$W$505,0)),"")</f>
        <v/>
      </c>
    </row>
    <row r="191" customFormat="false" ht="15" hidden="false" customHeight="true" outlineLevel="0" collapsed="false">
      <c r="A191" s="33" t="str">
        <f aca="false">IFERROR(IF(INDEX('Fund Research'!$B$6:$B$505,MATCH(186,'Fund Research'!$W$6:$W$505,0))="","",186),"")</f>
        <v/>
      </c>
      <c r="B191" s="34" t="str">
        <f aca="false">IFERROR(INDEX('Fund Research'!$A$6:$A$505,MATCH(186,'Fund Research'!$W$6:$W$505,0)),"")</f>
        <v/>
      </c>
      <c r="C191" s="34" t="str">
        <f aca="false">IFERROR(INDEX('Fund Research'!$B$6:$B$505,MATCH(186,'Fund Research'!$W$6:$W$505,0)),"")</f>
        <v/>
      </c>
      <c r="D191" s="34" t="str">
        <f aca="false">IFERROR(INDEX('Fund Research'!$C$6:$C$505,MATCH(186,'Fund Research'!$W$6:$W$505,0)),"")</f>
        <v/>
      </c>
      <c r="E191" s="35" t="str">
        <f aca="false">IFERROR(INDEX('Fund Research'!$G$6:$G$505,MATCH(186,'Fund Research'!$W$6:$W$505,0)),"")</f>
        <v/>
      </c>
      <c r="F191" s="35" t="str">
        <f aca="false">IFERROR(INDEX('Fund Research'!$H$6:$H$505,MATCH(186,'Fund Research'!$W$6:$W$505,0)),"")</f>
        <v/>
      </c>
      <c r="G191" s="35" t="str">
        <f aca="false">IFERROR(INDEX('Fund Research'!$I$6:$I$505,MATCH(186,'Fund Research'!$W$6:$W$505,0)),"")</f>
        <v/>
      </c>
      <c r="H191" s="36" t="str">
        <f aca="false">IFERROR(INDEX('Fund Research'!$J$6:$J$505,MATCH(186,'Fund Research'!$W$6:$W$505,0)),"")</f>
        <v/>
      </c>
      <c r="I191" s="39" t="str">
        <f aca="false">IFERROR(INDEX('Fund Research'!$L$6:$L$505,MATCH(186,'Fund Research'!$W$6:$W$505,0)),"")</f>
        <v/>
      </c>
      <c r="J191" s="36" t="str">
        <f aca="false">IFERROR(INDEX('Fund Research'!$N$6:$N$505,MATCH(186,'Fund Research'!$W$6:$W$505,0)),"")</f>
        <v/>
      </c>
      <c r="K191" s="36" t="str">
        <f aca="false">IFERROR(INDEX('Fund Research'!$P$6:$P$505,MATCH(186,'Fund Research'!$W$6:$W$505,0)),"")</f>
        <v/>
      </c>
      <c r="L191" s="34" t="str">
        <f aca="false">IFERROR(INDEX('Fund Research'!$S$6:$S$505,MATCH(186,'Fund Research'!$W$6:$W$505,0)),"")</f>
        <v/>
      </c>
      <c r="M191" s="34" t="str">
        <f aca="false">IFERROR(INDEX('Fund Research'!$T$6:$T$505,MATCH(186,'Fund Research'!$W$6:$W$505,0)),"")</f>
        <v/>
      </c>
    </row>
    <row r="192" customFormat="false" ht="15" hidden="false" customHeight="true" outlineLevel="0" collapsed="false">
      <c r="A192" s="33" t="str">
        <f aca="false">IFERROR(IF(INDEX('Fund Research'!$B$6:$B$505,MATCH(187,'Fund Research'!$W$6:$W$505,0))="","",187),"")</f>
        <v/>
      </c>
      <c r="B192" s="34" t="str">
        <f aca="false">IFERROR(INDEX('Fund Research'!$A$6:$A$505,MATCH(187,'Fund Research'!$W$6:$W$505,0)),"")</f>
        <v/>
      </c>
      <c r="C192" s="34" t="str">
        <f aca="false">IFERROR(INDEX('Fund Research'!$B$6:$B$505,MATCH(187,'Fund Research'!$W$6:$W$505,0)),"")</f>
        <v/>
      </c>
      <c r="D192" s="34" t="str">
        <f aca="false">IFERROR(INDEX('Fund Research'!$C$6:$C$505,MATCH(187,'Fund Research'!$W$6:$W$505,0)),"")</f>
        <v/>
      </c>
      <c r="E192" s="35" t="str">
        <f aca="false">IFERROR(INDEX('Fund Research'!$G$6:$G$505,MATCH(187,'Fund Research'!$W$6:$W$505,0)),"")</f>
        <v/>
      </c>
      <c r="F192" s="35" t="str">
        <f aca="false">IFERROR(INDEX('Fund Research'!$H$6:$H$505,MATCH(187,'Fund Research'!$W$6:$W$505,0)),"")</f>
        <v/>
      </c>
      <c r="G192" s="35" t="str">
        <f aca="false">IFERROR(INDEX('Fund Research'!$I$6:$I$505,MATCH(187,'Fund Research'!$W$6:$W$505,0)),"")</f>
        <v/>
      </c>
      <c r="H192" s="36" t="str">
        <f aca="false">IFERROR(INDEX('Fund Research'!$J$6:$J$505,MATCH(187,'Fund Research'!$W$6:$W$505,0)),"")</f>
        <v/>
      </c>
      <c r="I192" s="39" t="str">
        <f aca="false">IFERROR(INDEX('Fund Research'!$L$6:$L$505,MATCH(187,'Fund Research'!$W$6:$W$505,0)),"")</f>
        <v/>
      </c>
      <c r="J192" s="36" t="str">
        <f aca="false">IFERROR(INDEX('Fund Research'!$N$6:$N$505,MATCH(187,'Fund Research'!$W$6:$W$505,0)),"")</f>
        <v/>
      </c>
      <c r="K192" s="36" t="str">
        <f aca="false">IFERROR(INDEX('Fund Research'!$P$6:$P$505,MATCH(187,'Fund Research'!$W$6:$W$505,0)),"")</f>
        <v/>
      </c>
      <c r="L192" s="34" t="str">
        <f aca="false">IFERROR(INDEX('Fund Research'!$S$6:$S$505,MATCH(187,'Fund Research'!$W$6:$W$505,0)),"")</f>
        <v/>
      </c>
      <c r="M192" s="34" t="str">
        <f aca="false">IFERROR(INDEX('Fund Research'!$T$6:$T$505,MATCH(187,'Fund Research'!$W$6:$W$505,0)),"")</f>
        <v/>
      </c>
    </row>
    <row r="193" customFormat="false" ht="15" hidden="false" customHeight="true" outlineLevel="0" collapsed="false">
      <c r="A193" s="33" t="str">
        <f aca="false">IFERROR(IF(INDEX('Fund Research'!$B$6:$B$505,MATCH(188,'Fund Research'!$W$6:$W$505,0))="","",188),"")</f>
        <v/>
      </c>
      <c r="B193" s="34" t="str">
        <f aca="false">IFERROR(INDEX('Fund Research'!$A$6:$A$505,MATCH(188,'Fund Research'!$W$6:$W$505,0)),"")</f>
        <v/>
      </c>
      <c r="C193" s="34" t="str">
        <f aca="false">IFERROR(INDEX('Fund Research'!$B$6:$B$505,MATCH(188,'Fund Research'!$W$6:$W$505,0)),"")</f>
        <v/>
      </c>
      <c r="D193" s="34" t="str">
        <f aca="false">IFERROR(INDEX('Fund Research'!$C$6:$C$505,MATCH(188,'Fund Research'!$W$6:$W$505,0)),"")</f>
        <v/>
      </c>
      <c r="E193" s="35" t="str">
        <f aca="false">IFERROR(INDEX('Fund Research'!$G$6:$G$505,MATCH(188,'Fund Research'!$W$6:$W$505,0)),"")</f>
        <v/>
      </c>
      <c r="F193" s="35" t="str">
        <f aca="false">IFERROR(INDEX('Fund Research'!$H$6:$H$505,MATCH(188,'Fund Research'!$W$6:$W$505,0)),"")</f>
        <v/>
      </c>
      <c r="G193" s="35" t="str">
        <f aca="false">IFERROR(INDEX('Fund Research'!$I$6:$I$505,MATCH(188,'Fund Research'!$W$6:$W$505,0)),"")</f>
        <v/>
      </c>
      <c r="H193" s="36" t="str">
        <f aca="false">IFERROR(INDEX('Fund Research'!$J$6:$J$505,MATCH(188,'Fund Research'!$W$6:$W$505,0)),"")</f>
        <v/>
      </c>
      <c r="I193" s="39" t="str">
        <f aca="false">IFERROR(INDEX('Fund Research'!$L$6:$L$505,MATCH(188,'Fund Research'!$W$6:$W$505,0)),"")</f>
        <v/>
      </c>
      <c r="J193" s="36" t="str">
        <f aca="false">IFERROR(INDEX('Fund Research'!$N$6:$N$505,MATCH(188,'Fund Research'!$W$6:$W$505,0)),"")</f>
        <v/>
      </c>
      <c r="K193" s="36" t="str">
        <f aca="false">IFERROR(INDEX('Fund Research'!$P$6:$P$505,MATCH(188,'Fund Research'!$W$6:$W$505,0)),"")</f>
        <v/>
      </c>
      <c r="L193" s="34" t="str">
        <f aca="false">IFERROR(INDEX('Fund Research'!$S$6:$S$505,MATCH(188,'Fund Research'!$W$6:$W$505,0)),"")</f>
        <v/>
      </c>
      <c r="M193" s="34" t="str">
        <f aca="false">IFERROR(INDEX('Fund Research'!$T$6:$T$505,MATCH(188,'Fund Research'!$W$6:$W$505,0)),"")</f>
        <v/>
      </c>
    </row>
    <row r="194" customFormat="false" ht="15" hidden="false" customHeight="true" outlineLevel="0" collapsed="false">
      <c r="A194" s="33" t="str">
        <f aca="false">IFERROR(IF(INDEX('Fund Research'!$B$6:$B$505,MATCH(189,'Fund Research'!$W$6:$W$505,0))="","",189),"")</f>
        <v/>
      </c>
      <c r="B194" s="34" t="str">
        <f aca="false">IFERROR(INDEX('Fund Research'!$A$6:$A$505,MATCH(189,'Fund Research'!$W$6:$W$505,0)),"")</f>
        <v/>
      </c>
      <c r="C194" s="34" t="str">
        <f aca="false">IFERROR(INDEX('Fund Research'!$B$6:$B$505,MATCH(189,'Fund Research'!$W$6:$W$505,0)),"")</f>
        <v/>
      </c>
      <c r="D194" s="34" t="str">
        <f aca="false">IFERROR(INDEX('Fund Research'!$C$6:$C$505,MATCH(189,'Fund Research'!$W$6:$W$505,0)),"")</f>
        <v/>
      </c>
      <c r="E194" s="35" t="str">
        <f aca="false">IFERROR(INDEX('Fund Research'!$G$6:$G$505,MATCH(189,'Fund Research'!$W$6:$W$505,0)),"")</f>
        <v/>
      </c>
      <c r="F194" s="35" t="str">
        <f aca="false">IFERROR(INDEX('Fund Research'!$H$6:$H$505,MATCH(189,'Fund Research'!$W$6:$W$505,0)),"")</f>
        <v/>
      </c>
      <c r="G194" s="35" t="str">
        <f aca="false">IFERROR(INDEX('Fund Research'!$I$6:$I$505,MATCH(189,'Fund Research'!$W$6:$W$505,0)),"")</f>
        <v/>
      </c>
      <c r="H194" s="36" t="str">
        <f aca="false">IFERROR(INDEX('Fund Research'!$J$6:$J$505,MATCH(189,'Fund Research'!$W$6:$W$505,0)),"")</f>
        <v/>
      </c>
      <c r="I194" s="39" t="str">
        <f aca="false">IFERROR(INDEX('Fund Research'!$L$6:$L$505,MATCH(189,'Fund Research'!$W$6:$W$505,0)),"")</f>
        <v/>
      </c>
      <c r="J194" s="36" t="str">
        <f aca="false">IFERROR(INDEX('Fund Research'!$N$6:$N$505,MATCH(189,'Fund Research'!$W$6:$W$505,0)),"")</f>
        <v/>
      </c>
      <c r="K194" s="36" t="str">
        <f aca="false">IFERROR(INDEX('Fund Research'!$P$6:$P$505,MATCH(189,'Fund Research'!$W$6:$W$505,0)),"")</f>
        <v/>
      </c>
      <c r="L194" s="34" t="str">
        <f aca="false">IFERROR(INDEX('Fund Research'!$S$6:$S$505,MATCH(189,'Fund Research'!$W$6:$W$505,0)),"")</f>
        <v/>
      </c>
      <c r="M194" s="34" t="str">
        <f aca="false">IFERROR(INDEX('Fund Research'!$T$6:$T$505,MATCH(189,'Fund Research'!$W$6:$W$505,0)),"")</f>
        <v/>
      </c>
    </row>
    <row r="195" customFormat="false" ht="15" hidden="false" customHeight="true" outlineLevel="0" collapsed="false">
      <c r="A195" s="33" t="str">
        <f aca="false">IFERROR(IF(INDEX('Fund Research'!$B$6:$B$505,MATCH(190,'Fund Research'!$W$6:$W$505,0))="","",190),"")</f>
        <v/>
      </c>
      <c r="B195" s="34" t="str">
        <f aca="false">IFERROR(INDEX('Fund Research'!$A$6:$A$505,MATCH(190,'Fund Research'!$W$6:$W$505,0)),"")</f>
        <v/>
      </c>
      <c r="C195" s="34" t="str">
        <f aca="false">IFERROR(INDEX('Fund Research'!$B$6:$B$505,MATCH(190,'Fund Research'!$W$6:$W$505,0)),"")</f>
        <v/>
      </c>
      <c r="D195" s="34" t="str">
        <f aca="false">IFERROR(INDEX('Fund Research'!$C$6:$C$505,MATCH(190,'Fund Research'!$W$6:$W$505,0)),"")</f>
        <v/>
      </c>
      <c r="E195" s="35" t="str">
        <f aca="false">IFERROR(INDEX('Fund Research'!$G$6:$G$505,MATCH(190,'Fund Research'!$W$6:$W$505,0)),"")</f>
        <v/>
      </c>
      <c r="F195" s="35" t="str">
        <f aca="false">IFERROR(INDEX('Fund Research'!$H$6:$H$505,MATCH(190,'Fund Research'!$W$6:$W$505,0)),"")</f>
        <v/>
      </c>
      <c r="G195" s="35" t="str">
        <f aca="false">IFERROR(INDEX('Fund Research'!$I$6:$I$505,MATCH(190,'Fund Research'!$W$6:$W$505,0)),"")</f>
        <v/>
      </c>
      <c r="H195" s="36" t="str">
        <f aca="false">IFERROR(INDEX('Fund Research'!$J$6:$J$505,MATCH(190,'Fund Research'!$W$6:$W$505,0)),"")</f>
        <v/>
      </c>
      <c r="I195" s="39" t="str">
        <f aca="false">IFERROR(INDEX('Fund Research'!$L$6:$L$505,MATCH(190,'Fund Research'!$W$6:$W$505,0)),"")</f>
        <v/>
      </c>
      <c r="J195" s="36" t="str">
        <f aca="false">IFERROR(INDEX('Fund Research'!$N$6:$N$505,MATCH(190,'Fund Research'!$W$6:$W$505,0)),"")</f>
        <v/>
      </c>
      <c r="K195" s="36" t="str">
        <f aca="false">IFERROR(INDEX('Fund Research'!$P$6:$P$505,MATCH(190,'Fund Research'!$W$6:$W$505,0)),"")</f>
        <v/>
      </c>
      <c r="L195" s="34" t="str">
        <f aca="false">IFERROR(INDEX('Fund Research'!$S$6:$S$505,MATCH(190,'Fund Research'!$W$6:$W$505,0)),"")</f>
        <v/>
      </c>
      <c r="M195" s="34" t="str">
        <f aca="false">IFERROR(INDEX('Fund Research'!$T$6:$T$505,MATCH(190,'Fund Research'!$W$6:$W$505,0)),"")</f>
        <v/>
      </c>
    </row>
    <row r="196" customFormat="false" ht="15" hidden="false" customHeight="true" outlineLevel="0" collapsed="false">
      <c r="A196" s="33" t="str">
        <f aca="false">IFERROR(IF(INDEX('Fund Research'!$B$6:$B$505,MATCH(191,'Fund Research'!$W$6:$W$505,0))="","",191),"")</f>
        <v/>
      </c>
      <c r="B196" s="34" t="str">
        <f aca="false">IFERROR(INDEX('Fund Research'!$A$6:$A$505,MATCH(191,'Fund Research'!$W$6:$W$505,0)),"")</f>
        <v/>
      </c>
      <c r="C196" s="34" t="str">
        <f aca="false">IFERROR(INDEX('Fund Research'!$B$6:$B$505,MATCH(191,'Fund Research'!$W$6:$W$505,0)),"")</f>
        <v/>
      </c>
      <c r="D196" s="34" t="str">
        <f aca="false">IFERROR(INDEX('Fund Research'!$C$6:$C$505,MATCH(191,'Fund Research'!$W$6:$W$505,0)),"")</f>
        <v/>
      </c>
      <c r="E196" s="35" t="str">
        <f aca="false">IFERROR(INDEX('Fund Research'!$G$6:$G$505,MATCH(191,'Fund Research'!$W$6:$W$505,0)),"")</f>
        <v/>
      </c>
      <c r="F196" s="35" t="str">
        <f aca="false">IFERROR(INDEX('Fund Research'!$H$6:$H$505,MATCH(191,'Fund Research'!$W$6:$W$505,0)),"")</f>
        <v/>
      </c>
      <c r="G196" s="35" t="str">
        <f aca="false">IFERROR(INDEX('Fund Research'!$I$6:$I$505,MATCH(191,'Fund Research'!$W$6:$W$505,0)),"")</f>
        <v/>
      </c>
      <c r="H196" s="36" t="str">
        <f aca="false">IFERROR(INDEX('Fund Research'!$J$6:$J$505,MATCH(191,'Fund Research'!$W$6:$W$505,0)),"")</f>
        <v/>
      </c>
      <c r="I196" s="39" t="str">
        <f aca="false">IFERROR(INDEX('Fund Research'!$L$6:$L$505,MATCH(191,'Fund Research'!$W$6:$W$505,0)),"")</f>
        <v/>
      </c>
      <c r="J196" s="36" t="str">
        <f aca="false">IFERROR(INDEX('Fund Research'!$N$6:$N$505,MATCH(191,'Fund Research'!$W$6:$W$505,0)),"")</f>
        <v/>
      </c>
      <c r="K196" s="36" t="str">
        <f aca="false">IFERROR(INDEX('Fund Research'!$P$6:$P$505,MATCH(191,'Fund Research'!$W$6:$W$505,0)),"")</f>
        <v/>
      </c>
      <c r="L196" s="34" t="str">
        <f aca="false">IFERROR(INDEX('Fund Research'!$S$6:$S$505,MATCH(191,'Fund Research'!$W$6:$W$505,0)),"")</f>
        <v/>
      </c>
      <c r="M196" s="34" t="str">
        <f aca="false">IFERROR(INDEX('Fund Research'!$T$6:$T$505,MATCH(191,'Fund Research'!$W$6:$W$505,0)),"")</f>
        <v/>
      </c>
    </row>
    <row r="197" customFormat="false" ht="15" hidden="false" customHeight="true" outlineLevel="0" collapsed="false">
      <c r="A197" s="33" t="str">
        <f aca="false">IFERROR(IF(INDEX('Fund Research'!$B$6:$B$505,MATCH(192,'Fund Research'!$W$6:$W$505,0))="","",192),"")</f>
        <v/>
      </c>
      <c r="B197" s="34" t="str">
        <f aca="false">IFERROR(INDEX('Fund Research'!$A$6:$A$505,MATCH(192,'Fund Research'!$W$6:$W$505,0)),"")</f>
        <v/>
      </c>
      <c r="C197" s="34" t="str">
        <f aca="false">IFERROR(INDEX('Fund Research'!$B$6:$B$505,MATCH(192,'Fund Research'!$W$6:$W$505,0)),"")</f>
        <v/>
      </c>
      <c r="D197" s="34" t="str">
        <f aca="false">IFERROR(INDEX('Fund Research'!$C$6:$C$505,MATCH(192,'Fund Research'!$W$6:$W$505,0)),"")</f>
        <v/>
      </c>
      <c r="E197" s="35" t="str">
        <f aca="false">IFERROR(INDEX('Fund Research'!$G$6:$G$505,MATCH(192,'Fund Research'!$W$6:$W$505,0)),"")</f>
        <v/>
      </c>
      <c r="F197" s="35" t="str">
        <f aca="false">IFERROR(INDEX('Fund Research'!$H$6:$H$505,MATCH(192,'Fund Research'!$W$6:$W$505,0)),"")</f>
        <v/>
      </c>
      <c r="G197" s="35" t="str">
        <f aca="false">IFERROR(INDEX('Fund Research'!$I$6:$I$505,MATCH(192,'Fund Research'!$W$6:$W$505,0)),"")</f>
        <v/>
      </c>
      <c r="H197" s="36" t="str">
        <f aca="false">IFERROR(INDEX('Fund Research'!$J$6:$J$505,MATCH(192,'Fund Research'!$W$6:$W$505,0)),"")</f>
        <v/>
      </c>
      <c r="I197" s="39" t="str">
        <f aca="false">IFERROR(INDEX('Fund Research'!$L$6:$L$505,MATCH(192,'Fund Research'!$W$6:$W$505,0)),"")</f>
        <v/>
      </c>
      <c r="J197" s="36" t="str">
        <f aca="false">IFERROR(INDEX('Fund Research'!$N$6:$N$505,MATCH(192,'Fund Research'!$W$6:$W$505,0)),"")</f>
        <v/>
      </c>
      <c r="K197" s="36" t="str">
        <f aca="false">IFERROR(INDEX('Fund Research'!$P$6:$P$505,MATCH(192,'Fund Research'!$W$6:$W$505,0)),"")</f>
        <v/>
      </c>
      <c r="L197" s="34" t="str">
        <f aca="false">IFERROR(INDEX('Fund Research'!$S$6:$S$505,MATCH(192,'Fund Research'!$W$6:$W$505,0)),"")</f>
        <v/>
      </c>
      <c r="M197" s="34" t="str">
        <f aca="false">IFERROR(INDEX('Fund Research'!$T$6:$T$505,MATCH(192,'Fund Research'!$W$6:$W$505,0)),"")</f>
        <v/>
      </c>
    </row>
    <row r="198" customFormat="false" ht="15" hidden="false" customHeight="true" outlineLevel="0" collapsed="false">
      <c r="A198" s="33" t="str">
        <f aca="false">IFERROR(IF(INDEX('Fund Research'!$B$6:$B$505,MATCH(193,'Fund Research'!$W$6:$W$505,0))="","",193),"")</f>
        <v/>
      </c>
      <c r="B198" s="34" t="str">
        <f aca="false">IFERROR(INDEX('Fund Research'!$A$6:$A$505,MATCH(193,'Fund Research'!$W$6:$W$505,0)),"")</f>
        <v/>
      </c>
      <c r="C198" s="34" t="str">
        <f aca="false">IFERROR(INDEX('Fund Research'!$B$6:$B$505,MATCH(193,'Fund Research'!$W$6:$W$505,0)),"")</f>
        <v/>
      </c>
      <c r="D198" s="34" t="str">
        <f aca="false">IFERROR(INDEX('Fund Research'!$C$6:$C$505,MATCH(193,'Fund Research'!$W$6:$W$505,0)),"")</f>
        <v/>
      </c>
      <c r="E198" s="35" t="str">
        <f aca="false">IFERROR(INDEX('Fund Research'!$G$6:$G$505,MATCH(193,'Fund Research'!$W$6:$W$505,0)),"")</f>
        <v/>
      </c>
      <c r="F198" s="35" t="str">
        <f aca="false">IFERROR(INDEX('Fund Research'!$H$6:$H$505,MATCH(193,'Fund Research'!$W$6:$W$505,0)),"")</f>
        <v/>
      </c>
      <c r="G198" s="35" t="str">
        <f aca="false">IFERROR(INDEX('Fund Research'!$I$6:$I$505,MATCH(193,'Fund Research'!$W$6:$W$505,0)),"")</f>
        <v/>
      </c>
      <c r="H198" s="36" t="str">
        <f aca="false">IFERROR(INDEX('Fund Research'!$J$6:$J$505,MATCH(193,'Fund Research'!$W$6:$W$505,0)),"")</f>
        <v/>
      </c>
      <c r="I198" s="39" t="str">
        <f aca="false">IFERROR(INDEX('Fund Research'!$L$6:$L$505,MATCH(193,'Fund Research'!$W$6:$W$505,0)),"")</f>
        <v/>
      </c>
      <c r="J198" s="36" t="str">
        <f aca="false">IFERROR(INDEX('Fund Research'!$N$6:$N$505,MATCH(193,'Fund Research'!$W$6:$W$505,0)),"")</f>
        <v/>
      </c>
      <c r="K198" s="36" t="str">
        <f aca="false">IFERROR(INDEX('Fund Research'!$P$6:$P$505,MATCH(193,'Fund Research'!$W$6:$W$505,0)),"")</f>
        <v/>
      </c>
      <c r="L198" s="34" t="str">
        <f aca="false">IFERROR(INDEX('Fund Research'!$S$6:$S$505,MATCH(193,'Fund Research'!$W$6:$W$505,0)),"")</f>
        <v/>
      </c>
      <c r="M198" s="34" t="str">
        <f aca="false">IFERROR(INDEX('Fund Research'!$T$6:$T$505,MATCH(193,'Fund Research'!$W$6:$W$505,0)),"")</f>
        <v/>
      </c>
    </row>
    <row r="199" customFormat="false" ht="15" hidden="false" customHeight="true" outlineLevel="0" collapsed="false">
      <c r="A199" s="33" t="str">
        <f aca="false">IFERROR(IF(INDEX('Fund Research'!$B$6:$B$505,MATCH(194,'Fund Research'!$W$6:$W$505,0))="","",194),"")</f>
        <v/>
      </c>
      <c r="B199" s="34" t="str">
        <f aca="false">IFERROR(INDEX('Fund Research'!$A$6:$A$505,MATCH(194,'Fund Research'!$W$6:$W$505,0)),"")</f>
        <v/>
      </c>
      <c r="C199" s="34" t="str">
        <f aca="false">IFERROR(INDEX('Fund Research'!$B$6:$B$505,MATCH(194,'Fund Research'!$W$6:$W$505,0)),"")</f>
        <v/>
      </c>
      <c r="D199" s="34" t="str">
        <f aca="false">IFERROR(INDEX('Fund Research'!$C$6:$C$505,MATCH(194,'Fund Research'!$W$6:$W$505,0)),"")</f>
        <v/>
      </c>
      <c r="E199" s="35" t="str">
        <f aca="false">IFERROR(INDEX('Fund Research'!$G$6:$G$505,MATCH(194,'Fund Research'!$W$6:$W$505,0)),"")</f>
        <v/>
      </c>
      <c r="F199" s="35" t="str">
        <f aca="false">IFERROR(INDEX('Fund Research'!$H$6:$H$505,MATCH(194,'Fund Research'!$W$6:$W$505,0)),"")</f>
        <v/>
      </c>
      <c r="G199" s="35" t="str">
        <f aca="false">IFERROR(INDEX('Fund Research'!$I$6:$I$505,MATCH(194,'Fund Research'!$W$6:$W$505,0)),"")</f>
        <v/>
      </c>
      <c r="H199" s="36" t="str">
        <f aca="false">IFERROR(INDEX('Fund Research'!$J$6:$J$505,MATCH(194,'Fund Research'!$W$6:$W$505,0)),"")</f>
        <v/>
      </c>
      <c r="I199" s="39" t="str">
        <f aca="false">IFERROR(INDEX('Fund Research'!$L$6:$L$505,MATCH(194,'Fund Research'!$W$6:$W$505,0)),"")</f>
        <v/>
      </c>
      <c r="J199" s="36" t="str">
        <f aca="false">IFERROR(INDEX('Fund Research'!$N$6:$N$505,MATCH(194,'Fund Research'!$W$6:$W$505,0)),"")</f>
        <v/>
      </c>
      <c r="K199" s="36" t="str">
        <f aca="false">IFERROR(INDEX('Fund Research'!$P$6:$P$505,MATCH(194,'Fund Research'!$W$6:$W$505,0)),"")</f>
        <v/>
      </c>
      <c r="L199" s="34" t="str">
        <f aca="false">IFERROR(INDEX('Fund Research'!$S$6:$S$505,MATCH(194,'Fund Research'!$W$6:$W$505,0)),"")</f>
        <v/>
      </c>
      <c r="M199" s="34" t="str">
        <f aca="false">IFERROR(INDEX('Fund Research'!$T$6:$T$505,MATCH(194,'Fund Research'!$W$6:$W$505,0)),"")</f>
        <v/>
      </c>
    </row>
    <row r="200" customFormat="false" ht="15" hidden="false" customHeight="true" outlineLevel="0" collapsed="false">
      <c r="A200" s="33" t="str">
        <f aca="false">IFERROR(IF(INDEX('Fund Research'!$B$6:$B$505,MATCH(195,'Fund Research'!$W$6:$W$505,0))="","",195),"")</f>
        <v/>
      </c>
      <c r="B200" s="34" t="str">
        <f aca="false">IFERROR(INDEX('Fund Research'!$A$6:$A$505,MATCH(195,'Fund Research'!$W$6:$W$505,0)),"")</f>
        <v/>
      </c>
      <c r="C200" s="34" t="str">
        <f aca="false">IFERROR(INDEX('Fund Research'!$B$6:$B$505,MATCH(195,'Fund Research'!$W$6:$W$505,0)),"")</f>
        <v/>
      </c>
      <c r="D200" s="34" t="str">
        <f aca="false">IFERROR(INDEX('Fund Research'!$C$6:$C$505,MATCH(195,'Fund Research'!$W$6:$W$505,0)),"")</f>
        <v/>
      </c>
      <c r="E200" s="35" t="str">
        <f aca="false">IFERROR(INDEX('Fund Research'!$G$6:$G$505,MATCH(195,'Fund Research'!$W$6:$W$505,0)),"")</f>
        <v/>
      </c>
      <c r="F200" s="35" t="str">
        <f aca="false">IFERROR(INDEX('Fund Research'!$H$6:$H$505,MATCH(195,'Fund Research'!$W$6:$W$505,0)),"")</f>
        <v/>
      </c>
      <c r="G200" s="35" t="str">
        <f aca="false">IFERROR(INDEX('Fund Research'!$I$6:$I$505,MATCH(195,'Fund Research'!$W$6:$W$505,0)),"")</f>
        <v/>
      </c>
      <c r="H200" s="36" t="str">
        <f aca="false">IFERROR(INDEX('Fund Research'!$J$6:$J$505,MATCH(195,'Fund Research'!$W$6:$W$505,0)),"")</f>
        <v/>
      </c>
      <c r="I200" s="39" t="str">
        <f aca="false">IFERROR(INDEX('Fund Research'!$L$6:$L$505,MATCH(195,'Fund Research'!$W$6:$W$505,0)),"")</f>
        <v/>
      </c>
      <c r="J200" s="36" t="str">
        <f aca="false">IFERROR(INDEX('Fund Research'!$N$6:$N$505,MATCH(195,'Fund Research'!$W$6:$W$505,0)),"")</f>
        <v/>
      </c>
      <c r="K200" s="36" t="str">
        <f aca="false">IFERROR(INDEX('Fund Research'!$P$6:$P$505,MATCH(195,'Fund Research'!$W$6:$W$505,0)),"")</f>
        <v/>
      </c>
      <c r="L200" s="34" t="str">
        <f aca="false">IFERROR(INDEX('Fund Research'!$S$6:$S$505,MATCH(195,'Fund Research'!$W$6:$W$505,0)),"")</f>
        <v/>
      </c>
      <c r="M200" s="34" t="str">
        <f aca="false">IFERROR(INDEX('Fund Research'!$T$6:$T$505,MATCH(195,'Fund Research'!$W$6:$W$505,0)),"")</f>
        <v/>
      </c>
    </row>
    <row r="201" customFormat="false" ht="15" hidden="false" customHeight="true" outlineLevel="0" collapsed="false">
      <c r="A201" s="33" t="str">
        <f aca="false">IFERROR(IF(INDEX('Fund Research'!$B$6:$B$505,MATCH(196,'Fund Research'!$W$6:$W$505,0))="","",196),"")</f>
        <v/>
      </c>
      <c r="B201" s="34" t="str">
        <f aca="false">IFERROR(INDEX('Fund Research'!$A$6:$A$505,MATCH(196,'Fund Research'!$W$6:$W$505,0)),"")</f>
        <v/>
      </c>
      <c r="C201" s="34" t="str">
        <f aca="false">IFERROR(INDEX('Fund Research'!$B$6:$B$505,MATCH(196,'Fund Research'!$W$6:$W$505,0)),"")</f>
        <v/>
      </c>
      <c r="D201" s="34" t="str">
        <f aca="false">IFERROR(INDEX('Fund Research'!$C$6:$C$505,MATCH(196,'Fund Research'!$W$6:$W$505,0)),"")</f>
        <v/>
      </c>
      <c r="E201" s="35" t="str">
        <f aca="false">IFERROR(INDEX('Fund Research'!$G$6:$G$505,MATCH(196,'Fund Research'!$W$6:$W$505,0)),"")</f>
        <v/>
      </c>
      <c r="F201" s="35" t="str">
        <f aca="false">IFERROR(INDEX('Fund Research'!$H$6:$H$505,MATCH(196,'Fund Research'!$W$6:$W$505,0)),"")</f>
        <v/>
      </c>
      <c r="G201" s="35" t="str">
        <f aca="false">IFERROR(INDEX('Fund Research'!$I$6:$I$505,MATCH(196,'Fund Research'!$W$6:$W$505,0)),"")</f>
        <v/>
      </c>
      <c r="H201" s="36" t="str">
        <f aca="false">IFERROR(INDEX('Fund Research'!$J$6:$J$505,MATCH(196,'Fund Research'!$W$6:$W$505,0)),"")</f>
        <v/>
      </c>
      <c r="I201" s="39" t="str">
        <f aca="false">IFERROR(INDEX('Fund Research'!$L$6:$L$505,MATCH(196,'Fund Research'!$W$6:$W$505,0)),"")</f>
        <v/>
      </c>
      <c r="J201" s="36" t="str">
        <f aca="false">IFERROR(INDEX('Fund Research'!$N$6:$N$505,MATCH(196,'Fund Research'!$W$6:$W$505,0)),"")</f>
        <v/>
      </c>
      <c r="K201" s="36" t="str">
        <f aca="false">IFERROR(INDEX('Fund Research'!$P$6:$P$505,MATCH(196,'Fund Research'!$W$6:$W$505,0)),"")</f>
        <v/>
      </c>
      <c r="L201" s="34" t="str">
        <f aca="false">IFERROR(INDEX('Fund Research'!$S$6:$S$505,MATCH(196,'Fund Research'!$W$6:$W$505,0)),"")</f>
        <v/>
      </c>
      <c r="M201" s="34" t="str">
        <f aca="false">IFERROR(INDEX('Fund Research'!$T$6:$T$505,MATCH(196,'Fund Research'!$W$6:$W$505,0)),"")</f>
        <v/>
      </c>
    </row>
    <row r="202" customFormat="false" ht="15" hidden="false" customHeight="true" outlineLevel="0" collapsed="false">
      <c r="A202" s="33" t="str">
        <f aca="false">IFERROR(IF(INDEX('Fund Research'!$B$6:$B$505,MATCH(197,'Fund Research'!$W$6:$W$505,0))="","",197),"")</f>
        <v/>
      </c>
      <c r="B202" s="34" t="str">
        <f aca="false">IFERROR(INDEX('Fund Research'!$A$6:$A$505,MATCH(197,'Fund Research'!$W$6:$W$505,0)),"")</f>
        <v/>
      </c>
      <c r="C202" s="34" t="str">
        <f aca="false">IFERROR(INDEX('Fund Research'!$B$6:$B$505,MATCH(197,'Fund Research'!$W$6:$W$505,0)),"")</f>
        <v/>
      </c>
      <c r="D202" s="34" t="str">
        <f aca="false">IFERROR(INDEX('Fund Research'!$C$6:$C$505,MATCH(197,'Fund Research'!$W$6:$W$505,0)),"")</f>
        <v/>
      </c>
      <c r="E202" s="35" t="str">
        <f aca="false">IFERROR(INDEX('Fund Research'!$G$6:$G$505,MATCH(197,'Fund Research'!$W$6:$W$505,0)),"")</f>
        <v/>
      </c>
      <c r="F202" s="35" t="str">
        <f aca="false">IFERROR(INDEX('Fund Research'!$H$6:$H$505,MATCH(197,'Fund Research'!$W$6:$W$505,0)),"")</f>
        <v/>
      </c>
      <c r="G202" s="35" t="str">
        <f aca="false">IFERROR(INDEX('Fund Research'!$I$6:$I$505,MATCH(197,'Fund Research'!$W$6:$W$505,0)),"")</f>
        <v/>
      </c>
      <c r="H202" s="36" t="str">
        <f aca="false">IFERROR(INDEX('Fund Research'!$J$6:$J$505,MATCH(197,'Fund Research'!$W$6:$W$505,0)),"")</f>
        <v/>
      </c>
      <c r="I202" s="39" t="str">
        <f aca="false">IFERROR(INDEX('Fund Research'!$L$6:$L$505,MATCH(197,'Fund Research'!$W$6:$W$505,0)),"")</f>
        <v/>
      </c>
      <c r="J202" s="36" t="str">
        <f aca="false">IFERROR(INDEX('Fund Research'!$N$6:$N$505,MATCH(197,'Fund Research'!$W$6:$W$505,0)),"")</f>
        <v/>
      </c>
      <c r="K202" s="36" t="str">
        <f aca="false">IFERROR(INDEX('Fund Research'!$P$6:$P$505,MATCH(197,'Fund Research'!$W$6:$W$505,0)),"")</f>
        <v/>
      </c>
      <c r="L202" s="34" t="str">
        <f aca="false">IFERROR(INDEX('Fund Research'!$S$6:$S$505,MATCH(197,'Fund Research'!$W$6:$W$505,0)),"")</f>
        <v/>
      </c>
      <c r="M202" s="34" t="str">
        <f aca="false">IFERROR(INDEX('Fund Research'!$T$6:$T$505,MATCH(197,'Fund Research'!$W$6:$W$505,0)),"")</f>
        <v/>
      </c>
    </row>
    <row r="203" customFormat="false" ht="15" hidden="false" customHeight="true" outlineLevel="0" collapsed="false">
      <c r="A203" s="33" t="str">
        <f aca="false">IFERROR(IF(INDEX('Fund Research'!$B$6:$B$505,MATCH(198,'Fund Research'!$W$6:$W$505,0))="","",198),"")</f>
        <v/>
      </c>
      <c r="B203" s="34" t="str">
        <f aca="false">IFERROR(INDEX('Fund Research'!$A$6:$A$505,MATCH(198,'Fund Research'!$W$6:$W$505,0)),"")</f>
        <v/>
      </c>
      <c r="C203" s="34" t="str">
        <f aca="false">IFERROR(INDEX('Fund Research'!$B$6:$B$505,MATCH(198,'Fund Research'!$W$6:$W$505,0)),"")</f>
        <v/>
      </c>
      <c r="D203" s="34" t="str">
        <f aca="false">IFERROR(INDEX('Fund Research'!$C$6:$C$505,MATCH(198,'Fund Research'!$W$6:$W$505,0)),"")</f>
        <v/>
      </c>
      <c r="E203" s="35" t="str">
        <f aca="false">IFERROR(INDEX('Fund Research'!$G$6:$G$505,MATCH(198,'Fund Research'!$W$6:$W$505,0)),"")</f>
        <v/>
      </c>
      <c r="F203" s="35" t="str">
        <f aca="false">IFERROR(INDEX('Fund Research'!$H$6:$H$505,MATCH(198,'Fund Research'!$W$6:$W$505,0)),"")</f>
        <v/>
      </c>
      <c r="G203" s="35" t="str">
        <f aca="false">IFERROR(INDEX('Fund Research'!$I$6:$I$505,MATCH(198,'Fund Research'!$W$6:$W$505,0)),"")</f>
        <v/>
      </c>
      <c r="H203" s="36" t="str">
        <f aca="false">IFERROR(INDEX('Fund Research'!$J$6:$J$505,MATCH(198,'Fund Research'!$W$6:$W$505,0)),"")</f>
        <v/>
      </c>
      <c r="I203" s="39" t="str">
        <f aca="false">IFERROR(INDEX('Fund Research'!$L$6:$L$505,MATCH(198,'Fund Research'!$W$6:$W$505,0)),"")</f>
        <v/>
      </c>
      <c r="J203" s="36" t="str">
        <f aca="false">IFERROR(INDEX('Fund Research'!$N$6:$N$505,MATCH(198,'Fund Research'!$W$6:$W$505,0)),"")</f>
        <v/>
      </c>
      <c r="K203" s="36" t="str">
        <f aca="false">IFERROR(INDEX('Fund Research'!$P$6:$P$505,MATCH(198,'Fund Research'!$W$6:$W$505,0)),"")</f>
        <v/>
      </c>
      <c r="L203" s="34" t="str">
        <f aca="false">IFERROR(INDEX('Fund Research'!$S$6:$S$505,MATCH(198,'Fund Research'!$W$6:$W$505,0)),"")</f>
        <v/>
      </c>
      <c r="M203" s="34" t="str">
        <f aca="false">IFERROR(INDEX('Fund Research'!$T$6:$T$505,MATCH(198,'Fund Research'!$W$6:$W$505,0)),"")</f>
        <v/>
      </c>
    </row>
    <row r="204" customFormat="false" ht="15" hidden="false" customHeight="true" outlineLevel="0" collapsed="false">
      <c r="A204" s="33" t="str">
        <f aca="false">IFERROR(IF(INDEX('Fund Research'!$B$6:$B$505,MATCH(199,'Fund Research'!$W$6:$W$505,0))="","",199),"")</f>
        <v/>
      </c>
      <c r="B204" s="34" t="str">
        <f aca="false">IFERROR(INDEX('Fund Research'!$A$6:$A$505,MATCH(199,'Fund Research'!$W$6:$W$505,0)),"")</f>
        <v/>
      </c>
      <c r="C204" s="34" t="str">
        <f aca="false">IFERROR(INDEX('Fund Research'!$B$6:$B$505,MATCH(199,'Fund Research'!$W$6:$W$505,0)),"")</f>
        <v/>
      </c>
      <c r="D204" s="34" t="str">
        <f aca="false">IFERROR(INDEX('Fund Research'!$C$6:$C$505,MATCH(199,'Fund Research'!$W$6:$W$505,0)),"")</f>
        <v/>
      </c>
      <c r="E204" s="35" t="str">
        <f aca="false">IFERROR(INDEX('Fund Research'!$G$6:$G$505,MATCH(199,'Fund Research'!$W$6:$W$505,0)),"")</f>
        <v/>
      </c>
      <c r="F204" s="35" t="str">
        <f aca="false">IFERROR(INDEX('Fund Research'!$H$6:$H$505,MATCH(199,'Fund Research'!$W$6:$W$505,0)),"")</f>
        <v/>
      </c>
      <c r="G204" s="35" t="str">
        <f aca="false">IFERROR(INDEX('Fund Research'!$I$6:$I$505,MATCH(199,'Fund Research'!$W$6:$W$505,0)),"")</f>
        <v/>
      </c>
      <c r="H204" s="36" t="str">
        <f aca="false">IFERROR(INDEX('Fund Research'!$J$6:$J$505,MATCH(199,'Fund Research'!$W$6:$W$505,0)),"")</f>
        <v/>
      </c>
      <c r="I204" s="39" t="str">
        <f aca="false">IFERROR(INDEX('Fund Research'!$L$6:$L$505,MATCH(199,'Fund Research'!$W$6:$W$505,0)),"")</f>
        <v/>
      </c>
      <c r="J204" s="36" t="str">
        <f aca="false">IFERROR(INDEX('Fund Research'!$N$6:$N$505,MATCH(199,'Fund Research'!$W$6:$W$505,0)),"")</f>
        <v/>
      </c>
      <c r="K204" s="36" t="str">
        <f aca="false">IFERROR(INDEX('Fund Research'!$P$6:$P$505,MATCH(199,'Fund Research'!$W$6:$W$505,0)),"")</f>
        <v/>
      </c>
      <c r="L204" s="34" t="str">
        <f aca="false">IFERROR(INDEX('Fund Research'!$S$6:$S$505,MATCH(199,'Fund Research'!$W$6:$W$505,0)),"")</f>
        <v/>
      </c>
      <c r="M204" s="34" t="str">
        <f aca="false">IFERROR(INDEX('Fund Research'!$T$6:$T$505,MATCH(199,'Fund Research'!$W$6:$W$505,0)),"")</f>
        <v/>
      </c>
    </row>
    <row r="205" customFormat="false" ht="15" hidden="false" customHeight="true" outlineLevel="0" collapsed="false">
      <c r="A205" s="33" t="str">
        <f aca="false">IFERROR(IF(INDEX('Fund Research'!$B$6:$B$505,MATCH(200,'Fund Research'!$W$6:$W$505,0))="","",200),"")</f>
        <v/>
      </c>
      <c r="B205" s="34" t="str">
        <f aca="false">IFERROR(INDEX('Fund Research'!$A$6:$A$505,MATCH(200,'Fund Research'!$W$6:$W$505,0)),"")</f>
        <v/>
      </c>
      <c r="C205" s="34" t="str">
        <f aca="false">IFERROR(INDEX('Fund Research'!$B$6:$B$505,MATCH(200,'Fund Research'!$W$6:$W$505,0)),"")</f>
        <v/>
      </c>
      <c r="D205" s="34" t="str">
        <f aca="false">IFERROR(INDEX('Fund Research'!$C$6:$C$505,MATCH(200,'Fund Research'!$W$6:$W$505,0)),"")</f>
        <v/>
      </c>
      <c r="E205" s="35" t="str">
        <f aca="false">IFERROR(INDEX('Fund Research'!$G$6:$G$505,MATCH(200,'Fund Research'!$W$6:$W$505,0)),"")</f>
        <v/>
      </c>
      <c r="F205" s="35" t="str">
        <f aca="false">IFERROR(INDEX('Fund Research'!$H$6:$H$505,MATCH(200,'Fund Research'!$W$6:$W$505,0)),"")</f>
        <v/>
      </c>
      <c r="G205" s="35" t="str">
        <f aca="false">IFERROR(INDEX('Fund Research'!$I$6:$I$505,MATCH(200,'Fund Research'!$W$6:$W$505,0)),"")</f>
        <v/>
      </c>
      <c r="H205" s="36" t="str">
        <f aca="false">IFERROR(INDEX('Fund Research'!$J$6:$J$505,MATCH(200,'Fund Research'!$W$6:$W$505,0)),"")</f>
        <v/>
      </c>
      <c r="I205" s="39" t="str">
        <f aca="false">IFERROR(INDEX('Fund Research'!$L$6:$L$505,MATCH(200,'Fund Research'!$W$6:$W$505,0)),"")</f>
        <v/>
      </c>
      <c r="J205" s="36" t="str">
        <f aca="false">IFERROR(INDEX('Fund Research'!$N$6:$N$505,MATCH(200,'Fund Research'!$W$6:$W$505,0)),"")</f>
        <v/>
      </c>
      <c r="K205" s="36" t="str">
        <f aca="false">IFERROR(INDEX('Fund Research'!$P$6:$P$505,MATCH(200,'Fund Research'!$W$6:$W$505,0)),"")</f>
        <v/>
      </c>
      <c r="L205" s="34" t="str">
        <f aca="false">IFERROR(INDEX('Fund Research'!$S$6:$S$505,MATCH(200,'Fund Research'!$W$6:$W$505,0)),"")</f>
        <v/>
      </c>
      <c r="M205" s="34" t="str">
        <f aca="false">IFERROR(INDEX('Fund Research'!$T$6:$T$505,MATCH(200,'Fund Research'!$W$6:$W$505,0)),"")</f>
        <v/>
      </c>
    </row>
  </sheetData>
  <autoFilter ref="A5:M205"/>
  <mergeCells count="3">
    <mergeCell ref="A1:M1"/>
    <mergeCell ref="A2:M2"/>
    <mergeCell ref="A4:M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2"/>
    <col collapsed="false" customWidth="true" hidden="false" outlineLevel="0" max="3" min="3" style="0" width="12"/>
    <col collapsed="false" customWidth="true" hidden="false" outlineLevel="0" max="6" min="4" style="0" width="20"/>
    <col collapsed="false" customWidth="true" hidden="false" outlineLevel="0" max="8" min="7" style="0" width="12"/>
  </cols>
  <sheetData>
    <row r="1" customFormat="false" ht="25.5" hidden="false" customHeight="true" outlineLevel="0" collapsed="false">
      <c r="A1" s="1" t="s">
        <v>85</v>
      </c>
      <c r="B1" s="1"/>
      <c r="C1" s="1"/>
      <c r="D1" s="1"/>
      <c r="E1" s="1"/>
      <c r="F1" s="1"/>
      <c r="G1" s="1"/>
      <c r="H1" s="1"/>
    </row>
    <row r="2" customFormat="false" ht="15.75" hidden="false" customHeight="true" outlineLevel="0" collapsed="false">
      <c r="A2" s="2" t="s">
        <v>86</v>
      </c>
      <c r="B2" s="2"/>
      <c r="C2" s="2"/>
      <c r="D2" s="2"/>
      <c r="E2" s="2"/>
      <c r="F2" s="2"/>
      <c r="G2" s="2"/>
      <c r="H2" s="2"/>
    </row>
    <row r="4" customFormat="false" ht="15" hidden="false" customHeight="false" outlineLevel="0" collapsed="false">
      <c r="B4" s="3" t="s">
        <v>87</v>
      </c>
    </row>
    <row r="5" customFormat="false" ht="30" hidden="false" customHeight="true" outlineLevel="0" collapsed="false">
      <c r="B5" s="25" t="s">
        <v>24</v>
      </c>
      <c r="C5" s="25" t="s">
        <v>74</v>
      </c>
      <c r="D5" s="25" t="s">
        <v>51</v>
      </c>
      <c r="E5" s="25" t="s">
        <v>88</v>
      </c>
      <c r="F5" s="25" t="s">
        <v>53</v>
      </c>
      <c r="G5" s="25" t="s">
        <v>89</v>
      </c>
      <c r="H5" s="25" t="s">
        <v>77</v>
      </c>
    </row>
    <row r="6" customFormat="false" ht="15" hidden="false" customHeight="false" outlineLevel="0" collapsed="false">
      <c r="B6" s="12" t="s">
        <v>27</v>
      </c>
      <c r="C6" s="33" t="n">
        <f aca="false">COUNTIF('Fund Research'!$R$6:$R$505,$B6)</f>
        <v>1</v>
      </c>
      <c r="D6" s="35" t="n">
        <f aca="false">SUMIF('Fund Research'!$R$6:$R$505,$B6,'Fund Research'!$G$6:$G$505)</f>
        <v>190000</v>
      </c>
      <c r="E6" s="35" t="n">
        <f aca="false">SUMIF('Fund Research'!$R$6:$R$505,$B6,'Fund Research'!$H$6:$H$505)</f>
        <v>265430</v>
      </c>
      <c r="F6" s="35" t="n">
        <f aca="false">IF($C6=0,"",$E6-$D6)</f>
        <v>75430</v>
      </c>
      <c r="G6" s="40" t="n">
        <f aca="false">IF($E$10=0,"",$E6/$E$10)</f>
        <v>1</v>
      </c>
      <c r="H6" s="41" t="n">
        <f aca="false">IFERROR(AVERAGEIF('Fund Research'!$R$6:$R$505,$B6,'Fund Research'!$L$6:$L$505),"")</f>
        <v>0.1512</v>
      </c>
    </row>
    <row r="7" customFormat="false" ht="15" hidden="false" customHeight="false" outlineLevel="0" collapsed="false">
      <c r="B7" s="15" t="s">
        <v>29</v>
      </c>
      <c r="C7" s="33" t="n">
        <f aca="false">COUNTIF('Fund Research'!$R$6:$R$505,$B7)</f>
        <v>0</v>
      </c>
      <c r="D7" s="35" t="n">
        <f aca="false">SUMIF('Fund Research'!$R$6:$R$505,$B7,'Fund Research'!$G$6:$G$505)</f>
        <v>0</v>
      </c>
      <c r="E7" s="35" t="n">
        <f aca="false">SUMIF('Fund Research'!$R$6:$R$505,$B7,'Fund Research'!$H$6:$H$505)</f>
        <v>0</v>
      </c>
      <c r="F7" s="35" t="str">
        <f aca="false">IF($C7=0,"",$E7-$D7)</f>
        <v/>
      </c>
      <c r="G7" s="40" t="n">
        <f aca="false">IF($E$10=0,"",$E7/$E$10)</f>
        <v>0</v>
      </c>
      <c r="H7" s="41" t="str">
        <f aca="false">IFERROR(AVERAGEIF('Fund Research'!$R$6:$R$505,$B7,'Fund Research'!$L$6:$L$505),"")</f>
        <v/>
      </c>
    </row>
    <row r="8" customFormat="false" ht="15" hidden="false" customHeight="false" outlineLevel="0" collapsed="false">
      <c r="B8" s="16" t="s">
        <v>30</v>
      </c>
      <c r="C8" s="33" t="n">
        <f aca="false">COUNTIF('Fund Research'!$R$6:$R$505,$B8)</f>
        <v>0</v>
      </c>
      <c r="D8" s="35" t="n">
        <f aca="false">SUMIF('Fund Research'!$R$6:$R$505,$B8,'Fund Research'!$G$6:$G$505)</f>
        <v>0</v>
      </c>
      <c r="E8" s="35" t="n">
        <f aca="false">SUMIF('Fund Research'!$R$6:$R$505,$B8,'Fund Research'!$H$6:$H$505)</f>
        <v>0</v>
      </c>
      <c r="F8" s="35" t="str">
        <f aca="false">IF($C8=0,"",$E8-$D8)</f>
        <v/>
      </c>
      <c r="G8" s="40" t="n">
        <f aca="false">IF($E$10=0,"",$E8/$E$10)</f>
        <v>0</v>
      </c>
      <c r="H8" s="41" t="str">
        <f aca="false">IFERROR(AVERAGEIF('Fund Research'!$R$6:$R$505,$B8,'Fund Research'!$L$6:$L$505),"")</f>
        <v/>
      </c>
    </row>
    <row r="9" customFormat="false" ht="15" hidden="false" customHeight="false" outlineLevel="0" collapsed="false">
      <c r="B9" s="42" t="s">
        <v>90</v>
      </c>
      <c r="C9" s="33" t="n">
        <f aca="false">COUNTIF('Fund Research'!$R$6:$R$505,$B9)</f>
        <v>0</v>
      </c>
      <c r="D9" s="35" t="n">
        <f aca="false">SUMIF('Fund Research'!$R$6:$R$505,$B9,'Fund Research'!$G$6:$G$505)</f>
        <v>0</v>
      </c>
      <c r="E9" s="35" t="n">
        <f aca="false">SUMIF('Fund Research'!$R$6:$R$505,$B9,'Fund Research'!$H$6:$H$505)</f>
        <v>0</v>
      </c>
      <c r="F9" s="35" t="str">
        <f aca="false">IF($C9=0,"",$E9-$D9)</f>
        <v/>
      </c>
      <c r="G9" s="40" t="n">
        <f aca="false">IF($E$10=0,"",$E9/$E$10)</f>
        <v>0</v>
      </c>
      <c r="H9" s="41" t="str">
        <f aca="false">IFERROR(AVERAGEIF('Fund Research'!$R$6:$R$505,$B9,'Fund Research'!$L$6:$L$505),"")</f>
        <v/>
      </c>
    </row>
    <row r="10" customFormat="false" ht="15" hidden="false" customHeight="false" outlineLevel="0" collapsed="false">
      <c r="B10" s="43" t="s">
        <v>91</v>
      </c>
      <c r="C10" s="44" t="n">
        <f aca="false">SUM(C6:C9)</f>
        <v>1</v>
      </c>
      <c r="D10" s="45" t="n">
        <f aca="false">SUM(D6:D9)</f>
        <v>190000</v>
      </c>
      <c r="E10" s="45" t="n">
        <f aca="false">SUM(E6:E9)</f>
        <v>265430</v>
      </c>
      <c r="F10" s="45" t="n">
        <f aca="false">SUM(F6:F9)</f>
        <v>75430</v>
      </c>
      <c r="G10" s="46" t="n">
        <f aca="false">IF($E10=0,"",1)</f>
        <v>1</v>
      </c>
      <c r="H10" s="47" t="n">
        <f aca="false">IFERROR(AVERAGE('Fund Research'!$L$6:$L$505),"")</f>
        <v>0.1512</v>
      </c>
    </row>
    <row r="12" customFormat="false" ht="15" hidden="false" customHeight="false" outlineLevel="0" collapsed="false">
      <c r="B12" s="3" t="s">
        <v>92</v>
      </c>
    </row>
    <row r="13" customFormat="false" ht="15" hidden="false" customHeight="false" outlineLevel="0" collapsed="false">
      <c r="B13" s="48" t="s">
        <v>93</v>
      </c>
      <c r="C13" s="48"/>
      <c r="D13" s="21" t="n">
        <f aca="false">COUNTA('Fund Research'!$B$6:$B$505)</f>
        <v>1</v>
      </c>
    </row>
    <row r="14" customFormat="false" ht="15" hidden="false" customHeight="false" outlineLevel="0" collapsed="false">
      <c r="B14" s="48" t="s">
        <v>94</v>
      </c>
      <c r="C14" s="48"/>
      <c r="D14" s="21" t="n">
        <f aca="false">COUNTIF('Fund Research'!$Q$6:$Q$505,"Live")</f>
        <v>1</v>
      </c>
    </row>
    <row r="15" customFormat="false" ht="15" hidden="false" customHeight="false" outlineLevel="0" collapsed="false">
      <c r="B15" s="48" t="s">
        <v>95</v>
      </c>
      <c r="C15" s="48"/>
      <c r="D15" s="49" t="n">
        <f aca="false">IF($C10=0,"",$C6/$C10)</f>
        <v>1</v>
      </c>
    </row>
    <row r="16" customFormat="false" ht="15" hidden="false" customHeight="false" outlineLevel="0" collapsed="false">
      <c r="B16" s="48" t="s">
        <v>96</v>
      </c>
      <c r="C16" s="48"/>
      <c r="D16" s="50" t="n">
        <f aca="false">$E7+$E8</f>
        <v>0</v>
      </c>
    </row>
    <row r="17" customFormat="false" ht="15" hidden="false" customHeight="false" outlineLevel="0" collapsed="false">
      <c r="B17" s="48" t="s">
        <v>97</v>
      </c>
      <c r="C17" s="48"/>
      <c r="D17" s="49" t="n">
        <f aca="false">IF($E10=0,"",($E7+$E8)/$E10)</f>
        <v>0</v>
      </c>
    </row>
    <row r="19" customFormat="false" ht="15" hidden="false" customHeight="false" outlineLevel="0" collapsed="false">
      <c r="B19" s="4" t="s">
        <v>98</v>
      </c>
      <c r="C19" s="51" t="str">
        <f aca="false">_xlfn.CONCAT("Best = 3Y return at or above ",TEXT(Instructions!$D$19,"0.0%"),"   |   Need to Improve = ",TEXT(Instructions!$D$20,"0.0%")," to ",TEXT(Instructions!$D$19,"0.0%"),"   |   Not Performing = below ",TEXT(Instructions!$D$20,"0.0%"))</f>
        <v>Best = 3Y return at or above 13.0%   |   Need to Improve = 10.0% to 13.0%   |   Not Performing = below 10.0%</v>
      </c>
      <c r="D19" s="51"/>
      <c r="E19" s="51"/>
      <c r="F19" s="51"/>
      <c r="G19" s="51"/>
      <c r="H19" s="51"/>
    </row>
  </sheetData>
  <mergeCells count="8">
    <mergeCell ref="A1:H1"/>
    <mergeCell ref="A2:H2"/>
    <mergeCell ref="B13:C13"/>
    <mergeCell ref="B14:C14"/>
    <mergeCell ref="B15:C15"/>
    <mergeCell ref="B16:C16"/>
    <mergeCell ref="B17:C17"/>
    <mergeCell ref="C19:H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4" min="2" style="0" width="22"/>
  </cols>
  <sheetData>
    <row r="1" customFormat="false" ht="15" hidden="false" customHeight="false" outlineLevel="0" collapsed="false">
      <c r="A1" s="52" t="s">
        <v>99</v>
      </c>
      <c r="B1" s="52" t="s">
        <v>48</v>
      </c>
      <c r="C1" s="52" t="s">
        <v>24</v>
      </c>
      <c r="D1" s="52" t="s">
        <v>100</v>
      </c>
    </row>
    <row r="2" customFormat="false" ht="15" hidden="false" customHeight="false" outlineLevel="0" collapsed="false">
      <c r="A2" s="53" t="s">
        <v>101</v>
      </c>
      <c r="B2" s="53" t="s">
        <v>102</v>
      </c>
      <c r="C2" s="53" t="s">
        <v>27</v>
      </c>
      <c r="D2" s="53" t="s">
        <v>103</v>
      </c>
    </row>
    <row r="3" customFormat="false" ht="15" hidden="false" customHeight="false" outlineLevel="0" collapsed="false">
      <c r="A3" s="53" t="s">
        <v>104</v>
      </c>
      <c r="B3" s="53" t="s">
        <v>105</v>
      </c>
      <c r="C3" s="53" t="s">
        <v>29</v>
      </c>
      <c r="D3" s="53" t="s">
        <v>106</v>
      </c>
    </row>
    <row r="4" customFormat="false" ht="15" hidden="false" customHeight="false" outlineLevel="0" collapsed="false">
      <c r="A4" s="53" t="s">
        <v>107</v>
      </c>
      <c r="B4" s="53" t="s">
        <v>108</v>
      </c>
      <c r="C4" s="53" t="s">
        <v>30</v>
      </c>
      <c r="D4" s="53" t="s">
        <v>109</v>
      </c>
    </row>
    <row r="5" customFormat="false" ht="15" hidden="false" customHeight="false" outlineLevel="0" collapsed="false">
      <c r="A5" s="53" t="s">
        <v>110</v>
      </c>
      <c r="B5" s="53" t="s">
        <v>111</v>
      </c>
      <c r="C5" s="53" t="s">
        <v>90</v>
      </c>
      <c r="D5" s="53" t="s">
        <v>112</v>
      </c>
    </row>
    <row r="6" customFormat="false" ht="15" hidden="false" customHeight="false" outlineLevel="0" collapsed="false">
      <c r="A6" s="53" t="s">
        <v>113</v>
      </c>
      <c r="D6" s="53" t="s">
        <v>114</v>
      </c>
    </row>
    <row r="7" customFormat="false" ht="15" hidden="false" customHeight="false" outlineLevel="0" collapsed="false">
      <c r="A7" s="53" t="s">
        <v>69</v>
      </c>
      <c r="D7" s="53" t="s">
        <v>115</v>
      </c>
    </row>
    <row r="8" customFormat="false" ht="15" hidden="false" customHeight="false" outlineLevel="0" collapsed="false">
      <c r="A8" s="53" t="s">
        <v>116</v>
      </c>
      <c r="D8" s="53" t="s">
        <v>117</v>
      </c>
    </row>
    <row r="9" customFormat="false" ht="15" hidden="false" customHeight="false" outlineLevel="0" collapsed="false">
      <c r="A9" s="53" t="s">
        <v>118</v>
      </c>
    </row>
    <row r="10" customFormat="false" ht="15" hidden="false" customHeight="false" outlineLevel="0" collapsed="false">
      <c r="A10" s="53" t="s">
        <v>119</v>
      </c>
    </row>
    <row r="11" customFormat="false" ht="15" hidden="false" customHeight="false" outlineLevel="0" collapsed="false">
      <c r="A11" s="53" t="s">
        <v>120</v>
      </c>
    </row>
    <row r="12" customFormat="false" ht="15" hidden="false" customHeight="false" outlineLevel="0" collapsed="false">
      <c r="A12" s="53" t="s">
        <v>121</v>
      </c>
    </row>
    <row r="13" customFormat="false" ht="15" hidden="false" customHeight="false" outlineLevel="0" collapsed="false">
      <c r="A13" s="53" t="s">
        <v>122</v>
      </c>
    </row>
    <row r="14" customFormat="false" ht="15" hidden="false" customHeight="false" outlineLevel="0" collapsed="false">
      <c r="A14" s="53" t="s">
        <v>123</v>
      </c>
    </row>
    <row r="15" customFormat="false" ht="15" hidden="false" customHeight="false" outlineLevel="0" collapsed="false">
      <c r="A15" s="53" t="s">
        <v>124</v>
      </c>
    </row>
    <row r="16" customFormat="false" ht="15" hidden="false" customHeight="false" outlineLevel="0" collapsed="false">
      <c r="A16" s="53" t="s">
        <v>125</v>
      </c>
    </row>
    <row r="17" customFormat="false" ht="15" hidden="false" customHeight="false" outlineLevel="0" collapsed="false">
      <c r="A17" s="53" t="s">
        <v>126</v>
      </c>
    </row>
    <row r="18" customFormat="false" ht="15" hidden="false" customHeight="false" outlineLevel="0" collapsed="false">
      <c r="A18" s="53" t="s">
        <v>127</v>
      </c>
    </row>
    <row r="19" customFormat="false" ht="15" hidden="false" customHeight="false" outlineLevel="0" collapsed="false">
      <c r="A19" s="53" t="s">
        <v>128</v>
      </c>
    </row>
    <row r="20" customFormat="false" ht="15" hidden="false" customHeight="false" outlineLevel="0" collapsed="false">
      <c r="A20" s="53" t="s">
        <v>129</v>
      </c>
    </row>
    <row r="21" customFormat="false" ht="15" hidden="false" customHeight="false" outlineLevel="0" collapsed="false">
      <c r="A21" s="53" t="s">
        <v>130</v>
      </c>
    </row>
    <row r="22" customFormat="false" ht="15" hidden="false" customHeight="false" outlineLevel="0" collapsed="false">
      <c r="A22" s="53" t="s">
        <v>131</v>
      </c>
    </row>
    <row r="23" customFormat="false" ht="15" hidden="false" customHeight="false" outlineLevel="0" collapsed="false">
      <c r="A23" s="53" t="s">
        <v>132</v>
      </c>
    </row>
    <row r="24" customFormat="false" ht="15" hidden="false" customHeight="false" outlineLevel="0" collapsed="false">
      <c r="A24" s="53" t="s">
        <v>133</v>
      </c>
    </row>
    <row r="25" customFormat="false" ht="15" hidden="false" customHeight="false" outlineLevel="0" collapsed="false">
      <c r="A25" s="53" t="s">
        <v>134</v>
      </c>
    </row>
    <row r="26" customFormat="false" ht="15" hidden="false" customHeight="false" outlineLevel="0" collapsed="false">
      <c r="A26" s="53" t="s">
        <v>135</v>
      </c>
    </row>
    <row r="27" customFormat="false" ht="15" hidden="false" customHeight="false" outlineLevel="0" collapsed="false">
      <c r="A27" s="53" t="s">
        <v>136</v>
      </c>
    </row>
    <row r="28" customFormat="false" ht="15" hidden="false" customHeight="false" outlineLevel="0" collapsed="false">
      <c r="A28" s="53" t="s">
        <v>137</v>
      </c>
    </row>
    <row r="29" customFormat="false" ht="15" hidden="false" customHeight="false" outlineLevel="0" collapsed="false">
      <c r="A29" s="53" t="s">
        <v>138</v>
      </c>
    </row>
    <row r="30" customFormat="false" ht="15" hidden="false" customHeight="false" outlineLevel="0" collapsed="false">
      <c r="A30" s="53" t="s">
        <v>139</v>
      </c>
    </row>
    <row r="31" customFormat="false" ht="15" hidden="false" customHeight="false" outlineLevel="0" collapsed="false">
      <c r="A31" s="53" t="s">
        <v>140</v>
      </c>
    </row>
    <row r="32" customFormat="false" ht="15" hidden="false" customHeight="false" outlineLevel="0" collapsed="false">
      <c r="A32" s="53" t="s">
        <v>141</v>
      </c>
    </row>
    <row r="33" customFormat="false" ht="15" hidden="false" customHeight="false" outlineLevel="0" collapsed="false">
      <c r="A33" s="53" t="s">
        <v>142</v>
      </c>
    </row>
    <row r="34" customFormat="false" ht="15" hidden="false" customHeight="false" outlineLevel="0" collapsed="false">
      <c r="A34" s="53" t="s">
        <v>143</v>
      </c>
    </row>
    <row r="35" customFormat="false" ht="15" hidden="false" customHeight="false" outlineLevel="0" collapsed="false">
      <c r="A35" s="53" t="s">
        <v>144</v>
      </c>
    </row>
    <row r="36" customFormat="false" ht="15" hidden="false" customHeight="false" outlineLevel="0" collapsed="false">
      <c r="A36" s="53" t="s">
        <v>145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2026-09-04T04:44:29Z</dcterms:created>
  <dc:creator>openpyxl</dc:creator>
  <dc:description/>
  <dc:language>en-US</dc:language>
  <cp:lastModifiedBy/>
  <dcterms:modified xsi:type="dcterms:W3CDTF">2026-09-04T04:44:32Z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