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tions" sheetId="1" state="visible" r:id="rId3"/>
    <sheet name="Clients" sheetId="2" state="visible" r:id="rId4"/>
    <sheet name="Investments" sheetId="3" state="visible" r:id="rId5"/>
    <sheet name="Total Review" sheetId="4" state="visible" r:id="rId6"/>
    <sheet name="Client Report" sheetId="5" state="visible" r:id="rId7"/>
    <sheet name="Lis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<sst xmlns="http://schemas.openxmlformats.org/spreadsheetml/2006/main" count="256" uniqueCount="182">
  <si>
    <t xml:space="preserve">CLIENT INVESTMENT TRACKER  -  TOTAL REVIEW</t>
  </si>
  <si>
    <t xml:space="preserve">Built to match the scheme-wise Profit &amp; Loss export from the portfolio software.</t>
  </si>
  <si>
    <t xml:space="preserve">HOW TO USE</t>
  </si>
  <si>
    <t xml:space="preserve">1. Clients</t>
  </si>
  <si>
    <t xml:space="preserve">Enter every client once - code, name, PAN, address, mobile, email, DOB, 'Rep By' / family head. This list drives the dropdowns, the client-wise review and the Client Report header.</t>
  </si>
  <si>
    <t xml:space="preserve">2. Investments</t>
  </si>
  <si>
    <t xml:space="preserve">One row per scheme per client - the same columns your software prints. Paste Purchase, Switch In, Div Reinv, Redemption, Switch Out, Div Pay, Cur. Value, Cur. Units, Cur. NAV and XIRR straight from the export.</t>
  </si>
  <si>
    <t xml:space="preserve">3. Total Review</t>
  </si>
  <si>
    <t xml:space="preserve">Read-only dashboard: firm-level snapshot, client-wise review, asset-class review and category-wise review, with charts.</t>
  </si>
  <si>
    <t xml:space="preserve">4. Client Report</t>
  </si>
  <si>
    <t xml:space="preserve">Pick one client from the dropdown to get that client's header block, summary and scheme list - the single-client view your software prints.</t>
  </si>
  <si>
    <t xml:space="preserve">HOW THE MATHS WORKS</t>
  </si>
  <si>
    <t xml:space="preserve">Total Invested</t>
  </si>
  <si>
    <t xml:space="preserve">Purchase + Switch In + Div Reinv</t>
  </si>
  <si>
    <t xml:space="preserve">Withdrawn</t>
  </si>
  <si>
    <t xml:space="preserve">Redemption + Switch Out + Div Pay</t>
  </si>
  <si>
    <t xml:space="preserve">Gain / Loss</t>
  </si>
  <si>
    <t xml:space="preserve">(Cur. Value + Withdrawn) - Total Invested</t>
  </si>
  <si>
    <t xml:space="preserve">Abs. Rtn.</t>
  </si>
  <si>
    <t xml:space="preserve">Gain / Loss ÷ Total Invested</t>
  </si>
  <si>
    <t xml:space="preserve">Net Invested</t>
  </si>
  <si>
    <t xml:space="preserve">Total Invested - Withdrawn (money still at work; shown for reference)</t>
  </si>
  <si>
    <t xml:space="preserve">Status</t>
  </si>
  <si>
    <t xml:space="preserve">Live when Cur. Value is above zero, otherwise Exited.</t>
  </si>
  <si>
    <t xml:space="preserve">XIRR</t>
  </si>
  <si>
    <t xml:space="preserve">Typed in from the software - it needs every cash-flow date, which this sheet does not hold. Client, category and firm level XIRR is a current-value-weighted average of the scheme XIRRs, so treat it as indicative, not as a recomputed XIRR.</t>
  </si>
  <si>
    <t xml:space="preserve">WHAT YOU EDIT</t>
  </si>
  <si>
    <t xml:space="preserve">Blue text on yellow fill</t>
  </si>
  <si>
    <t xml:space="preserve">Input cells - type or paste here.</t>
  </si>
  <si>
    <t xml:space="preserve">Black text on grey fill</t>
  </si>
  <si>
    <t xml:space="preserve">Formula cells - do not overwrite, they will stop calculating.</t>
  </si>
  <si>
    <t xml:space="preserve">EXAMPLE rows</t>
  </si>
  <si>
    <t xml:space="preserve">Clients row 4 and Investments row 6 are filled in as a format guide. Delete both before real use.</t>
  </si>
  <si>
    <t xml:space="preserve">GOOD TO KNOW</t>
  </si>
  <si>
    <t xml:space="preserve">Capacity</t>
  </si>
  <si>
    <t xml:space="preserve">200 clients, 1000 scheme rows, 100 schemes per client in the Client Report. To add rows, insert them INSIDE the existing table so the formulas extend with them.</t>
  </si>
  <si>
    <t xml:space="preserve">Asset Class</t>
  </si>
  <si>
    <t xml:space="preserve">Derived from the text before the ' - ' in Category, which is why categories are named 'Equity - Flexi Cap Fund' exactly as in the software.</t>
  </si>
  <si>
    <t xml:space="preserve">New categories</t>
  </si>
  <si>
    <t xml:space="preserve">Add them on the Lists sheet; the dropdown and the category-wise review pick them up. Keep the 'Asset - Category' naming.</t>
  </si>
  <si>
    <t xml:space="preserve">Currency</t>
  </si>
  <si>
    <t xml:space="preserve">Indian Rupee with lakh / crore grouping. To switch, select the amount columns &gt; Format Cells &gt; Custom and edit the symbol.</t>
  </si>
  <si>
    <t xml:space="preserve">Blank amounts</t>
  </si>
  <si>
    <t xml:space="preserve">Leave a column blank where the software prints 0.00 - blanks and zeros both total correctly.</t>
  </si>
  <si>
    <t xml:space="preserve">CLIENT MASTER</t>
  </si>
  <si>
    <t xml:space="preserve">One row per client. The name entered here is the key used by every other sheet.</t>
  </si>
  <si>
    <t xml:space="preserve">Client Code</t>
  </si>
  <si>
    <t xml:space="preserve">Client Name</t>
  </si>
  <si>
    <t xml:space="preserve">PAN</t>
  </si>
  <si>
    <t xml:space="preserve">Rep By / Family Head</t>
  </si>
  <si>
    <t xml:space="preserve">Segment</t>
  </si>
  <si>
    <t xml:space="preserve">Mobile No.</t>
  </si>
  <si>
    <t xml:space="preserve">Email</t>
  </si>
  <si>
    <t xml:space="preserve">DOB</t>
  </si>
  <si>
    <t xml:space="preserve">Address</t>
  </si>
  <si>
    <t xml:space="preserve">Advisor / RM</t>
  </si>
  <si>
    <t xml:space="preserve">Onboarding Date</t>
  </si>
  <si>
    <t xml:space="preserve">Remarks</t>
  </si>
  <si>
    <t xml:space="preserve">CL-0001</t>
  </si>
  <si>
    <t xml:space="preserve">Sample Client (EXAMPLE)</t>
  </si>
  <si>
    <t xml:space="preserve">ABCDE1234F</t>
  </si>
  <si>
    <t xml:space="preserve">Rep By Family Head Name</t>
  </si>
  <si>
    <t xml:space="preserve">HNI</t>
  </si>
  <si>
    <t xml:space="preserve">98xxxxxx61</t>
  </si>
  <si>
    <t xml:space="preserve">client@example.com</t>
  </si>
  <si>
    <t xml:space="preserve">2008-06-05</t>
  </si>
  <si>
    <t xml:space="preserve">Flat 301, Sample Residency, Kothrud, Pune 411038</t>
  </si>
  <si>
    <t xml:space="preserve">S. Kadam</t>
  </si>
  <si>
    <t xml:space="preserve">2020-08-31</t>
  </si>
  <si>
    <t xml:space="preserve">Delete this EXAMPLE row before use</t>
  </si>
  <si>
    <t xml:space="preserve">SCHEME-WISE INVESTMENT REGISTER</t>
  </si>
  <si>
    <t xml:space="preserve">One row per scheme per client - same columns as the software's Profit &amp; Loss export. Yellow = paste here, grey = calculated.</t>
  </si>
  <si>
    <t xml:space="preserve">▼ dropdown</t>
  </si>
  <si>
    <t xml:space="preserve">▼ paste the software's figures into these columns</t>
  </si>
  <si>
    <t xml:space="preserve">▼ calculated</t>
  </si>
  <si>
    <t xml:space="preserve">Category</t>
  </si>
  <si>
    <t xml:space="preserve">Scheme Name</t>
  </si>
  <si>
    <t xml:space="preserve">Folio No.</t>
  </si>
  <si>
    <t xml:space="preserve">Inv. Since</t>
  </si>
  <si>
    <t xml:space="preserve">Purchase</t>
  </si>
  <si>
    <t xml:space="preserve">Switch In</t>
  </si>
  <si>
    <t xml:space="preserve">Div Reinv</t>
  </si>
  <si>
    <t xml:space="preserve">Redemption</t>
  </si>
  <si>
    <t xml:space="preserve">Switch Out</t>
  </si>
  <si>
    <t xml:space="preserve">Div Pay</t>
  </si>
  <si>
    <t xml:space="preserve">Cur. Value</t>
  </si>
  <si>
    <t xml:space="preserve">Cur. Units</t>
  </si>
  <si>
    <t xml:space="preserve">Cur. NAV</t>
  </si>
  <si>
    <t xml:space="preserve">Rpt. Idx</t>
  </si>
  <si>
    <t xml:space="preserve">Debt - Low Duration Fund</t>
  </si>
  <si>
    <t xml:space="preserve">Bluechip Low Duration Fund - Regular Plan - Growth</t>
  </si>
  <si>
    <t xml:space="preserve">1910625/49</t>
  </si>
  <si>
    <t xml:space="preserve">2021-06-01</t>
  </si>
  <si>
    <t xml:space="preserve">EXAMPLE row above - delete it before real use. Leave a cell blank wherever the software prints 0.00.</t>
  </si>
  <si>
    <t xml:space="preserve">TOTAL INVESTMENT REVIEW  -  ALL CLIENTS</t>
  </si>
  <si>
    <t xml:space="preserve">Every figure is calculated from the Investments sheet. Nothing on this sheet needs typing.</t>
  </si>
  <si>
    <t xml:space="preserve">PORTFOLIO SNAPSHOT  -  ALL CLIENTS</t>
  </si>
  <si>
    <t xml:space="preserve">Total Clients</t>
  </si>
  <si>
    <t xml:space="preserve">Total Schemes</t>
  </si>
  <si>
    <t xml:space="preserve">Live Schemes</t>
  </si>
  <si>
    <t xml:space="preserve">Total Purchase</t>
  </si>
  <si>
    <t xml:space="preserve">Total Switch In</t>
  </si>
  <si>
    <t xml:space="preserve">Total Invested  (Purchase + Switch In + Div Reinv)</t>
  </si>
  <si>
    <t xml:space="preserve">Total Withdrawn  (Redemption + Switch Out + Div Pay)</t>
  </si>
  <si>
    <t xml:space="preserve">Current Value  (AUM)</t>
  </si>
  <si>
    <t xml:space="preserve">Total Gain / Loss</t>
  </si>
  <si>
    <t xml:space="preserve">Overall Abs. Rtn.</t>
  </si>
  <si>
    <t xml:space="preserve">Wtd. XIRR  (by current value)</t>
  </si>
  <si>
    <t xml:space="preserve">Top Client by Current Value</t>
  </si>
  <si>
    <t xml:space="preserve">CLIENT-WISE REVIEW</t>
  </si>
  <si>
    <t xml:space="preserve">Schemes</t>
  </si>
  <si>
    <t xml:space="preserve">Wtd. XIRR</t>
  </si>
  <si>
    <t xml:space="preserve">% of AUM</t>
  </si>
  <si>
    <t xml:space="preserve">GRAND TOTAL</t>
  </si>
  <si>
    <t xml:space="preserve">ASSET CLASS-WISE REVIEW</t>
  </si>
  <si>
    <t xml:space="preserve">TOTAL</t>
  </si>
  <si>
    <t xml:space="preserve">CATEGORY-WISE REVIEW</t>
  </si>
  <si>
    <t xml:space="preserve">Gain / Loss = (Cur. Value + Withdrawn) - Total Invested   |   Abs. Rtn. = Gain / Loss ÷ Total Invested   |   Wtd. XIRR is a current-value-weighted average of the scheme XIRRs (indicative).</t>
  </si>
  <si>
    <t xml:space="preserve">Client rows follow the Clients sheet order; asset class and category rows follow the Lists sheet order.</t>
  </si>
  <si>
    <t xml:space="preserve">CLIENT PROFIT &amp; LOSS REVIEW</t>
  </si>
  <si>
    <t xml:space="preserve">Pick a client below - the header, summary and scheme list fill in from the Clients and Investments sheets.</t>
  </si>
  <si>
    <t xml:space="preserve">Select Client</t>
  </si>
  <si>
    <t xml:space="preserve">Firm Name</t>
  </si>
  <si>
    <t xml:space="preserve">OPULENCIA CAPITAL PRIVATE LIMITED</t>
  </si>
  <si>
    <t xml:space="preserve">Registration</t>
  </si>
  <si>
    <t xml:space="preserve">AMFI-Registered Mutual Fund Distributor</t>
  </si>
  <si>
    <t xml:space="preserve">Office Address</t>
  </si>
  <si>
    <t xml:space="preserve">Flat No. 501, 5th Floor, Piyusha Society, Law College Road, Erandwane, Pune - 411004</t>
  </si>
  <si>
    <t xml:space="preserve">Tel. No.</t>
  </si>
  <si>
    <t xml:space="preserve">Website</t>
  </si>
  <si>
    <t xml:space="preserve">Firm block - type your own details once; they stay put when the client changes.</t>
  </si>
  <si>
    <t xml:space="preserve">SUMMARY FOR SELECTED CLIENT</t>
  </si>
  <si>
    <t xml:space="preserve">SCHEME-WISE DETAIL</t>
  </si>
  <si>
    <t xml:space="preserve">Sr.</t>
  </si>
  <si>
    <t xml:space="preserve">Lists up to 100 schemes for the selected client, in Investments-sheet order. If a client holds more, the count in the summary strip is still complete.</t>
  </si>
  <si>
    <t xml:space="preserve">Category  (Asset - Category)</t>
  </si>
  <si>
    <t xml:space="preserve">Client Segment</t>
  </si>
  <si>
    <t xml:space="preserve">Equity - Large Cap Fund</t>
  </si>
  <si>
    <t xml:space="preserve">Equity</t>
  </si>
  <si>
    <t xml:space="preserve">Live</t>
  </si>
  <si>
    <t xml:space="preserve">Retail</t>
  </si>
  <si>
    <t xml:space="preserve">Equity - Large &amp; Mid Cap Fund</t>
  </si>
  <si>
    <t xml:space="preserve">Debt</t>
  </si>
  <si>
    <t xml:space="preserve">Exited</t>
  </si>
  <si>
    <t xml:space="preserve">Equity - Mid Cap Fund</t>
  </si>
  <si>
    <t xml:space="preserve">Hybrid</t>
  </si>
  <si>
    <t xml:space="preserve">Ultra HNI</t>
  </si>
  <si>
    <t xml:space="preserve">Equity - Small Cap Fund</t>
  </si>
  <si>
    <t xml:space="preserve">Others</t>
  </si>
  <si>
    <t xml:space="preserve">Corporate</t>
  </si>
  <si>
    <t xml:space="preserve">Equity - Multi Cap Fund</t>
  </si>
  <si>
    <t xml:space="preserve">NRI</t>
  </si>
  <si>
    <t xml:space="preserve">Equity - Flexi Cap Fund</t>
  </si>
  <si>
    <t xml:space="preserve">Equity - Focused Fund</t>
  </si>
  <si>
    <t xml:space="preserve">Equity - Value Fund</t>
  </si>
  <si>
    <t xml:space="preserve">Equity - Contra Fund</t>
  </si>
  <si>
    <t xml:space="preserve">Equity - Dividend Yield Fund</t>
  </si>
  <si>
    <t xml:space="preserve">Equity - ELSS</t>
  </si>
  <si>
    <t xml:space="preserve">Equity - Sectoral/ Thematic</t>
  </si>
  <si>
    <t xml:space="preserve">Debt - Overnight Fund</t>
  </si>
  <si>
    <t xml:space="preserve">Debt - Liquid Fund</t>
  </si>
  <si>
    <t xml:space="preserve">Debt - Ultra Short Duration Fund</t>
  </si>
  <si>
    <t xml:space="preserve">Debt - Money Market Fund</t>
  </si>
  <si>
    <t xml:space="preserve">Debt - Short Duration Fund</t>
  </si>
  <si>
    <t xml:space="preserve">Debt - Corporate Bond Fund</t>
  </si>
  <si>
    <t xml:space="preserve">Debt - Banking and PSU Fund</t>
  </si>
  <si>
    <t xml:space="preserve">Debt - Credit Risk Fund</t>
  </si>
  <si>
    <t xml:space="preserve">Debt - Dynamic Bond</t>
  </si>
  <si>
    <t xml:space="preserve">Debt - Gilt Fund</t>
  </si>
  <si>
    <t xml:space="preserve">Hybrid - Aggressive Hybrid Fund</t>
  </si>
  <si>
    <t xml:space="preserve">Hybrid - Dynamic Asset Allocation or Balanced Advantage</t>
  </si>
  <si>
    <t xml:space="preserve">Hybrid - Multi Asset Allocation</t>
  </si>
  <si>
    <t xml:space="preserve">Hybrid - Conservative Hybrid Fund</t>
  </si>
  <si>
    <t xml:space="preserve">Hybrid - Equity Savings</t>
  </si>
  <si>
    <t xml:space="preserve">Hybrid - Arbitrage Fund</t>
  </si>
  <si>
    <t xml:space="preserve">Others - Index Funds</t>
  </si>
  <si>
    <t xml:space="preserve">Others - FoF Domestic</t>
  </si>
  <si>
    <t xml:space="preserve">Others - FoF Overseas</t>
  </si>
  <si>
    <t xml:space="preserve">Others - Gold ETF</t>
  </si>
  <si>
    <t xml:space="preserve">Others - Other ETFs</t>
  </si>
  <si>
    <t xml:space="preserve">Others - Solution Oriented</t>
  </si>
  <si>
    <t xml:space="preserve">Add or rename values here - dropdowns and the category-wise review follow this list. Keep the 'Asset - Category' naming so the Asset Class is picked up.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</si>
</sst>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\-mmm\-yy"/>
    <numFmt numFmtId="167" formatCode="[&gt;=10000000]&quot;₹ &quot;##\,##\,##\,##0.00;[&gt;=100000]&quot;₹ &quot;##\,##\,##0.00;&quot;₹ &quot;#,##0.00"/>
    <numFmt numFmtId="168" formatCode="#,##0.0000;\(#,##0.0000\);\-"/>
    <numFmt numFmtId="169" formatCode="0.00%;\(0.00%\);\-"/>
    <numFmt numFmtId="170" formatCode="#,##0;\(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A6A6A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2E75B6"/>
        <bgColor rgb="FF4F81BD"/>
      </patternFill>
    </fill>
    <fill>
      <patternFill patternType="solid">
        <fgColor rgb="FFDDEBF7"/>
        <bgColor rgb="FFF2F2F2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0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0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9C0006"/>
        <sz val="10"/>
      </font>
    </dxf>
    <dxf>
      <font>
        <name val="Arial"/>
        <charset val="1"/>
        <family val="0"/>
        <color rgb="FF0061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Value by Asset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'Total Review'!H222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'Total Review'!$B$223:$B$226</c:f>
              <c:strCache>
                <c:ptCount val="4"/>
                <c:pt idx="0">
                  <c:v>Equity</c:v>
                </c:pt>
                <c:pt idx="1">
                  <c:v>Debt</c:v>
                </c:pt>
                <c:pt idx="2">
                  <c:v>Hybrid</c:v>
                </c:pt>
                <c:pt idx="3">
                  <c:v>Others</c:v>
                </c:pt>
              </c:strCache>
            </c:strRef>
          </c:cat>
          <c:val>
            <c:numRef>
              <c:f>'Total Review'!$H$223:$H$226</c:f>
              <c:numCache>
                <c:formatCode>[&gt;=10000000]"₹ "##\,##\,##\,##0.00;[&gt;=100000]"₹ "##\,##\,##0.00;"₹ "#,##0.00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Invested vs Current Value  (first 20 clients)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'Total Review'!F18</c:f>
              <c:strCache>
                <c:ptCount val="1"/>
                <c:pt idx="0">
                  <c:v>Total Invested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Review'!$F$19:$F$38</c:f>
              <c:numCache>
                <c:formatCode>[&gt;=10000000]"₹ "##\,##\,##\,##0.00;[&gt;=100000]"₹ "##\,##\,##0.00;"₹ "#,##0.00</c:formatCode>
                <c:ptCount val="20"/>
                <c:pt idx="0">
                  <c:v>190000</c:v>
                </c:pt>
              </c:numCache>
            </c:numRef>
          </c:val>
        </c:ser>
        <c:ser>
          <c:idx val="1"/>
          <c:order val="1"/>
          <c:tx>
            <c:strRef>
              <c:f>'Total Review'!H18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Review'!$H$19:$H$38</c:f>
              <c:numCache>
                <c:formatCode>[&gt;=10000000]"₹ "##\,##\,##\,##0.00;[&gt;=100000]"₹ "##\,##\,##0.00;"₹ "#,##0.00</c:formatCode>
                <c:ptCount val="20"/>
                <c:pt idx="0">
                  <c:v>0</c:v>
                </c:pt>
              </c:numCache>
            </c:numRef>
          </c:val>
        </c:ser>
        <c:gapWidth val="150"/>
        <c:overlap val="0"/>
        <c:axId val="58663714"/>
        <c:axId val="25274237"/>
      </c:barChart>
      <c:catAx>
        <c:axId val="58663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74237"/>
        <c:crosses val="autoZero"/>
        <c:auto val="1"/>
        <c:lblAlgn val="ctr"/>
        <c:lblOffset val="100"/>
        <c:noMultiLvlLbl val="0"/>
      </c:catAx>
      <c:valAx>
        <c:axId val="25274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gt;=10000000]&quot;₹ &quot;##\,##\,##\,##0.00;[&gt;=100000]&quot;₹ &quot;##\,##\,##0.00;&quot;₹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637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4</xdr:row>
      <xdr:rowOff>0</xdr:rowOff>
    </xdr:from>
    <xdr:to>
      <xdr:col>19</xdr:col>
      <xdr:colOff>126720</xdr:colOff>
      <xdr:row>18</xdr:row>
      <xdr:rowOff>144720</xdr:rowOff>
    </xdr:to>
    <xdr:graphicFrame>
      <xdr:nvGraphicFramePr>
        <xdr:cNvPr id="0" name="Chart 1"/>
        <xdr:cNvGraphicFramePr/>
      </xdr:nvGraphicFramePr>
      <xdr:xfrm>
        <a:off x="17471880" y="96192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24</xdr:row>
      <xdr:rowOff>0</xdr:rowOff>
    </xdr:from>
    <xdr:to>
      <xdr:col>19</xdr:col>
      <xdr:colOff>126720</xdr:colOff>
      <xdr:row>48</xdr:row>
      <xdr:rowOff>107640</xdr:rowOff>
    </xdr:to>
    <xdr:graphicFrame>
      <xdr:nvGraphicFramePr>
        <xdr:cNvPr id="1" name="Chart 2"/>
        <xdr:cNvGraphicFramePr/>
      </xdr:nvGraphicFramePr>
      <xdr:xfrm>
        <a:off x="17471880" y="5019840"/>
        <a:ext cx="46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  <col collapsed="false" customWidth="true" hidden="false" outlineLevel="0" max="6" min="4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10" customFormat="false" ht="15" hidden="false" customHeight="false" outlineLevel="0" collapsed="false">
      <c r="B10" s="3" t="s">
        <v>11</v>
      </c>
    </row>
    <row r="11" customFormat="false" ht="30" hidden="false" customHeight="true" outlineLevel="0" collapsed="false">
      <c r="B11" s="4" t="s">
        <v>12</v>
      </c>
      <c r="C11" s="5" t="s">
        <v>13</v>
      </c>
    </row>
    <row r="12" customFormat="false" ht="30" hidden="false" customHeight="true" outlineLevel="0" collapsed="false">
      <c r="B12" s="4" t="s">
        <v>14</v>
      </c>
      <c r="C12" s="5" t="s">
        <v>15</v>
      </c>
    </row>
    <row r="13" customFormat="false" ht="30" hidden="false" customHeight="true" outlineLevel="0" collapsed="false">
      <c r="B13" s="4" t="s">
        <v>16</v>
      </c>
      <c r="C13" s="5" t="s">
        <v>17</v>
      </c>
    </row>
    <row r="14" customFormat="false" ht="30" hidden="false" customHeight="true" outlineLevel="0" collapsed="false">
      <c r="B14" s="4" t="s">
        <v>18</v>
      </c>
      <c r="C14" s="5" t="s">
        <v>19</v>
      </c>
    </row>
    <row r="15" customFormat="false" ht="30" hidden="false" customHeight="true" outlineLevel="0" collapsed="false">
      <c r="B15" s="4" t="s">
        <v>20</v>
      </c>
      <c r="C15" s="5" t="s">
        <v>21</v>
      </c>
    </row>
    <row r="16" customFormat="false" ht="30" hidden="false" customHeight="true" outlineLevel="0" collapsed="false">
      <c r="B16" s="4" t="s">
        <v>22</v>
      </c>
      <c r="C16" s="5" t="s">
        <v>23</v>
      </c>
    </row>
    <row r="17" customFormat="false" ht="30" hidden="false" customHeight="true" outlineLevel="0" collapsed="false">
      <c r="B17" s="4" t="s">
        <v>24</v>
      </c>
      <c r="C17" s="5" t="s">
        <v>25</v>
      </c>
    </row>
    <row r="19" customFormat="false" ht="15" hidden="false" customHeight="false" outlineLevel="0" collapsed="false">
      <c r="B19" s="3" t="s">
        <v>26</v>
      </c>
    </row>
    <row r="20" customFormat="false" ht="30" hidden="false" customHeight="true" outlineLevel="0" collapsed="false">
      <c r="B20" s="4" t="s">
        <v>27</v>
      </c>
      <c r="C20" s="5" t="s">
        <v>28</v>
      </c>
    </row>
    <row r="21" customFormat="false" ht="30" hidden="false" customHeight="true" outlineLevel="0" collapsed="false">
      <c r="B21" s="4" t="s">
        <v>29</v>
      </c>
      <c r="C21" s="5" t="s">
        <v>30</v>
      </c>
    </row>
    <row r="22" customFormat="false" ht="30" hidden="false" customHeight="true" outlineLevel="0" collapsed="false">
      <c r="B22" s="4" t="s">
        <v>31</v>
      </c>
      <c r="C22" s="5" t="s">
        <v>32</v>
      </c>
      <c r="D22" s="6"/>
    </row>
    <row r="23" customFormat="false" ht="15" hidden="false" customHeight="false" outlineLevel="0" collapsed="false">
      <c r="D23" s="7"/>
    </row>
    <row r="24" customFormat="false" ht="15" hidden="false" customHeight="false" outlineLevel="0" collapsed="false">
      <c r="B24" s="3" t="s">
        <v>33</v>
      </c>
    </row>
    <row r="25" customFormat="false" ht="30" hidden="false" customHeight="true" outlineLevel="0" collapsed="false">
      <c r="B25" s="4" t="s">
        <v>34</v>
      </c>
      <c r="C25" s="5" t="s">
        <v>35</v>
      </c>
    </row>
    <row r="26" customFormat="false" ht="30" hidden="false" customHeight="true" outlineLevel="0" collapsed="false">
      <c r="B26" s="4" t="s">
        <v>36</v>
      </c>
      <c r="C26" s="5" t="s">
        <v>37</v>
      </c>
    </row>
    <row r="27" customFormat="false" ht="30" hidden="false" customHeight="true" outlineLevel="0" collapsed="false">
      <c r="B27" s="4" t="s">
        <v>38</v>
      </c>
      <c r="C27" s="5" t="s">
        <v>39</v>
      </c>
    </row>
    <row r="28" customFormat="false" ht="30" hidden="false" customHeight="true" outlineLevel="0" collapsed="false">
      <c r="B28" s="4" t="s">
        <v>40</v>
      </c>
      <c r="C28" s="5" t="s">
        <v>41</v>
      </c>
    </row>
    <row r="29" customFormat="false" ht="30" hidden="false" customHeight="true" outlineLevel="0" collapsed="false">
      <c r="B29" s="4" t="s">
        <v>42</v>
      </c>
      <c r="C29" s="5" t="s">
        <v>43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46"/>
    <col collapsed="false" customWidth="true" hidden="false" outlineLevel="0" max="10" min="10" style="0" width="20"/>
    <col collapsed="false" customWidth="true" hidden="false" outlineLevel="0" max="11" min="11" style="0" width="15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3.75" hidden="false" customHeight="true" outlineLevel="0" collapsed="false">
      <c r="A3" s="8" t="s">
        <v>46</v>
      </c>
      <c r="B3" s="8" t="s">
        <v>47</v>
      </c>
      <c r="C3" s="8" t="s">
        <v>48</v>
      </c>
      <c r="D3" s="8" t="s">
        <v>49</v>
      </c>
      <c r="E3" s="8" t="s">
        <v>50</v>
      </c>
      <c r="F3" s="8" t="s">
        <v>51</v>
      </c>
      <c r="G3" s="8" t="s">
        <v>52</v>
      </c>
      <c r="H3" s="8" t="s">
        <v>53</v>
      </c>
      <c r="I3" s="8" t="s">
        <v>54</v>
      </c>
      <c r="J3" s="8" t="s">
        <v>55</v>
      </c>
      <c r="K3" s="8" t="s">
        <v>56</v>
      </c>
      <c r="L3" s="8" t="s">
        <v>57</v>
      </c>
    </row>
    <row r="4" customFormat="false" ht="15" hidden="false" customHeight="false" outlineLevel="0" collapsed="false">
      <c r="A4" s="9" t="s">
        <v>58</v>
      </c>
      <c r="B4" s="9" t="s">
        <v>59</v>
      </c>
      <c r="C4" s="9" t="s">
        <v>60</v>
      </c>
      <c r="D4" s="9" t="s">
        <v>61</v>
      </c>
      <c r="E4" s="9" t="s">
        <v>62</v>
      </c>
      <c r="F4" s="9" t="s">
        <v>63</v>
      </c>
      <c r="G4" s="9" t="s">
        <v>64</v>
      </c>
      <c r="H4" s="10" t="s">
        <v>65</v>
      </c>
      <c r="I4" s="9" t="s">
        <v>66</v>
      </c>
      <c r="J4" s="9" t="s">
        <v>67</v>
      </c>
      <c r="K4" s="10" t="s">
        <v>68</v>
      </c>
      <c r="L4" s="9" t="s">
        <v>69</v>
      </c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2"/>
      <c r="I5" s="11"/>
      <c r="J5" s="11"/>
      <c r="K5" s="12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2"/>
      <c r="I6" s="11"/>
      <c r="J6" s="11"/>
      <c r="K6" s="12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2"/>
      <c r="I7" s="11"/>
      <c r="J7" s="11"/>
      <c r="K7" s="12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2"/>
      <c r="I8" s="11"/>
      <c r="J8" s="11"/>
      <c r="K8" s="12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2"/>
      <c r="I9" s="11"/>
      <c r="J9" s="11"/>
      <c r="K9" s="12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2"/>
      <c r="I10" s="11"/>
      <c r="J10" s="11"/>
      <c r="K10" s="12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2"/>
      <c r="I11" s="11"/>
      <c r="J11" s="11"/>
      <c r="K11" s="12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2"/>
      <c r="I12" s="11"/>
      <c r="J12" s="11"/>
      <c r="K12" s="12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2"/>
      <c r="I13" s="11"/>
      <c r="J13" s="11"/>
      <c r="K13" s="12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2"/>
      <c r="I14" s="11"/>
      <c r="J14" s="11"/>
      <c r="K14" s="12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2"/>
      <c r="I15" s="11"/>
      <c r="J15" s="11"/>
      <c r="K15" s="12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2"/>
      <c r="I16" s="11"/>
      <c r="J16" s="11"/>
      <c r="K16" s="12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2"/>
      <c r="I17" s="11"/>
      <c r="J17" s="11"/>
      <c r="K17" s="12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2"/>
      <c r="I18" s="11"/>
      <c r="J18" s="11"/>
      <c r="K18" s="12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2"/>
      <c r="I19" s="11"/>
      <c r="J19" s="11"/>
      <c r="K19" s="12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2"/>
      <c r="I20" s="11"/>
      <c r="J20" s="11"/>
      <c r="K20" s="12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2"/>
      <c r="I21" s="11"/>
      <c r="J21" s="11"/>
      <c r="K21" s="12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2"/>
      <c r="I22" s="11"/>
      <c r="J22" s="11"/>
      <c r="K22" s="12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2"/>
      <c r="I23" s="11"/>
      <c r="J23" s="11"/>
      <c r="K23" s="12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2"/>
      <c r="I24" s="11"/>
      <c r="J24" s="11"/>
      <c r="K24" s="12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2"/>
      <c r="I25" s="11"/>
      <c r="J25" s="11"/>
      <c r="K25" s="12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2"/>
      <c r="I26" s="11"/>
      <c r="J26" s="11"/>
      <c r="K26" s="12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2"/>
      <c r="I27" s="11"/>
      <c r="J27" s="11"/>
      <c r="K27" s="12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2"/>
      <c r="I28" s="11"/>
      <c r="J28" s="11"/>
      <c r="K28" s="12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2"/>
      <c r="I29" s="11"/>
      <c r="J29" s="11"/>
      <c r="K29" s="12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2"/>
      <c r="I30" s="11"/>
      <c r="J30" s="11"/>
      <c r="K30" s="12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2"/>
      <c r="I31" s="11"/>
      <c r="J31" s="11"/>
      <c r="K31" s="12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2"/>
      <c r="I32" s="11"/>
      <c r="J32" s="11"/>
      <c r="K32" s="12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2"/>
      <c r="I33" s="11"/>
      <c r="J33" s="11"/>
      <c r="K33" s="12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2"/>
      <c r="I34" s="11"/>
      <c r="J34" s="11"/>
      <c r="K34" s="12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2"/>
      <c r="I35" s="11"/>
      <c r="J35" s="11"/>
      <c r="K35" s="12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2"/>
      <c r="I36" s="11"/>
      <c r="J36" s="11"/>
      <c r="K36" s="12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2"/>
      <c r="I37" s="11"/>
      <c r="J37" s="11"/>
      <c r="K37" s="12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2"/>
      <c r="I38" s="11"/>
      <c r="J38" s="11"/>
      <c r="K38" s="12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2"/>
      <c r="I39" s="11"/>
      <c r="J39" s="11"/>
      <c r="K39" s="12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2"/>
      <c r="I40" s="11"/>
      <c r="J40" s="11"/>
      <c r="K40" s="12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2"/>
      <c r="I41" s="11"/>
      <c r="J41" s="11"/>
      <c r="K41" s="12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2"/>
      <c r="I42" s="11"/>
      <c r="J42" s="11"/>
      <c r="K42" s="12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2"/>
      <c r="I43" s="11"/>
      <c r="J43" s="11"/>
      <c r="K43" s="12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2"/>
      <c r="I44" s="11"/>
      <c r="J44" s="11"/>
      <c r="K44" s="12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2"/>
      <c r="I45" s="11"/>
      <c r="J45" s="11"/>
      <c r="K45" s="12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2"/>
      <c r="I46" s="11"/>
      <c r="J46" s="11"/>
      <c r="K46" s="12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2"/>
      <c r="I47" s="11"/>
      <c r="J47" s="11"/>
      <c r="K47" s="12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2"/>
      <c r="I48" s="11"/>
      <c r="J48" s="11"/>
      <c r="K48" s="12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2"/>
      <c r="I49" s="11"/>
      <c r="J49" s="11"/>
      <c r="K49" s="12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2"/>
      <c r="I50" s="11"/>
      <c r="J50" s="11"/>
      <c r="K50" s="12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2"/>
      <c r="I51" s="11"/>
      <c r="J51" s="11"/>
      <c r="K51" s="12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2"/>
      <c r="I52" s="11"/>
      <c r="J52" s="11"/>
      <c r="K52" s="12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2"/>
      <c r="I53" s="11"/>
      <c r="J53" s="11"/>
      <c r="K53" s="12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2"/>
      <c r="I54" s="11"/>
      <c r="J54" s="11"/>
      <c r="K54" s="12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2"/>
      <c r="I55" s="11"/>
      <c r="J55" s="11"/>
      <c r="K55" s="12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2"/>
      <c r="I56" s="11"/>
      <c r="J56" s="11"/>
      <c r="K56" s="12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2"/>
      <c r="I57" s="11"/>
      <c r="J57" s="11"/>
      <c r="K57" s="12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2"/>
      <c r="I58" s="11"/>
      <c r="J58" s="11"/>
      <c r="K58" s="12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2"/>
      <c r="I59" s="11"/>
      <c r="J59" s="11"/>
      <c r="K59" s="12"/>
      <c r="L59" s="11"/>
    </row>
    <row r="60" customFormat="false" ht="15" hidden="false" customHeight="false" outlineLevel="0" collapsed="false">
      <c r="A60" s="11"/>
      <c r="B60" s="11"/>
      <c r="C60" s="11"/>
      <c r="D60" s="11"/>
      <c r="E60" s="11"/>
      <c r="F60" s="11"/>
      <c r="G60" s="11"/>
      <c r="H60" s="12"/>
      <c r="I60" s="11"/>
      <c r="J60" s="11"/>
      <c r="K60" s="12"/>
      <c r="L60" s="11"/>
    </row>
    <row r="61" customFormat="false" ht="15" hidden="false" customHeight="false" outlineLevel="0" collapsed="false">
      <c r="A61" s="11"/>
      <c r="B61" s="11"/>
      <c r="C61" s="11"/>
      <c r="D61" s="11"/>
      <c r="E61" s="11"/>
      <c r="F61" s="11"/>
      <c r="G61" s="11"/>
      <c r="H61" s="12"/>
      <c r="I61" s="11"/>
      <c r="J61" s="11"/>
      <c r="K61" s="12"/>
      <c r="L61" s="11"/>
    </row>
    <row r="62" customFormat="false" ht="15" hidden="false" customHeight="false" outlineLevel="0" collapsed="false">
      <c r="A62" s="11"/>
      <c r="B62" s="11"/>
      <c r="C62" s="11"/>
      <c r="D62" s="11"/>
      <c r="E62" s="11"/>
      <c r="F62" s="11"/>
      <c r="G62" s="11"/>
      <c r="H62" s="12"/>
      <c r="I62" s="11"/>
      <c r="J62" s="11"/>
      <c r="K62" s="12"/>
      <c r="L62" s="11"/>
    </row>
    <row r="63" customFormat="false" ht="15" hidden="false" customHeight="false" outlineLevel="0" collapsed="false">
      <c r="A63" s="11"/>
      <c r="B63" s="11"/>
      <c r="C63" s="11"/>
      <c r="D63" s="11"/>
      <c r="E63" s="11"/>
      <c r="F63" s="11"/>
      <c r="G63" s="11"/>
      <c r="H63" s="12"/>
      <c r="I63" s="11"/>
      <c r="J63" s="11"/>
      <c r="K63" s="12"/>
      <c r="L63" s="11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2"/>
      <c r="I64" s="11"/>
      <c r="J64" s="11"/>
      <c r="K64" s="12"/>
      <c r="L64" s="11"/>
    </row>
    <row r="65" customFormat="false" ht="15" hidden="false" customHeight="false" outlineLevel="0" collapsed="false">
      <c r="A65" s="11"/>
      <c r="B65" s="11"/>
      <c r="C65" s="11"/>
      <c r="D65" s="11"/>
      <c r="E65" s="11"/>
      <c r="F65" s="11"/>
      <c r="G65" s="11"/>
      <c r="H65" s="12"/>
      <c r="I65" s="11"/>
      <c r="J65" s="11"/>
      <c r="K65" s="12"/>
      <c r="L65" s="11"/>
    </row>
    <row r="66" customFormat="false" ht="15" hidden="false" customHeight="false" outlineLevel="0" collapsed="false">
      <c r="A66" s="11"/>
      <c r="B66" s="11"/>
      <c r="C66" s="11"/>
      <c r="D66" s="11"/>
      <c r="E66" s="11"/>
      <c r="F66" s="11"/>
      <c r="G66" s="11"/>
      <c r="H66" s="12"/>
      <c r="I66" s="11"/>
      <c r="J66" s="11"/>
      <c r="K66" s="12"/>
      <c r="L66" s="11"/>
    </row>
    <row r="67" customFormat="false" ht="15" hidden="false" customHeight="false" outlineLevel="0" collapsed="false">
      <c r="A67" s="11"/>
      <c r="B67" s="11"/>
      <c r="C67" s="11"/>
      <c r="D67" s="11"/>
      <c r="E67" s="11"/>
      <c r="F67" s="11"/>
      <c r="G67" s="11"/>
      <c r="H67" s="12"/>
      <c r="I67" s="11"/>
      <c r="J67" s="11"/>
      <c r="K67" s="12"/>
      <c r="L67" s="11"/>
    </row>
    <row r="68" customFormat="false" ht="15" hidden="false" customHeight="false" outlineLevel="0" collapsed="false">
      <c r="A68" s="11"/>
      <c r="B68" s="11"/>
      <c r="C68" s="11"/>
      <c r="D68" s="11"/>
      <c r="E68" s="11"/>
      <c r="F68" s="11"/>
      <c r="G68" s="11"/>
      <c r="H68" s="12"/>
      <c r="I68" s="11"/>
      <c r="J68" s="11"/>
      <c r="K68" s="12"/>
      <c r="L68" s="11"/>
    </row>
    <row r="69" customFormat="false" ht="15" hidden="false" customHeight="false" outlineLevel="0" collapsed="false">
      <c r="A69" s="11"/>
      <c r="B69" s="11"/>
      <c r="C69" s="11"/>
      <c r="D69" s="11"/>
      <c r="E69" s="11"/>
      <c r="F69" s="11"/>
      <c r="G69" s="11"/>
      <c r="H69" s="12"/>
      <c r="I69" s="11"/>
      <c r="J69" s="11"/>
      <c r="K69" s="12"/>
      <c r="L69" s="11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2"/>
      <c r="I70" s="11"/>
      <c r="J70" s="11"/>
      <c r="K70" s="12"/>
      <c r="L70" s="11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2"/>
      <c r="I71" s="11"/>
      <c r="J71" s="11"/>
      <c r="K71" s="12"/>
      <c r="L71" s="11"/>
    </row>
    <row r="72" customFormat="false" ht="15" hidden="false" customHeight="false" outlineLevel="0" collapsed="false">
      <c r="A72" s="11"/>
      <c r="B72" s="11"/>
      <c r="C72" s="11"/>
      <c r="D72" s="11"/>
      <c r="E72" s="11"/>
      <c r="F72" s="11"/>
      <c r="G72" s="11"/>
      <c r="H72" s="12"/>
      <c r="I72" s="11"/>
      <c r="J72" s="11"/>
      <c r="K72" s="12"/>
      <c r="L72" s="11"/>
    </row>
    <row r="73" customFormat="false" ht="15" hidden="false" customHeight="false" outlineLevel="0" collapsed="false">
      <c r="A73" s="11"/>
      <c r="B73" s="11"/>
      <c r="C73" s="11"/>
      <c r="D73" s="11"/>
      <c r="E73" s="11"/>
      <c r="F73" s="11"/>
      <c r="G73" s="11"/>
      <c r="H73" s="12"/>
      <c r="I73" s="11"/>
      <c r="J73" s="11"/>
      <c r="K73" s="12"/>
      <c r="L73" s="11"/>
    </row>
    <row r="74" customFormat="false" ht="15" hidden="false" customHeight="false" outlineLevel="0" collapsed="false">
      <c r="A74" s="11"/>
      <c r="B74" s="11"/>
      <c r="C74" s="11"/>
      <c r="D74" s="11"/>
      <c r="E74" s="11"/>
      <c r="F74" s="11"/>
      <c r="G74" s="11"/>
      <c r="H74" s="12"/>
      <c r="I74" s="11"/>
      <c r="J74" s="11"/>
      <c r="K74" s="12"/>
      <c r="L74" s="11"/>
    </row>
    <row r="75" customFormat="false" ht="15" hidden="false" customHeight="false" outlineLevel="0" collapsed="false">
      <c r="A75" s="11"/>
      <c r="B75" s="11"/>
      <c r="C75" s="11"/>
      <c r="D75" s="11"/>
      <c r="E75" s="11"/>
      <c r="F75" s="11"/>
      <c r="G75" s="11"/>
      <c r="H75" s="12"/>
      <c r="I75" s="11"/>
      <c r="J75" s="11"/>
      <c r="K75" s="12"/>
      <c r="L75" s="11"/>
    </row>
    <row r="76" customFormat="false" ht="15" hidden="false" customHeight="false" outlineLevel="0" collapsed="false">
      <c r="A76" s="11"/>
      <c r="B76" s="11"/>
      <c r="C76" s="11"/>
      <c r="D76" s="11"/>
      <c r="E76" s="11"/>
      <c r="F76" s="11"/>
      <c r="G76" s="11"/>
      <c r="H76" s="12"/>
      <c r="I76" s="11"/>
      <c r="J76" s="11"/>
      <c r="K76" s="12"/>
      <c r="L76" s="11"/>
    </row>
    <row r="77" customFormat="false" ht="15" hidden="false" customHeight="false" outlineLevel="0" collapsed="false">
      <c r="A77" s="11"/>
      <c r="B77" s="11"/>
      <c r="C77" s="11"/>
      <c r="D77" s="11"/>
      <c r="E77" s="11"/>
      <c r="F77" s="11"/>
      <c r="G77" s="11"/>
      <c r="H77" s="12"/>
      <c r="I77" s="11"/>
      <c r="J77" s="11"/>
      <c r="K77" s="12"/>
      <c r="L77" s="11"/>
    </row>
    <row r="78" customFormat="false" ht="15" hidden="false" customHeight="false" outlineLevel="0" collapsed="false">
      <c r="A78" s="11"/>
      <c r="B78" s="11"/>
      <c r="C78" s="11"/>
      <c r="D78" s="11"/>
      <c r="E78" s="11"/>
      <c r="F78" s="11"/>
      <c r="G78" s="11"/>
      <c r="H78" s="12"/>
      <c r="I78" s="11"/>
      <c r="J78" s="11"/>
      <c r="K78" s="12"/>
      <c r="L78" s="11"/>
    </row>
    <row r="79" customFormat="false" ht="15" hidden="false" customHeight="false" outlineLevel="0" collapsed="false">
      <c r="A79" s="11"/>
      <c r="B79" s="11"/>
      <c r="C79" s="11"/>
      <c r="D79" s="11"/>
      <c r="E79" s="11"/>
      <c r="F79" s="11"/>
      <c r="G79" s="11"/>
      <c r="H79" s="12"/>
      <c r="I79" s="11"/>
      <c r="J79" s="11"/>
      <c r="K79" s="12"/>
      <c r="L79" s="11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2"/>
      <c r="I80" s="11"/>
      <c r="J80" s="11"/>
      <c r="K80" s="12"/>
      <c r="L80" s="11"/>
    </row>
    <row r="81" customFormat="false" ht="15" hidden="false" customHeight="false" outlineLevel="0" collapsed="false">
      <c r="A81" s="11"/>
      <c r="B81" s="11"/>
      <c r="C81" s="11"/>
      <c r="D81" s="11"/>
      <c r="E81" s="11"/>
      <c r="F81" s="11"/>
      <c r="G81" s="11"/>
      <c r="H81" s="12"/>
      <c r="I81" s="11"/>
      <c r="J81" s="11"/>
      <c r="K81" s="12"/>
      <c r="L81" s="11"/>
    </row>
    <row r="82" customFormat="false" ht="15" hidden="false" customHeight="false" outlineLevel="0" collapsed="false">
      <c r="A82" s="11"/>
      <c r="B82" s="11"/>
      <c r="C82" s="11"/>
      <c r="D82" s="11"/>
      <c r="E82" s="11"/>
      <c r="F82" s="11"/>
      <c r="G82" s="11"/>
      <c r="H82" s="12"/>
      <c r="I82" s="11"/>
      <c r="J82" s="11"/>
      <c r="K82" s="12"/>
      <c r="L82" s="11"/>
    </row>
    <row r="83" customFormat="false" ht="15" hidden="false" customHeight="false" outlineLevel="0" collapsed="false">
      <c r="A83" s="11"/>
      <c r="B83" s="11"/>
      <c r="C83" s="11"/>
      <c r="D83" s="11"/>
      <c r="E83" s="11"/>
      <c r="F83" s="11"/>
      <c r="G83" s="11"/>
      <c r="H83" s="12"/>
      <c r="I83" s="11"/>
      <c r="J83" s="11"/>
      <c r="K83" s="12"/>
      <c r="L83" s="11"/>
    </row>
    <row r="84" customFormat="false" ht="15" hidden="false" customHeight="false" outlineLevel="0" collapsed="false">
      <c r="A84" s="11"/>
      <c r="B84" s="11"/>
      <c r="C84" s="11"/>
      <c r="D84" s="11"/>
      <c r="E84" s="11"/>
      <c r="F84" s="11"/>
      <c r="G84" s="11"/>
      <c r="H84" s="12"/>
      <c r="I84" s="11"/>
      <c r="J84" s="11"/>
      <c r="K84" s="12"/>
      <c r="L84" s="11"/>
    </row>
    <row r="85" customFormat="false" ht="15" hidden="false" customHeight="false" outlineLevel="0" collapsed="false">
      <c r="A85" s="11"/>
      <c r="B85" s="11"/>
      <c r="C85" s="11"/>
      <c r="D85" s="11"/>
      <c r="E85" s="11"/>
      <c r="F85" s="11"/>
      <c r="G85" s="11"/>
      <c r="H85" s="12"/>
      <c r="I85" s="11"/>
      <c r="J85" s="11"/>
      <c r="K85" s="12"/>
      <c r="L85" s="11"/>
    </row>
    <row r="86" customFormat="false" ht="15" hidden="false" customHeight="false" outlineLevel="0" collapsed="false">
      <c r="A86" s="11"/>
      <c r="B86" s="11"/>
      <c r="C86" s="11"/>
      <c r="D86" s="11"/>
      <c r="E86" s="11"/>
      <c r="F86" s="11"/>
      <c r="G86" s="11"/>
      <c r="H86" s="12"/>
      <c r="I86" s="11"/>
      <c r="J86" s="11"/>
      <c r="K86" s="12"/>
      <c r="L86" s="11"/>
    </row>
    <row r="87" customFormat="false" ht="15" hidden="false" customHeight="false" outlineLevel="0" collapsed="false">
      <c r="A87" s="11"/>
      <c r="B87" s="11"/>
      <c r="C87" s="11"/>
      <c r="D87" s="11"/>
      <c r="E87" s="11"/>
      <c r="F87" s="11"/>
      <c r="G87" s="11"/>
      <c r="H87" s="12"/>
      <c r="I87" s="11"/>
      <c r="J87" s="11"/>
      <c r="K87" s="12"/>
      <c r="L87" s="11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2"/>
      <c r="I88" s="11"/>
      <c r="J88" s="11"/>
      <c r="K88" s="12"/>
      <c r="L88" s="11"/>
    </row>
    <row r="89" customFormat="false" ht="15" hidden="false" customHeight="false" outlineLevel="0" collapsed="false">
      <c r="A89" s="11"/>
      <c r="B89" s="11"/>
      <c r="C89" s="11"/>
      <c r="D89" s="11"/>
      <c r="E89" s="11"/>
      <c r="F89" s="11"/>
      <c r="G89" s="11"/>
      <c r="H89" s="12"/>
      <c r="I89" s="11"/>
      <c r="J89" s="11"/>
      <c r="K89" s="12"/>
      <c r="L89" s="11"/>
    </row>
    <row r="90" customFormat="false" ht="15" hidden="false" customHeight="false" outlineLevel="0" collapsed="false">
      <c r="A90" s="11"/>
      <c r="B90" s="11"/>
      <c r="C90" s="11"/>
      <c r="D90" s="11"/>
      <c r="E90" s="11"/>
      <c r="F90" s="11"/>
      <c r="G90" s="11"/>
      <c r="H90" s="12"/>
      <c r="I90" s="11"/>
      <c r="J90" s="11"/>
      <c r="K90" s="12"/>
      <c r="L90" s="11"/>
    </row>
    <row r="91" customFormat="false" ht="15" hidden="false" customHeight="false" outlineLevel="0" collapsed="false">
      <c r="A91" s="11"/>
      <c r="B91" s="11"/>
      <c r="C91" s="11"/>
      <c r="D91" s="11"/>
      <c r="E91" s="11"/>
      <c r="F91" s="11"/>
      <c r="G91" s="11"/>
      <c r="H91" s="12"/>
      <c r="I91" s="11"/>
      <c r="J91" s="11"/>
      <c r="K91" s="12"/>
      <c r="L91" s="11"/>
    </row>
    <row r="92" customFormat="false" ht="15" hidden="false" customHeight="false" outlineLevel="0" collapsed="false">
      <c r="A92" s="11"/>
      <c r="B92" s="11"/>
      <c r="C92" s="11"/>
      <c r="D92" s="11"/>
      <c r="E92" s="11"/>
      <c r="F92" s="11"/>
      <c r="G92" s="11"/>
      <c r="H92" s="12"/>
      <c r="I92" s="11"/>
      <c r="J92" s="11"/>
      <c r="K92" s="12"/>
      <c r="L92" s="11"/>
    </row>
    <row r="93" customFormat="false" ht="15" hidden="false" customHeight="false" outlineLevel="0" collapsed="false">
      <c r="A93" s="11"/>
      <c r="B93" s="11"/>
      <c r="C93" s="11"/>
      <c r="D93" s="11"/>
      <c r="E93" s="11"/>
      <c r="F93" s="11"/>
      <c r="G93" s="11"/>
      <c r="H93" s="12"/>
      <c r="I93" s="11"/>
      <c r="J93" s="11"/>
      <c r="K93" s="12"/>
      <c r="L93" s="11"/>
    </row>
    <row r="94" customFormat="false" ht="15" hidden="false" customHeight="false" outlineLevel="0" collapsed="false">
      <c r="A94" s="11"/>
      <c r="B94" s="11"/>
      <c r="C94" s="11"/>
      <c r="D94" s="11"/>
      <c r="E94" s="11"/>
      <c r="F94" s="11"/>
      <c r="G94" s="11"/>
      <c r="H94" s="12"/>
      <c r="I94" s="11"/>
      <c r="J94" s="11"/>
      <c r="K94" s="12"/>
      <c r="L94" s="11"/>
    </row>
    <row r="95" customFormat="false" ht="15" hidden="false" customHeight="false" outlineLevel="0" collapsed="false">
      <c r="A95" s="11"/>
      <c r="B95" s="11"/>
      <c r="C95" s="11"/>
      <c r="D95" s="11"/>
      <c r="E95" s="11"/>
      <c r="F95" s="11"/>
      <c r="G95" s="11"/>
      <c r="H95" s="12"/>
      <c r="I95" s="11"/>
      <c r="J95" s="11"/>
      <c r="K95" s="12"/>
      <c r="L95" s="11"/>
    </row>
    <row r="96" customFormat="false" ht="15" hidden="false" customHeight="false" outlineLevel="0" collapsed="false">
      <c r="A96" s="11"/>
      <c r="B96" s="11"/>
      <c r="C96" s="11"/>
      <c r="D96" s="11"/>
      <c r="E96" s="11"/>
      <c r="F96" s="11"/>
      <c r="G96" s="11"/>
      <c r="H96" s="12"/>
      <c r="I96" s="11"/>
      <c r="J96" s="11"/>
      <c r="K96" s="12"/>
      <c r="L96" s="11"/>
    </row>
    <row r="97" customFormat="false" ht="15" hidden="false" customHeight="false" outlineLevel="0" collapsed="false">
      <c r="A97" s="11"/>
      <c r="B97" s="11"/>
      <c r="C97" s="11"/>
      <c r="D97" s="11"/>
      <c r="E97" s="11"/>
      <c r="F97" s="11"/>
      <c r="G97" s="11"/>
      <c r="H97" s="12"/>
      <c r="I97" s="11"/>
      <c r="J97" s="11"/>
      <c r="K97" s="12"/>
      <c r="L97" s="11"/>
    </row>
    <row r="98" customFormat="false" ht="15" hidden="false" customHeight="false" outlineLevel="0" collapsed="false">
      <c r="A98" s="11"/>
      <c r="B98" s="11"/>
      <c r="C98" s="11"/>
      <c r="D98" s="11"/>
      <c r="E98" s="11"/>
      <c r="F98" s="11"/>
      <c r="G98" s="11"/>
      <c r="H98" s="12"/>
      <c r="I98" s="11"/>
      <c r="J98" s="11"/>
      <c r="K98" s="12"/>
      <c r="L98" s="11"/>
    </row>
    <row r="99" customFormat="false" ht="15" hidden="false" customHeight="false" outlineLevel="0" collapsed="false">
      <c r="A99" s="11"/>
      <c r="B99" s="11"/>
      <c r="C99" s="11"/>
      <c r="D99" s="11"/>
      <c r="E99" s="11"/>
      <c r="F99" s="11"/>
      <c r="G99" s="11"/>
      <c r="H99" s="12"/>
      <c r="I99" s="11"/>
      <c r="J99" s="11"/>
      <c r="K99" s="12"/>
      <c r="L99" s="11"/>
    </row>
    <row r="100" customFormat="false" ht="1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2"/>
      <c r="I100" s="11"/>
      <c r="J100" s="11"/>
      <c r="K100" s="12"/>
      <c r="L100" s="11"/>
    </row>
    <row r="101" customFormat="false" ht="1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2"/>
      <c r="I101" s="11"/>
      <c r="J101" s="11"/>
      <c r="K101" s="12"/>
      <c r="L101" s="11"/>
    </row>
    <row r="102" customFormat="false" ht="1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2"/>
      <c r="I102" s="11"/>
      <c r="J102" s="11"/>
      <c r="K102" s="12"/>
      <c r="L102" s="11"/>
    </row>
    <row r="103" customFormat="false" ht="1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2"/>
      <c r="I103" s="11"/>
      <c r="J103" s="11"/>
      <c r="K103" s="12"/>
      <c r="L103" s="11"/>
    </row>
    <row r="104" customFormat="false" ht="1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2"/>
      <c r="I104" s="11"/>
      <c r="J104" s="11"/>
      <c r="K104" s="12"/>
      <c r="L104" s="11"/>
    </row>
    <row r="105" customFormat="false" ht="1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2"/>
      <c r="I105" s="11"/>
      <c r="J105" s="11"/>
      <c r="K105" s="12"/>
      <c r="L105" s="11"/>
    </row>
    <row r="106" customFormat="false" ht="1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2"/>
      <c r="I106" s="11"/>
      <c r="J106" s="11"/>
      <c r="K106" s="12"/>
      <c r="L106" s="11"/>
    </row>
    <row r="107" customFormat="false" ht="1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2"/>
      <c r="I107" s="11"/>
      <c r="J107" s="11"/>
      <c r="K107" s="12"/>
      <c r="L107" s="11"/>
    </row>
    <row r="108" customFormat="false" ht="1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2"/>
      <c r="I108" s="11"/>
      <c r="J108" s="11"/>
      <c r="K108" s="12"/>
      <c r="L108" s="11"/>
    </row>
    <row r="109" customFormat="false" ht="1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2"/>
      <c r="I109" s="11"/>
      <c r="J109" s="11"/>
      <c r="K109" s="12"/>
      <c r="L109" s="11"/>
    </row>
    <row r="110" customFormat="false" ht="1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2"/>
      <c r="I110" s="11"/>
      <c r="J110" s="11"/>
      <c r="K110" s="12"/>
      <c r="L110" s="11"/>
    </row>
    <row r="111" customFormat="false" ht="1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2"/>
      <c r="I111" s="11"/>
      <c r="J111" s="11"/>
      <c r="K111" s="12"/>
      <c r="L111" s="11"/>
    </row>
    <row r="112" customFormat="false" ht="1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2"/>
      <c r="I112" s="11"/>
      <c r="J112" s="11"/>
      <c r="K112" s="12"/>
      <c r="L112" s="11"/>
    </row>
    <row r="113" customFormat="false" ht="1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2"/>
      <c r="I113" s="11"/>
      <c r="J113" s="11"/>
      <c r="K113" s="12"/>
      <c r="L113" s="11"/>
    </row>
    <row r="114" customFormat="false" ht="1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2"/>
      <c r="I114" s="11"/>
      <c r="J114" s="11"/>
      <c r="K114" s="12"/>
      <c r="L114" s="11"/>
    </row>
    <row r="115" customFormat="false" ht="1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2"/>
      <c r="I115" s="11"/>
      <c r="J115" s="11"/>
      <c r="K115" s="12"/>
      <c r="L115" s="11"/>
    </row>
    <row r="116" customFormat="false" ht="1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2"/>
      <c r="I116" s="11"/>
      <c r="J116" s="11"/>
      <c r="K116" s="12"/>
      <c r="L116" s="11"/>
    </row>
    <row r="117" customFormat="false" ht="1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2"/>
      <c r="I117" s="11"/>
      <c r="J117" s="11"/>
      <c r="K117" s="12"/>
      <c r="L117" s="11"/>
    </row>
    <row r="118" customFormat="false" ht="1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2"/>
      <c r="I118" s="11"/>
      <c r="J118" s="11"/>
      <c r="K118" s="12"/>
      <c r="L118" s="11"/>
    </row>
    <row r="119" customFormat="false" ht="1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2"/>
      <c r="I119" s="11"/>
      <c r="J119" s="11"/>
      <c r="K119" s="12"/>
      <c r="L119" s="11"/>
    </row>
    <row r="120" customFormat="false" ht="1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2"/>
      <c r="I120" s="11"/>
      <c r="J120" s="11"/>
      <c r="K120" s="12"/>
      <c r="L120" s="11"/>
    </row>
    <row r="121" customFormat="false" ht="1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2"/>
      <c r="I121" s="11"/>
      <c r="J121" s="11"/>
      <c r="K121" s="12"/>
      <c r="L121" s="11"/>
    </row>
    <row r="122" customFormat="false" ht="1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2"/>
      <c r="I122" s="11"/>
      <c r="J122" s="11"/>
      <c r="K122" s="12"/>
      <c r="L122" s="11"/>
    </row>
    <row r="123" customFormat="false" ht="1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2"/>
      <c r="I123" s="11"/>
      <c r="J123" s="11"/>
      <c r="K123" s="12"/>
      <c r="L123" s="11"/>
    </row>
    <row r="124" customFormat="false" ht="1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2"/>
      <c r="I124" s="11"/>
      <c r="J124" s="11"/>
      <c r="K124" s="12"/>
      <c r="L124" s="11"/>
    </row>
    <row r="125" customFormat="false" ht="1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2"/>
      <c r="I125" s="11"/>
      <c r="J125" s="11"/>
      <c r="K125" s="12"/>
      <c r="L125" s="11"/>
    </row>
    <row r="126" customFormat="false" ht="1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2"/>
      <c r="I126" s="11"/>
      <c r="J126" s="11"/>
      <c r="K126" s="12"/>
      <c r="L126" s="11"/>
    </row>
    <row r="127" customFormat="false" ht="1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2"/>
      <c r="I127" s="11"/>
      <c r="J127" s="11"/>
      <c r="K127" s="12"/>
      <c r="L127" s="11"/>
    </row>
    <row r="128" customFormat="false" ht="1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2"/>
      <c r="I128" s="11"/>
      <c r="J128" s="11"/>
      <c r="K128" s="12"/>
      <c r="L128" s="11"/>
    </row>
    <row r="129" customFormat="false" ht="1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2"/>
      <c r="I129" s="11"/>
      <c r="J129" s="11"/>
      <c r="K129" s="12"/>
      <c r="L129" s="11"/>
    </row>
    <row r="130" customFormat="false" ht="1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2"/>
      <c r="I130" s="11"/>
      <c r="J130" s="11"/>
      <c r="K130" s="12"/>
      <c r="L130" s="11"/>
    </row>
    <row r="131" customFormat="false" ht="1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2"/>
      <c r="I131" s="11"/>
      <c r="J131" s="11"/>
      <c r="K131" s="12"/>
      <c r="L131" s="11"/>
    </row>
    <row r="132" customFormat="false" ht="1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2"/>
      <c r="I132" s="11"/>
      <c r="J132" s="11"/>
      <c r="K132" s="12"/>
      <c r="L132" s="11"/>
    </row>
    <row r="133" customFormat="false" ht="1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2"/>
      <c r="I133" s="11"/>
      <c r="J133" s="11"/>
      <c r="K133" s="12"/>
      <c r="L133" s="11"/>
    </row>
    <row r="134" customFormat="false" ht="1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2"/>
      <c r="I134" s="11"/>
      <c r="J134" s="11"/>
      <c r="K134" s="12"/>
      <c r="L134" s="11"/>
    </row>
    <row r="135" customFormat="false" ht="1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2"/>
      <c r="I135" s="11"/>
      <c r="J135" s="11"/>
      <c r="K135" s="12"/>
      <c r="L135" s="11"/>
    </row>
    <row r="136" customFormat="false" ht="1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2"/>
      <c r="I136" s="11"/>
      <c r="J136" s="11"/>
      <c r="K136" s="12"/>
      <c r="L136" s="11"/>
    </row>
    <row r="137" customFormat="false" ht="1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2"/>
      <c r="I137" s="11"/>
      <c r="J137" s="11"/>
      <c r="K137" s="12"/>
      <c r="L137" s="11"/>
    </row>
    <row r="138" customFormat="false" ht="1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2"/>
      <c r="I138" s="11"/>
      <c r="J138" s="11"/>
      <c r="K138" s="12"/>
      <c r="L138" s="11"/>
    </row>
    <row r="139" customFormat="false" ht="1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2"/>
      <c r="I139" s="11"/>
      <c r="J139" s="11"/>
      <c r="K139" s="12"/>
      <c r="L139" s="11"/>
    </row>
    <row r="140" customFormat="false" ht="1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2"/>
      <c r="I140" s="11"/>
      <c r="J140" s="11"/>
      <c r="K140" s="12"/>
      <c r="L140" s="11"/>
    </row>
    <row r="141" customFormat="false" ht="1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2"/>
      <c r="I141" s="11"/>
      <c r="J141" s="11"/>
      <c r="K141" s="12"/>
      <c r="L141" s="11"/>
    </row>
    <row r="142" customFormat="false" ht="1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2"/>
      <c r="I142" s="11"/>
      <c r="J142" s="11"/>
      <c r="K142" s="12"/>
      <c r="L142" s="11"/>
    </row>
    <row r="143" customFormat="false" ht="1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2"/>
      <c r="I143" s="11"/>
      <c r="J143" s="11"/>
      <c r="K143" s="12"/>
      <c r="L143" s="11"/>
    </row>
    <row r="144" customFormat="false" ht="1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2"/>
      <c r="I144" s="11"/>
      <c r="J144" s="11"/>
      <c r="K144" s="12"/>
      <c r="L144" s="11"/>
    </row>
    <row r="145" customFormat="false" ht="1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2"/>
      <c r="I145" s="11"/>
      <c r="J145" s="11"/>
      <c r="K145" s="12"/>
      <c r="L145" s="11"/>
    </row>
    <row r="146" customFormat="false" ht="1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2"/>
      <c r="I146" s="11"/>
      <c r="J146" s="11"/>
      <c r="K146" s="12"/>
      <c r="L146" s="11"/>
    </row>
    <row r="147" customFormat="false" ht="1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2"/>
      <c r="I147" s="11"/>
      <c r="J147" s="11"/>
      <c r="K147" s="12"/>
      <c r="L147" s="11"/>
    </row>
    <row r="148" customFormat="false" ht="1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2"/>
      <c r="I148" s="11"/>
      <c r="J148" s="11"/>
      <c r="K148" s="12"/>
      <c r="L148" s="11"/>
    </row>
    <row r="149" customFormat="false" ht="1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2"/>
      <c r="I149" s="11"/>
      <c r="J149" s="11"/>
      <c r="K149" s="12"/>
      <c r="L149" s="11"/>
    </row>
    <row r="150" customFormat="false" ht="1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2"/>
      <c r="I150" s="11"/>
      <c r="J150" s="11"/>
      <c r="K150" s="12"/>
      <c r="L150" s="11"/>
    </row>
    <row r="151" customFormat="false" ht="1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2"/>
      <c r="I151" s="11"/>
      <c r="J151" s="11"/>
      <c r="K151" s="12"/>
      <c r="L151" s="11"/>
    </row>
    <row r="152" customFormat="false" ht="1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2"/>
      <c r="I152" s="11"/>
      <c r="J152" s="11"/>
      <c r="K152" s="12"/>
      <c r="L152" s="11"/>
    </row>
    <row r="153" customFormat="false" ht="1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2"/>
      <c r="I153" s="11"/>
      <c r="J153" s="11"/>
      <c r="K153" s="12"/>
      <c r="L153" s="11"/>
    </row>
    <row r="154" customFormat="false" ht="1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2"/>
      <c r="I154" s="11"/>
      <c r="J154" s="11"/>
      <c r="K154" s="12"/>
      <c r="L154" s="11"/>
    </row>
    <row r="155" customFormat="false" ht="1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2"/>
      <c r="I155" s="11"/>
      <c r="J155" s="11"/>
      <c r="K155" s="12"/>
      <c r="L155" s="11"/>
    </row>
    <row r="156" customFormat="false" ht="1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2"/>
      <c r="I156" s="11"/>
      <c r="J156" s="11"/>
      <c r="K156" s="12"/>
      <c r="L156" s="11"/>
    </row>
    <row r="157" customFormat="false" ht="1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2"/>
      <c r="I157" s="11"/>
      <c r="J157" s="11"/>
      <c r="K157" s="12"/>
      <c r="L157" s="11"/>
    </row>
    <row r="158" customFormat="false" ht="1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2"/>
      <c r="I158" s="11"/>
      <c r="J158" s="11"/>
      <c r="K158" s="12"/>
      <c r="L158" s="11"/>
    </row>
    <row r="159" customFormat="false" ht="1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2"/>
      <c r="I159" s="11"/>
      <c r="J159" s="11"/>
      <c r="K159" s="12"/>
      <c r="L159" s="11"/>
    </row>
    <row r="160" customFormat="false" ht="1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2"/>
      <c r="I160" s="11"/>
      <c r="J160" s="11"/>
      <c r="K160" s="12"/>
      <c r="L160" s="11"/>
    </row>
    <row r="161" customFormat="false" ht="1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2"/>
      <c r="I161" s="11"/>
      <c r="J161" s="11"/>
      <c r="K161" s="12"/>
      <c r="L161" s="11"/>
    </row>
    <row r="162" customFormat="false" ht="1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2"/>
      <c r="I162" s="11"/>
      <c r="J162" s="11"/>
      <c r="K162" s="12"/>
      <c r="L162" s="11"/>
    </row>
    <row r="163" customFormat="false" ht="1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2"/>
      <c r="I163" s="11"/>
      <c r="J163" s="11"/>
      <c r="K163" s="12"/>
      <c r="L163" s="11"/>
    </row>
    <row r="164" customFormat="false" ht="1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2"/>
      <c r="I164" s="11"/>
      <c r="J164" s="11"/>
      <c r="K164" s="12"/>
      <c r="L164" s="11"/>
    </row>
    <row r="165" customFormat="false" ht="1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2"/>
      <c r="I165" s="11"/>
      <c r="J165" s="11"/>
      <c r="K165" s="12"/>
      <c r="L165" s="11"/>
    </row>
    <row r="166" customFormat="false" ht="1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2"/>
      <c r="I166" s="11"/>
      <c r="J166" s="11"/>
      <c r="K166" s="12"/>
      <c r="L166" s="11"/>
    </row>
    <row r="167" customFormat="false" ht="1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2"/>
      <c r="I167" s="11"/>
      <c r="J167" s="11"/>
      <c r="K167" s="12"/>
      <c r="L167" s="11"/>
    </row>
    <row r="168" customFormat="false" ht="1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2"/>
      <c r="I168" s="11"/>
      <c r="J168" s="11"/>
      <c r="K168" s="12"/>
      <c r="L168" s="11"/>
    </row>
    <row r="169" customFormat="false" ht="1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2"/>
      <c r="I169" s="11"/>
      <c r="J169" s="11"/>
      <c r="K169" s="12"/>
      <c r="L169" s="11"/>
    </row>
    <row r="170" customFormat="false" ht="1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2"/>
      <c r="I170" s="11"/>
      <c r="J170" s="11"/>
      <c r="K170" s="12"/>
      <c r="L170" s="11"/>
    </row>
    <row r="171" customFormat="false" ht="1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2"/>
      <c r="I171" s="11"/>
      <c r="J171" s="11"/>
      <c r="K171" s="12"/>
      <c r="L171" s="11"/>
    </row>
    <row r="172" customFormat="false" ht="1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2"/>
      <c r="I172" s="11"/>
      <c r="J172" s="11"/>
      <c r="K172" s="12"/>
      <c r="L172" s="11"/>
    </row>
    <row r="173" customFormat="false" ht="1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2"/>
      <c r="I173" s="11"/>
      <c r="J173" s="11"/>
      <c r="K173" s="12"/>
      <c r="L173" s="11"/>
    </row>
    <row r="174" customFormat="false" ht="1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2"/>
      <c r="I174" s="11"/>
      <c r="J174" s="11"/>
      <c r="K174" s="12"/>
      <c r="L174" s="11"/>
    </row>
    <row r="175" customFormat="false" ht="1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2"/>
      <c r="I175" s="11"/>
      <c r="J175" s="11"/>
      <c r="K175" s="12"/>
      <c r="L175" s="11"/>
    </row>
    <row r="176" customFormat="false" ht="1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2"/>
      <c r="I176" s="11"/>
      <c r="J176" s="11"/>
      <c r="K176" s="12"/>
      <c r="L176" s="11"/>
    </row>
    <row r="177" customFormat="false" ht="1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2"/>
      <c r="I177" s="11"/>
      <c r="J177" s="11"/>
      <c r="K177" s="12"/>
      <c r="L177" s="11"/>
    </row>
    <row r="178" customFormat="false" ht="1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2"/>
      <c r="I178" s="11"/>
      <c r="J178" s="11"/>
      <c r="K178" s="12"/>
      <c r="L178" s="11"/>
    </row>
    <row r="179" customFormat="false" ht="1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2"/>
      <c r="I179" s="11"/>
      <c r="J179" s="11"/>
      <c r="K179" s="12"/>
      <c r="L179" s="11"/>
    </row>
    <row r="180" customFormat="false" ht="1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2"/>
      <c r="I180" s="11"/>
      <c r="J180" s="11"/>
      <c r="K180" s="12"/>
      <c r="L180" s="11"/>
    </row>
    <row r="181" customFormat="false" ht="1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2"/>
      <c r="I181" s="11"/>
      <c r="J181" s="11"/>
      <c r="K181" s="12"/>
      <c r="L181" s="11"/>
    </row>
    <row r="182" customFormat="false" ht="1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2"/>
      <c r="I182" s="11"/>
      <c r="J182" s="11"/>
      <c r="K182" s="12"/>
      <c r="L182" s="11"/>
    </row>
    <row r="183" customFormat="false" ht="1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2"/>
      <c r="I183" s="11"/>
      <c r="J183" s="11"/>
      <c r="K183" s="12"/>
      <c r="L183" s="11"/>
    </row>
    <row r="184" customFormat="false" ht="1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2"/>
      <c r="I184" s="11"/>
      <c r="J184" s="11"/>
      <c r="K184" s="12"/>
      <c r="L184" s="11"/>
    </row>
    <row r="185" customFormat="false" ht="1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2"/>
      <c r="I185" s="11"/>
      <c r="J185" s="11"/>
      <c r="K185" s="12"/>
      <c r="L185" s="11"/>
    </row>
    <row r="186" customFormat="false" ht="1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2"/>
      <c r="I186" s="11"/>
      <c r="J186" s="11"/>
      <c r="K186" s="12"/>
      <c r="L186" s="11"/>
    </row>
    <row r="187" customFormat="false" ht="1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2"/>
      <c r="I187" s="11"/>
      <c r="J187" s="11"/>
      <c r="K187" s="12"/>
      <c r="L187" s="11"/>
    </row>
    <row r="188" customFormat="false" ht="1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2"/>
      <c r="I188" s="11"/>
      <c r="J188" s="11"/>
      <c r="K188" s="12"/>
      <c r="L188" s="11"/>
    </row>
    <row r="189" customFormat="false" ht="1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2"/>
      <c r="I189" s="11"/>
      <c r="J189" s="11"/>
      <c r="K189" s="12"/>
      <c r="L189" s="11"/>
    </row>
    <row r="190" customFormat="false" ht="1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2"/>
      <c r="I190" s="11"/>
      <c r="J190" s="11"/>
      <c r="K190" s="12"/>
      <c r="L190" s="11"/>
    </row>
    <row r="191" customFormat="false" ht="1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2"/>
      <c r="I191" s="11"/>
      <c r="J191" s="11"/>
      <c r="K191" s="12"/>
      <c r="L191" s="11"/>
    </row>
    <row r="192" customFormat="false" ht="1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2"/>
      <c r="I192" s="11"/>
      <c r="J192" s="11"/>
      <c r="K192" s="12"/>
      <c r="L192" s="11"/>
    </row>
    <row r="193" customFormat="false" ht="1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2"/>
      <c r="I193" s="11"/>
      <c r="J193" s="11"/>
      <c r="K193" s="12"/>
      <c r="L193" s="11"/>
    </row>
    <row r="194" customFormat="false" ht="1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2"/>
      <c r="I194" s="11"/>
      <c r="J194" s="11"/>
      <c r="K194" s="12"/>
      <c r="L194" s="11"/>
    </row>
    <row r="195" customFormat="false" ht="1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2"/>
      <c r="I195" s="11"/>
      <c r="J195" s="11"/>
      <c r="K195" s="12"/>
      <c r="L195" s="11"/>
    </row>
    <row r="196" customFormat="false" ht="1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2"/>
      <c r="I196" s="11"/>
      <c r="J196" s="11"/>
      <c r="K196" s="12"/>
      <c r="L196" s="11"/>
    </row>
    <row r="197" customFormat="false" ht="1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2"/>
      <c r="I197" s="11"/>
      <c r="J197" s="11"/>
      <c r="K197" s="12"/>
      <c r="L197" s="11"/>
    </row>
    <row r="198" customFormat="false" ht="1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2"/>
      <c r="I198" s="11"/>
      <c r="J198" s="11"/>
      <c r="K198" s="12"/>
      <c r="L198" s="11"/>
    </row>
    <row r="199" customFormat="false" ht="1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2"/>
      <c r="I199" s="11"/>
      <c r="J199" s="11"/>
      <c r="K199" s="12"/>
      <c r="L199" s="11"/>
    </row>
    <row r="200" customFormat="false" ht="1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2"/>
      <c r="I200" s="11"/>
      <c r="J200" s="11"/>
      <c r="K200" s="12"/>
      <c r="L200" s="11"/>
    </row>
    <row r="201" customFormat="false" ht="1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2"/>
      <c r="I201" s="11"/>
      <c r="J201" s="11"/>
      <c r="K201" s="12"/>
      <c r="L201" s="11"/>
    </row>
    <row r="202" customFormat="false" ht="1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2"/>
      <c r="I202" s="11"/>
      <c r="J202" s="11"/>
      <c r="K202" s="12"/>
      <c r="L202" s="11"/>
    </row>
    <row r="203" customFormat="false" ht="1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2"/>
      <c r="I203" s="11"/>
      <c r="J203" s="11"/>
      <c r="K203" s="12"/>
      <c r="L203" s="11"/>
    </row>
  </sheetData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E4:E203" type="list">
      <formula1>Lists!$D$2:$D$6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9" min="9" style="0" width="13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7"/>
    <col collapsed="false" customWidth="true" hidden="false" outlineLevel="0" max="18" min="17" style="0" width="16"/>
    <col collapsed="false" customWidth="true" hidden="false" outlineLevel="0" max="19" min="19" style="0" width="11"/>
    <col collapsed="false" customWidth="true" hidden="false" outlineLevel="0" max="21" min="20" style="0" width="10"/>
    <col collapsed="false" customWidth="true" hidden="true" outlineLevel="0" max="22" min="22" style="0" width="9"/>
  </cols>
  <sheetData>
    <row r="1" customFormat="false" ht="25.5" hidden="false" customHeight="true" outlineLevel="0" collapsed="false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.75" hidden="false" customHeight="true" outlineLevel="0" collapsed="false">
      <c r="A2" s="2" t="s">
        <v>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false" outlineLevel="0" collapsed="false">
      <c r="A4" s="13" t="s">
        <v>72</v>
      </c>
      <c r="G4" s="13" t="s">
        <v>73</v>
      </c>
      <c r="P4" s="13" t="s">
        <v>74</v>
      </c>
    </row>
    <row r="5" customFormat="false" ht="33.75" hidden="false" customHeight="true" outlineLevel="0" collapsed="false">
      <c r="A5" s="8" t="s">
        <v>47</v>
      </c>
      <c r="B5" s="8" t="s">
        <v>75</v>
      </c>
      <c r="C5" s="8" t="s">
        <v>36</v>
      </c>
      <c r="D5" s="8" t="s">
        <v>76</v>
      </c>
      <c r="E5" s="8" t="s">
        <v>77</v>
      </c>
      <c r="F5" s="8" t="s">
        <v>78</v>
      </c>
      <c r="G5" s="8" t="s">
        <v>79</v>
      </c>
      <c r="H5" s="8" t="s">
        <v>80</v>
      </c>
      <c r="I5" s="8" t="s">
        <v>81</v>
      </c>
      <c r="J5" s="8" t="s">
        <v>82</v>
      </c>
      <c r="K5" s="8" t="s">
        <v>83</v>
      </c>
      <c r="L5" s="8" t="s">
        <v>84</v>
      </c>
      <c r="M5" s="8" t="s">
        <v>85</v>
      </c>
      <c r="N5" s="8" t="s">
        <v>86</v>
      </c>
      <c r="O5" s="8" t="s">
        <v>87</v>
      </c>
      <c r="P5" s="8" t="s">
        <v>12</v>
      </c>
      <c r="Q5" s="8" t="s">
        <v>14</v>
      </c>
      <c r="R5" s="8" t="s">
        <v>16</v>
      </c>
      <c r="S5" s="8" t="s">
        <v>18</v>
      </c>
      <c r="T5" s="8" t="s">
        <v>24</v>
      </c>
      <c r="U5" s="8" t="s">
        <v>22</v>
      </c>
      <c r="V5" s="8" t="s">
        <v>88</v>
      </c>
    </row>
    <row r="6" customFormat="false" ht="15" hidden="false" customHeight="false" outlineLevel="0" collapsed="false">
      <c r="A6" s="9" t="s">
        <v>59</v>
      </c>
      <c r="B6" s="9" t="s">
        <v>89</v>
      </c>
      <c r="C6" s="14" t="str">
        <f aca="false">IF($B6="","",IFERROR(TRIM(LEFT($B6,FIND(" - ",$B6)-1)),"Others"))</f>
        <v>Debt</v>
      </c>
      <c r="D6" s="9" t="s">
        <v>90</v>
      </c>
      <c r="E6" s="9" t="s">
        <v>91</v>
      </c>
      <c r="F6" s="10" t="s">
        <v>92</v>
      </c>
      <c r="G6" s="15" t="n">
        <v>0</v>
      </c>
      <c r="H6" s="15" t="n">
        <v>190000</v>
      </c>
      <c r="I6" s="15" t="n">
        <v>0</v>
      </c>
      <c r="J6" s="15" t="n">
        <v>0</v>
      </c>
      <c r="K6" s="15" t="n">
        <v>195243.79</v>
      </c>
      <c r="L6" s="15" t="n">
        <v>0</v>
      </c>
      <c r="M6" s="15" t="n">
        <v>0</v>
      </c>
      <c r="N6" s="16" t="n">
        <v>0</v>
      </c>
      <c r="O6" s="16" t="n">
        <v>41.2489</v>
      </c>
      <c r="P6" s="17" t="n">
        <f aca="false">IF($A6="","",SUM($G6:$I6))</f>
        <v>190000</v>
      </c>
      <c r="Q6" s="17" t="n">
        <f aca="false">IF($A6="","",SUM($J6:$L6))</f>
        <v>195243.79</v>
      </c>
      <c r="R6" s="17" t="n">
        <f aca="false">IF($A6="","",($M6+$Q6)-$P6)</f>
        <v>5243.79000000001</v>
      </c>
      <c r="S6" s="18" t="n">
        <f aca="false">IF(OR($A6="",$P6=0),"",$R6/$P6)</f>
        <v>0.0275988947368422</v>
      </c>
      <c r="T6" s="19" t="n">
        <v>0.038</v>
      </c>
      <c r="U6" s="14" t="str">
        <f aca="false">IF($A6="","",IF($M6&gt;0,"Live","Exited"))</f>
        <v>Exited</v>
      </c>
      <c r="V6" s="20" t="n">
        <f aca="false">IF($A6="","",IF($A6='Client Report'!$C$4,COUNTIFS($A$6:$A6,'Client Report'!$C$4),""))</f>
        <v>1</v>
      </c>
    </row>
    <row r="7" customFormat="false" ht="15" hidden="false" customHeight="false" outlineLevel="0" collapsed="false">
      <c r="A7" s="11"/>
      <c r="B7" s="11"/>
      <c r="C7" s="14" t="str">
        <f aca="false">IF($B7="","",IFERROR(TRIM(LEFT($B7,FIND(" - ",$B7)-1)),"Others"))</f>
        <v/>
      </c>
      <c r="D7" s="11"/>
      <c r="E7" s="11"/>
      <c r="F7" s="12"/>
      <c r="G7" s="21"/>
      <c r="H7" s="21"/>
      <c r="I7" s="21"/>
      <c r="J7" s="21"/>
      <c r="K7" s="21"/>
      <c r="L7" s="21"/>
      <c r="M7" s="21"/>
      <c r="N7" s="22"/>
      <c r="O7" s="22"/>
      <c r="P7" s="17" t="str">
        <f aca="false">IF($A7="","",SUM($G7:$I7))</f>
        <v/>
      </c>
      <c r="Q7" s="17" t="str">
        <f aca="false">IF($A7="","",SUM($J7:$L7))</f>
        <v/>
      </c>
      <c r="R7" s="17" t="str">
        <f aca="false">IF($A7="","",($M7+$Q7)-$P7)</f>
        <v/>
      </c>
      <c r="S7" s="18" t="str">
        <f aca="false">IF(OR($A7="",$P7=0),"",$R7/$P7)</f>
        <v/>
      </c>
      <c r="T7" s="23"/>
      <c r="U7" s="14" t="str">
        <f aca="false">IF($A7="","",IF($M7&gt;0,"Live","Exited"))</f>
        <v/>
      </c>
      <c r="V7" s="20" t="str">
        <f aca="false">IF($A7="","",IF($A7='Client Report'!$C$4,COUNTIFS($A$6:$A7,'Client Report'!$C$4),""))</f>
        <v/>
      </c>
    </row>
    <row r="8" customFormat="false" ht="15" hidden="false" customHeight="false" outlineLevel="0" collapsed="false">
      <c r="A8" s="11"/>
      <c r="B8" s="11"/>
      <c r="C8" s="14" t="str">
        <f aca="false">IF($B8="","",IFERROR(TRIM(LEFT($B8,FIND(" - ",$B8)-1)),"Others"))</f>
        <v/>
      </c>
      <c r="D8" s="11"/>
      <c r="E8" s="11"/>
      <c r="F8" s="12"/>
      <c r="G8" s="21"/>
      <c r="H8" s="21"/>
      <c r="I8" s="21"/>
      <c r="J8" s="21"/>
      <c r="K8" s="21"/>
      <c r="L8" s="21"/>
      <c r="M8" s="21"/>
      <c r="N8" s="22"/>
      <c r="O8" s="22"/>
      <c r="P8" s="17" t="str">
        <f aca="false">IF($A8="","",SUM($G8:$I8))</f>
        <v/>
      </c>
      <c r="Q8" s="17" t="str">
        <f aca="false">IF($A8="","",SUM($J8:$L8))</f>
        <v/>
      </c>
      <c r="R8" s="17" t="str">
        <f aca="false">IF($A8="","",($M8+$Q8)-$P8)</f>
        <v/>
      </c>
      <c r="S8" s="18" t="str">
        <f aca="false">IF(OR($A8="",$P8=0),"",$R8/$P8)</f>
        <v/>
      </c>
      <c r="T8" s="23"/>
      <c r="U8" s="14" t="str">
        <f aca="false">IF($A8="","",IF($M8&gt;0,"Live","Exited"))</f>
        <v/>
      </c>
      <c r="V8" s="20" t="str">
        <f aca="false">IF($A8="","",IF($A8='Client Report'!$C$4,COUNTIFS($A$6:$A8,'Client Report'!$C$4),""))</f>
        <v/>
      </c>
    </row>
    <row r="9" customFormat="false" ht="15" hidden="false" customHeight="false" outlineLevel="0" collapsed="false">
      <c r="A9" s="11"/>
      <c r="B9" s="11"/>
      <c r="C9" s="14" t="str">
        <f aca="false">IF($B9="","",IFERROR(TRIM(LEFT($B9,FIND(" - ",$B9)-1)),"Others"))</f>
        <v/>
      </c>
      <c r="D9" s="11"/>
      <c r="E9" s="11"/>
      <c r="F9" s="12"/>
      <c r="G9" s="21"/>
      <c r="H9" s="21"/>
      <c r="I9" s="21"/>
      <c r="J9" s="21"/>
      <c r="K9" s="21"/>
      <c r="L9" s="21"/>
      <c r="M9" s="21"/>
      <c r="N9" s="22"/>
      <c r="O9" s="22"/>
      <c r="P9" s="17" t="str">
        <f aca="false">IF($A9="","",SUM($G9:$I9))</f>
        <v/>
      </c>
      <c r="Q9" s="17" t="str">
        <f aca="false">IF($A9="","",SUM($J9:$L9))</f>
        <v/>
      </c>
      <c r="R9" s="17" t="str">
        <f aca="false">IF($A9="","",($M9+$Q9)-$P9)</f>
        <v/>
      </c>
      <c r="S9" s="18" t="str">
        <f aca="false">IF(OR($A9="",$P9=0),"",$R9/$P9)</f>
        <v/>
      </c>
      <c r="T9" s="23"/>
      <c r="U9" s="14" t="str">
        <f aca="false">IF($A9="","",IF($M9&gt;0,"Live","Exited"))</f>
        <v/>
      </c>
      <c r="V9" s="20" t="str">
        <f aca="false">IF($A9="","",IF($A9='Client Report'!$C$4,COUNTIFS($A$6:$A9,'Client Report'!$C$4),""))</f>
        <v/>
      </c>
    </row>
    <row r="10" customFormat="false" ht="15" hidden="false" customHeight="false" outlineLevel="0" collapsed="false">
      <c r="A10" s="11"/>
      <c r="B10" s="11"/>
      <c r="C10" s="14" t="str">
        <f aca="false">IF($B10="","",IFERROR(TRIM(LEFT($B10,FIND(" - ",$B10)-1)),"Others"))</f>
        <v/>
      </c>
      <c r="D10" s="11"/>
      <c r="E10" s="11"/>
      <c r="F10" s="12"/>
      <c r="G10" s="21"/>
      <c r="H10" s="21"/>
      <c r="I10" s="21"/>
      <c r="J10" s="21"/>
      <c r="K10" s="21"/>
      <c r="L10" s="21"/>
      <c r="M10" s="21"/>
      <c r="N10" s="22"/>
      <c r="O10" s="22"/>
      <c r="P10" s="17" t="str">
        <f aca="false">IF($A10="","",SUM($G10:$I10))</f>
        <v/>
      </c>
      <c r="Q10" s="17" t="str">
        <f aca="false">IF($A10="","",SUM($J10:$L10))</f>
        <v/>
      </c>
      <c r="R10" s="17" t="str">
        <f aca="false">IF($A10="","",($M10+$Q10)-$P10)</f>
        <v/>
      </c>
      <c r="S10" s="18" t="str">
        <f aca="false">IF(OR($A10="",$P10=0),"",$R10/$P10)</f>
        <v/>
      </c>
      <c r="T10" s="23"/>
      <c r="U10" s="14" t="str">
        <f aca="false">IF($A10="","",IF($M10&gt;0,"Live","Exited"))</f>
        <v/>
      </c>
      <c r="V10" s="20" t="str">
        <f aca="false">IF($A10="","",IF($A10='Client Report'!$C$4,COUNTIFS($A$6:$A10,'Client Report'!$C$4),""))</f>
        <v/>
      </c>
    </row>
    <row r="11" customFormat="false" ht="15" hidden="false" customHeight="false" outlineLevel="0" collapsed="false">
      <c r="A11" s="11"/>
      <c r="B11" s="11"/>
      <c r="C11" s="14" t="str">
        <f aca="false">IF($B11="","",IFERROR(TRIM(LEFT($B11,FIND(" - ",$B11)-1)),"Others"))</f>
        <v/>
      </c>
      <c r="D11" s="11"/>
      <c r="E11" s="11"/>
      <c r="F11" s="12"/>
      <c r="G11" s="21"/>
      <c r="H11" s="21"/>
      <c r="I11" s="21"/>
      <c r="J11" s="21"/>
      <c r="K11" s="21"/>
      <c r="L11" s="21"/>
      <c r="M11" s="21"/>
      <c r="N11" s="22"/>
      <c r="O11" s="22"/>
      <c r="P11" s="17" t="str">
        <f aca="false">IF($A11="","",SUM($G11:$I11))</f>
        <v/>
      </c>
      <c r="Q11" s="17" t="str">
        <f aca="false">IF($A11="","",SUM($J11:$L11))</f>
        <v/>
      </c>
      <c r="R11" s="17" t="str">
        <f aca="false">IF($A11="","",($M11+$Q11)-$P11)</f>
        <v/>
      </c>
      <c r="S11" s="18" t="str">
        <f aca="false">IF(OR($A11="",$P11=0),"",$R11/$P11)</f>
        <v/>
      </c>
      <c r="T11" s="23"/>
      <c r="U11" s="14" t="str">
        <f aca="false">IF($A11="","",IF($M11&gt;0,"Live","Exited"))</f>
        <v/>
      </c>
      <c r="V11" s="20" t="str">
        <f aca="false">IF($A11="","",IF($A11='Client Report'!$C$4,COUNTIFS($A$6:$A11,'Client Report'!$C$4),""))</f>
        <v/>
      </c>
    </row>
    <row r="12" customFormat="false" ht="15" hidden="false" customHeight="false" outlineLevel="0" collapsed="false">
      <c r="A12" s="11"/>
      <c r="B12" s="11"/>
      <c r="C12" s="14" t="str">
        <f aca="false">IF($B12="","",IFERROR(TRIM(LEFT($B12,FIND(" - ",$B12)-1)),"Others"))</f>
        <v/>
      </c>
      <c r="D12" s="11"/>
      <c r="E12" s="11"/>
      <c r="F12" s="12"/>
      <c r="G12" s="21"/>
      <c r="H12" s="21"/>
      <c r="I12" s="21"/>
      <c r="J12" s="21"/>
      <c r="K12" s="21"/>
      <c r="L12" s="21"/>
      <c r="M12" s="21"/>
      <c r="N12" s="22"/>
      <c r="O12" s="22"/>
      <c r="P12" s="17" t="str">
        <f aca="false">IF($A12="","",SUM($G12:$I12))</f>
        <v/>
      </c>
      <c r="Q12" s="17" t="str">
        <f aca="false">IF($A12="","",SUM($J12:$L12))</f>
        <v/>
      </c>
      <c r="R12" s="17" t="str">
        <f aca="false">IF($A12="","",($M12+$Q12)-$P12)</f>
        <v/>
      </c>
      <c r="S12" s="18" t="str">
        <f aca="false">IF(OR($A12="",$P12=0),"",$R12/$P12)</f>
        <v/>
      </c>
      <c r="T12" s="23"/>
      <c r="U12" s="14" t="str">
        <f aca="false">IF($A12="","",IF($M12&gt;0,"Live","Exited"))</f>
        <v/>
      </c>
      <c r="V12" s="20" t="str">
        <f aca="false">IF($A12="","",IF($A12='Client Report'!$C$4,COUNTIFS($A$6:$A12,'Client Report'!$C$4),""))</f>
        <v/>
      </c>
    </row>
    <row r="13" customFormat="false" ht="15" hidden="false" customHeight="false" outlineLevel="0" collapsed="false">
      <c r="A13" s="11"/>
      <c r="B13" s="11"/>
      <c r="C13" s="14" t="str">
        <f aca="false">IF($B13="","",IFERROR(TRIM(LEFT($B13,FIND(" - ",$B13)-1)),"Others"))</f>
        <v/>
      </c>
      <c r="D13" s="11"/>
      <c r="E13" s="11"/>
      <c r="F13" s="12"/>
      <c r="G13" s="21"/>
      <c r="H13" s="21"/>
      <c r="I13" s="21"/>
      <c r="J13" s="21"/>
      <c r="K13" s="21"/>
      <c r="L13" s="21"/>
      <c r="M13" s="21"/>
      <c r="N13" s="22"/>
      <c r="O13" s="22"/>
      <c r="P13" s="17" t="str">
        <f aca="false">IF($A13="","",SUM($G13:$I13))</f>
        <v/>
      </c>
      <c r="Q13" s="17" t="str">
        <f aca="false">IF($A13="","",SUM($J13:$L13))</f>
        <v/>
      </c>
      <c r="R13" s="17" t="str">
        <f aca="false">IF($A13="","",($M13+$Q13)-$P13)</f>
        <v/>
      </c>
      <c r="S13" s="18" t="str">
        <f aca="false">IF(OR($A13="",$P13=0),"",$R13/$P13)</f>
        <v/>
      </c>
      <c r="T13" s="23"/>
      <c r="U13" s="14" t="str">
        <f aca="false">IF($A13="","",IF($M13&gt;0,"Live","Exited"))</f>
        <v/>
      </c>
      <c r="V13" s="20" t="str">
        <f aca="false">IF($A13="","",IF($A13='Client Report'!$C$4,COUNTIFS($A$6:$A13,'Client Report'!$C$4),""))</f>
        <v/>
      </c>
    </row>
    <row r="14" customFormat="false" ht="15" hidden="false" customHeight="false" outlineLevel="0" collapsed="false">
      <c r="A14" s="11"/>
      <c r="B14" s="11"/>
      <c r="C14" s="14" t="str">
        <f aca="false">IF($B14="","",IFERROR(TRIM(LEFT($B14,FIND(" - ",$B14)-1)),"Others"))</f>
        <v/>
      </c>
      <c r="D14" s="11"/>
      <c r="E14" s="11"/>
      <c r="F14" s="12"/>
      <c r="G14" s="21"/>
      <c r="H14" s="21"/>
      <c r="I14" s="21"/>
      <c r="J14" s="21"/>
      <c r="K14" s="21"/>
      <c r="L14" s="21"/>
      <c r="M14" s="21"/>
      <c r="N14" s="22"/>
      <c r="O14" s="22"/>
      <c r="P14" s="17" t="str">
        <f aca="false">IF($A14="","",SUM($G14:$I14))</f>
        <v/>
      </c>
      <c r="Q14" s="17" t="str">
        <f aca="false">IF($A14="","",SUM($J14:$L14))</f>
        <v/>
      </c>
      <c r="R14" s="17" t="str">
        <f aca="false">IF($A14="","",($M14+$Q14)-$P14)</f>
        <v/>
      </c>
      <c r="S14" s="18" t="str">
        <f aca="false">IF(OR($A14="",$P14=0),"",$R14/$P14)</f>
        <v/>
      </c>
      <c r="T14" s="23"/>
      <c r="U14" s="14" t="str">
        <f aca="false">IF($A14="","",IF($M14&gt;0,"Live","Exited"))</f>
        <v/>
      </c>
      <c r="V14" s="20" t="str">
        <f aca="false">IF($A14="","",IF($A14='Client Report'!$C$4,COUNTIFS($A$6:$A14,'Client Report'!$C$4),""))</f>
        <v/>
      </c>
    </row>
    <row r="15" customFormat="false" ht="15" hidden="false" customHeight="false" outlineLevel="0" collapsed="false">
      <c r="A15" s="11"/>
      <c r="B15" s="11"/>
      <c r="C15" s="14" t="str">
        <f aca="false">IF($B15="","",IFERROR(TRIM(LEFT($B15,FIND(" - ",$B15)-1)),"Others"))</f>
        <v/>
      </c>
      <c r="D15" s="11"/>
      <c r="E15" s="11"/>
      <c r="F15" s="12"/>
      <c r="G15" s="21"/>
      <c r="H15" s="21"/>
      <c r="I15" s="21"/>
      <c r="J15" s="21"/>
      <c r="K15" s="21"/>
      <c r="L15" s="21"/>
      <c r="M15" s="21"/>
      <c r="N15" s="22"/>
      <c r="O15" s="22"/>
      <c r="P15" s="17" t="str">
        <f aca="false">IF($A15="","",SUM($G15:$I15))</f>
        <v/>
      </c>
      <c r="Q15" s="17" t="str">
        <f aca="false">IF($A15="","",SUM($J15:$L15))</f>
        <v/>
      </c>
      <c r="R15" s="17" t="str">
        <f aca="false">IF($A15="","",($M15+$Q15)-$P15)</f>
        <v/>
      </c>
      <c r="S15" s="18" t="str">
        <f aca="false">IF(OR($A15="",$P15=0),"",$R15/$P15)</f>
        <v/>
      </c>
      <c r="T15" s="23"/>
      <c r="U15" s="14" t="str">
        <f aca="false">IF($A15="","",IF($M15&gt;0,"Live","Exited"))</f>
        <v/>
      </c>
      <c r="V15" s="20" t="str">
        <f aca="false">IF($A15="","",IF($A15='Client Report'!$C$4,COUNTIFS($A$6:$A15,'Client Report'!$C$4),""))</f>
        <v/>
      </c>
    </row>
    <row r="16" customFormat="false" ht="15" hidden="false" customHeight="false" outlineLevel="0" collapsed="false">
      <c r="A16" s="11"/>
      <c r="B16" s="11"/>
      <c r="C16" s="14" t="str">
        <f aca="false">IF($B16="","",IFERROR(TRIM(LEFT($B16,FIND(" - ",$B16)-1)),"Others"))</f>
        <v/>
      </c>
      <c r="D16" s="11"/>
      <c r="E16" s="11"/>
      <c r="F16" s="12"/>
      <c r="G16" s="21"/>
      <c r="H16" s="21"/>
      <c r="I16" s="21"/>
      <c r="J16" s="21"/>
      <c r="K16" s="21"/>
      <c r="L16" s="21"/>
      <c r="M16" s="21"/>
      <c r="N16" s="22"/>
      <c r="O16" s="22"/>
      <c r="P16" s="17" t="str">
        <f aca="false">IF($A16="","",SUM($G16:$I16))</f>
        <v/>
      </c>
      <c r="Q16" s="17" t="str">
        <f aca="false">IF($A16="","",SUM($J16:$L16))</f>
        <v/>
      </c>
      <c r="R16" s="17" t="str">
        <f aca="false">IF($A16="","",($M16+$Q16)-$P16)</f>
        <v/>
      </c>
      <c r="S16" s="18" t="str">
        <f aca="false">IF(OR($A16="",$P16=0),"",$R16/$P16)</f>
        <v/>
      </c>
      <c r="T16" s="23"/>
      <c r="U16" s="14" t="str">
        <f aca="false">IF($A16="","",IF($M16&gt;0,"Live","Exited"))</f>
        <v/>
      </c>
      <c r="V16" s="20" t="str">
        <f aca="false">IF($A16="","",IF($A16='Client Report'!$C$4,COUNTIFS($A$6:$A16,'Client Report'!$C$4),""))</f>
        <v/>
      </c>
    </row>
    <row r="17" customFormat="false" ht="15" hidden="false" customHeight="false" outlineLevel="0" collapsed="false">
      <c r="A17" s="11"/>
      <c r="B17" s="11"/>
      <c r="C17" s="14" t="str">
        <f aca="false">IF($B17="","",IFERROR(TRIM(LEFT($B17,FIND(" - ",$B17)-1)),"Others"))</f>
        <v/>
      </c>
      <c r="D17" s="11"/>
      <c r="E17" s="11"/>
      <c r="F17" s="12"/>
      <c r="G17" s="21"/>
      <c r="H17" s="21"/>
      <c r="I17" s="21"/>
      <c r="J17" s="21"/>
      <c r="K17" s="21"/>
      <c r="L17" s="21"/>
      <c r="M17" s="21"/>
      <c r="N17" s="22"/>
      <c r="O17" s="22"/>
      <c r="P17" s="17" t="str">
        <f aca="false">IF($A17="","",SUM($G17:$I17))</f>
        <v/>
      </c>
      <c r="Q17" s="17" t="str">
        <f aca="false">IF($A17="","",SUM($J17:$L17))</f>
        <v/>
      </c>
      <c r="R17" s="17" t="str">
        <f aca="false">IF($A17="","",($M17+$Q17)-$P17)</f>
        <v/>
      </c>
      <c r="S17" s="18" t="str">
        <f aca="false">IF(OR($A17="",$P17=0),"",$R17/$P17)</f>
        <v/>
      </c>
      <c r="T17" s="23"/>
      <c r="U17" s="14" t="str">
        <f aca="false">IF($A17="","",IF($M17&gt;0,"Live","Exited"))</f>
        <v/>
      </c>
      <c r="V17" s="20" t="str">
        <f aca="false">IF($A17="","",IF($A17='Client Report'!$C$4,COUNTIFS($A$6:$A17,'Client Report'!$C$4),""))</f>
        <v/>
      </c>
    </row>
    <row r="18" customFormat="false" ht="15" hidden="false" customHeight="false" outlineLevel="0" collapsed="false">
      <c r="A18" s="11"/>
      <c r="B18" s="11"/>
      <c r="C18" s="14" t="str">
        <f aca="false">IF($B18="","",IFERROR(TRIM(LEFT($B18,FIND(" - ",$B18)-1)),"Others"))</f>
        <v/>
      </c>
      <c r="D18" s="11"/>
      <c r="E18" s="11"/>
      <c r="F18" s="12"/>
      <c r="G18" s="21"/>
      <c r="H18" s="21"/>
      <c r="I18" s="21"/>
      <c r="J18" s="21"/>
      <c r="K18" s="21"/>
      <c r="L18" s="21"/>
      <c r="M18" s="21"/>
      <c r="N18" s="22"/>
      <c r="O18" s="22"/>
      <c r="P18" s="17" t="str">
        <f aca="false">IF($A18="","",SUM($G18:$I18))</f>
        <v/>
      </c>
      <c r="Q18" s="17" t="str">
        <f aca="false">IF($A18="","",SUM($J18:$L18))</f>
        <v/>
      </c>
      <c r="R18" s="17" t="str">
        <f aca="false">IF($A18="","",($M18+$Q18)-$P18)</f>
        <v/>
      </c>
      <c r="S18" s="18" t="str">
        <f aca="false">IF(OR($A18="",$P18=0),"",$R18/$P18)</f>
        <v/>
      </c>
      <c r="T18" s="23"/>
      <c r="U18" s="14" t="str">
        <f aca="false">IF($A18="","",IF($M18&gt;0,"Live","Exited"))</f>
        <v/>
      </c>
      <c r="V18" s="20" t="str">
        <f aca="false">IF($A18="","",IF($A18='Client Report'!$C$4,COUNTIFS($A$6:$A18,'Client Report'!$C$4),""))</f>
        <v/>
      </c>
    </row>
    <row r="19" customFormat="false" ht="15" hidden="false" customHeight="false" outlineLevel="0" collapsed="false">
      <c r="A19" s="11"/>
      <c r="B19" s="11"/>
      <c r="C19" s="14" t="str">
        <f aca="false">IF($B19="","",IFERROR(TRIM(LEFT($B19,FIND(" - ",$B19)-1)),"Others"))</f>
        <v/>
      </c>
      <c r="D19" s="11"/>
      <c r="E19" s="11"/>
      <c r="F19" s="12"/>
      <c r="G19" s="21"/>
      <c r="H19" s="21"/>
      <c r="I19" s="21"/>
      <c r="J19" s="21"/>
      <c r="K19" s="21"/>
      <c r="L19" s="21"/>
      <c r="M19" s="21"/>
      <c r="N19" s="22"/>
      <c r="O19" s="22"/>
      <c r="P19" s="17" t="str">
        <f aca="false">IF($A19="","",SUM($G19:$I19))</f>
        <v/>
      </c>
      <c r="Q19" s="17" t="str">
        <f aca="false">IF($A19="","",SUM($J19:$L19))</f>
        <v/>
      </c>
      <c r="R19" s="17" t="str">
        <f aca="false">IF($A19="","",($M19+$Q19)-$P19)</f>
        <v/>
      </c>
      <c r="S19" s="18" t="str">
        <f aca="false">IF(OR($A19="",$P19=0),"",$R19/$P19)</f>
        <v/>
      </c>
      <c r="T19" s="23"/>
      <c r="U19" s="14" t="str">
        <f aca="false">IF($A19="","",IF($M19&gt;0,"Live","Exited"))</f>
        <v/>
      </c>
      <c r="V19" s="20" t="str">
        <f aca="false">IF($A19="","",IF($A19='Client Report'!$C$4,COUNTIFS($A$6:$A19,'Client Report'!$C$4),""))</f>
        <v/>
      </c>
    </row>
    <row r="20" customFormat="false" ht="15" hidden="false" customHeight="false" outlineLevel="0" collapsed="false">
      <c r="A20" s="11"/>
      <c r="B20" s="11"/>
      <c r="C20" s="14" t="str">
        <f aca="false">IF($B20="","",IFERROR(TRIM(LEFT($B20,FIND(" - ",$B20)-1)),"Others"))</f>
        <v/>
      </c>
      <c r="D20" s="11"/>
      <c r="E20" s="11"/>
      <c r="F20" s="12"/>
      <c r="G20" s="21"/>
      <c r="H20" s="21"/>
      <c r="I20" s="21"/>
      <c r="J20" s="21"/>
      <c r="K20" s="21"/>
      <c r="L20" s="21"/>
      <c r="M20" s="21"/>
      <c r="N20" s="22"/>
      <c r="O20" s="22"/>
      <c r="P20" s="17" t="str">
        <f aca="false">IF($A20="","",SUM($G20:$I20))</f>
        <v/>
      </c>
      <c r="Q20" s="17" t="str">
        <f aca="false">IF($A20="","",SUM($J20:$L20))</f>
        <v/>
      </c>
      <c r="R20" s="17" t="str">
        <f aca="false">IF($A20="","",($M20+$Q20)-$P20)</f>
        <v/>
      </c>
      <c r="S20" s="18" t="str">
        <f aca="false">IF(OR($A20="",$P20=0),"",$R20/$P20)</f>
        <v/>
      </c>
      <c r="T20" s="23"/>
      <c r="U20" s="14" t="str">
        <f aca="false">IF($A20="","",IF($M20&gt;0,"Live","Exited"))</f>
        <v/>
      </c>
      <c r="V20" s="20" t="str">
        <f aca="false">IF($A20="","",IF($A20='Client Report'!$C$4,COUNTIFS($A$6:$A20,'Client Report'!$C$4),""))</f>
        <v/>
      </c>
    </row>
    <row r="21" customFormat="false" ht="15" hidden="false" customHeight="false" outlineLevel="0" collapsed="false">
      <c r="A21" s="11"/>
      <c r="B21" s="11"/>
      <c r="C21" s="14" t="str">
        <f aca="false">IF($B21="","",IFERROR(TRIM(LEFT($B21,FIND(" - ",$B21)-1)),"Others"))</f>
        <v/>
      </c>
      <c r="D21" s="11"/>
      <c r="E21" s="11"/>
      <c r="F21" s="12"/>
      <c r="G21" s="21"/>
      <c r="H21" s="21"/>
      <c r="I21" s="21"/>
      <c r="J21" s="21"/>
      <c r="K21" s="21"/>
      <c r="L21" s="21"/>
      <c r="M21" s="21"/>
      <c r="N21" s="22"/>
      <c r="O21" s="22"/>
      <c r="P21" s="17" t="str">
        <f aca="false">IF($A21="","",SUM($G21:$I21))</f>
        <v/>
      </c>
      <c r="Q21" s="17" t="str">
        <f aca="false">IF($A21="","",SUM($J21:$L21))</f>
        <v/>
      </c>
      <c r="R21" s="17" t="str">
        <f aca="false">IF($A21="","",($M21+$Q21)-$P21)</f>
        <v/>
      </c>
      <c r="S21" s="18" t="str">
        <f aca="false">IF(OR($A21="",$P21=0),"",$R21/$P21)</f>
        <v/>
      </c>
      <c r="T21" s="23"/>
      <c r="U21" s="14" t="str">
        <f aca="false">IF($A21="","",IF($M21&gt;0,"Live","Exited"))</f>
        <v/>
      </c>
      <c r="V21" s="20" t="str">
        <f aca="false">IF($A21="","",IF($A21='Client Report'!$C$4,COUNTIFS($A$6:$A21,'Client Report'!$C$4),""))</f>
        <v/>
      </c>
    </row>
    <row r="22" customFormat="false" ht="15" hidden="false" customHeight="false" outlineLevel="0" collapsed="false">
      <c r="A22" s="11"/>
      <c r="B22" s="11"/>
      <c r="C22" s="14" t="str">
        <f aca="false">IF($B22="","",IFERROR(TRIM(LEFT($B22,FIND(" - ",$B22)-1)),"Others"))</f>
        <v/>
      </c>
      <c r="D22" s="11"/>
      <c r="E22" s="11"/>
      <c r="F22" s="12"/>
      <c r="G22" s="21"/>
      <c r="H22" s="21"/>
      <c r="I22" s="21"/>
      <c r="J22" s="21"/>
      <c r="K22" s="21"/>
      <c r="L22" s="21"/>
      <c r="M22" s="21"/>
      <c r="N22" s="22"/>
      <c r="O22" s="22"/>
      <c r="P22" s="17" t="str">
        <f aca="false">IF($A22="","",SUM($G22:$I22))</f>
        <v/>
      </c>
      <c r="Q22" s="17" t="str">
        <f aca="false">IF($A22="","",SUM($J22:$L22))</f>
        <v/>
      </c>
      <c r="R22" s="17" t="str">
        <f aca="false">IF($A22="","",($M22+$Q22)-$P22)</f>
        <v/>
      </c>
      <c r="S22" s="18" t="str">
        <f aca="false">IF(OR($A22="",$P22=0),"",$R22/$P22)</f>
        <v/>
      </c>
      <c r="T22" s="23"/>
      <c r="U22" s="14" t="str">
        <f aca="false">IF($A22="","",IF($M22&gt;0,"Live","Exited"))</f>
        <v/>
      </c>
      <c r="V22" s="20" t="str">
        <f aca="false">IF($A22="","",IF($A22='Client Report'!$C$4,COUNTIFS($A$6:$A22,'Client Report'!$C$4),""))</f>
        <v/>
      </c>
    </row>
    <row r="23" customFormat="false" ht="15" hidden="false" customHeight="false" outlineLevel="0" collapsed="false">
      <c r="A23" s="11"/>
      <c r="B23" s="11"/>
      <c r="C23" s="14" t="str">
        <f aca="false">IF($B23="","",IFERROR(TRIM(LEFT($B23,FIND(" - ",$B23)-1)),"Others"))</f>
        <v/>
      </c>
      <c r="D23" s="11"/>
      <c r="E23" s="11"/>
      <c r="F23" s="12"/>
      <c r="G23" s="21"/>
      <c r="H23" s="21"/>
      <c r="I23" s="21"/>
      <c r="J23" s="21"/>
      <c r="K23" s="21"/>
      <c r="L23" s="21"/>
      <c r="M23" s="21"/>
      <c r="N23" s="22"/>
      <c r="O23" s="22"/>
      <c r="P23" s="17" t="str">
        <f aca="false">IF($A23="","",SUM($G23:$I23))</f>
        <v/>
      </c>
      <c r="Q23" s="17" t="str">
        <f aca="false">IF($A23="","",SUM($J23:$L23))</f>
        <v/>
      </c>
      <c r="R23" s="17" t="str">
        <f aca="false">IF($A23="","",($M23+$Q23)-$P23)</f>
        <v/>
      </c>
      <c r="S23" s="18" t="str">
        <f aca="false">IF(OR($A23="",$P23=0),"",$R23/$P23)</f>
        <v/>
      </c>
      <c r="T23" s="23"/>
      <c r="U23" s="14" t="str">
        <f aca="false">IF($A23="","",IF($M23&gt;0,"Live","Exited"))</f>
        <v/>
      </c>
      <c r="V23" s="20" t="str">
        <f aca="false">IF($A23="","",IF($A23='Client Report'!$C$4,COUNTIFS($A$6:$A23,'Client Report'!$C$4),""))</f>
        <v/>
      </c>
    </row>
    <row r="24" customFormat="false" ht="15" hidden="false" customHeight="false" outlineLevel="0" collapsed="false">
      <c r="A24" s="11"/>
      <c r="B24" s="11"/>
      <c r="C24" s="14" t="str">
        <f aca="false">IF($B24="","",IFERROR(TRIM(LEFT($B24,FIND(" - ",$B24)-1)),"Others"))</f>
        <v/>
      </c>
      <c r="D24" s="11"/>
      <c r="E24" s="11"/>
      <c r="F24" s="12"/>
      <c r="G24" s="21"/>
      <c r="H24" s="21"/>
      <c r="I24" s="21"/>
      <c r="J24" s="21"/>
      <c r="K24" s="21"/>
      <c r="L24" s="21"/>
      <c r="M24" s="21"/>
      <c r="N24" s="22"/>
      <c r="O24" s="22"/>
      <c r="P24" s="17" t="str">
        <f aca="false">IF($A24="","",SUM($G24:$I24))</f>
        <v/>
      </c>
      <c r="Q24" s="17" t="str">
        <f aca="false">IF($A24="","",SUM($J24:$L24))</f>
        <v/>
      </c>
      <c r="R24" s="17" t="str">
        <f aca="false">IF($A24="","",($M24+$Q24)-$P24)</f>
        <v/>
      </c>
      <c r="S24" s="18" t="str">
        <f aca="false">IF(OR($A24="",$P24=0),"",$R24/$P24)</f>
        <v/>
      </c>
      <c r="T24" s="23"/>
      <c r="U24" s="14" t="str">
        <f aca="false">IF($A24="","",IF($M24&gt;0,"Live","Exited"))</f>
        <v/>
      </c>
      <c r="V24" s="20" t="str">
        <f aca="false">IF($A24="","",IF($A24='Client Report'!$C$4,COUNTIFS($A$6:$A24,'Client Report'!$C$4),""))</f>
        <v/>
      </c>
    </row>
    <row r="25" customFormat="false" ht="15" hidden="false" customHeight="false" outlineLevel="0" collapsed="false">
      <c r="A25" s="11"/>
      <c r="B25" s="11"/>
      <c r="C25" s="14" t="str">
        <f aca="false">IF($B25="","",IFERROR(TRIM(LEFT($B25,FIND(" - ",$B25)-1)),"Others"))</f>
        <v/>
      </c>
      <c r="D25" s="11"/>
      <c r="E25" s="11"/>
      <c r="F25" s="12"/>
      <c r="G25" s="21"/>
      <c r="H25" s="21"/>
      <c r="I25" s="21"/>
      <c r="J25" s="21"/>
      <c r="K25" s="21"/>
      <c r="L25" s="21"/>
      <c r="M25" s="21"/>
      <c r="N25" s="22"/>
      <c r="O25" s="22"/>
      <c r="P25" s="17" t="str">
        <f aca="false">IF($A25="","",SUM($G25:$I25))</f>
        <v/>
      </c>
      <c r="Q25" s="17" t="str">
        <f aca="false">IF($A25="","",SUM($J25:$L25))</f>
        <v/>
      </c>
      <c r="R25" s="17" t="str">
        <f aca="false">IF($A25="","",($M25+$Q25)-$P25)</f>
        <v/>
      </c>
      <c r="S25" s="18" t="str">
        <f aca="false">IF(OR($A25="",$P25=0),"",$R25/$P25)</f>
        <v/>
      </c>
      <c r="T25" s="23"/>
      <c r="U25" s="14" t="str">
        <f aca="false">IF($A25="","",IF($M25&gt;0,"Live","Exited"))</f>
        <v/>
      </c>
      <c r="V25" s="20" t="str">
        <f aca="false">IF($A25="","",IF($A25='Client Report'!$C$4,COUNTIFS($A$6:$A25,'Client Report'!$C$4),""))</f>
        <v/>
      </c>
    </row>
    <row r="26" customFormat="false" ht="15" hidden="false" customHeight="false" outlineLevel="0" collapsed="false">
      <c r="A26" s="11"/>
      <c r="B26" s="11"/>
      <c r="C26" s="14" t="str">
        <f aca="false">IF($B26="","",IFERROR(TRIM(LEFT($B26,FIND(" - ",$B26)-1)),"Others"))</f>
        <v/>
      </c>
      <c r="D26" s="11"/>
      <c r="E26" s="11"/>
      <c r="F26" s="12"/>
      <c r="G26" s="21"/>
      <c r="H26" s="21"/>
      <c r="I26" s="21"/>
      <c r="J26" s="21"/>
      <c r="K26" s="21"/>
      <c r="L26" s="21"/>
      <c r="M26" s="21"/>
      <c r="N26" s="22"/>
      <c r="O26" s="22"/>
      <c r="P26" s="17" t="str">
        <f aca="false">IF($A26="","",SUM($G26:$I26))</f>
        <v/>
      </c>
      <c r="Q26" s="17" t="str">
        <f aca="false">IF($A26="","",SUM($J26:$L26))</f>
        <v/>
      </c>
      <c r="R26" s="17" t="str">
        <f aca="false">IF($A26="","",($M26+$Q26)-$P26)</f>
        <v/>
      </c>
      <c r="S26" s="18" t="str">
        <f aca="false">IF(OR($A26="",$P26=0),"",$R26/$P26)</f>
        <v/>
      </c>
      <c r="T26" s="23"/>
      <c r="U26" s="14" t="str">
        <f aca="false">IF($A26="","",IF($M26&gt;0,"Live","Exited"))</f>
        <v/>
      </c>
      <c r="V26" s="20" t="str">
        <f aca="false">IF($A26="","",IF($A26='Client Report'!$C$4,COUNTIFS($A$6:$A26,'Client Report'!$C$4),""))</f>
        <v/>
      </c>
    </row>
    <row r="27" customFormat="false" ht="15" hidden="false" customHeight="false" outlineLevel="0" collapsed="false">
      <c r="A27" s="11"/>
      <c r="B27" s="11"/>
      <c r="C27" s="14" t="str">
        <f aca="false">IF($B27="","",IFERROR(TRIM(LEFT($B27,FIND(" - ",$B27)-1)),"Others"))</f>
        <v/>
      </c>
      <c r="D27" s="11"/>
      <c r="E27" s="11"/>
      <c r="F27" s="12"/>
      <c r="G27" s="21"/>
      <c r="H27" s="21"/>
      <c r="I27" s="21"/>
      <c r="J27" s="21"/>
      <c r="K27" s="21"/>
      <c r="L27" s="21"/>
      <c r="M27" s="21"/>
      <c r="N27" s="22"/>
      <c r="O27" s="22"/>
      <c r="P27" s="17" t="str">
        <f aca="false">IF($A27="","",SUM($G27:$I27))</f>
        <v/>
      </c>
      <c r="Q27" s="17" t="str">
        <f aca="false">IF($A27="","",SUM($J27:$L27))</f>
        <v/>
      </c>
      <c r="R27" s="17" t="str">
        <f aca="false">IF($A27="","",($M27+$Q27)-$P27)</f>
        <v/>
      </c>
      <c r="S27" s="18" t="str">
        <f aca="false">IF(OR($A27="",$P27=0),"",$R27/$P27)</f>
        <v/>
      </c>
      <c r="T27" s="23"/>
      <c r="U27" s="14" t="str">
        <f aca="false">IF($A27="","",IF($M27&gt;0,"Live","Exited"))</f>
        <v/>
      </c>
      <c r="V27" s="20" t="str">
        <f aca="false">IF($A27="","",IF($A27='Client Report'!$C$4,COUNTIFS($A$6:$A27,'Client Report'!$C$4),""))</f>
        <v/>
      </c>
    </row>
    <row r="28" customFormat="false" ht="15" hidden="false" customHeight="false" outlineLevel="0" collapsed="false">
      <c r="A28" s="11"/>
      <c r="B28" s="11"/>
      <c r="C28" s="14" t="str">
        <f aca="false">IF($B28="","",IFERROR(TRIM(LEFT($B28,FIND(" - ",$B28)-1)),"Others"))</f>
        <v/>
      </c>
      <c r="D28" s="11"/>
      <c r="E28" s="11"/>
      <c r="F28" s="12"/>
      <c r="G28" s="21"/>
      <c r="H28" s="21"/>
      <c r="I28" s="21"/>
      <c r="J28" s="21"/>
      <c r="K28" s="21"/>
      <c r="L28" s="21"/>
      <c r="M28" s="21"/>
      <c r="N28" s="22"/>
      <c r="O28" s="22"/>
      <c r="P28" s="17" t="str">
        <f aca="false">IF($A28="","",SUM($G28:$I28))</f>
        <v/>
      </c>
      <c r="Q28" s="17" t="str">
        <f aca="false">IF($A28="","",SUM($J28:$L28))</f>
        <v/>
      </c>
      <c r="R28" s="17" t="str">
        <f aca="false">IF($A28="","",($M28+$Q28)-$P28)</f>
        <v/>
      </c>
      <c r="S28" s="18" t="str">
        <f aca="false">IF(OR($A28="",$P28=0),"",$R28/$P28)</f>
        <v/>
      </c>
      <c r="T28" s="23"/>
      <c r="U28" s="14" t="str">
        <f aca="false">IF($A28="","",IF($M28&gt;0,"Live","Exited"))</f>
        <v/>
      </c>
      <c r="V28" s="20" t="str">
        <f aca="false">IF($A28="","",IF($A28='Client Report'!$C$4,COUNTIFS($A$6:$A28,'Client Report'!$C$4),""))</f>
        <v/>
      </c>
    </row>
    <row r="29" customFormat="false" ht="15" hidden="false" customHeight="false" outlineLevel="0" collapsed="false">
      <c r="A29" s="11"/>
      <c r="B29" s="11"/>
      <c r="C29" s="14" t="str">
        <f aca="false">IF($B29="","",IFERROR(TRIM(LEFT($B29,FIND(" - ",$B29)-1)),"Others"))</f>
        <v/>
      </c>
      <c r="D29" s="11"/>
      <c r="E29" s="11"/>
      <c r="F29" s="12"/>
      <c r="G29" s="21"/>
      <c r="H29" s="21"/>
      <c r="I29" s="21"/>
      <c r="J29" s="21"/>
      <c r="K29" s="21"/>
      <c r="L29" s="21"/>
      <c r="M29" s="21"/>
      <c r="N29" s="22"/>
      <c r="O29" s="22"/>
      <c r="P29" s="17" t="str">
        <f aca="false">IF($A29="","",SUM($G29:$I29))</f>
        <v/>
      </c>
      <c r="Q29" s="17" t="str">
        <f aca="false">IF($A29="","",SUM($J29:$L29))</f>
        <v/>
      </c>
      <c r="R29" s="17" t="str">
        <f aca="false">IF($A29="","",($M29+$Q29)-$P29)</f>
        <v/>
      </c>
      <c r="S29" s="18" t="str">
        <f aca="false">IF(OR($A29="",$P29=0),"",$R29/$P29)</f>
        <v/>
      </c>
      <c r="T29" s="23"/>
      <c r="U29" s="14" t="str">
        <f aca="false">IF($A29="","",IF($M29&gt;0,"Live","Exited"))</f>
        <v/>
      </c>
      <c r="V29" s="20" t="str">
        <f aca="false">IF($A29="","",IF($A29='Client Report'!$C$4,COUNTIFS($A$6:$A29,'Client Report'!$C$4),""))</f>
        <v/>
      </c>
    </row>
    <row r="30" customFormat="false" ht="15" hidden="false" customHeight="false" outlineLevel="0" collapsed="false">
      <c r="A30" s="11"/>
      <c r="B30" s="11"/>
      <c r="C30" s="14" t="str">
        <f aca="false">IF($B30="","",IFERROR(TRIM(LEFT($B30,FIND(" - ",$B30)-1)),"Others"))</f>
        <v/>
      </c>
      <c r="D30" s="11"/>
      <c r="E30" s="11"/>
      <c r="F30" s="12"/>
      <c r="G30" s="21"/>
      <c r="H30" s="21"/>
      <c r="I30" s="21"/>
      <c r="J30" s="21"/>
      <c r="K30" s="21"/>
      <c r="L30" s="21"/>
      <c r="M30" s="21"/>
      <c r="N30" s="22"/>
      <c r="O30" s="22"/>
      <c r="P30" s="17" t="str">
        <f aca="false">IF($A30="","",SUM($G30:$I30))</f>
        <v/>
      </c>
      <c r="Q30" s="17" t="str">
        <f aca="false">IF($A30="","",SUM($J30:$L30))</f>
        <v/>
      </c>
      <c r="R30" s="17" t="str">
        <f aca="false">IF($A30="","",($M30+$Q30)-$P30)</f>
        <v/>
      </c>
      <c r="S30" s="18" t="str">
        <f aca="false">IF(OR($A30="",$P30=0),"",$R30/$P30)</f>
        <v/>
      </c>
      <c r="T30" s="23"/>
      <c r="U30" s="14" t="str">
        <f aca="false">IF($A30="","",IF($M30&gt;0,"Live","Exited"))</f>
        <v/>
      </c>
      <c r="V30" s="20" t="str">
        <f aca="false">IF($A30="","",IF($A30='Client Report'!$C$4,COUNTIFS($A$6:$A30,'Client Report'!$C$4),""))</f>
        <v/>
      </c>
    </row>
    <row r="31" customFormat="false" ht="15" hidden="false" customHeight="false" outlineLevel="0" collapsed="false">
      <c r="A31" s="11"/>
      <c r="B31" s="11"/>
      <c r="C31" s="14" t="str">
        <f aca="false">IF($B31="","",IFERROR(TRIM(LEFT($B31,FIND(" - ",$B31)-1)),"Others"))</f>
        <v/>
      </c>
      <c r="D31" s="11"/>
      <c r="E31" s="11"/>
      <c r="F31" s="12"/>
      <c r="G31" s="21"/>
      <c r="H31" s="21"/>
      <c r="I31" s="21"/>
      <c r="J31" s="21"/>
      <c r="K31" s="21"/>
      <c r="L31" s="21"/>
      <c r="M31" s="21"/>
      <c r="N31" s="22"/>
      <c r="O31" s="22"/>
      <c r="P31" s="17" t="str">
        <f aca="false">IF($A31="","",SUM($G31:$I31))</f>
        <v/>
      </c>
      <c r="Q31" s="17" t="str">
        <f aca="false">IF($A31="","",SUM($J31:$L31))</f>
        <v/>
      </c>
      <c r="R31" s="17" t="str">
        <f aca="false">IF($A31="","",($M31+$Q31)-$P31)</f>
        <v/>
      </c>
      <c r="S31" s="18" t="str">
        <f aca="false">IF(OR($A31="",$P31=0),"",$R31/$P31)</f>
        <v/>
      </c>
      <c r="T31" s="23"/>
      <c r="U31" s="14" t="str">
        <f aca="false">IF($A31="","",IF($M31&gt;0,"Live","Exited"))</f>
        <v/>
      </c>
      <c r="V31" s="20" t="str">
        <f aca="false">IF($A31="","",IF($A31='Client Report'!$C$4,COUNTIFS($A$6:$A31,'Client Report'!$C$4),""))</f>
        <v/>
      </c>
    </row>
    <row r="32" customFormat="false" ht="15" hidden="false" customHeight="false" outlineLevel="0" collapsed="false">
      <c r="A32" s="11"/>
      <c r="B32" s="11"/>
      <c r="C32" s="14" t="str">
        <f aca="false">IF($B32="","",IFERROR(TRIM(LEFT($B32,FIND(" - ",$B32)-1)),"Others"))</f>
        <v/>
      </c>
      <c r="D32" s="11"/>
      <c r="E32" s="11"/>
      <c r="F32" s="12"/>
      <c r="G32" s="21"/>
      <c r="H32" s="21"/>
      <c r="I32" s="21"/>
      <c r="J32" s="21"/>
      <c r="K32" s="21"/>
      <c r="L32" s="21"/>
      <c r="M32" s="21"/>
      <c r="N32" s="22"/>
      <c r="O32" s="22"/>
      <c r="P32" s="17" t="str">
        <f aca="false">IF($A32="","",SUM($G32:$I32))</f>
        <v/>
      </c>
      <c r="Q32" s="17" t="str">
        <f aca="false">IF($A32="","",SUM($J32:$L32))</f>
        <v/>
      </c>
      <c r="R32" s="17" t="str">
        <f aca="false">IF($A32="","",($M32+$Q32)-$P32)</f>
        <v/>
      </c>
      <c r="S32" s="18" t="str">
        <f aca="false">IF(OR($A32="",$P32=0),"",$R32/$P32)</f>
        <v/>
      </c>
      <c r="T32" s="23"/>
      <c r="U32" s="14" t="str">
        <f aca="false">IF($A32="","",IF($M32&gt;0,"Live","Exited"))</f>
        <v/>
      </c>
      <c r="V32" s="20" t="str">
        <f aca="false">IF($A32="","",IF($A32='Client Report'!$C$4,COUNTIFS($A$6:$A32,'Client Report'!$C$4),""))</f>
        <v/>
      </c>
    </row>
    <row r="33" customFormat="false" ht="15" hidden="false" customHeight="false" outlineLevel="0" collapsed="false">
      <c r="A33" s="11"/>
      <c r="B33" s="11"/>
      <c r="C33" s="14" t="str">
        <f aca="false">IF($B33="","",IFERROR(TRIM(LEFT($B33,FIND(" - ",$B33)-1)),"Others"))</f>
        <v/>
      </c>
      <c r="D33" s="11"/>
      <c r="E33" s="11"/>
      <c r="F33" s="12"/>
      <c r="G33" s="21"/>
      <c r="H33" s="21"/>
      <c r="I33" s="21"/>
      <c r="J33" s="21"/>
      <c r="K33" s="21"/>
      <c r="L33" s="21"/>
      <c r="M33" s="21"/>
      <c r="N33" s="22"/>
      <c r="O33" s="22"/>
      <c r="P33" s="17" t="str">
        <f aca="false">IF($A33="","",SUM($G33:$I33))</f>
        <v/>
      </c>
      <c r="Q33" s="17" t="str">
        <f aca="false">IF($A33="","",SUM($J33:$L33))</f>
        <v/>
      </c>
      <c r="R33" s="17" t="str">
        <f aca="false">IF($A33="","",($M33+$Q33)-$P33)</f>
        <v/>
      </c>
      <c r="S33" s="18" t="str">
        <f aca="false">IF(OR($A33="",$P33=0),"",$R33/$P33)</f>
        <v/>
      </c>
      <c r="T33" s="23"/>
      <c r="U33" s="14" t="str">
        <f aca="false">IF($A33="","",IF($M33&gt;0,"Live","Exited"))</f>
        <v/>
      </c>
      <c r="V33" s="20" t="str">
        <f aca="false">IF($A33="","",IF($A33='Client Report'!$C$4,COUNTIFS($A$6:$A33,'Client Report'!$C$4),""))</f>
        <v/>
      </c>
    </row>
    <row r="34" customFormat="false" ht="15" hidden="false" customHeight="false" outlineLevel="0" collapsed="false">
      <c r="A34" s="11"/>
      <c r="B34" s="11"/>
      <c r="C34" s="14" t="str">
        <f aca="false">IF($B34="","",IFERROR(TRIM(LEFT($B34,FIND(" - ",$B34)-1)),"Others"))</f>
        <v/>
      </c>
      <c r="D34" s="11"/>
      <c r="E34" s="11"/>
      <c r="F34" s="12"/>
      <c r="G34" s="21"/>
      <c r="H34" s="21"/>
      <c r="I34" s="21"/>
      <c r="J34" s="21"/>
      <c r="K34" s="21"/>
      <c r="L34" s="21"/>
      <c r="M34" s="21"/>
      <c r="N34" s="22"/>
      <c r="O34" s="22"/>
      <c r="P34" s="17" t="str">
        <f aca="false">IF($A34="","",SUM($G34:$I34))</f>
        <v/>
      </c>
      <c r="Q34" s="17" t="str">
        <f aca="false">IF($A34="","",SUM($J34:$L34))</f>
        <v/>
      </c>
      <c r="R34" s="17" t="str">
        <f aca="false">IF($A34="","",($M34+$Q34)-$P34)</f>
        <v/>
      </c>
      <c r="S34" s="18" t="str">
        <f aca="false">IF(OR($A34="",$P34=0),"",$R34/$P34)</f>
        <v/>
      </c>
      <c r="T34" s="23"/>
      <c r="U34" s="14" t="str">
        <f aca="false">IF($A34="","",IF($M34&gt;0,"Live","Exited"))</f>
        <v/>
      </c>
      <c r="V34" s="20" t="str">
        <f aca="false">IF($A34="","",IF($A34='Client Report'!$C$4,COUNTIFS($A$6:$A34,'Client Report'!$C$4),""))</f>
        <v/>
      </c>
    </row>
    <row r="35" customFormat="false" ht="15" hidden="false" customHeight="false" outlineLevel="0" collapsed="false">
      <c r="A35" s="11"/>
      <c r="B35" s="11"/>
      <c r="C35" s="14" t="str">
        <f aca="false">IF($B35="","",IFERROR(TRIM(LEFT($B35,FIND(" - ",$B35)-1)),"Others"))</f>
        <v/>
      </c>
      <c r="D35" s="11"/>
      <c r="E35" s="11"/>
      <c r="F35" s="12"/>
      <c r="G35" s="21"/>
      <c r="H35" s="21"/>
      <c r="I35" s="21"/>
      <c r="J35" s="21"/>
      <c r="K35" s="21"/>
      <c r="L35" s="21"/>
      <c r="M35" s="21"/>
      <c r="N35" s="22"/>
      <c r="O35" s="22"/>
      <c r="P35" s="17" t="str">
        <f aca="false">IF($A35="","",SUM($G35:$I35))</f>
        <v/>
      </c>
      <c r="Q35" s="17" t="str">
        <f aca="false">IF($A35="","",SUM($J35:$L35))</f>
        <v/>
      </c>
      <c r="R35" s="17" t="str">
        <f aca="false">IF($A35="","",($M35+$Q35)-$P35)</f>
        <v/>
      </c>
      <c r="S35" s="18" t="str">
        <f aca="false">IF(OR($A35="",$P35=0),"",$R35/$P35)</f>
        <v/>
      </c>
      <c r="T35" s="23"/>
      <c r="U35" s="14" t="str">
        <f aca="false">IF($A35="","",IF($M35&gt;0,"Live","Exited"))</f>
        <v/>
      </c>
      <c r="V35" s="20" t="str">
        <f aca="false">IF($A35="","",IF($A35='Client Report'!$C$4,COUNTIFS($A$6:$A35,'Client Report'!$C$4),""))</f>
        <v/>
      </c>
    </row>
    <row r="36" customFormat="false" ht="15" hidden="false" customHeight="false" outlineLevel="0" collapsed="false">
      <c r="A36" s="11"/>
      <c r="B36" s="11"/>
      <c r="C36" s="14" t="str">
        <f aca="false">IF($B36="","",IFERROR(TRIM(LEFT($B36,FIND(" - ",$B36)-1)),"Others"))</f>
        <v/>
      </c>
      <c r="D36" s="11"/>
      <c r="E36" s="11"/>
      <c r="F36" s="12"/>
      <c r="G36" s="21"/>
      <c r="H36" s="21"/>
      <c r="I36" s="21"/>
      <c r="J36" s="21"/>
      <c r="K36" s="21"/>
      <c r="L36" s="21"/>
      <c r="M36" s="21"/>
      <c r="N36" s="22"/>
      <c r="O36" s="22"/>
      <c r="P36" s="17" t="str">
        <f aca="false">IF($A36="","",SUM($G36:$I36))</f>
        <v/>
      </c>
      <c r="Q36" s="17" t="str">
        <f aca="false">IF($A36="","",SUM($J36:$L36))</f>
        <v/>
      </c>
      <c r="R36" s="17" t="str">
        <f aca="false">IF($A36="","",($M36+$Q36)-$P36)</f>
        <v/>
      </c>
      <c r="S36" s="18" t="str">
        <f aca="false">IF(OR($A36="",$P36=0),"",$R36/$P36)</f>
        <v/>
      </c>
      <c r="T36" s="23"/>
      <c r="U36" s="14" t="str">
        <f aca="false">IF($A36="","",IF($M36&gt;0,"Live","Exited"))</f>
        <v/>
      </c>
      <c r="V36" s="20" t="str">
        <f aca="false">IF($A36="","",IF($A36='Client Report'!$C$4,COUNTIFS($A$6:$A36,'Client Report'!$C$4),""))</f>
        <v/>
      </c>
    </row>
    <row r="37" customFormat="false" ht="15" hidden="false" customHeight="false" outlineLevel="0" collapsed="false">
      <c r="A37" s="11"/>
      <c r="B37" s="11"/>
      <c r="C37" s="14" t="str">
        <f aca="false">IF($B37="","",IFERROR(TRIM(LEFT($B37,FIND(" - ",$B37)-1)),"Others"))</f>
        <v/>
      </c>
      <c r="D37" s="11"/>
      <c r="E37" s="11"/>
      <c r="F37" s="12"/>
      <c r="G37" s="21"/>
      <c r="H37" s="21"/>
      <c r="I37" s="21"/>
      <c r="J37" s="21"/>
      <c r="K37" s="21"/>
      <c r="L37" s="21"/>
      <c r="M37" s="21"/>
      <c r="N37" s="22"/>
      <c r="O37" s="22"/>
      <c r="P37" s="17" t="str">
        <f aca="false">IF($A37="","",SUM($G37:$I37))</f>
        <v/>
      </c>
      <c r="Q37" s="17" t="str">
        <f aca="false">IF($A37="","",SUM($J37:$L37))</f>
        <v/>
      </c>
      <c r="R37" s="17" t="str">
        <f aca="false">IF($A37="","",($M37+$Q37)-$P37)</f>
        <v/>
      </c>
      <c r="S37" s="18" t="str">
        <f aca="false">IF(OR($A37="",$P37=0),"",$R37/$P37)</f>
        <v/>
      </c>
      <c r="T37" s="23"/>
      <c r="U37" s="14" t="str">
        <f aca="false">IF($A37="","",IF($M37&gt;0,"Live","Exited"))</f>
        <v/>
      </c>
      <c r="V37" s="20" t="str">
        <f aca="false">IF($A37="","",IF($A37='Client Report'!$C$4,COUNTIFS($A$6:$A37,'Client Report'!$C$4),""))</f>
        <v/>
      </c>
    </row>
    <row r="38" customFormat="false" ht="15" hidden="false" customHeight="false" outlineLevel="0" collapsed="false">
      <c r="A38" s="11"/>
      <c r="B38" s="11"/>
      <c r="C38" s="14" t="str">
        <f aca="false">IF($B38="","",IFERROR(TRIM(LEFT($B38,FIND(" - ",$B38)-1)),"Others"))</f>
        <v/>
      </c>
      <c r="D38" s="11"/>
      <c r="E38" s="11"/>
      <c r="F38" s="12"/>
      <c r="G38" s="21"/>
      <c r="H38" s="21"/>
      <c r="I38" s="21"/>
      <c r="J38" s="21"/>
      <c r="K38" s="21"/>
      <c r="L38" s="21"/>
      <c r="M38" s="21"/>
      <c r="N38" s="22"/>
      <c r="O38" s="22"/>
      <c r="P38" s="17" t="str">
        <f aca="false">IF($A38="","",SUM($G38:$I38))</f>
        <v/>
      </c>
      <c r="Q38" s="17" t="str">
        <f aca="false">IF($A38="","",SUM($J38:$L38))</f>
        <v/>
      </c>
      <c r="R38" s="17" t="str">
        <f aca="false">IF($A38="","",($M38+$Q38)-$P38)</f>
        <v/>
      </c>
      <c r="S38" s="18" t="str">
        <f aca="false">IF(OR($A38="",$P38=0),"",$R38/$P38)</f>
        <v/>
      </c>
      <c r="T38" s="23"/>
      <c r="U38" s="14" t="str">
        <f aca="false">IF($A38="","",IF($M38&gt;0,"Live","Exited"))</f>
        <v/>
      </c>
      <c r="V38" s="20" t="str">
        <f aca="false">IF($A38="","",IF($A38='Client Report'!$C$4,COUNTIFS($A$6:$A38,'Client Report'!$C$4),""))</f>
        <v/>
      </c>
    </row>
    <row r="39" customFormat="false" ht="15" hidden="false" customHeight="false" outlineLevel="0" collapsed="false">
      <c r="A39" s="11"/>
      <c r="B39" s="11"/>
      <c r="C39" s="14" t="str">
        <f aca="false">IF($B39="","",IFERROR(TRIM(LEFT($B39,FIND(" - ",$B39)-1)),"Others"))</f>
        <v/>
      </c>
      <c r="D39" s="11"/>
      <c r="E39" s="11"/>
      <c r="F39" s="12"/>
      <c r="G39" s="21"/>
      <c r="H39" s="21"/>
      <c r="I39" s="21"/>
      <c r="J39" s="21"/>
      <c r="K39" s="21"/>
      <c r="L39" s="21"/>
      <c r="M39" s="21"/>
      <c r="N39" s="22"/>
      <c r="O39" s="22"/>
      <c r="P39" s="17" t="str">
        <f aca="false">IF($A39="","",SUM($G39:$I39))</f>
        <v/>
      </c>
      <c r="Q39" s="17" t="str">
        <f aca="false">IF($A39="","",SUM($J39:$L39))</f>
        <v/>
      </c>
      <c r="R39" s="17" t="str">
        <f aca="false">IF($A39="","",($M39+$Q39)-$P39)</f>
        <v/>
      </c>
      <c r="S39" s="18" t="str">
        <f aca="false">IF(OR($A39="",$P39=0),"",$R39/$P39)</f>
        <v/>
      </c>
      <c r="T39" s="23"/>
      <c r="U39" s="14" t="str">
        <f aca="false">IF($A39="","",IF($M39&gt;0,"Live","Exited"))</f>
        <v/>
      </c>
      <c r="V39" s="20" t="str">
        <f aca="false">IF($A39="","",IF($A39='Client Report'!$C$4,COUNTIFS($A$6:$A39,'Client Report'!$C$4),""))</f>
        <v/>
      </c>
    </row>
    <row r="40" customFormat="false" ht="15" hidden="false" customHeight="false" outlineLevel="0" collapsed="false">
      <c r="A40" s="11"/>
      <c r="B40" s="11"/>
      <c r="C40" s="14" t="str">
        <f aca="false">IF($B40="","",IFERROR(TRIM(LEFT($B40,FIND(" - ",$B40)-1)),"Others"))</f>
        <v/>
      </c>
      <c r="D40" s="11"/>
      <c r="E40" s="11"/>
      <c r="F40" s="12"/>
      <c r="G40" s="21"/>
      <c r="H40" s="21"/>
      <c r="I40" s="21"/>
      <c r="J40" s="21"/>
      <c r="K40" s="21"/>
      <c r="L40" s="21"/>
      <c r="M40" s="21"/>
      <c r="N40" s="22"/>
      <c r="O40" s="22"/>
      <c r="P40" s="17" t="str">
        <f aca="false">IF($A40="","",SUM($G40:$I40))</f>
        <v/>
      </c>
      <c r="Q40" s="17" t="str">
        <f aca="false">IF($A40="","",SUM($J40:$L40))</f>
        <v/>
      </c>
      <c r="R40" s="17" t="str">
        <f aca="false">IF($A40="","",($M40+$Q40)-$P40)</f>
        <v/>
      </c>
      <c r="S40" s="18" t="str">
        <f aca="false">IF(OR($A40="",$P40=0),"",$R40/$P40)</f>
        <v/>
      </c>
      <c r="T40" s="23"/>
      <c r="U40" s="14" t="str">
        <f aca="false">IF($A40="","",IF($M40&gt;0,"Live","Exited"))</f>
        <v/>
      </c>
      <c r="V40" s="20" t="str">
        <f aca="false">IF($A40="","",IF($A40='Client Report'!$C$4,COUNTIFS($A$6:$A40,'Client Report'!$C$4),""))</f>
        <v/>
      </c>
    </row>
    <row r="41" customFormat="false" ht="15" hidden="false" customHeight="false" outlineLevel="0" collapsed="false">
      <c r="A41" s="11"/>
      <c r="B41" s="11"/>
      <c r="C41" s="14" t="str">
        <f aca="false">IF($B41="","",IFERROR(TRIM(LEFT($B41,FIND(" - ",$B41)-1)),"Others"))</f>
        <v/>
      </c>
      <c r="D41" s="11"/>
      <c r="E41" s="11"/>
      <c r="F41" s="12"/>
      <c r="G41" s="21"/>
      <c r="H41" s="21"/>
      <c r="I41" s="21"/>
      <c r="J41" s="21"/>
      <c r="K41" s="21"/>
      <c r="L41" s="21"/>
      <c r="M41" s="21"/>
      <c r="N41" s="22"/>
      <c r="O41" s="22"/>
      <c r="P41" s="17" t="str">
        <f aca="false">IF($A41="","",SUM($G41:$I41))</f>
        <v/>
      </c>
      <c r="Q41" s="17" t="str">
        <f aca="false">IF($A41="","",SUM($J41:$L41))</f>
        <v/>
      </c>
      <c r="R41" s="17" t="str">
        <f aca="false">IF($A41="","",($M41+$Q41)-$P41)</f>
        <v/>
      </c>
      <c r="S41" s="18" t="str">
        <f aca="false">IF(OR($A41="",$P41=0),"",$R41/$P41)</f>
        <v/>
      </c>
      <c r="T41" s="23"/>
      <c r="U41" s="14" t="str">
        <f aca="false">IF($A41="","",IF($M41&gt;0,"Live","Exited"))</f>
        <v/>
      </c>
      <c r="V41" s="20" t="str">
        <f aca="false">IF($A41="","",IF($A41='Client Report'!$C$4,COUNTIFS($A$6:$A41,'Client Report'!$C$4),""))</f>
        <v/>
      </c>
    </row>
    <row r="42" customFormat="false" ht="15" hidden="false" customHeight="false" outlineLevel="0" collapsed="false">
      <c r="A42" s="11"/>
      <c r="B42" s="11"/>
      <c r="C42" s="14" t="str">
        <f aca="false">IF($B42="","",IFERROR(TRIM(LEFT($B42,FIND(" - ",$B42)-1)),"Others"))</f>
        <v/>
      </c>
      <c r="D42" s="11"/>
      <c r="E42" s="11"/>
      <c r="F42" s="12"/>
      <c r="G42" s="21"/>
      <c r="H42" s="21"/>
      <c r="I42" s="21"/>
      <c r="J42" s="21"/>
      <c r="K42" s="21"/>
      <c r="L42" s="21"/>
      <c r="M42" s="21"/>
      <c r="N42" s="22"/>
      <c r="O42" s="22"/>
      <c r="P42" s="17" t="str">
        <f aca="false">IF($A42="","",SUM($G42:$I42))</f>
        <v/>
      </c>
      <c r="Q42" s="17" t="str">
        <f aca="false">IF($A42="","",SUM($J42:$L42))</f>
        <v/>
      </c>
      <c r="R42" s="17" t="str">
        <f aca="false">IF($A42="","",($M42+$Q42)-$P42)</f>
        <v/>
      </c>
      <c r="S42" s="18" t="str">
        <f aca="false">IF(OR($A42="",$P42=0),"",$R42/$P42)</f>
        <v/>
      </c>
      <c r="T42" s="23"/>
      <c r="U42" s="14" t="str">
        <f aca="false">IF($A42="","",IF($M42&gt;0,"Live","Exited"))</f>
        <v/>
      </c>
      <c r="V42" s="20" t="str">
        <f aca="false">IF($A42="","",IF($A42='Client Report'!$C$4,COUNTIFS($A$6:$A42,'Client Report'!$C$4),""))</f>
        <v/>
      </c>
    </row>
    <row r="43" customFormat="false" ht="15" hidden="false" customHeight="false" outlineLevel="0" collapsed="false">
      <c r="A43" s="11"/>
      <c r="B43" s="11"/>
      <c r="C43" s="14" t="str">
        <f aca="false">IF($B43="","",IFERROR(TRIM(LEFT($B43,FIND(" - ",$B43)-1)),"Others"))</f>
        <v/>
      </c>
      <c r="D43" s="11"/>
      <c r="E43" s="11"/>
      <c r="F43" s="12"/>
      <c r="G43" s="21"/>
      <c r="H43" s="21"/>
      <c r="I43" s="21"/>
      <c r="J43" s="21"/>
      <c r="K43" s="21"/>
      <c r="L43" s="21"/>
      <c r="M43" s="21"/>
      <c r="N43" s="22"/>
      <c r="O43" s="22"/>
      <c r="P43" s="17" t="str">
        <f aca="false">IF($A43="","",SUM($G43:$I43))</f>
        <v/>
      </c>
      <c r="Q43" s="17" t="str">
        <f aca="false">IF($A43="","",SUM($J43:$L43))</f>
        <v/>
      </c>
      <c r="R43" s="17" t="str">
        <f aca="false">IF($A43="","",($M43+$Q43)-$P43)</f>
        <v/>
      </c>
      <c r="S43" s="18" t="str">
        <f aca="false">IF(OR($A43="",$P43=0),"",$R43/$P43)</f>
        <v/>
      </c>
      <c r="T43" s="23"/>
      <c r="U43" s="14" t="str">
        <f aca="false">IF($A43="","",IF($M43&gt;0,"Live","Exited"))</f>
        <v/>
      </c>
      <c r="V43" s="20" t="str">
        <f aca="false">IF($A43="","",IF($A43='Client Report'!$C$4,COUNTIFS($A$6:$A43,'Client Report'!$C$4),""))</f>
        <v/>
      </c>
    </row>
    <row r="44" customFormat="false" ht="15" hidden="false" customHeight="false" outlineLevel="0" collapsed="false">
      <c r="A44" s="11"/>
      <c r="B44" s="11"/>
      <c r="C44" s="14" t="str">
        <f aca="false">IF($B44="","",IFERROR(TRIM(LEFT($B44,FIND(" - ",$B44)-1)),"Others"))</f>
        <v/>
      </c>
      <c r="D44" s="11"/>
      <c r="E44" s="11"/>
      <c r="F44" s="12"/>
      <c r="G44" s="21"/>
      <c r="H44" s="21"/>
      <c r="I44" s="21"/>
      <c r="J44" s="21"/>
      <c r="K44" s="21"/>
      <c r="L44" s="21"/>
      <c r="M44" s="21"/>
      <c r="N44" s="22"/>
      <c r="O44" s="22"/>
      <c r="P44" s="17" t="str">
        <f aca="false">IF($A44="","",SUM($G44:$I44))</f>
        <v/>
      </c>
      <c r="Q44" s="17" t="str">
        <f aca="false">IF($A44="","",SUM($J44:$L44))</f>
        <v/>
      </c>
      <c r="R44" s="17" t="str">
        <f aca="false">IF($A44="","",($M44+$Q44)-$P44)</f>
        <v/>
      </c>
      <c r="S44" s="18" t="str">
        <f aca="false">IF(OR($A44="",$P44=0),"",$R44/$P44)</f>
        <v/>
      </c>
      <c r="T44" s="23"/>
      <c r="U44" s="14" t="str">
        <f aca="false">IF($A44="","",IF($M44&gt;0,"Live","Exited"))</f>
        <v/>
      </c>
      <c r="V44" s="20" t="str">
        <f aca="false">IF($A44="","",IF($A44='Client Report'!$C$4,COUNTIFS($A$6:$A44,'Client Report'!$C$4),""))</f>
        <v/>
      </c>
    </row>
    <row r="45" customFormat="false" ht="15" hidden="false" customHeight="false" outlineLevel="0" collapsed="false">
      <c r="A45" s="11"/>
      <c r="B45" s="11"/>
      <c r="C45" s="14" t="str">
        <f aca="false">IF($B45="","",IFERROR(TRIM(LEFT($B45,FIND(" - ",$B45)-1)),"Others"))</f>
        <v/>
      </c>
      <c r="D45" s="11"/>
      <c r="E45" s="11"/>
      <c r="F45" s="12"/>
      <c r="G45" s="21"/>
      <c r="H45" s="21"/>
      <c r="I45" s="21"/>
      <c r="J45" s="21"/>
      <c r="K45" s="21"/>
      <c r="L45" s="21"/>
      <c r="M45" s="21"/>
      <c r="N45" s="22"/>
      <c r="O45" s="22"/>
      <c r="P45" s="17" t="str">
        <f aca="false">IF($A45="","",SUM($G45:$I45))</f>
        <v/>
      </c>
      <c r="Q45" s="17" t="str">
        <f aca="false">IF($A45="","",SUM($J45:$L45))</f>
        <v/>
      </c>
      <c r="R45" s="17" t="str">
        <f aca="false">IF($A45="","",($M45+$Q45)-$P45)</f>
        <v/>
      </c>
      <c r="S45" s="18" t="str">
        <f aca="false">IF(OR($A45="",$P45=0),"",$R45/$P45)</f>
        <v/>
      </c>
      <c r="T45" s="23"/>
      <c r="U45" s="14" t="str">
        <f aca="false">IF($A45="","",IF($M45&gt;0,"Live","Exited"))</f>
        <v/>
      </c>
      <c r="V45" s="20" t="str">
        <f aca="false">IF($A45="","",IF($A45='Client Report'!$C$4,COUNTIFS($A$6:$A45,'Client Report'!$C$4),""))</f>
        <v/>
      </c>
    </row>
    <row r="46" customFormat="false" ht="15" hidden="false" customHeight="false" outlineLevel="0" collapsed="false">
      <c r="A46" s="11"/>
      <c r="B46" s="11"/>
      <c r="C46" s="14" t="str">
        <f aca="false">IF($B46="","",IFERROR(TRIM(LEFT($B46,FIND(" - ",$B46)-1)),"Others"))</f>
        <v/>
      </c>
      <c r="D46" s="11"/>
      <c r="E46" s="11"/>
      <c r="F46" s="12"/>
      <c r="G46" s="21"/>
      <c r="H46" s="21"/>
      <c r="I46" s="21"/>
      <c r="J46" s="21"/>
      <c r="K46" s="21"/>
      <c r="L46" s="21"/>
      <c r="M46" s="21"/>
      <c r="N46" s="22"/>
      <c r="O46" s="22"/>
      <c r="P46" s="17" t="str">
        <f aca="false">IF($A46="","",SUM($G46:$I46))</f>
        <v/>
      </c>
      <c r="Q46" s="17" t="str">
        <f aca="false">IF($A46="","",SUM($J46:$L46))</f>
        <v/>
      </c>
      <c r="R46" s="17" t="str">
        <f aca="false">IF($A46="","",($M46+$Q46)-$P46)</f>
        <v/>
      </c>
      <c r="S46" s="18" t="str">
        <f aca="false">IF(OR($A46="",$P46=0),"",$R46/$P46)</f>
        <v/>
      </c>
      <c r="T46" s="23"/>
      <c r="U46" s="14" t="str">
        <f aca="false">IF($A46="","",IF($M46&gt;0,"Live","Exited"))</f>
        <v/>
      </c>
      <c r="V46" s="20" t="str">
        <f aca="false">IF($A46="","",IF($A46='Client Report'!$C$4,COUNTIFS($A$6:$A46,'Client Report'!$C$4),""))</f>
        <v/>
      </c>
    </row>
    <row r="47" customFormat="false" ht="15" hidden="false" customHeight="false" outlineLevel="0" collapsed="false">
      <c r="A47" s="11"/>
      <c r="B47" s="11"/>
      <c r="C47" s="14" t="str">
        <f aca="false">IF($B47="","",IFERROR(TRIM(LEFT($B47,FIND(" - ",$B47)-1)),"Others"))</f>
        <v/>
      </c>
      <c r="D47" s="11"/>
      <c r="E47" s="11"/>
      <c r="F47" s="12"/>
      <c r="G47" s="21"/>
      <c r="H47" s="21"/>
      <c r="I47" s="21"/>
      <c r="J47" s="21"/>
      <c r="K47" s="21"/>
      <c r="L47" s="21"/>
      <c r="M47" s="21"/>
      <c r="N47" s="22"/>
      <c r="O47" s="22"/>
      <c r="P47" s="17" t="str">
        <f aca="false">IF($A47="","",SUM($G47:$I47))</f>
        <v/>
      </c>
      <c r="Q47" s="17" t="str">
        <f aca="false">IF($A47="","",SUM($J47:$L47))</f>
        <v/>
      </c>
      <c r="R47" s="17" t="str">
        <f aca="false">IF($A47="","",($M47+$Q47)-$P47)</f>
        <v/>
      </c>
      <c r="S47" s="18" t="str">
        <f aca="false">IF(OR($A47="",$P47=0),"",$R47/$P47)</f>
        <v/>
      </c>
      <c r="T47" s="23"/>
      <c r="U47" s="14" t="str">
        <f aca="false">IF($A47="","",IF($M47&gt;0,"Live","Exited"))</f>
        <v/>
      </c>
      <c r="V47" s="20" t="str">
        <f aca="false">IF($A47="","",IF($A47='Client Report'!$C$4,COUNTIFS($A$6:$A47,'Client Report'!$C$4),""))</f>
        <v/>
      </c>
    </row>
    <row r="48" customFormat="false" ht="15" hidden="false" customHeight="false" outlineLevel="0" collapsed="false">
      <c r="A48" s="11"/>
      <c r="B48" s="11"/>
      <c r="C48" s="14" t="str">
        <f aca="false">IF($B48="","",IFERROR(TRIM(LEFT($B48,FIND(" - ",$B48)-1)),"Others"))</f>
        <v/>
      </c>
      <c r="D48" s="11"/>
      <c r="E48" s="11"/>
      <c r="F48" s="12"/>
      <c r="G48" s="21"/>
      <c r="H48" s="21"/>
      <c r="I48" s="21"/>
      <c r="J48" s="21"/>
      <c r="K48" s="21"/>
      <c r="L48" s="21"/>
      <c r="M48" s="21"/>
      <c r="N48" s="22"/>
      <c r="O48" s="22"/>
      <c r="P48" s="17" t="str">
        <f aca="false">IF($A48="","",SUM($G48:$I48))</f>
        <v/>
      </c>
      <c r="Q48" s="17" t="str">
        <f aca="false">IF($A48="","",SUM($J48:$L48))</f>
        <v/>
      </c>
      <c r="R48" s="17" t="str">
        <f aca="false">IF($A48="","",($M48+$Q48)-$P48)</f>
        <v/>
      </c>
      <c r="S48" s="18" t="str">
        <f aca="false">IF(OR($A48="",$P48=0),"",$R48/$P48)</f>
        <v/>
      </c>
      <c r="T48" s="23"/>
      <c r="U48" s="14" t="str">
        <f aca="false">IF($A48="","",IF($M48&gt;0,"Live","Exited"))</f>
        <v/>
      </c>
      <c r="V48" s="20" t="str">
        <f aca="false">IF($A48="","",IF($A48='Client Report'!$C$4,COUNTIFS($A$6:$A48,'Client Report'!$C$4),""))</f>
        <v/>
      </c>
    </row>
    <row r="49" customFormat="false" ht="15" hidden="false" customHeight="false" outlineLevel="0" collapsed="false">
      <c r="A49" s="11"/>
      <c r="B49" s="11"/>
      <c r="C49" s="14" t="str">
        <f aca="false">IF($B49="","",IFERROR(TRIM(LEFT($B49,FIND(" - ",$B49)-1)),"Others"))</f>
        <v/>
      </c>
      <c r="D49" s="11"/>
      <c r="E49" s="11"/>
      <c r="F49" s="12"/>
      <c r="G49" s="21"/>
      <c r="H49" s="21"/>
      <c r="I49" s="21"/>
      <c r="J49" s="21"/>
      <c r="K49" s="21"/>
      <c r="L49" s="21"/>
      <c r="M49" s="21"/>
      <c r="N49" s="22"/>
      <c r="O49" s="22"/>
      <c r="P49" s="17" t="str">
        <f aca="false">IF($A49="","",SUM($G49:$I49))</f>
        <v/>
      </c>
      <c r="Q49" s="17" t="str">
        <f aca="false">IF($A49="","",SUM($J49:$L49))</f>
        <v/>
      </c>
      <c r="R49" s="17" t="str">
        <f aca="false">IF($A49="","",($M49+$Q49)-$P49)</f>
        <v/>
      </c>
      <c r="S49" s="18" t="str">
        <f aca="false">IF(OR($A49="",$P49=0),"",$R49/$P49)</f>
        <v/>
      </c>
      <c r="T49" s="23"/>
      <c r="U49" s="14" t="str">
        <f aca="false">IF($A49="","",IF($M49&gt;0,"Live","Exited"))</f>
        <v/>
      </c>
      <c r="V49" s="20" t="str">
        <f aca="false">IF($A49="","",IF($A49='Client Report'!$C$4,COUNTIFS($A$6:$A49,'Client Report'!$C$4),""))</f>
        <v/>
      </c>
    </row>
    <row r="50" customFormat="false" ht="15" hidden="false" customHeight="false" outlineLevel="0" collapsed="false">
      <c r="A50" s="11"/>
      <c r="B50" s="11"/>
      <c r="C50" s="14" t="str">
        <f aca="false">IF($B50="","",IFERROR(TRIM(LEFT($B50,FIND(" - ",$B50)-1)),"Others"))</f>
        <v/>
      </c>
      <c r="D50" s="11"/>
      <c r="E50" s="11"/>
      <c r="F50" s="12"/>
      <c r="G50" s="21"/>
      <c r="H50" s="21"/>
      <c r="I50" s="21"/>
      <c r="J50" s="21"/>
      <c r="K50" s="21"/>
      <c r="L50" s="21"/>
      <c r="M50" s="21"/>
      <c r="N50" s="22"/>
      <c r="O50" s="22"/>
      <c r="P50" s="17" t="str">
        <f aca="false">IF($A50="","",SUM($G50:$I50))</f>
        <v/>
      </c>
      <c r="Q50" s="17" t="str">
        <f aca="false">IF($A50="","",SUM($J50:$L50))</f>
        <v/>
      </c>
      <c r="R50" s="17" t="str">
        <f aca="false">IF($A50="","",($M50+$Q50)-$P50)</f>
        <v/>
      </c>
      <c r="S50" s="18" t="str">
        <f aca="false">IF(OR($A50="",$P50=0),"",$R50/$P50)</f>
        <v/>
      </c>
      <c r="T50" s="23"/>
      <c r="U50" s="14" t="str">
        <f aca="false">IF($A50="","",IF($M50&gt;0,"Live","Exited"))</f>
        <v/>
      </c>
      <c r="V50" s="20" t="str">
        <f aca="false">IF($A50="","",IF($A50='Client Report'!$C$4,COUNTIFS($A$6:$A50,'Client Report'!$C$4),""))</f>
        <v/>
      </c>
    </row>
    <row r="51" customFormat="false" ht="15" hidden="false" customHeight="false" outlineLevel="0" collapsed="false">
      <c r="A51" s="11"/>
      <c r="B51" s="11"/>
      <c r="C51" s="14" t="str">
        <f aca="false">IF($B51="","",IFERROR(TRIM(LEFT($B51,FIND(" - ",$B51)-1)),"Others"))</f>
        <v/>
      </c>
      <c r="D51" s="11"/>
      <c r="E51" s="11"/>
      <c r="F51" s="12"/>
      <c r="G51" s="21"/>
      <c r="H51" s="21"/>
      <c r="I51" s="21"/>
      <c r="J51" s="21"/>
      <c r="K51" s="21"/>
      <c r="L51" s="21"/>
      <c r="M51" s="21"/>
      <c r="N51" s="22"/>
      <c r="O51" s="22"/>
      <c r="P51" s="17" t="str">
        <f aca="false">IF($A51="","",SUM($G51:$I51))</f>
        <v/>
      </c>
      <c r="Q51" s="17" t="str">
        <f aca="false">IF($A51="","",SUM($J51:$L51))</f>
        <v/>
      </c>
      <c r="R51" s="17" t="str">
        <f aca="false">IF($A51="","",($M51+$Q51)-$P51)</f>
        <v/>
      </c>
      <c r="S51" s="18" t="str">
        <f aca="false">IF(OR($A51="",$P51=0),"",$R51/$P51)</f>
        <v/>
      </c>
      <c r="T51" s="23"/>
      <c r="U51" s="14" t="str">
        <f aca="false">IF($A51="","",IF($M51&gt;0,"Live","Exited"))</f>
        <v/>
      </c>
      <c r="V51" s="20" t="str">
        <f aca="false">IF($A51="","",IF($A51='Client Report'!$C$4,COUNTIFS($A$6:$A51,'Client Report'!$C$4),""))</f>
        <v/>
      </c>
    </row>
    <row r="52" customFormat="false" ht="15" hidden="false" customHeight="false" outlineLevel="0" collapsed="false">
      <c r="A52" s="11"/>
      <c r="B52" s="11"/>
      <c r="C52" s="14" t="str">
        <f aca="false">IF($B52="","",IFERROR(TRIM(LEFT($B52,FIND(" - ",$B52)-1)),"Others"))</f>
        <v/>
      </c>
      <c r="D52" s="11"/>
      <c r="E52" s="11"/>
      <c r="F52" s="12"/>
      <c r="G52" s="21"/>
      <c r="H52" s="21"/>
      <c r="I52" s="21"/>
      <c r="J52" s="21"/>
      <c r="K52" s="21"/>
      <c r="L52" s="21"/>
      <c r="M52" s="21"/>
      <c r="N52" s="22"/>
      <c r="O52" s="22"/>
      <c r="P52" s="17" t="str">
        <f aca="false">IF($A52="","",SUM($G52:$I52))</f>
        <v/>
      </c>
      <c r="Q52" s="17" t="str">
        <f aca="false">IF($A52="","",SUM($J52:$L52))</f>
        <v/>
      </c>
      <c r="R52" s="17" t="str">
        <f aca="false">IF($A52="","",($M52+$Q52)-$P52)</f>
        <v/>
      </c>
      <c r="S52" s="18" t="str">
        <f aca="false">IF(OR($A52="",$P52=0),"",$R52/$P52)</f>
        <v/>
      </c>
      <c r="T52" s="23"/>
      <c r="U52" s="14" t="str">
        <f aca="false">IF($A52="","",IF($M52&gt;0,"Live","Exited"))</f>
        <v/>
      </c>
      <c r="V52" s="20" t="str">
        <f aca="false">IF($A52="","",IF($A52='Client Report'!$C$4,COUNTIFS($A$6:$A52,'Client Report'!$C$4),""))</f>
        <v/>
      </c>
    </row>
    <row r="53" customFormat="false" ht="15" hidden="false" customHeight="false" outlineLevel="0" collapsed="false">
      <c r="A53" s="11"/>
      <c r="B53" s="11"/>
      <c r="C53" s="14" t="str">
        <f aca="false">IF($B53="","",IFERROR(TRIM(LEFT($B53,FIND(" - ",$B53)-1)),"Others"))</f>
        <v/>
      </c>
      <c r="D53" s="11"/>
      <c r="E53" s="11"/>
      <c r="F53" s="12"/>
      <c r="G53" s="21"/>
      <c r="H53" s="21"/>
      <c r="I53" s="21"/>
      <c r="J53" s="21"/>
      <c r="K53" s="21"/>
      <c r="L53" s="21"/>
      <c r="M53" s="21"/>
      <c r="N53" s="22"/>
      <c r="O53" s="22"/>
      <c r="P53" s="17" t="str">
        <f aca="false">IF($A53="","",SUM($G53:$I53))</f>
        <v/>
      </c>
      <c r="Q53" s="17" t="str">
        <f aca="false">IF($A53="","",SUM($J53:$L53))</f>
        <v/>
      </c>
      <c r="R53" s="17" t="str">
        <f aca="false">IF($A53="","",($M53+$Q53)-$P53)</f>
        <v/>
      </c>
      <c r="S53" s="18" t="str">
        <f aca="false">IF(OR($A53="",$P53=0),"",$R53/$P53)</f>
        <v/>
      </c>
      <c r="T53" s="23"/>
      <c r="U53" s="14" t="str">
        <f aca="false">IF($A53="","",IF($M53&gt;0,"Live","Exited"))</f>
        <v/>
      </c>
      <c r="V53" s="20" t="str">
        <f aca="false">IF($A53="","",IF($A53='Client Report'!$C$4,COUNTIFS($A$6:$A53,'Client Report'!$C$4),""))</f>
        <v/>
      </c>
    </row>
    <row r="54" customFormat="false" ht="15" hidden="false" customHeight="false" outlineLevel="0" collapsed="false">
      <c r="A54" s="11"/>
      <c r="B54" s="11"/>
      <c r="C54" s="14" t="str">
        <f aca="false">IF($B54="","",IFERROR(TRIM(LEFT($B54,FIND(" - ",$B54)-1)),"Others"))</f>
        <v/>
      </c>
      <c r="D54" s="11"/>
      <c r="E54" s="11"/>
      <c r="F54" s="12"/>
      <c r="G54" s="21"/>
      <c r="H54" s="21"/>
      <c r="I54" s="21"/>
      <c r="J54" s="21"/>
      <c r="K54" s="21"/>
      <c r="L54" s="21"/>
      <c r="M54" s="21"/>
      <c r="N54" s="22"/>
      <c r="O54" s="22"/>
      <c r="P54" s="17" t="str">
        <f aca="false">IF($A54="","",SUM($G54:$I54))</f>
        <v/>
      </c>
      <c r="Q54" s="17" t="str">
        <f aca="false">IF($A54="","",SUM($J54:$L54))</f>
        <v/>
      </c>
      <c r="R54" s="17" t="str">
        <f aca="false">IF($A54="","",($M54+$Q54)-$P54)</f>
        <v/>
      </c>
      <c r="S54" s="18" t="str">
        <f aca="false">IF(OR($A54="",$P54=0),"",$R54/$P54)</f>
        <v/>
      </c>
      <c r="T54" s="23"/>
      <c r="U54" s="14" t="str">
        <f aca="false">IF($A54="","",IF($M54&gt;0,"Live","Exited"))</f>
        <v/>
      </c>
      <c r="V54" s="20" t="str">
        <f aca="false">IF($A54="","",IF($A54='Client Report'!$C$4,COUNTIFS($A$6:$A54,'Client Report'!$C$4),""))</f>
        <v/>
      </c>
    </row>
    <row r="55" customFormat="false" ht="15" hidden="false" customHeight="false" outlineLevel="0" collapsed="false">
      <c r="A55" s="11"/>
      <c r="B55" s="11"/>
      <c r="C55" s="14" t="str">
        <f aca="false">IF($B55="","",IFERROR(TRIM(LEFT($B55,FIND(" - ",$B55)-1)),"Others"))</f>
        <v/>
      </c>
      <c r="D55" s="11"/>
      <c r="E55" s="11"/>
      <c r="F55" s="12"/>
      <c r="G55" s="21"/>
      <c r="H55" s="21"/>
      <c r="I55" s="21"/>
      <c r="J55" s="21"/>
      <c r="K55" s="21"/>
      <c r="L55" s="21"/>
      <c r="M55" s="21"/>
      <c r="N55" s="22"/>
      <c r="O55" s="22"/>
      <c r="P55" s="17" t="str">
        <f aca="false">IF($A55="","",SUM($G55:$I55))</f>
        <v/>
      </c>
      <c r="Q55" s="17" t="str">
        <f aca="false">IF($A55="","",SUM($J55:$L55))</f>
        <v/>
      </c>
      <c r="R55" s="17" t="str">
        <f aca="false">IF($A55="","",($M55+$Q55)-$P55)</f>
        <v/>
      </c>
      <c r="S55" s="18" t="str">
        <f aca="false">IF(OR($A55="",$P55=0),"",$R55/$P55)</f>
        <v/>
      </c>
      <c r="T55" s="23"/>
      <c r="U55" s="14" t="str">
        <f aca="false">IF($A55="","",IF($M55&gt;0,"Live","Exited"))</f>
        <v/>
      </c>
      <c r="V55" s="20" t="str">
        <f aca="false">IF($A55="","",IF($A55='Client Report'!$C$4,COUNTIFS($A$6:$A55,'Client Report'!$C$4),""))</f>
        <v/>
      </c>
    </row>
    <row r="56" customFormat="false" ht="15" hidden="false" customHeight="false" outlineLevel="0" collapsed="false">
      <c r="A56" s="11"/>
      <c r="B56" s="11"/>
      <c r="C56" s="14" t="str">
        <f aca="false">IF($B56="","",IFERROR(TRIM(LEFT($B56,FIND(" - ",$B56)-1)),"Others"))</f>
        <v/>
      </c>
      <c r="D56" s="11"/>
      <c r="E56" s="11"/>
      <c r="F56" s="12"/>
      <c r="G56" s="21"/>
      <c r="H56" s="21"/>
      <c r="I56" s="21"/>
      <c r="J56" s="21"/>
      <c r="K56" s="21"/>
      <c r="L56" s="21"/>
      <c r="M56" s="21"/>
      <c r="N56" s="22"/>
      <c r="O56" s="22"/>
      <c r="P56" s="17" t="str">
        <f aca="false">IF($A56="","",SUM($G56:$I56))</f>
        <v/>
      </c>
      <c r="Q56" s="17" t="str">
        <f aca="false">IF($A56="","",SUM($J56:$L56))</f>
        <v/>
      </c>
      <c r="R56" s="17" t="str">
        <f aca="false">IF($A56="","",($M56+$Q56)-$P56)</f>
        <v/>
      </c>
      <c r="S56" s="18" t="str">
        <f aca="false">IF(OR($A56="",$P56=0),"",$R56/$P56)</f>
        <v/>
      </c>
      <c r="T56" s="23"/>
      <c r="U56" s="14" t="str">
        <f aca="false">IF($A56="","",IF($M56&gt;0,"Live","Exited"))</f>
        <v/>
      </c>
      <c r="V56" s="20" t="str">
        <f aca="false">IF($A56="","",IF($A56='Client Report'!$C$4,COUNTIFS($A$6:$A56,'Client Report'!$C$4),""))</f>
        <v/>
      </c>
    </row>
    <row r="57" customFormat="false" ht="15" hidden="false" customHeight="false" outlineLevel="0" collapsed="false">
      <c r="A57" s="11"/>
      <c r="B57" s="11"/>
      <c r="C57" s="14" t="str">
        <f aca="false">IF($B57="","",IFERROR(TRIM(LEFT($B57,FIND(" - ",$B57)-1)),"Others"))</f>
        <v/>
      </c>
      <c r="D57" s="11"/>
      <c r="E57" s="11"/>
      <c r="F57" s="12"/>
      <c r="G57" s="21"/>
      <c r="H57" s="21"/>
      <c r="I57" s="21"/>
      <c r="J57" s="21"/>
      <c r="K57" s="21"/>
      <c r="L57" s="21"/>
      <c r="M57" s="21"/>
      <c r="N57" s="22"/>
      <c r="O57" s="22"/>
      <c r="P57" s="17" t="str">
        <f aca="false">IF($A57="","",SUM($G57:$I57))</f>
        <v/>
      </c>
      <c r="Q57" s="17" t="str">
        <f aca="false">IF($A57="","",SUM($J57:$L57))</f>
        <v/>
      </c>
      <c r="R57" s="17" t="str">
        <f aca="false">IF($A57="","",($M57+$Q57)-$P57)</f>
        <v/>
      </c>
      <c r="S57" s="18" t="str">
        <f aca="false">IF(OR($A57="",$P57=0),"",$R57/$P57)</f>
        <v/>
      </c>
      <c r="T57" s="23"/>
      <c r="U57" s="14" t="str">
        <f aca="false">IF($A57="","",IF($M57&gt;0,"Live","Exited"))</f>
        <v/>
      </c>
      <c r="V57" s="20" t="str">
        <f aca="false">IF($A57="","",IF($A57='Client Report'!$C$4,COUNTIFS($A$6:$A57,'Client Report'!$C$4),""))</f>
        <v/>
      </c>
    </row>
    <row r="58" customFormat="false" ht="15" hidden="false" customHeight="false" outlineLevel="0" collapsed="false">
      <c r="A58" s="11"/>
      <c r="B58" s="11"/>
      <c r="C58" s="14" t="str">
        <f aca="false">IF($B58="","",IFERROR(TRIM(LEFT($B58,FIND(" - ",$B58)-1)),"Others"))</f>
        <v/>
      </c>
      <c r="D58" s="11"/>
      <c r="E58" s="11"/>
      <c r="F58" s="12"/>
      <c r="G58" s="21"/>
      <c r="H58" s="21"/>
      <c r="I58" s="21"/>
      <c r="J58" s="21"/>
      <c r="K58" s="21"/>
      <c r="L58" s="21"/>
      <c r="M58" s="21"/>
      <c r="N58" s="22"/>
      <c r="O58" s="22"/>
      <c r="P58" s="17" t="str">
        <f aca="false">IF($A58="","",SUM($G58:$I58))</f>
        <v/>
      </c>
      <c r="Q58" s="17" t="str">
        <f aca="false">IF($A58="","",SUM($J58:$L58))</f>
        <v/>
      </c>
      <c r="R58" s="17" t="str">
        <f aca="false">IF($A58="","",($M58+$Q58)-$P58)</f>
        <v/>
      </c>
      <c r="S58" s="18" t="str">
        <f aca="false">IF(OR($A58="",$P58=0),"",$R58/$P58)</f>
        <v/>
      </c>
      <c r="T58" s="23"/>
      <c r="U58" s="14" t="str">
        <f aca="false">IF($A58="","",IF($M58&gt;0,"Live","Exited"))</f>
        <v/>
      </c>
      <c r="V58" s="20" t="str">
        <f aca="false">IF($A58="","",IF($A58='Client Report'!$C$4,COUNTIFS($A$6:$A58,'Client Report'!$C$4),""))</f>
        <v/>
      </c>
    </row>
    <row r="59" customFormat="false" ht="15" hidden="false" customHeight="false" outlineLevel="0" collapsed="false">
      <c r="A59" s="11"/>
      <c r="B59" s="11"/>
      <c r="C59" s="14" t="str">
        <f aca="false">IF($B59="","",IFERROR(TRIM(LEFT($B59,FIND(" - ",$B59)-1)),"Others"))</f>
        <v/>
      </c>
      <c r="D59" s="11"/>
      <c r="E59" s="11"/>
      <c r="F59" s="12"/>
      <c r="G59" s="21"/>
      <c r="H59" s="21"/>
      <c r="I59" s="21"/>
      <c r="J59" s="21"/>
      <c r="K59" s="21"/>
      <c r="L59" s="21"/>
      <c r="M59" s="21"/>
      <c r="N59" s="22"/>
      <c r="O59" s="22"/>
      <c r="P59" s="17" t="str">
        <f aca="false">IF($A59="","",SUM($G59:$I59))</f>
        <v/>
      </c>
      <c r="Q59" s="17" t="str">
        <f aca="false">IF($A59="","",SUM($J59:$L59))</f>
        <v/>
      </c>
      <c r="R59" s="17" t="str">
        <f aca="false">IF($A59="","",($M59+$Q59)-$P59)</f>
        <v/>
      </c>
      <c r="S59" s="18" t="str">
        <f aca="false">IF(OR($A59="",$P59=0),"",$R59/$P59)</f>
        <v/>
      </c>
      <c r="T59" s="23"/>
      <c r="U59" s="14" t="str">
        <f aca="false">IF($A59="","",IF($M59&gt;0,"Live","Exited"))</f>
        <v/>
      </c>
      <c r="V59" s="20" t="str">
        <f aca="false">IF($A59="","",IF($A59='Client Report'!$C$4,COUNTIFS($A$6:$A59,'Client Report'!$C$4),""))</f>
        <v/>
      </c>
    </row>
    <row r="60" customFormat="false" ht="15" hidden="false" customHeight="false" outlineLevel="0" collapsed="false">
      <c r="A60" s="11"/>
      <c r="B60" s="11"/>
      <c r="C60" s="14" t="str">
        <f aca="false">IF($B60="","",IFERROR(TRIM(LEFT($B60,FIND(" - ",$B60)-1)),"Others"))</f>
        <v/>
      </c>
      <c r="D60" s="11"/>
      <c r="E60" s="11"/>
      <c r="F60" s="12"/>
      <c r="G60" s="21"/>
      <c r="H60" s="21"/>
      <c r="I60" s="21"/>
      <c r="J60" s="21"/>
      <c r="K60" s="21"/>
      <c r="L60" s="21"/>
      <c r="M60" s="21"/>
      <c r="N60" s="22"/>
      <c r="O60" s="22"/>
      <c r="P60" s="17" t="str">
        <f aca="false">IF($A60="","",SUM($G60:$I60))</f>
        <v/>
      </c>
      <c r="Q60" s="17" t="str">
        <f aca="false">IF($A60="","",SUM($J60:$L60))</f>
        <v/>
      </c>
      <c r="R60" s="17" t="str">
        <f aca="false">IF($A60="","",($M60+$Q60)-$P60)</f>
        <v/>
      </c>
      <c r="S60" s="18" t="str">
        <f aca="false">IF(OR($A60="",$P60=0),"",$R60/$P60)</f>
        <v/>
      </c>
      <c r="T60" s="23"/>
      <c r="U60" s="14" t="str">
        <f aca="false">IF($A60="","",IF($M60&gt;0,"Live","Exited"))</f>
        <v/>
      </c>
      <c r="V60" s="20" t="str">
        <f aca="false">IF($A60="","",IF($A60='Client Report'!$C$4,COUNTIFS($A$6:$A60,'Client Report'!$C$4),""))</f>
        <v/>
      </c>
    </row>
    <row r="61" customFormat="false" ht="15" hidden="false" customHeight="false" outlineLevel="0" collapsed="false">
      <c r="A61" s="11"/>
      <c r="B61" s="11"/>
      <c r="C61" s="14" t="str">
        <f aca="false">IF($B61="","",IFERROR(TRIM(LEFT($B61,FIND(" - ",$B61)-1)),"Others"))</f>
        <v/>
      </c>
      <c r="D61" s="11"/>
      <c r="E61" s="11"/>
      <c r="F61" s="12"/>
      <c r="G61" s="21"/>
      <c r="H61" s="21"/>
      <c r="I61" s="21"/>
      <c r="J61" s="21"/>
      <c r="K61" s="21"/>
      <c r="L61" s="21"/>
      <c r="M61" s="21"/>
      <c r="N61" s="22"/>
      <c r="O61" s="22"/>
      <c r="P61" s="17" t="str">
        <f aca="false">IF($A61="","",SUM($G61:$I61))</f>
        <v/>
      </c>
      <c r="Q61" s="17" t="str">
        <f aca="false">IF($A61="","",SUM($J61:$L61))</f>
        <v/>
      </c>
      <c r="R61" s="17" t="str">
        <f aca="false">IF($A61="","",($M61+$Q61)-$P61)</f>
        <v/>
      </c>
      <c r="S61" s="18" t="str">
        <f aca="false">IF(OR($A61="",$P61=0),"",$R61/$P61)</f>
        <v/>
      </c>
      <c r="T61" s="23"/>
      <c r="U61" s="14" t="str">
        <f aca="false">IF($A61="","",IF($M61&gt;0,"Live","Exited"))</f>
        <v/>
      </c>
      <c r="V61" s="20" t="str">
        <f aca="false">IF($A61="","",IF($A61='Client Report'!$C$4,COUNTIFS($A$6:$A61,'Client Report'!$C$4),""))</f>
        <v/>
      </c>
    </row>
    <row r="62" customFormat="false" ht="15" hidden="false" customHeight="false" outlineLevel="0" collapsed="false">
      <c r="A62" s="11"/>
      <c r="B62" s="11"/>
      <c r="C62" s="14" t="str">
        <f aca="false">IF($B62="","",IFERROR(TRIM(LEFT($B62,FIND(" - ",$B62)-1)),"Others"))</f>
        <v/>
      </c>
      <c r="D62" s="11"/>
      <c r="E62" s="11"/>
      <c r="F62" s="12"/>
      <c r="G62" s="21"/>
      <c r="H62" s="21"/>
      <c r="I62" s="21"/>
      <c r="J62" s="21"/>
      <c r="K62" s="21"/>
      <c r="L62" s="21"/>
      <c r="M62" s="21"/>
      <c r="N62" s="22"/>
      <c r="O62" s="22"/>
      <c r="P62" s="17" t="str">
        <f aca="false">IF($A62="","",SUM($G62:$I62))</f>
        <v/>
      </c>
      <c r="Q62" s="17" t="str">
        <f aca="false">IF($A62="","",SUM($J62:$L62))</f>
        <v/>
      </c>
      <c r="R62" s="17" t="str">
        <f aca="false">IF($A62="","",($M62+$Q62)-$P62)</f>
        <v/>
      </c>
      <c r="S62" s="18" t="str">
        <f aca="false">IF(OR($A62="",$P62=0),"",$R62/$P62)</f>
        <v/>
      </c>
      <c r="T62" s="23"/>
      <c r="U62" s="14" t="str">
        <f aca="false">IF($A62="","",IF($M62&gt;0,"Live","Exited"))</f>
        <v/>
      </c>
      <c r="V62" s="20" t="str">
        <f aca="false">IF($A62="","",IF($A62='Client Report'!$C$4,COUNTIFS($A$6:$A62,'Client Report'!$C$4),""))</f>
        <v/>
      </c>
    </row>
    <row r="63" customFormat="false" ht="15" hidden="false" customHeight="false" outlineLevel="0" collapsed="false">
      <c r="A63" s="11"/>
      <c r="B63" s="11"/>
      <c r="C63" s="14" t="str">
        <f aca="false">IF($B63="","",IFERROR(TRIM(LEFT($B63,FIND(" - ",$B63)-1)),"Others"))</f>
        <v/>
      </c>
      <c r="D63" s="11"/>
      <c r="E63" s="11"/>
      <c r="F63" s="12"/>
      <c r="G63" s="21"/>
      <c r="H63" s="21"/>
      <c r="I63" s="21"/>
      <c r="J63" s="21"/>
      <c r="K63" s="21"/>
      <c r="L63" s="21"/>
      <c r="M63" s="21"/>
      <c r="N63" s="22"/>
      <c r="O63" s="22"/>
      <c r="P63" s="17" t="str">
        <f aca="false">IF($A63="","",SUM($G63:$I63))</f>
        <v/>
      </c>
      <c r="Q63" s="17" t="str">
        <f aca="false">IF($A63="","",SUM($J63:$L63))</f>
        <v/>
      </c>
      <c r="R63" s="17" t="str">
        <f aca="false">IF($A63="","",($M63+$Q63)-$P63)</f>
        <v/>
      </c>
      <c r="S63" s="18" t="str">
        <f aca="false">IF(OR($A63="",$P63=0),"",$R63/$P63)</f>
        <v/>
      </c>
      <c r="T63" s="23"/>
      <c r="U63" s="14" t="str">
        <f aca="false">IF($A63="","",IF($M63&gt;0,"Live","Exited"))</f>
        <v/>
      </c>
      <c r="V63" s="20" t="str">
        <f aca="false">IF($A63="","",IF($A63='Client Report'!$C$4,COUNTIFS($A$6:$A63,'Client Report'!$C$4),""))</f>
        <v/>
      </c>
    </row>
    <row r="64" customFormat="false" ht="15" hidden="false" customHeight="false" outlineLevel="0" collapsed="false">
      <c r="A64" s="11"/>
      <c r="B64" s="11"/>
      <c r="C64" s="14" t="str">
        <f aca="false">IF($B64="","",IFERROR(TRIM(LEFT($B64,FIND(" - ",$B64)-1)),"Others"))</f>
        <v/>
      </c>
      <c r="D64" s="11"/>
      <c r="E64" s="11"/>
      <c r="F64" s="12"/>
      <c r="G64" s="21"/>
      <c r="H64" s="21"/>
      <c r="I64" s="21"/>
      <c r="J64" s="21"/>
      <c r="K64" s="21"/>
      <c r="L64" s="21"/>
      <c r="M64" s="21"/>
      <c r="N64" s="22"/>
      <c r="O64" s="22"/>
      <c r="P64" s="17" t="str">
        <f aca="false">IF($A64="","",SUM($G64:$I64))</f>
        <v/>
      </c>
      <c r="Q64" s="17" t="str">
        <f aca="false">IF($A64="","",SUM($J64:$L64))</f>
        <v/>
      </c>
      <c r="R64" s="17" t="str">
        <f aca="false">IF($A64="","",($M64+$Q64)-$P64)</f>
        <v/>
      </c>
      <c r="S64" s="18" t="str">
        <f aca="false">IF(OR($A64="",$P64=0),"",$R64/$P64)</f>
        <v/>
      </c>
      <c r="T64" s="23"/>
      <c r="U64" s="14" t="str">
        <f aca="false">IF($A64="","",IF($M64&gt;0,"Live","Exited"))</f>
        <v/>
      </c>
      <c r="V64" s="20" t="str">
        <f aca="false">IF($A64="","",IF($A64='Client Report'!$C$4,COUNTIFS($A$6:$A64,'Client Report'!$C$4),""))</f>
        <v/>
      </c>
    </row>
    <row r="65" customFormat="false" ht="15" hidden="false" customHeight="false" outlineLevel="0" collapsed="false">
      <c r="A65" s="11"/>
      <c r="B65" s="11"/>
      <c r="C65" s="14" t="str">
        <f aca="false">IF($B65="","",IFERROR(TRIM(LEFT($B65,FIND(" - ",$B65)-1)),"Others"))</f>
        <v/>
      </c>
      <c r="D65" s="11"/>
      <c r="E65" s="11"/>
      <c r="F65" s="12"/>
      <c r="G65" s="21"/>
      <c r="H65" s="21"/>
      <c r="I65" s="21"/>
      <c r="J65" s="21"/>
      <c r="K65" s="21"/>
      <c r="L65" s="21"/>
      <c r="M65" s="21"/>
      <c r="N65" s="22"/>
      <c r="O65" s="22"/>
      <c r="P65" s="17" t="str">
        <f aca="false">IF($A65="","",SUM($G65:$I65))</f>
        <v/>
      </c>
      <c r="Q65" s="17" t="str">
        <f aca="false">IF($A65="","",SUM($J65:$L65))</f>
        <v/>
      </c>
      <c r="R65" s="17" t="str">
        <f aca="false">IF($A65="","",($M65+$Q65)-$P65)</f>
        <v/>
      </c>
      <c r="S65" s="18" t="str">
        <f aca="false">IF(OR($A65="",$P65=0),"",$R65/$P65)</f>
        <v/>
      </c>
      <c r="T65" s="23"/>
      <c r="U65" s="14" t="str">
        <f aca="false">IF($A65="","",IF($M65&gt;0,"Live","Exited"))</f>
        <v/>
      </c>
      <c r="V65" s="20" t="str">
        <f aca="false">IF($A65="","",IF($A65='Client Report'!$C$4,COUNTIFS($A$6:$A65,'Client Report'!$C$4),""))</f>
        <v/>
      </c>
    </row>
    <row r="66" customFormat="false" ht="15" hidden="false" customHeight="false" outlineLevel="0" collapsed="false">
      <c r="A66" s="11"/>
      <c r="B66" s="11"/>
      <c r="C66" s="14" t="str">
        <f aca="false">IF($B66="","",IFERROR(TRIM(LEFT($B66,FIND(" - ",$B66)-1)),"Others"))</f>
        <v/>
      </c>
      <c r="D66" s="11"/>
      <c r="E66" s="11"/>
      <c r="F66" s="12"/>
      <c r="G66" s="21"/>
      <c r="H66" s="21"/>
      <c r="I66" s="21"/>
      <c r="J66" s="21"/>
      <c r="K66" s="21"/>
      <c r="L66" s="21"/>
      <c r="M66" s="21"/>
      <c r="N66" s="22"/>
      <c r="O66" s="22"/>
      <c r="P66" s="17" t="str">
        <f aca="false">IF($A66="","",SUM($G66:$I66))</f>
        <v/>
      </c>
      <c r="Q66" s="17" t="str">
        <f aca="false">IF($A66="","",SUM($J66:$L66))</f>
        <v/>
      </c>
      <c r="R66" s="17" t="str">
        <f aca="false">IF($A66="","",($M66+$Q66)-$P66)</f>
        <v/>
      </c>
      <c r="S66" s="18" t="str">
        <f aca="false">IF(OR($A66="",$P66=0),"",$R66/$P66)</f>
        <v/>
      </c>
      <c r="T66" s="23"/>
      <c r="U66" s="14" t="str">
        <f aca="false">IF($A66="","",IF($M66&gt;0,"Live","Exited"))</f>
        <v/>
      </c>
      <c r="V66" s="20" t="str">
        <f aca="false">IF($A66="","",IF($A66='Client Report'!$C$4,COUNTIFS($A$6:$A66,'Client Report'!$C$4),""))</f>
        <v/>
      </c>
    </row>
    <row r="67" customFormat="false" ht="15" hidden="false" customHeight="false" outlineLevel="0" collapsed="false">
      <c r="A67" s="11"/>
      <c r="B67" s="11"/>
      <c r="C67" s="14" t="str">
        <f aca="false">IF($B67="","",IFERROR(TRIM(LEFT($B67,FIND(" - ",$B67)-1)),"Others"))</f>
        <v/>
      </c>
      <c r="D67" s="11"/>
      <c r="E67" s="11"/>
      <c r="F67" s="12"/>
      <c r="G67" s="21"/>
      <c r="H67" s="21"/>
      <c r="I67" s="21"/>
      <c r="J67" s="21"/>
      <c r="K67" s="21"/>
      <c r="L67" s="21"/>
      <c r="M67" s="21"/>
      <c r="N67" s="22"/>
      <c r="O67" s="22"/>
      <c r="P67" s="17" t="str">
        <f aca="false">IF($A67="","",SUM($G67:$I67))</f>
        <v/>
      </c>
      <c r="Q67" s="17" t="str">
        <f aca="false">IF($A67="","",SUM($J67:$L67))</f>
        <v/>
      </c>
      <c r="R67" s="17" t="str">
        <f aca="false">IF($A67="","",($M67+$Q67)-$P67)</f>
        <v/>
      </c>
      <c r="S67" s="18" t="str">
        <f aca="false">IF(OR($A67="",$P67=0),"",$R67/$P67)</f>
        <v/>
      </c>
      <c r="T67" s="23"/>
      <c r="U67" s="14" t="str">
        <f aca="false">IF($A67="","",IF($M67&gt;0,"Live","Exited"))</f>
        <v/>
      </c>
      <c r="V67" s="20" t="str">
        <f aca="false">IF($A67="","",IF($A67='Client Report'!$C$4,COUNTIFS($A$6:$A67,'Client Report'!$C$4),""))</f>
        <v/>
      </c>
    </row>
    <row r="68" customFormat="false" ht="15" hidden="false" customHeight="false" outlineLevel="0" collapsed="false">
      <c r="A68" s="11"/>
      <c r="B68" s="11"/>
      <c r="C68" s="14" t="str">
        <f aca="false">IF($B68="","",IFERROR(TRIM(LEFT($B68,FIND(" - ",$B68)-1)),"Others"))</f>
        <v/>
      </c>
      <c r="D68" s="11"/>
      <c r="E68" s="11"/>
      <c r="F68" s="12"/>
      <c r="G68" s="21"/>
      <c r="H68" s="21"/>
      <c r="I68" s="21"/>
      <c r="J68" s="21"/>
      <c r="K68" s="21"/>
      <c r="L68" s="21"/>
      <c r="M68" s="21"/>
      <c r="N68" s="22"/>
      <c r="O68" s="22"/>
      <c r="P68" s="17" t="str">
        <f aca="false">IF($A68="","",SUM($G68:$I68))</f>
        <v/>
      </c>
      <c r="Q68" s="17" t="str">
        <f aca="false">IF($A68="","",SUM($J68:$L68))</f>
        <v/>
      </c>
      <c r="R68" s="17" t="str">
        <f aca="false">IF($A68="","",($M68+$Q68)-$P68)</f>
        <v/>
      </c>
      <c r="S68" s="18" t="str">
        <f aca="false">IF(OR($A68="",$P68=0),"",$R68/$P68)</f>
        <v/>
      </c>
      <c r="T68" s="23"/>
      <c r="U68" s="14" t="str">
        <f aca="false">IF($A68="","",IF($M68&gt;0,"Live","Exited"))</f>
        <v/>
      </c>
      <c r="V68" s="20" t="str">
        <f aca="false">IF($A68="","",IF($A68='Client Report'!$C$4,COUNTIFS($A$6:$A68,'Client Report'!$C$4),""))</f>
        <v/>
      </c>
    </row>
    <row r="69" customFormat="false" ht="15" hidden="false" customHeight="false" outlineLevel="0" collapsed="false">
      <c r="A69" s="11"/>
      <c r="B69" s="11"/>
      <c r="C69" s="14" t="str">
        <f aca="false">IF($B69="","",IFERROR(TRIM(LEFT($B69,FIND(" - ",$B69)-1)),"Others"))</f>
        <v/>
      </c>
      <c r="D69" s="11"/>
      <c r="E69" s="11"/>
      <c r="F69" s="12"/>
      <c r="G69" s="21"/>
      <c r="H69" s="21"/>
      <c r="I69" s="21"/>
      <c r="J69" s="21"/>
      <c r="K69" s="21"/>
      <c r="L69" s="21"/>
      <c r="M69" s="21"/>
      <c r="N69" s="22"/>
      <c r="O69" s="22"/>
      <c r="P69" s="17" t="str">
        <f aca="false">IF($A69="","",SUM($G69:$I69))</f>
        <v/>
      </c>
      <c r="Q69" s="17" t="str">
        <f aca="false">IF($A69="","",SUM($J69:$L69))</f>
        <v/>
      </c>
      <c r="R69" s="17" t="str">
        <f aca="false">IF($A69="","",($M69+$Q69)-$P69)</f>
        <v/>
      </c>
      <c r="S69" s="18" t="str">
        <f aca="false">IF(OR($A69="",$P69=0),"",$R69/$P69)</f>
        <v/>
      </c>
      <c r="T69" s="23"/>
      <c r="U69" s="14" t="str">
        <f aca="false">IF($A69="","",IF($M69&gt;0,"Live","Exited"))</f>
        <v/>
      </c>
      <c r="V69" s="20" t="str">
        <f aca="false">IF($A69="","",IF($A69='Client Report'!$C$4,COUNTIFS($A$6:$A69,'Client Report'!$C$4),""))</f>
        <v/>
      </c>
    </row>
    <row r="70" customFormat="false" ht="15" hidden="false" customHeight="false" outlineLevel="0" collapsed="false">
      <c r="A70" s="11"/>
      <c r="B70" s="11"/>
      <c r="C70" s="14" t="str">
        <f aca="false">IF($B70="","",IFERROR(TRIM(LEFT($B70,FIND(" - ",$B70)-1)),"Others"))</f>
        <v/>
      </c>
      <c r="D70" s="11"/>
      <c r="E70" s="11"/>
      <c r="F70" s="12"/>
      <c r="G70" s="21"/>
      <c r="H70" s="21"/>
      <c r="I70" s="21"/>
      <c r="J70" s="21"/>
      <c r="K70" s="21"/>
      <c r="L70" s="21"/>
      <c r="M70" s="21"/>
      <c r="N70" s="22"/>
      <c r="O70" s="22"/>
      <c r="P70" s="17" t="str">
        <f aca="false">IF($A70="","",SUM($G70:$I70))</f>
        <v/>
      </c>
      <c r="Q70" s="17" t="str">
        <f aca="false">IF($A70="","",SUM($J70:$L70))</f>
        <v/>
      </c>
      <c r="R70" s="17" t="str">
        <f aca="false">IF($A70="","",($M70+$Q70)-$P70)</f>
        <v/>
      </c>
      <c r="S70" s="18" t="str">
        <f aca="false">IF(OR($A70="",$P70=0),"",$R70/$P70)</f>
        <v/>
      </c>
      <c r="T70" s="23"/>
      <c r="U70" s="14" t="str">
        <f aca="false">IF($A70="","",IF($M70&gt;0,"Live","Exited"))</f>
        <v/>
      </c>
      <c r="V70" s="20" t="str">
        <f aca="false">IF($A70="","",IF($A70='Client Report'!$C$4,COUNTIFS($A$6:$A70,'Client Report'!$C$4),""))</f>
        <v/>
      </c>
    </row>
    <row r="71" customFormat="false" ht="15" hidden="false" customHeight="false" outlineLevel="0" collapsed="false">
      <c r="A71" s="11"/>
      <c r="B71" s="11"/>
      <c r="C71" s="14" t="str">
        <f aca="false">IF($B71="","",IFERROR(TRIM(LEFT($B71,FIND(" - ",$B71)-1)),"Others"))</f>
        <v/>
      </c>
      <c r="D71" s="11"/>
      <c r="E71" s="11"/>
      <c r="F71" s="12"/>
      <c r="G71" s="21"/>
      <c r="H71" s="21"/>
      <c r="I71" s="21"/>
      <c r="J71" s="21"/>
      <c r="K71" s="21"/>
      <c r="L71" s="21"/>
      <c r="M71" s="21"/>
      <c r="N71" s="22"/>
      <c r="O71" s="22"/>
      <c r="P71" s="17" t="str">
        <f aca="false">IF($A71="","",SUM($G71:$I71))</f>
        <v/>
      </c>
      <c r="Q71" s="17" t="str">
        <f aca="false">IF($A71="","",SUM($J71:$L71))</f>
        <v/>
      </c>
      <c r="R71" s="17" t="str">
        <f aca="false">IF($A71="","",($M71+$Q71)-$P71)</f>
        <v/>
      </c>
      <c r="S71" s="18" t="str">
        <f aca="false">IF(OR($A71="",$P71=0),"",$R71/$P71)</f>
        <v/>
      </c>
      <c r="T71" s="23"/>
      <c r="U71" s="14" t="str">
        <f aca="false">IF($A71="","",IF($M71&gt;0,"Live","Exited"))</f>
        <v/>
      </c>
      <c r="V71" s="20" t="str">
        <f aca="false">IF($A71="","",IF($A71='Client Report'!$C$4,COUNTIFS($A$6:$A71,'Client Report'!$C$4),""))</f>
        <v/>
      </c>
    </row>
    <row r="72" customFormat="false" ht="15" hidden="false" customHeight="false" outlineLevel="0" collapsed="false">
      <c r="A72" s="11"/>
      <c r="B72" s="11"/>
      <c r="C72" s="14" t="str">
        <f aca="false">IF($B72="","",IFERROR(TRIM(LEFT($B72,FIND(" - ",$B72)-1)),"Others"))</f>
        <v/>
      </c>
      <c r="D72" s="11"/>
      <c r="E72" s="11"/>
      <c r="F72" s="12"/>
      <c r="G72" s="21"/>
      <c r="H72" s="21"/>
      <c r="I72" s="21"/>
      <c r="J72" s="21"/>
      <c r="K72" s="21"/>
      <c r="L72" s="21"/>
      <c r="M72" s="21"/>
      <c r="N72" s="22"/>
      <c r="O72" s="22"/>
      <c r="P72" s="17" t="str">
        <f aca="false">IF($A72="","",SUM($G72:$I72))</f>
        <v/>
      </c>
      <c r="Q72" s="17" t="str">
        <f aca="false">IF($A72="","",SUM($J72:$L72))</f>
        <v/>
      </c>
      <c r="R72" s="17" t="str">
        <f aca="false">IF($A72="","",($M72+$Q72)-$P72)</f>
        <v/>
      </c>
      <c r="S72" s="18" t="str">
        <f aca="false">IF(OR($A72="",$P72=0),"",$R72/$P72)</f>
        <v/>
      </c>
      <c r="T72" s="23"/>
      <c r="U72" s="14" t="str">
        <f aca="false">IF($A72="","",IF($M72&gt;0,"Live","Exited"))</f>
        <v/>
      </c>
      <c r="V72" s="20" t="str">
        <f aca="false">IF($A72="","",IF($A72='Client Report'!$C$4,COUNTIFS($A$6:$A72,'Client Report'!$C$4),""))</f>
        <v/>
      </c>
    </row>
    <row r="73" customFormat="false" ht="15" hidden="false" customHeight="false" outlineLevel="0" collapsed="false">
      <c r="A73" s="11"/>
      <c r="B73" s="11"/>
      <c r="C73" s="14" t="str">
        <f aca="false">IF($B73="","",IFERROR(TRIM(LEFT($B73,FIND(" - ",$B73)-1)),"Others"))</f>
        <v/>
      </c>
      <c r="D73" s="11"/>
      <c r="E73" s="11"/>
      <c r="F73" s="12"/>
      <c r="G73" s="21"/>
      <c r="H73" s="21"/>
      <c r="I73" s="21"/>
      <c r="J73" s="21"/>
      <c r="K73" s="21"/>
      <c r="L73" s="21"/>
      <c r="M73" s="21"/>
      <c r="N73" s="22"/>
      <c r="O73" s="22"/>
      <c r="P73" s="17" t="str">
        <f aca="false">IF($A73="","",SUM($G73:$I73))</f>
        <v/>
      </c>
      <c r="Q73" s="17" t="str">
        <f aca="false">IF($A73="","",SUM($J73:$L73))</f>
        <v/>
      </c>
      <c r="R73" s="17" t="str">
        <f aca="false">IF($A73="","",($M73+$Q73)-$P73)</f>
        <v/>
      </c>
      <c r="S73" s="18" t="str">
        <f aca="false">IF(OR($A73="",$P73=0),"",$R73/$P73)</f>
        <v/>
      </c>
      <c r="T73" s="23"/>
      <c r="U73" s="14" t="str">
        <f aca="false">IF($A73="","",IF($M73&gt;0,"Live","Exited"))</f>
        <v/>
      </c>
      <c r="V73" s="20" t="str">
        <f aca="false">IF($A73="","",IF($A73='Client Report'!$C$4,COUNTIFS($A$6:$A73,'Client Report'!$C$4),""))</f>
        <v/>
      </c>
    </row>
    <row r="74" customFormat="false" ht="15" hidden="false" customHeight="false" outlineLevel="0" collapsed="false">
      <c r="A74" s="11"/>
      <c r="B74" s="11"/>
      <c r="C74" s="14" t="str">
        <f aca="false">IF($B74="","",IFERROR(TRIM(LEFT($B74,FIND(" - ",$B74)-1)),"Others"))</f>
        <v/>
      </c>
      <c r="D74" s="11"/>
      <c r="E74" s="11"/>
      <c r="F74" s="12"/>
      <c r="G74" s="21"/>
      <c r="H74" s="21"/>
      <c r="I74" s="21"/>
      <c r="J74" s="21"/>
      <c r="K74" s="21"/>
      <c r="L74" s="21"/>
      <c r="M74" s="21"/>
      <c r="N74" s="22"/>
      <c r="O74" s="22"/>
      <c r="P74" s="17" t="str">
        <f aca="false">IF($A74="","",SUM($G74:$I74))</f>
        <v/>
      </c>
      <c r="Q74" s="17" t="str">
        <f aca="false">IF($A74="","",SUM($J74:$L74))</f>
        <v/>
      </c>
      <c r="R74" s="17" t="str">
        <f aca="false">IF($A74="","",($M74+$Q74)-$P74)</f>
        <v/>
      </c>
      <c r="S74" s="18" t="str">
        <f aca="false">IF(OR($A74="",$P74=0),"",$R74/$P74)</f>
        <v/>
      </c>
      <c r="T74" s="23"/>
      <c r="U74" s="14" t="str">
        <f aca="false">IF($A74="","",IF($M74&gt;0,"Live","Exited"))</f>
        <v/>
      </c>
      <c r="V74" s="20" t="str">
        <f aca="false">IF($A74="","",IF($A74='Client Report'!$C$4,COUNTIFS($A$6:$A74,'Client Report'!$C$4),""))</f>
        <v/>
      </c>
    </row>
    <row r="75" customFormat="false" ht="15" hidden="false" customHeight="false" outlineLevel="0" collapsed="false">
      <c r="A75" s="11"/>
      <c r="B75" s="11"/>
      <c r="C75" s="14" t="str">
        <f aca="false">IF($B75="","",IFERROR(TRIM(LEFT($B75,FIND(" - ",$B75)-1)),"Others"))</f>
        <v/>
      </c>
      <c r="D75" s="11"/>
      <c r="E75" s="11"/>
      <c r="F75" s="12"/>
      <c r="G75" s="21"/>
      <c r="H75" s="21"/>
      <c r="I75" s="21"/>
      <c r="J75" s="21"/>
      <c r="K75" s="21"/>
      <c r="L75" s="21"/>
      <c r="M75" s="21"/>
      <c r="N75" s="22"/>
      <c r="O75" s="22"/>
      <c r="P75" s="17" t="str">
        <f aca="false">IF($A75="","",SUM($G75:$I75))</f>
        <v/>
      </c>
      <c r="Q75" s="17" t="str">
        <f aca="false">IF($A75="","",SUM($J75:$L75))</f>
        <v/>
      </c>
      <c r="R75" s="17" t="str">
        <f aca="false">IF($A75="","",($M75+$Q75)-$P75)</f>
        <v/>
      </c>
      <c r="S75" s="18" t="str">
        <f aca="false">IF(OR($A75="",$P75=0),"",$R75/$P75)</f>
        <v/>
      </c>
      <c r="T75" s="23"/>
      <c r="U75" s="14" t="str">
        <f aca="false">IF($A75="","",IF($M75&gt;0,"Live","Exited"))</f>
        <v/>
      </c>
      <c r="V75" s="20" t="str">
        <f aca="false">IF($A75="","",IF($A75='Client Report'!$C$4,COUNTIFS($A$6:$A75,'Client Report'!$C$4),""))</f>
        <v/>
      </c>
    </row>
    <row r="76" customFormat="false" ht="15" hidden="false" customHeight="false" outlineLevel="0" collapsed="false">
      <c r="A76" s="11"/>
      <c r="B76" s="11"/>
      <c r="C76" s="14" t="str">
        <f aca="false">IF($B76="","",IFERROR(TRIM(LEFT($B76,FIND(" - ",$B76)-1)),"Others"))</f>
        <v/>
      </c>
      <c r="D76" s="11"/>
      <c r="E76" s="11"/>
      <c r="F76" s="12"/>
      <c r="G76" s="21"/>
      <c r="H76" s="21"/>
      <c r="I76" s="21"/>
      <c r="J76" s="21"/>
      <c r="K76" s="21"/>
      <c r="L76" s="21"/>
      <c r="M76" s="21"/>
      <c r="N76" s="22"/>
      <c r="O76" s="22"/>
      <c r="P76" s="17" t="str">
        <f aca="false">IF($A76="","",SUM($G76:$I76))</f>
        <v/>
      </c>
      <c r="Q76" s="17" t="str">
        <f aca="false">IF($A76="","",SUM($J76:$L76))</f>
        <v/>
      </c>
      <c r="R76" s="17" t="str">
        <f aca="false">IF($A76="","",($M76+$Q76)-$P76)</f>
        <v/>
      </c>
      <c r="S76" s="18" t="str">
        <f aca="false">IF(OR($A76="",$P76=0),"",$R76/$P76)</f>
        <v/>
      </c>
      <c r="T76" s="23"/>
      <c r="U76" s="14" t="str">
        <f aca="false">IF($A76="","",IF($M76&gt;0,"Live","Exited"))</f>
        <v/>
      </c>
      <c r="V76" s="20" t="str">
        <f aca="false">IF($A76="","",IF($A76='Client Report'!$C$4,COUNTIFS($A$6:$A76,'Client Report'!$C$4),""))</f>
        <v/>
      </c>
    </row>
    <row r="77" customFormat="false" ht="15" hidden="false" customHeight="false" outlineLevel="0" collapsed="false">
      <c r="A77" s="11"/>
      <c r="B77" s="11"/>
      <c r="C77" s="14" t="str">
        <f aca="false">IF($B77="","",IFERROR(TRIM(LEFT($B77,FIND(" - ",$B77)-1)),"Others"))</f>
        <v/>
      </c>
      <c r="D77" s="11"/>
      <c r="E77" s="11"/>
      <c r="F77" s="12"/>
      <c r="G77" s="21"/>
      <c r="H77" s="21"/>
      <c r="I77" s="21"/>
      <c r="J77" s="21"/>
      <c r="K77" s="21"/>
      <c r="L77" s="21"/>
      <c r="M77" s="21"/>
      <c r="N77" s="22"/>
      <c r="O77" s="22"/>
      <c r="P77" s="17" t="str">
        <f aca="false">IF($A77="","",SUM($G77:$I77))</f>
        <v/>
      </c>
      <c r="Q77" s="17" t="str">
        <f aca="false">IF($A77="","",SUM($J77:$L77))</f>
        <v/>
      </c>
      <c r="R77" s="17" t="str">
        <f aca="false">IF($A77="","",($M77+$Q77)-$P77)</f>
        <v/>
      </c>
      <c r="S77" s="18" t="str">
        <f aca="false">IF(OR($A77="",$P77=0),"",$R77/$P77)</f>
        <v/>
      </c>
      <c r="T77" s="23"/>
      <c r="U77" s="14" t="str">
        <f aca="false">IF($A77="","",IF($M77&gt;0,"Live","Exited"))</f>
        <v/>
      </c>
      <c r="V77" s="20" t="str">
        <f aca="false">IF($A77="","",IF($A77='Client Report'!$C$4,COUNTIFS($A$6:$A77,'Client Report'!$C$4),""))</f>
        <v/>
      </c>
    </row>
    <row r="78" customFormat="false" ht="15" hidden="false" customHeight="false" outlineLevel="0" collapsed="false">
      <c r="A78" s="11"/>
      <c r="B78" s="11"/>
      <c r="C78" s="14" t="str">
        <f aca="false">IF($B78="","",IFERROR(TRIM(LEFT($B78,FIND(" - ",$B78)-1)),"Others"))</f>
        <v/>
      </c>
      <c r="D78" s="11"/>
      <c r="E78" s="11"/>
      <c r="F78" s="12"/>
      <c r="G78" s="21"/>
      <c r="H78" s="21"/>
      <c r="I78" s="21"/>
      <c r="J78" s="21"/>
      <c r="K78" s="21"/>
      <c r="L78" s="21"/>
      <c r="M78" s="21"/>
      <c r="N78" s="22"/>
      <c r="O78" s="22"/>
      <c r="P78" s="17" t="str">
        <f aca="false">IF($A78="","",SUM($G78:$I78))</f>
        <v/>
      </c>
      <c r="Q78" s="17" t="str">
        <f aca="false">IF($A78="","",SUM($J78:$L78))</f>
        <v/>
      </c>
      <c r="R78" s="17" t="str">
        <f aca="false">IF($A78="","",($M78+$Q78)-$P78)</f>
        <v/>
      </c>
      <c r="S78" s="18" t="str">
        <f aca="false">IF(OR($A78="",$P78=0),"",$R78/$P78)</f>
        <v/>
      </c>
      <c r="T78" s="23"/>
      <c r="U78" s="14" t="str">
        <f aca="false">IF($A78="","",IF($M78&gt;0,"Live","Exited"))</f>
        <v/>
      </c>
      <c r="V78" s="20" t="str">
        <f aca="false">IF($A78="","",IF($A78='Client Report'!$C$4,COUNTIFS($A$6:$A78,'Client Report'!$C$4),""))</f>
        <v/>
      </c>
    </row>
    <row r="79" customFormat="false" ht="15" hidden="false" customHeight="false" outlineLevel="0" collapsed="false">
      <c r="A79" s="11"/>
      <c r="B79" s="11"/>
      <c r="C79" s="14" t="str">
        <f aca="false">IF($B79="","",IFERROR(TRIM(LEFT($B79,FIND(" - ",$B79)-1)),"Others"))</f>
        <v/>
      </c>
      <c r="D79" s="11"/>
      <c r="E79" s="11"/>
      <c r="F79" s="12"/>
      <c r="G79" s="21"/>
      <c r="H79" s="21"/>
      <c r="I79" s="21"/>
      <c r="J79" s="21"/>
      <c r="K79" s="21"/>
      <c r="L79" s="21"/>
      <c r="M79" s="21"/>
      <c r="N79" s="22"/>
      <c r="O79" s="22"/>
      <c r="P79" s="17" t="str">
        <f aca="false">IF($A79="","",SUM($G79:$I79))</f>
        <v/>
      </c>
      <c r="Q79" s="17" t="str">
        <f aca="false">IF($A79="","",SUM($J79:$L79))</f>
        <v/>
      </c>
      <c r="R79" s="17" t="str">
        <f aca="false">IF($A79="","",($M79+$Q79)-$P79)</f>
        <v/>
      </c>
      <c r="S79" s="18" t="str">
        <f aca="false">IF(OR($A79="",$P79=0),"",$R79/$P79)</f>
        <v/>
      </c>
      <c r="T79" s="23"/>
      <c r="U79" s="14" t="str">
        <f aca="false">IF($A79="","",IF($M79&gt;0,"Live","Exited"))</f>
        <v/>
      </c>
      <c r="V79" s="20" t="str">
        <f aca="false">IF($A79="","",IF($A79='Client Report'!$C$4,COUNTIFS($A$6:$A79,'Client Report'!$C$4),""))</f>
        <v/>
      </c>
    </row>
    <row r="80" customFormat="false" ht="15" hidden="false" customHeight="false" outlineLevel="0" collapsed="false">
      <c r="A80" s="11"/>
      <c r="B80" s="11"/>
      <c r="C80" s="14" t="str">
        <f aca="false">IF($B80="","",IFERROR(TRIM(LEFT($B80,FIND(" - ",$B80)-1)),"Others"))</f>
        <v/>
      </c>
      <c r="D80" s="11"/>
      <c r="E80" s="11"/>
      <c r="F80" s="12"/>
      <c r="G80" s="21"/>
      <c r="H80" s="21"/>
      <c r="I80" s="21"/>
      <c r="J80" s="21"/>
      <c r="K80" s="21"/>
      <c r="L80" s="21"/>
      <c r="M80" s="21"/>
      <c r="N80" s="22"/>
      <c r="O80" s="22"/>
      <c r="P80" s="17" t="str">
        <f aca="false">IF($A80="","",SUM($G80:$I80))</f>
        <v/>
      </c>
      <c r="Q80" s="17" t="str">
        <f aca="false">IF($A80="","",SUM($J80:$L80))</f>
        <v/>
      </c>
      <c r="R80" s="17" t="str">
        <f aca="false">IF($A80="","",($M80+$Q80)-$P80)</f>
        <v/>
      </c>
      <c r="S80" s="18" t="str">
        <f aca="false">IF(OR($A80="",$P80=0),"",$R80/$P80)</f>
        <v/>
      </c>
      <c r="T80" s="23"/>
      <c r="U80" s="14" t="str">
        <f aca="false">IF($A80="","",IF($M80&gt;0,"Live","Exited"))</f>
        <v/>
      </c>
      <c r="V80" s="20" t="str">
        <f aca="false">IF($A80="","",IF($A80='Client Report'!$C$4,COUNTIFS($A$6:$A80,'Client Report'!$C$4),""))</f>
        <v/>
      </c>
    </row>
    <row r="81" customFormat="false" ht="15" hidden="false" customHeight="false" outlineLevel="0" collapsed="false">
      <c r="A81" s="11"/>
      <c r="B81" s="11"/>
      <c r="C81" s="14" t="str">
        <f aca="false">IF($B81="","",IFERROR(TRIM(LEFT($B81,FIND(" - ",$B81)-1)),"Others"))</f>
        <v/>
      </c>
      <c r="D81" s="11"/>
      <c r="E81" s="11"/>
      <c r="F81" s="12"/>
      <c r="G81" s="21"/>
      <c r="H81" s="21"/>
      <c r="I81" s="21"/>
      <c r="J81" s="21"/>
      <c r="K81" s="21"/>
      <c r="L81" s="21"/>
      <c r="M81" s="21"/>
      <c r="N81" s="22"/>
      <c r="O81" s="22"/>
      <c r="P81" s="17" t="str">
        <f aca="false">IF($A81="","",SUM($G81:$I81))</f>
        <v/>
      </c>
      <c r="Q81" s="17" t="str">
        <f aca="false">IF($A81="","",SUM($J81:$L81))</f>
        <v/>
      </c>
      <c r="R81" s="17" t="str">
        <f aca="false">IF($A81="","",($M81+$Q81)-$P81)</f>
        <v/>
      </c>
      <c r="S81" s="18" t="str">
        <f aca="false">IF(OR($A81="",$P81=0),"",$R81/$P81)</f>
        <v/>
      </c>
      <c r="T81" s="23"/>
      <c r="U81" s="14" t="str">
        <f aca="false">IF($A81="","",IF($M81&gt;0,"Live","Exited"))</f>
        <v/>
      </c>
      <c r="V81" s="20" t="str">
        <f aca="false">IF($A81="","",IF($A81='Client Report'!$C$4,COUNTIFS($A$6:$A81,'Client Report'!$C$4),""))</f>
        <v/>
      </c>
    </row>
    <row r="82" customFormat="false" ht="15" hidden="false" customHeight="false" outlineLevel="0" collapsed="false">
      <c r="A82" s="11"/>
      <c r="B82" s="11"/>
      <c r="C82" s="14" t="str">
        <f aca="false">IF($B82="","",IFERROR(TRIM(LEFT($B82,FIND(" - ",$B82)-1)),"Others"))</f>
        <v/>
      </c>
      <c r="D82" s="11"/>
      <c r="E82" s="11"/>
      <c r="F82" s="12"/>
      <c r="G82" s="21"/>
      <c r="H82" s="21"/>
      <c r="I82" s="21"/>
      <c r="J82" s="21"/>
      <c r="K82" s="21"/>
      <c r="L82" s="21"/>
      <c r="M82" s="21"/>
      <c r="N82" s="22"/>
      <c r="O82" s="22"/>
      <c r="P82" s="17" t="str">
        <f aca="false">IF($A82="","",SUM($G82:$I82))</f>
        <v/>
      </c>
      <c r="Q82" s="17" t="str">
        <f aca="false">IF($A82="","",SUM($J82:$L82))</f>
        <v/>
      </c>
      <c r="R82" s="17" t="str">
        <f aca="false">IF($A82="","",($M82+$Q82)-$P82)</f>
        <v/>
      </c>
      <c r="S82" s="18" t="str">
        <f aca="false">IF(OR($A82="",$P82=0),"",$R82/$P82)</f>
        <v/>
      </c>
      <c r="T82" s="23"/>
      <c r="U82" s="14" t="str">
        <f aca="false">IF($A82="","",IF($M82&gt;0,"Live","Exited"))</f>
        <v/>
      </c>
      <c r="V82" s="20" t="str">
        <f aca="false">IF($A82="","",IF($A82='Client Report'!$C$4,COUNTIFS($A$6:$A82,'Client Report'!$C$4),""))</f>
        <v/>
      </c>
    </row>
    <row r="83" customFormat="false" ht="15" hidden="false" customHeight="false" outlineLevel="0" collapsed="false">
      <c r="A83" s="11"/>
      <c r="B83" s="11"/>
      <c r="C83" s="14" t="str">
        <f aca="false">IF($B83="","",IFERROR(TRIM(LEFT($B83,FIND(" - ",$B83)-1)),"Others"))</f>
        <v/>
      </c>
      <c r="D83" s="11"/>
      <c r="E83" s="11"/>
      <c r="F83" s="12"/>
      <c r="G83" s="21"/>
      <c r="H83" s="21"/>
      <c r="I83" s="21"/>
      <c r="J83" s="21"/>
      <c r="K83" s="21"/>
      <c r="L83" s="21"/>
      <c r="M83" s="21"/>
      <c r="N83" s="22"/>
      <c r="O83" s="22"/>
      <c r="P83" s="17" t="str">
        <f aca="false">IF($A83="","",SUM($G83:$I83))</f>
        <v/>
      </c>
      <c r="Q83" s="17" t="str">
        <f aca="false">IF($A83="","",SUM($J83:$L83))</f>
        <v/>
      </c>
      <c r="R83" s="17" t="str">
        <f aca="false">IF($A83="","",($M83+$Q83)-$P83)</f>
        <v/>
      </c>
      <c r="S83" s="18" t="str">
        <f aca="false">IF(OR($A83="",$P83=0),"",$R83/$P83)</f>
        <v/>
      </c>
      <c r="T83" s="23"/>
      <c r="U83" s="14" t="str">
        <f aca="false">IF($A83="","",IF($M83&gt;0,"Live","Exited"))</f>
        <v/>
      </c>
      <c r="V83" s="20" t="str">
        <f aca="false">IF($A83="","",IF($A83='Client Report'!$C$4,COUNTIFS($A$6:$A83,'Client Report'!$C$4),""))</f>
        <v/>
      </c>
    </row>
    <row r="84" customFormat="false" ht="15" hidden="false" customHeight="false" outlineLevel="0" collapsed="false">
      <c r="A84" s="11"/>
      <c r="B84" s="11"/>
      <c r="C84" s="14" t="str">
        <f aca="false">IF($B84="","",IFERROR(TRIM(LEFT($B84,FIND(" - ",$B84)-1)),"Others"))</f>
        <v/>
      </c>
      <c r="D84" s="11"/>
      <c r="E84" s="11"/>
      <c r="F84" s="12"/>
      <c r="G84" s="21"/>
      <c r="H84" s="21"/>
      <c r="I84" s="21"/>
      <c r="J84" s="21"/>
      <c r="K84" s="21"/>
      <c r="L84" s="21"/>
      <c r="M84" s="21"/>
      <c r="N84" s="22"/>
      <c r="O84" s="22"/>
      <c r="P84" s="17" t="str">
        <f aca="false">IF($A84="","",SUM($G84:$I84))</f>
        <v/>
      </c>
      <c r="Q84" s="17" t="str">
        <f aca="false">IF($A84="","",SUM($J84:$L84))</f>
        <v/>
      </c>
      <c r="R84" s="17" t="str">
        <f aca="false">IF($A84="","",($M84+$Q84)-$P84)</f>
        <v/>
      </c>
      <c r="S84" s="18" t="str">
        <f aca="false">IF(OR($A84="",$P84=0),"",$R84/$P84)</f>
        <v/>
      </c>
      <c r="T84" s="23"/>
      <c r="U84" s="14" t="str">
        <f aca="false">IF($A84="","",IF($M84&gt;0,"Live","Exited"))</f>
        <v/>
      </c>
      <c r="V84" s="20" t="str">
        <f aca="false">IF($A84="","",IF($A84='Client Report'!$C$4,COUNTIFS($A$6:$A84,'Client Report'!$C$4),""))</f>
        <v/>
      </c>
    </row>
    <row r="85" customFormat="false" ht="15" hidden="false" customHeight="false" outlineLevel="0" collapsed="false">
      <c r="A85" s="11"/>
      <c r="B85" s="11"/>
      <c r="C85" s="14" t="str">
        <f aca="false">IF($B85="","",IFERROR(TRIM(LEFT($B85,FIND(" - ",$B85)-1)),"Others"))</f>
        <v/>
      </c>
      <c r="D85" s="11"/>
      <c r="E85" s="11"/>
      <c r="F85" s="12"/>
      <c r="G85" s="21"/>
      <c r="H85" s="21"/>
      <c r="I85" s="21"/>
      <c r="J85" s="21"/>
      <c r="K85" s="21"/>
      <c r="L85" s="21"/>
      <c r="M85" s="21"/>
      <c r="N85" s="22"/>
      <c r="O85" s="22"/>
      <c r="P85" s="17" t="str">
        <f aca="false">IF($A85="","",SUM($G85:$I85))</f>
        <v/>
      </c>
      <c r="Q85" s="17" t="str">
        <f aca="false">IF($A85="","",SUM($J85:$L85))</f>
        <v/>
      </c>
      <c r="R85" s="17" t="str">
        <f aca="false">IF($A85="","",($M85+$Q85)-$P85)</f>
        <v/>
      </c>
      <c r="S85" s="18" t="str">
        <f aca="false">IF(OR($A85="",$P85=0),"",$R85/$P85)</f>
        <v/>
      </c>
      <c r="T85" s="23"/>
      <c r="U85" s="14" t="str">
        <f aca="false">IF($A85="","",IF($M85&gt;0,"Live","Exited"))</f>
        <v/>
      </c>
      <c r="V85" s="20" t="str">
        <f aca="false">IF($A85="","",IF($A85='Client Report'!$C$4,COUNTIFS($A$6:$A85,'Client Report'!$C$4),""))</f>
        <v/>
      </c>
    </row>
    <row r="86" customFormat="false" ht="15" hidden="false" customHeight="false" outlineLevel="0" collapsed="false">
      <c r="A86" s="11"/>
      <c r="B86" s="11"/>
      <c r="C86" s="14" t="str">
        <f aca="false">IF($B86="","",IFERROR(TRIM(LEFT($B86,FIND(" - ",$B86)-1)),"Others"))</f>
        <v/>
      </c>
      <c r="D86" s="11"/>
      <c r="E86" s="11"/>
      <c r="F86" s="12"/>
      <c r="G86" s="21"/>
      <c r="H86" s="21"/>
      <c r="I86" s="21"/>
      <c r="J86" s="21"/>
      <c r="K86" s="21"/>
      <c r="L86" s="21"/>
      <c r="M86" s="21"/>
      <c r="N86" s="22"/>
      <c r="O86" s="22"/>
      <c r="P86" s="17" t="str">
        <f aca="false">IF($A86="","",SUM($G86:$I86))</f>
        <v/>
      </c>
      <c r="Q86" s="17" t="str">
        <f aca="false">IF($A86="","",SUM($J86:$L86))</f>
        <v/>
      </c>
      <c r="R86" s="17" t="str">
        <f aca="false">IF($A86="","",($M86+$Q86)-$P86)</f>
        <v/>
      </c>
      <c r="S86" s="18" t="str">
        <f aca="false">IF(OR($A86="",$P86=0),"",$R86/$P86)</f>
        <v/>
      </c>
      <c r="T86" s="23"/>
      <c r="U86" s="14" t="str">
        <f aca="false">IF($A86="","",IF($M86&gt;0,"Live","Exited"))</f>
        <v/>
      </c>
      <c r="V86" s="20" t="str">
        <f aca="false">IF($A86="","",IF($A86='Client Report'!$C$4,COUNTIFS($A$6:$A86,'Client Report'!$C$4),""))</f>
        <v/>
      </c>
    </row>
    <row r="87" customFormat="false" ht="15" hidden="false" customHeight="false" outlineLevel="0" collapsed="false">
      <c r="A87" s="11"/>
      <c r="B87" s="11"/>
      <c r="C87" s="14" t="str">
        <f aca="false">IF($B87="","",IFERROR(TRIM(LEFT($B87,FIND(" - ",$B87)-1)),"Others"))</f>
        <v/>
      </c>
      <c r="D87" s="11"/>
      <c r="E87" s="11"/>
      <c r="F87" s="12"/>
      <c r="G87" s="21"/>
      <c r="H87" s="21"/>
      <c r="I87" s="21"/>
      <c r="J87" s="21"/>
      <c r="K87" s="21"/>
      <c r="L87" s="21"/>
      <c r="M87" s="21"/>
      <c r="N87" s="22"/>
      <c r="O87" s="22"/>
      <c r="P87" s="17" t="str">
        <f aca="false">IF($A87="","",SUM($G87:$I87))</f>
        <v/>
      </c>
      <c r="Q87" s="17" t="str">
        <f aca="false">IF($A87="","",SUM($J87:$L87))</f>
        <v/>
      </c>
      <c r="R87" s="17" t="str">
        <f aca="false">IF($A87="","",($M87+$Q87)-$P87)</f>
        <v/>
      </c>
      <c r="S87" s="18" t="str">
        <f aca="false">IF(OR($A87="",$P87=0),"",$R87/$P87)</f>
        <v/>
      </c>
      <c r="T87" s="23"/>
      <c r="U87" s="14" t="str">
        <f aca="false">IF($A87="","",IF($M87&gt;0,"Live","Exited"))</f>
        <v/>
      </c>
      <c r="V87" s="20" t="str">
        <f aca="false">IF($A87="","",IF($A87='Client Report'!$C$4,COUNTIFS($A$6:$A87,'Client Report'!$C$4),""))</f>
        <v/>
      </c>
    </row>
    <row r="88" customFormat="false" ht="15" hidden="false" customHeight="false" outlineLevel="0" collapsed="false">
      <c r="A88" s="11"/>
      <c r="B88" s="11"/>
      <c r="C88" s="14" t="str">
        <f aca="false">IF($B88="","",IFERROR(TRIM(LEFT($B88,FIND(" - ",$B88)-1)),"Others"))</f>
        <v/>
      </c>
      <c r="D88" s="11"/>
      <c r="E88" s="11"/>
      <c r="F88" s="12"/>
      <c r="G88" s="21"/>
      <c r="H88" s="21"/>
      <c r="I88" s="21"/>
      <c r="J88" s="21"/>
      <c r="K88" s="21"/>
      <c r="L88" s="21"/>
      <c r="M88" s="21"/>
      <c r="N88" s="22"/>
      <c r="O88" s="22"/>
      <c r="P88" s="17" t="str">
        <f aca="false">IF($A88="","",SUM($G88:$I88))</f>
        <v/>
      </c>
      <c r="Q88" s="17" t="str">
        <f aca="false">IF($A88="","",SUM($J88:$L88))</f>
        <v/>
      </c>
      <c r="R88" s="17" t="str">
        <f aca="false">IF($A88="","",($M88+$Q88)-$P88)</f>
        <v/>
      </c>
      <c r="S88" s="18" t="str">
        <f aca="false">IF(OR($A88="",$P88=0),"",$R88/$P88)</f>
        <v/>
      </c>
      <c r="T88" s="23"/>
      <c r="U88" s="14" t="str">
        <f aca="false">IF($A88="","",IF($M88&gt;0,"Live","Exited"))</f>
        <v/>
      </c>
      <c r="V88" s="20" t="str">
        <f aca="false">IF($A88="","",IF($A88='Client Report'!$C$4,COUNTIFS($A$6:$A88,'Client Report'!$C$4),""))</f>
        <v/>
      </c>
    </row>
    <row r="89" customFormat="false" ht="15" hidden="false" customHeight="false" outlineLevel="0" collapsed="false">
      <c r="A89" s="11"/>
      <c r="B89" s="11"/>
      <c r="C89" s="14" t="str">
        <f aca="false">IF($B89="","",IFERROR(TRIM(LEFT($B89,FIND(" - ",$B89)-1)),"Others"))</f>
        <v/>
      </c>
      <c r="D89" s="11"/>
      <c r="E89" s="11"/>
      <c r="F89" s="12"/>
      <c r="G89" s="21"/>
      <c r="H89" s="21"/>
      <c r="I89" s="21"/>
      <c r="J89" s="21"/>
      <c r="K89" s="21"/>
      <c r="L89" s="21"/>
      <c r="M89" s="21"/>
      <c r="N89" s="22"/>
      <c r="O89" s="22"/>
      <c r="P89" s="17" t="str">
        <f aca="false">IF($A89="","",SUM($G89:$I89))</f>
        <v/>
      </c>
      <c r="Q89" s="17" t="str">
        <f aca="false">IF($A89="","",SUM($J89:$L89))</f>
        <v/>
      </c>
      <c r="R89" s="17" t="str">
        <f aca="false">IF($A89="","",($M89+$Q89)-$P89)</f>
        <v/>
      </c>
      <c r="S89" s="18" t="str">
        <f aca="false">IF(OR($A89="",$P89=0),"",$R89/$P89)</f>
        <v/>
      </c>
      <c r="T89" s="23"/>
      <c r="U89" s="14" t="str">
        <f aca="false">IF($A89="","",IF($M89&gt;0,"Live","Exited"))</f>
        <v/>
      </c>
      <c r="V89" s="20" t="str">
        <f aca="false">IF($A89="","",IF($A89='Client Report'!$C$4,COUNTIFS($A$6:$A89,'Client Report'!$C$4),""))</f>
        <v/>
      </c>
    </row>
    <row r="90" customFormat="false" ht="15" hidden="false" customHeight="false" outlineLevel="0" collapsed="false">
      <c r="A90" s="11"/>
      <c r="B90" s="11"/>
      <c r="C90" s="14" t="str">
        <f aca="false">IF($B90="","",IFERROR(TRIM(LEFT($B90,FIND(" - ",$B90)-1)),"Others"))</f>
        <v/>
      </c>
      <c r="D90" s="11"/>
      <c r="E90" s="11"/>
      <c r="F90" s="12"/>
      <c r="G90" s="21"/>
      <c r="H90" s="21"/>
      <c r="I90" s="21"/>
      <c r="J90" s="21"/>
      <c r="K90" s="21"/>
      <c r="L90" s="21"/>
      <c r="M90" s="21"/>
      <c r="N90" s="22"/>
      <c r="O90" s="22"/>
      <c r="P90" s="17" t="str">
        <f aca="false">IF($A90="","",SUM($G90:$I90))</f>
        <v/>
      </c>
      <c r="Q90" s="17" t="str">
        <f aca="false">IF($A90="","",SUM($J90:$L90))</f>
        <v/>
      </c>
      <c r="R90" s="17" t="str">
        <f aca="false">IF($A90="","",($M90+$Q90)-$P90)</f>
        <v/>
      </c>
      <c r="S90" s="18" t="str">
        <f aca="false">IF(OR($A90="",$P90=0),"",$R90/$P90)</f>
        <v/>
      </c>
      <c r="T90" s="23"/>
      <c r="U90" s="14" t="str">
        <f aca="false">IF($A90="","",IF($M90&gt;0,"Live","Exited"))</f>
        <v/>
      </c>
      <c r="V90" s="20" t="str">
        <f aca="false">IF($A90="","",IF($A90='Client Report'!$C$4,COUNTIFS($A$6:$A90,'Client Report'!$C$4),""))</f>
        <v/>
      </c>
    </row>
    <row r="91" customFormat="false" ht="15" hidden="false" customHeight="false" outlineLevel="0" collapsed="false">
      <c r="A91" s="11"/>
      <c r="B91" s="11"/>
      <c r="C91" s="14" t="str">
        <f aca="false">IF($B91="","",IFERROR(TRIM(LEFT($B91,FIND(" - ",$B91)-1)),"Others"))</f>
        <v/>
      </c>
      <c r="D91" s="11"/>
      <c r="E91" s="11"/>
      <c r="F91" s="12"/>
      <c r="G91" s="21"/>
      <c r="H91" s="21"/>
      <c r="I91" s="21"/>
      <c r="J91" s="21"/>
      <c r="K91" s="21"/>
      <c r="L91" s="21"/>
      <c r="M91" s="21"/>
      <c r="N91" s="22"/>
      <c r="O91" s="22"/>
      <c r="P91" s="17" t="str">
        <f aca="false">IF($A91="","",SUM($G91:$I91))</f>
        <v/>
      </c>
      <c r="Q91" s="17" t="str">
        <f aca="false">IF($A91="","",SUM($J91:$L91))</f>
        <v/>
      </c>
      <c r="R91" s="17" t="str">
        <f aca="false">IF($A91="","",($M91+$Q91)-$P91)</f>
        <v/>
      </c>
      <c r="S91" s="18" t="str">
        <f aca="false">IF(OR($A91="",$P91=0),"",$R91/$P91)</f>
        <v/>
      </c>
      <c r="T91" s="23"/>
      <c r="U91" s="14" t="str">
        <f aca="false">IF($A91="","",IF($M91&gt;0,"Live","Exited"))</f>
        <v/>
      </c>
      <c r="V91" s="20" t="str">
        <f aca="false">IF($A91="","",IF($A91='Client Report'!$C$4,COUNTIFS($A$6:$A91,'Client Report'!$C$4),""))</f>
        <v/>
      </c>
    </row>
    <row r="92" customFormat="false" ht="15" hidden="false" customHeight="false" outlineLevel="0" collapsed="false">
      <c r="A92" s="11"/>
      <c r="B92" s="11"/>
      <c r="C92" s="14" t="str">
        <f aca="false">IF($B92="","",IFERROR(TRIM(LEFT($B92,FIND(" - ",$B92)-1)),"Others"))</f>
        <v/>
      </c>
      <c r="D92" s="11"/>
      <c r="E92" s="11"/>
      <c r="F92" s="12"/>
      <c r="G92" s="21"/>
      <c r="H92" s="21"/>
      <c r="I92" s="21"/>
      <c r="J92" s="21"/>
      <c r="K92" s="21"/>
      <c r="L92" s="21"/>
      <c r="M92" s="21"/>
      <c r="N92" s="22"/>
      <c r="O92" s="22"/>
      <c r="P92" s="17" t="str">
        <f aca="false">IF($A92="","",SUM($G92:$I92))</f>
        <v/>
      </c>
      <c r="Q92" s="17" t="str">
        <f aca="false">IF($A92="","",SUM($J92:$L92))</f>
        <v/>
      </c>
      <c r="R92" s="17" t="str">
        <f aca="false">IF($A92="","",($M92+$Q92)-$P92)</f>
        <v/>
      </c>
      <c r="S92" s="18" t="str">
        <f aca="false">IF(OR($A92="",$P92=0),"",$R92/$P92)</f>
        <v/>
      </c>
      <c r="T92" s="23"/>
      <c r="U92" s="14" t="str">
        <f aca="false">IF($A92="","",IF($M92&gt;0,"Live","Exited"))</f>
        <v/>
      </c>
      <c r="V92" s="20" t="str">
        <f aca="false">IF($A92="","",IF($A92='Client Report'!$C$4,COUNTIFS($A$6:$A92,'Client Report'!$C$4),""))</f>
        <v/>
      </c>
    </row>
    <row r="93" customFormat="false" ht="15" hidden="false" customHeight="false" outlineLevel="0" collapsed="false">
      <c r="A93" s="11"/>
      <c r="B93" s="11"/>
      <c r="C93" s="14" t="str">
        <f aca="false">IF($B93="","",IFERROR(TRIM(LEFT($B93,FIND(" - ",$B93)-1)),"Others"))</f>
        <v/>
      </c>
      <c r="D93" s="11"/>
      <c r="E93" s="11"/>
      <c r="F93" s="12"/>
      <c r="G93" s="21"/>
      <c r="H93" s="21"/>
      <c r="I93" s="21"/>
      <c r="J93" s="21"/>
      <c r="K93" s="21"/>
      <c r="L93" s="21"/>
      <c r="M93" s="21"/>
      <c r="N93" s="22"/>
      <c r="O93" s="22"/>
      <c r="P93" s="17" t="str">
        <f aca="false">IF($A93="","",SUM($G93:$I93))</f>
        <v/>
      </c>
      <c r="Q93" s="17" t="str">
        <f aca="false">IF($A93="","",SUM($J93:$L93))</f>
        <v/>
      </c>
      <c r="R93" s="17" t="str">
        <f aca="false">IF($A93="","",($M93+$Q93)-$P93)</f>
        <v/>
      </c>
      <c r="S93" s="18" t="str">
        <f aca="false">IF(OR($A93="",$P93=0),"",$R93/$P93)</f>
        <v/>
      </c>
      <c r="T93" s="23"/>
      <c r="U93" s="14" t="str">
        <f aca="false">IF($A93="","",IF($M93&gt;0,"Live","Exited"))</f>
        <v/>
      </c>
      <c r="V93" s="20" t="str">
        <f aca="false">IF($A93="","",IF($A93='Client Report'!$C$4,COUNTIFS($A$6:$A93,'Client Report'!$C$4),""))</f>
        <v/>
      </c>
    </row>
    <row r="94" customFormat="false" ht="15" hidden="false" customHeight="false" outlineLevel="0" collapsed="false">
      <c r="A94" s="11"/>
      <c r="B94" s="11"/>
      <c r="C94" s="14" t="str">
        <f aca="false">IF($B94="","",IFERROR(TRIM(LEFT($B94,FIND(" - ",$B94)-1)),"Others"))</f>
        <v/>
      </c>
      <c r="D94" s="11"/>
      <c r="E94" s="11"/>
      <c r="F94" s="12"/>
      <c r="G94" s="21"/>
      <c r="H94" s="21"/>
      <c r="I94" s="21"/>
      <c r="J94" s="21"/>
      <c r="K94" s="21"/>
      <c r="L94" s="21"/>
      <c r="M94" s="21"/>
      <c r="N94" s="22"/>
      <c r="O94" s="22"/>
      <c r="P94" s="17" t="str">
        <f aca="false">IF($A94="","",SUM($G94:$I94))</f>
        <v/>
      </c>
      <c r="Q94" s="17" t="str">
        <f aca="false">IF($A94="","",SUM($J94:$L94))</f>
        <v/>
      </c>
      <c r="R94" s="17" t="str">
        <f aca="false">IF($A94="","",($M94+$Q94)-$P94)</f>
        <v/>
      </c>
      <c r="S94" s="18" t="str">
        <f aca="false">IF(OR($A94="",$P94=0),"",$R94/$P94)</f>
        <v/>
      </c>
      <c r="T94" s="23"/>
      <c r="U94" s="14" t="str">
        <f aca="false">IF($A94="","",IF($M94&gt;0,"Live","Exited"))</f>
        <v/>
      </c>
      <c r="V94" s="20" t="str">
        <f aca="false">IF($A94="","",IF($A94='Client Report'!$C$4,COUNTIFS($A$6:$A94,'Client Report'!$C$4),""))</f>
        <v/>
      </c>
    </row>
    <row r="95" customFormat="false" ht="15" hidden="false" customHeight="false" outlineLevel="0" collapsed="false">
      <c r="A95" s="11"/>
      <c r="B95" s="11"/>
      <c r="C95" s="14" t="str">
        <f aca="false">IF($B95="","",IFERROR(TRIM(LEFT($B95,FIND(" - ",$B95)-1)),"Others"))</f>
        <v/>
      </c>
      <c r="D95" s="11"/>
      <c r="E95" s="11"/>
      <c r="F95" s="12"/>
      <c r="G95" s="21"/>
      <c r="H95" s="21"/>
      <c r="I95" s="21"/>
      <c r="J95" s="21"/>
      <c r="K95" s="21"/>
      <c r="L95" s="21"/>
      <c r="M95" s="21"/>
      <c r="N95" s="22"/>
      <c r="O95" s="22"/>
      <c r="P95" s="17" t="str">
        <f aca="false">IF($A95="","",SUM($G95:$I95))</f>
        <v/>
      </c>
      <c r="Q95" s="17" t="str">
        <f aca="false">IF($A95="","",SUM($J95:$L95))</f>
        <v/>
      </c>
      <c r="R95" s="17" t="str">
        <f aca="false">IF($A95="","",($M95+$Q95)-$P95)</f>
        <v/>
      </c>
      <c r="S95" s="18" t="str">
        <f aca="false">IF(OR($A95="",$P95=0),"",$R95/$P95)</f>
        <v/>
      </c>
      <c r="T95" s="23"/>
      <c r="U95" s="14" t="str">
        <f aca="false">IF($A95="","",IF($M95&gt;0,"Live","Exited"))</f>
        <v/>
      </c>
      <c r="V95" s="20" t="str">
        <f aca="false">IF($A95="","",IF($A95='Client Report'!$C$4,COUNTIFS($A$6:$A95,'Client Report'!$C$4),""))</f>
        <v/>
      </c>
    </row>
    <row r="96" customFormat="false" ht="15" hidden="false" customHeight="false" outlineLevel="0" collapsed="false">
      <c r="A96" s="11"/>
      <c r="B96" s="11"/>
      <c r="C96" s="14" t="str">
        <f aca="false">IF($B96="","",IFERROR(TRIM(LEFT($B96,FIND(" - ",$B96)-1)),"Others"))</f>
        <v/>
      </c>
      <c r="D96" s="11"/>
      <c r="E96" s="11"/>
      <c r="F96" s="12"/>
      <c r="G96" s="21"/>
      <c r="H96" s="21"/>
      <c r="I96" s="21"/>
      <c r="J96" s="21"/>
      <c r="K96" s="21"/>
      <c r="L96" s="21"/>
      <c r="M96" s="21"/>
      <c r="N96" s="22"/>
      <c r="O96" s="22"/>
      <c r="P96" s="17" t="str">
        <f aca="false">IF($A96="","",SUM($G96:$I96))</f>
        <v/>
      </c>
      <c r="Q96" s="17" t="str">
        <f aca="false">IF($A96="","",SUM($J96:$L96))</f>
        <v/>
      </c>
      <c r="R96" s="17" t="str">
        <f aca="false">IF($A96="","",($M96+$Q96)-$P96)</f>
        <v/>
      </c>
      <c r="S96" s="18" t="str">
        <f aca="false">IF(OR($A96="",$P96=0),"",$R96/$P96)</f>
        <v/>
      </c>
      <c r="T96" s="23"/>
      <c r="U96" s="14" t="str">
        <f aca="false">IF($A96="","",IF($M96&gt;0,"Live","Exited"))</f>
        <v/>
      </c>
      <c r="V96" s="20" t="str">
        <f aca="false">IF($A96="","",IF($A96='Client Report'!$C$4,COUNTIFS($A$6:$A96,'Client Report'!$C$4),""))</f>
        <v/>
      </c>
    </row>
    <row r="97" customFormat="false" ht="15" hidden="false" customHeight="false" outlineLevel="0" collapsed="false">
      <c r="A97" s="11"/>
      <c r="B97" s="11"/>
      <c r="C97" s="14" t="str">
        <f aca="false">IF($B97="","",IFERROR(TRIM(LEFT($B97,FIND(" - ",$B97)-1)),"Others"))</f>
        <v/>
      </c>
      <c r="D97" s="11"/>
      <c r="E97" s="11"/>
      <c r="F97" s="12"/>
      <c r="G97" s="21"/>
      <c r="H97" s="21"/>
      <c r="I97" s="21"/>
      <c r="J97" s="21"/>
      <c r="K97" s="21"/>
      <c r="L97" s="21"/>
      <c r="M97" s="21"/>
      <c r="N97" s="22"/>
      <c r="O97" s="22"/>
      <c r="P97" s="17" t="str">
        <f aca="false">IF($A97="","",SUM($G97:$I97))</f>
        <v/>
      </c>
      <c r="Q97" s="17" t="str">
        <f aca="false">IF($A97="","",SUM($J97:$L97))</f>
        <v/>
      </c>
      <c r="R97" s="17" t="str">
        <f aca="false">IF($A97="","",($M97+$Q97)-$P97)</f>
        <v/>
      </c>
      <c r="S97" s="18" t="str">
        <f aca="false">IF(OR($A97="",$P97=0),"",$R97/$P97)</f>
        <v/>
      </c>
      <c r="T97" s="23"/>
      <c r="U97" s="14" t="str">
        <f aca="false">IF($A97="","",IF($M97&gt;0,"Live","Exited"))</f>
        <v/>
      </c>
      <c r="V97" s="20" t="str">
        <f aca="false">IF($A97="","",IF($A97='Client Report'!$C$4,COUNTIFS($A$6:$A97,'Client Report'!$C$4),""))</f>
        <v/>
      </c>
    </row>
    <row r="98" customFormat="false" ht="15" hidden="false" customHeight="false" outlineLevel="0" collapsed="false">
      <c r="A98" s="11"/>
      <c r="B98" s="11"/>
      <c r="C98" s="14" t="str">
        <f aca="false">IF($B98="","",IFERROR(TRIM(LEFT($B98,FIND(" - ",$B98)-1)),"Others"))</f>
        <v/>
      </c>
      <c r="D98" s="11"/>
      <c r="E98" s="11"/>
      <c r="F98" s="12"/>
      <c r="G98" s="21"/>
      <c r="H98" s="21"/>
      <c r="I98" s="21"/>
      <c r="J98" s="21"/>
      <c r="K98" s="21"/>
      <c r="L98" s="21"/>
      <c r="M98" s="21"/>
      <c r="N98" s="22"/>
      <c r="O98" s="22"/>
      <c r="P98" s="17" t="str">
        <f aca="false">IF($A98="","",SUM($G98:$I98))</f>
        <v/>
      </c>
      <c r="Q98" s="17" t="str">
        <f aca="false">IF($A98="","",SUM($J98:$L98))</f>
        <v/>
      </c>
      <c r="R98" s="17" t="str">
        <f aca="false">IF($A98="","",($M98+$Q98)-$P98)</f>
        <v/>
      </c>
      <c r="S98" s="18" t="str">
        <f aca="false">IF(OR($A98="",$P98=0),"",$R98/$P98)</f>
        <v/>
      </c>
      <c r="T98" s="23"/>
      <c r="U98" s="14" t="str">
        <f aca="false">IF($A98="","",IF($M98&gt;0,"Live","Exited"))</f>
        <v/>
      </c>
      <c r="V98" s="20" t="str">
        <f aca="false">IF($A98="","",IF($A98='Client Report'!$C$4,COUNTIFS($A$6:$A98,'Client Report'!$C$4),""))</f>
        <v/>
      </c>
    </row>
    <row r="99" customFormat="false" ht="15" hidden="false" customHeight="false" outlineLevel="0" collapsed="false">
      <c r="A99" s="11"/>
      <c r="B99" s="11"/>
      <c r="C99" s="14" t="str">
        <f aca="false">IF($B99="","",IFERROR(TRIM(LEFT($B99,FIND(" - ",$B99)-1)),"Others"))</f>
        <v/>
      </c>
      <c r="D99" s="11"/>
      <c r="E99" s="11"/>
      <c r="F99" s="12"/>
      <c r="G99" s="21"/>
      <c r="H99" s="21"/>
      <c r="I99" s="21"/>
      <c r="J99" s="21"/>
      <c r="K99" s="21"/>
      <c r="L99" s="21"/>
      <c r="M99" s="21"/>
      <c r="N99" s="22"/>
      <c r="O99" s="22"/>
      <c r="P99" s="17" t="str">
        <f aca="false">IF($A99="","",SUM($G99:$I99))</f>
        <v/>
      </c>
      <c r="Q99" s="17" t="str">
        <f aca="false">IF($A99="","",SUM($J99:$L99))</f>
        <v/>
      </c>
      <c r="R99" s="17" t="str">
        <f aca="false">IF($A99="","",($M99+$Q99)-$P99)</f>
        <v/>
      </c>
      <c r="S99" s="18" t="str">
        <f aca="false">IF(OR($A99="",$P99=0),"",$R99/$P99)</f>
        <v/>
      </c>
      <c r="T99" s="23"/>
      <c r="U99" s="14" t="str">
        <f aca="false">IF($A99="","",IF($M99&gt;0,"Live","Exited"))</f>
        <v/>
      </c>
      <c r="V99" s="20" t="str">
        <f aca="false">IF($A99="","",IF($A99='Client Report'!$C$4,COUNTIFS($A$6:$A99,'Client Report'!$C$4),""))</f>
        <v/>
      </c>
    </row>
    <row r="100" customFormat="false" ht="15" hidden="false" customHeight="false" outlineLevel="0" collapsed="false">
      <c r="A100" s="11"/>
      <c r="B100" s="11"/>
      <c r="C100" s="14" t="str">
        <f aca="false">IF($B100="","",IFERROR(TRIM(LEFT($B100,FIND(" - ",$B100)-1)),"Others"))</f>
        <v/>
      </c>
      <c r="D100" s="11"/>
      <c r="E100" s="11"/>
      <c r="F100" s="12"/>
      <c r="G100" s="21"/>
      <c r="H100" s="21"/>
      <c r="I100" s="21"/>
      <c r="J100" s="21"/>
      <c r="K100" s="21"/>
      <c r="L100" s="21"/>
      <c r="M100" s="21"/>
      <c r="N100" s="22"/>
      <c r="O100" s="22"/>
      <c r="P100" s="17" t="str">
        <f aca="false">IF($A100="","",SUM($G100:$I100))</f>
        <v/>
      </c>
      <c r="Q100" s="17" t="str">
        <f aca="false">IF($A100="","",SUM($J100:$L100))</f>
        <v/>
      </c>
      <c r="R100" s="17" t="str">
        <f aca="false">IF($A100="","",($M100+$Q100)-$P100)</f>
        <v/>
      </c>
      <c r="S100" s="18" t="str">
        <f aca="false">IF(OR($A100="",$P100=0),"",$R100/$P100)</f>
        <v/>
      </c>
      <c r="T100" s="23"/>
      <c r="U100" s="14" t="str">
        <f aca="false">IF($A100="","",IF($M100&gt;0,"Live","Exited"))</f>
        <v/>
      </c>
      <c r="V100" s="20" t="str">
        <f aca="false">IF($A100="","",IF($A100='Client Report'!$C$4,COUNTIFS($A$6:$A100,'Client Report'!$C$4),""))</f>
        <v/>
      </c>
    </row>
    <row r="101" customFormat="false" ht="15" hidden="false" customHeight="false" outlineLevel="0" collapsed="false">
      <c r="A101" s="11"/>
      <c r="B101" s="11"/>
      <c r="C101" s="14" t="str">
        <f aca="false">IF($B101="","",IFERROR(TRIM(LEFT($B101,FIND(" - ",$B101)-1)),"Others"))</f>
        <v/>
      </c>
      <c r="D101" s="11"/>
      <c r="E101" s="11"/>
      <c r="F101" s="12"/>
      <c r="G101" s="21"/>
      <c r="H101" s="21"/>
      <c r="I101" s="21"/>
      <c r="J101" s="21"/>
      <c r="K101" s="21"/>
      <c r="L101" s="21"/>
      <c r="M101" s="21"/>
      <c r="N101" s="22"/>
      <c r="O101" s="22"/>
      <c r="P101" s="17" t="str">
        <f aca="false">IF($A101="","",SUM($G101:$I101))</f>
        <v/>
      </c>
      <c r="Q101" s="17" t="str">
        <f aca="false">IF($A101="","",SUM($J101:$L101))</f>
        <v/>
      </c>
      <c r="R101" s="17" t="str">
        <f aca="false">IF($A101="","",($M101+$Q101)-$P101)</f>
        <v/>
      </c>
      <c r="S101" s="18" t="str">
        <f aca="false">IF(OR($A101="",$P101=0),"",$R101/$P101)</f>
        <v/>
      </c>
      <c r="T101" s="23"/>
      <c r="U101" s="14" t="str">
        <f aca="false">IF($A101="","",IF($M101&gt;0,"Live","Exited"))</f>
        <v/>
      </c>
      <c r="V101" s="20" t="str">
        <f aca="false">IF($A101="","",IF($A101='Client Report'!$C$4,COUNTIFS($A$6:$A101,'Client Report'!$C$4),""))</f>
        <v/>
      </c>
    </row>
    <row r="102" customFormat="false" ht="15" hidden="false" customHeight="false" outlineLevel="0" collapsed="false">
      <c r="A102" s="11"/>
      <c r="B102" s="11"/>
      <c r="C102" s="14" t="str">
        <f aca="false">IF($B102="","",IFERROR(TRIM(LEFT($B102,FIND(" - ",$B102)-1)),"Others"))</f>
        <v/>
      </c>
      <c r="D102" s="11"/>
      <c r="E102" s="11"/>
      <c r="F102" s="12"/>
      <c r="G102" s="21"/>
      <c r="H102" s="21"/>
      <c r="I102" s="21"/>
      <c r="J102" s="21"/>
      <c r="K102" s="21"/>
      <c r="L102" s="21"/>
      <c r="M102" s="21"/>
      <c r="N102" s="22"/>
      <c r="O102" s="22"/>
      <c r="P102" s="17" t="str">
        <f aca="false">IF($A102="","",SUM($G102:$I102))</f>
        <v/>
      </c>
      <c r="Q102" s="17" t="str">
        <f aca="false">IF($A102="","",SUM($J102:$L102))</f>
        <v/>
      </c>
      <c r="R102" s="17" t="str">
        <f aca="false">IF($A102="","",($M102+$Q102)-$P102)</f>
        <v/>
      </c>
      <c r="S102" s="18" t="str">
        <f aca="false">IF(OR($A102="",$P102=0),"",$R102/$P102)</f>
        <v/>
      </c>
      <c r="T102" s="23"/>
      <c r="U102" s="14" t="str">
        <f aca="false">IF($A102="","",IF($M102&gt;0,"Live","Exited"))</f>
        <v/>
      </c>
      <c r="V102" s="20" t="str">
        <f aca="false">IF($A102="","",IF($A102='Client Report'!$C$4,COUNTIFS($A$6:$A102,'Client Report'!$C$4),""))</f>
        <v/>
      </c>
    </row>
    <row r="103" customFormat="false" ht="15" hidden="false" customHeight="false" outlineLevel="0" collapsed="false">
      <c r="A103" s="11"/>
      <c r="B103" s="11"/>
      <c r="C103" s="14" t="str">
        <f aca="false">IF($B103="","",IFERROR(TRIM(LEFT($B103,FIND(" - ",$B103)-1)),"Others"))</f>
        <v/>
      </c>
      <c r="D103" s="11"/>
      <c r="E103" s="11"/>
      <c r="F103" s="12"/>
      <c r="G103" s="21"/>
      <c r="H103" s="21"/>
      <c r="I103" s="21"/>
      <c r="J103" s="21"/>
      <c r="K103" s="21"/>
      <c r="L103" s="21"/>
      <c r="M103" s="21"/>
      <c r="N103" s="22"/>
      <c r="O103" s="22"/>
      <c r="P103" s="17" t="str">
        <f aca="false">IF($A103="","",SUM($G103:$I103))</f>
        <v/>
      </c>
      <c r="Q103" s="17" t="str">
        <f aca="false">IF($A103="","",SUM($J103:$L103))</f>
        <v/>
      </c>
      <c r="R103" s="17" t="str">
        <f aca="false">IF($A103="","",($M103+$Q103)-$P103)</f>
        <v/>
      </c>
      <c r="S103" s="18" t="str">
        <f aca="false">IF(OR($A103="",$P103=0),"",$R103/$P103)</f>
        <v/>
      </c>
      <c r="T103" s="23"/>
      <c r="U103" s="14" t="str">
        <f aca="false">IF($A103="","",IF($M103&gt;0,"Live","Exited"))</f>
        <v/>
      </c>
      <c r="V103" s="20" t="str">
        <f aca="false">IF($A103="","",IF($A103='Client Report'!$C$4,COUNTIFS($A$6:$A103,'Client Report'!$C$4),""))</f>
        <v/>
      </c>
    </row>
    <row r="104" customFormat="false" ht="15" hidden="false" customHeight="false" outlineLevel="0" collapsed="false">
      <c r="A104" s="11"/>
      <c r="B104" s="11"/>
      <c r="C104" s="14" t="str">
        <f aca="false">IF($B104="","",IFERROR(TRIM(LEFT($B104,FIND(" - ",$B104)-1)),"Others"))</f>
        <v/>
      </c>
      <c r="D104" s="11"/>
      <c r="E104" s="11"/>
      <c r="F104" s="12"/>
      <c r="G104" s="21"/>
      <c r="H104" s="21"/>
      <c r="I104" s="21"/>
      <c r="J104" s="21"/>
      <c r="K104" s="21"/>
      <c r="L104" s="21"/>
      <c r="M104" s="21"/>
      <c r="N104" s="22"/>
      <c r="O104" s="22"/>
      <c r="P104" s="17" t="str">
        <f aca="false">IF($A104="","",SUM($G104:$I104))</f>
        <v/>
      </c>
      <c r="Q104" s="17" t="str">
        <f aca="false">IF($A104="","",SUM($J104:$L104))</f>
        <v/>
      </c>
      <c r="R104" s="17" t="str">
        <f aca="false">IF($A104="","",($M104+$Q104)-$P104)</f>
        <v/>
      </c>
      <c r="S104" s="18" t="str">
        <f aca="false">IF(OR($A104="",$P104=0),"",$R104/$P104)</f>
        <v/>
      </c>
      <c r="T104" s="23"/>
      <c r="U104" s="14" t="str">
        <f aca="false">IF($A104="","",IF($M104&gt;0,"Live","Exited"))</f>
        <v/>
      </c>
      <c r="V104" s="20" t="str">
        <f aca="false">IF($A104="","",IF($A104='Client Report'!$C$4,COUNTIFS($A$6:$A104,'Client Report'!$C$4),""))</f>
        <v/>
      </c>
    </row>
    <row r="105" customFormat="false" ht="15" hidden="false" customHeight="false" outlineLevel="0" collapsed="false">
      <c r="A105" s="11"/>
      <c r="B105" s="11"/>
      <c r="C105" s="14" t="str">
        <f aca="false">IF($B105="","",IFERROR(TRIM(LEFT($B105,FIND(" - ",$B105)-1)),"Others"))</f>
        <v/>
      </c>
      <c r="D105" s="11"/>
      <c r="E105" s="11"/>
      <c r="F105" s="12"/>
      <c r="G105" s="21"/>
      <c r="H105" s="21"/>
      <c r="I105" s="21"/>
      <c r="J105" s="21"/>
      <c r="K105" s="21"/>
      <c r="L105" s="21"/>
      <c r="M105" s="21"/>
      <c r="N105" s="22"/>
      <c r="O105" s="22"/>
      <c r="P105" s="17" t="str">
        <f aca="false">IF($A105="","",SUM($G105:$I105))</f>
        <v/>
      </c>
      <c r="Q105" s="17" t="str">
        <f aca="false">IF($A105="","",SUM($J105:$L105))</f>
        <v/>
      </c>
      <c r="R105" s="17" t="str">
        <f aca="false">IF($A105="","",($M105+$Q105)-$P105)</f>
        <v/>
      </c>
      <c r="S105" s="18" t="str">
        <f aca="false">IF(OR($A105="",$P105=0),"",$R105/$P105)</f>
        <v/>
      </c>
      <c r="T105" s="23"/>
      <c r="U105" s="14" t="str">
        <f aca="false">IF($A105="","",IF($M105&gt;0,"Live","Exited"))</f>
        <v/>
      </c>
      <c r="V105" s="20" t="str">
        <f aca="false">IF($A105="","",IF($A105='Client Report'!$C$4,COUNTIFS($A$6:$A105,'Client Report'!$C$4),""))</f>
        <v/>
      </c>
    </row>
    <row r="106" customFormat="false" ht="15" hidden="false" customHeight="false" outlineLevel="0" collapsed="false">
      <c r="A106" s="11"/>
      <c r="B106" s="11"/>
      <c r="C106" s="14" t="str">
        <f aca="false">IF($B106="","",IFERROR(TRIM(LEFT($B106,FIND(" - ",$B106)-1)),"Others"))</f>
        <v/>
      </c>
      <c r="D106" s="11"/>
      <c r="E106" s="11"/>
      <c r="F106" s="12"/>
      <c r="G106" s="21"/>
      <c r="H106" s="21"/>
      <c r="I106" s="21"/>
      <c r="J106" s="21"/>
      <c r="K106" s="21"/>
      <c r="L106" s="21"/>
      <c r="M106" s="21"/>
      <c r="N106" s="22"/>
      <c r="O106" s="22"/>
      <c r="P106" s="17" t="str">
        <f aca="false">IF($A106="","",SUM($G106:$I106))</f>
        <v/>
      </c>
      <c r="Q106" s="17" t="str">
        <f aca="false">IF($A106="","",SUM($J106:$L106))</f>
        <v/>
      </c>
      <c r="R106" s="17" t="str">
        <f aca="false">IF($A106="","",($M106+$Q106)-$P106)</f>
        <v/>
      </c>
      <c r="S106" s="18" t="str">
        <f aca="false">IF(OR($A106="",$P106=0),"",$R106/$P106)</f>
        <v/>
      </c>
      <c r="T106" s="23"/>
      <c r="U106" s="14" t="str">
        <f aca="false">IF($A106="","",IF($M106&gt;0,"Live","Exited"))</f>
        <v/>
      </c>
      <c r="V106" s="20" t="str">
        <f aca="false">IF($A106="","",IF($A106='Client Report'!$C$4,COUNTIFS($A$6:$A106,'Client Report'!$C$4),""))</f>
        <v/>
      </c>
    </row>
    <row r="107" customFormat="false" ht="15" hidden="false" customHeight="false" outlineLevel="0" collapsed="false">
      <c r="A107" s="11"/>
      <c r="B107" s="11"/>
      <c r="C107" s="14" t="str">
        <f aca="false">IF($B107="","",IFERROR(TRIM(LEFT($B107,FIND(" - ",$B107)-1)),"Others"))</f>
        <v/>
      </c>
      <c r="D107" s="11"/>
      <c r="E107" s="11"/>
      <c r="F107" s="12"/>
      <c r="G107" s="21"/>
      <c r="H107" s="21"/>
      <c r="I107" s="21"/>
      <c r="J107" s="21"/>
      <c r="K107" s="21"/>
      <c r="L107" s="21"/>
      <c r="M107" s="21"/>
      <c r="N107" s="22"/>
      <c r="O107" s="22"/>
      <c r="P107" s="17" t="str">
        <f aca="false">IF($A107="","",SUM($G107:$I107))</f>
        <v/>
      </c>
      <c r="Q107" s="17" t="str">
        <f aca="false">IF($A107="","",SUM($J107:$L107))</f>
        <v/>
      </c>
      <c r="R107" s="17" t="str">
        <f aca="false">IF($A107="","",($M107+$Q107)-$P107)</f>
        <v/>
      </c>
      <c r="S107" s="18" t="str">
        <f aca="false">IF(OR($A107="",$P107=0),"",$R107/$P107)</f>
        <v/>
      </c>
      <c r="T107" s="23"/>
      <c r="U107" s="14" t="str">
        <f aca="false">IF($A107="","",IF($M107&gt;0,"Live","Exited"))</f>
        <v/>
      </c>
      <c r="V107" s="20" t="str">
        <f aca="false">IF($A107="","",IF($A107='Client Report'!$C$4,COUNTIFS($A$6:$A107,'Client Report'!$C$4),""))</f>
        <v/>
      </c>
    </row>
    <row r="108" customFormat="false" ht="15" hidden="false" customHeight="false" outlineLevel="0" collapsed="false">
      <c r="A108" s="11"/>
      <c r="B108" s="11"/>
      <c r="C108" s="14" t="str">
        <f aca="false">IF($B108="","",IFERROR(TRIM(LEFT($B108,FIND(" - ",$B108)-1)),"Others"))</f>
        <v/>
      </c>
      <c r="D108" s="11"/>
      <c r="E108" s="11"/>
      <c r="F108" s="12"/>
      <c r="G108" s="21"/>
      <c r="H108" s="21"/>
      <c r="I108" s="21"/>
      <c r="J108" s="21"/>
      <c r="K108" s="21"/>
      <c r="L108" s="21"/>
      <c r="M108" s="21"/>
      <c r="N108" s="22"/>
      <c r="O108" s="22"/>
      <c r="P108" s="17" t="str">
        <f aca="false">IF($A108="","",SUM($G108:$I108))</f>
        <v/>
      </c>
      <c r="Q108" s="17" t="str">
        <f aca="false">IF($A108="","",SUM($J108:$L108))</f>
        <v/>
      </c>
      <c r="R108" s="17" t="str">
        <f aca="false">IF($A108="","",($M108+$Q108)-$P108)</f>
        <v/>
      </c>
      <c r="S108" s="18" t="str">
        <f aca="false">IF(OR($A108="",$P108=0),"",$R108/$P108)</f>
        <v/>
      </c>
      <c r="T108" s="23"/>
      <c r="U108" s="14" t="str">
        <f aca="false">IF($A108="","",IF($M108&gt;0,"Live","Exited"))</f>
        <v/>
      </c>
      <c r="V108" s="20" t="str">
        <f aca="false">IF($A108="","",IF($A108='Client Report'!$C$4,COUNTIFS($A$6:$A108,'Client Report'!$C$4),""))</f>
        <v/>
      </c>
    </row>
    <row r="109" customFormat="false" ht="15" hidden="false" customHeight="false" outlineLevel="0" collapsed="false">
      <c r="A109" s="11"/>
      <c r="B109" s="11"/>
      <c r="C109" s="14" t="str">
        <f aca="false">IF($B109="","",IFERROR(TRIM(LEFT($B109,FIND(" - ",$B109)-1)),"Others"))</f>
        <v/>
      </c>
      <c r="D109" s="11"/>
      <c r="E109" s="11"/>
      <c r="F109" s="12"/>
      <c r="G109" s="21"/>
      <c r="H109" s="21"/>
      <c r="I109" s="21"/>
      <c r="J109" s="21"/>
      <c r="K109" s="21"/>
      <c r="L109" s="21"/>
      <c r="M109" s="21"/>
      <c r="N109" s="22"/>
      <c r="O109" s="22"/>
      <c r="P109" s="17" t="str">
        <f aca="false">IF($A109="","",SUM($G109:$I109))</f>
        <v/>
      </c>
      <c r="Q109" s="17" t="str">
        <f aca="false">IF($A109="","",SUM($J109:$L109))</f>
        <v/>
      </c>
      <c r="R109" s="17" t="str">
        <f aca="false">IF($A109="","",($M109+$Q109)-$P109)</f>
        <v/>
      </c>
      <c r="S109" s="18" t="str">
        <f aca="false">IF(OR($A109="",$P109=0),"",$R109/$P109)</f>
        <v/>
      </c>
      <c r="T109" s="23"/>
      <c r="U109" s="14" t="str">
        <f aca="false">IF($A109="","",IF($M109&gt;0,"Live","Exited"))</f>
        <v/>
      </c>
      <c r="V109" s="20" t="str">
        <f aca="false">IF($A109="","",IF($A109='Client Report'!$C$4,COUNTIFS($A$6:$A109,'Client Report'!$C$4),""))</f>
        <v/>
      </c>
    </row>
    <row r="110" customFormat="false" ht="15" hidden="false" customHeight="false" outlineLevel="0" collapsed="false">
      <c r="A110" s="11"/>
      <c r="B110" s="11"/>
      <c r="C110" s="14" t="str">
        <f aca="false">IF($B110="","",IFERROR(TRIM(LEFT($B110,FIND(" - ",$B110)-1)),"Others"))</f>
        <v/>
      </c>
      <c r="D110" s="11"/>
      <c r="E110" s="11"/>
      <c r="F110" s="12"/>
      <c r="G110" s="21"/>
      <c r="H110" s="21"/>
      <c r="I110" s="21"/>
      <c r="J110" s="21"/>
      <c r="K110" s="21"/>
      <c r="L110" s="21"/>
      <c r="M110" s="21"/>
      <c r="N110" s="22"/>
      <c r="O110" s="22"/>
      <c r="P110" s="17" t="str">
        <f aca="false">IF($A110="","",SUM($G110:$I110))</f>
        <v/>
      </c>
      <c r="Q110" s="17" t="str">
        <f aca="false">IF($A110="","",SUM($J110:$L110))</f>
        <v/>
      </c>
      <c r="R110" s="17" t="str">
        <f aca="false">IF($A110="","",($M110+$Q110)-$P110)</f>
        <v/>
      </c>
      <c r="S110" s="18" t="str">
        <f aca="false">IF(OR($A110="",$P110=0),"",$R110/$P110)</f>
        <v/>
      </c>
      <c r="T110" s="23"/>
      <c r="U110" s="14" t="str">
        <f aca="false">IF($A110="","",IF($M110&gt;0,"Live","Exited"))</f>
        <v/>
      </c>
      <c r="V110" s="20" t="str">
        <f aca="false">IF($A110="","",IF($A110='Client Report'!$C$4,COUNTIFS($A$6:$A110,'Client Report'!$C$4),""))</f>
        <v/>
      </c>
    </row>
    <row r="111" customFormat="false" ht="15" hidden="false" customHeight="false" outlineLevel="0" collapsed="false">
      <c r="A111" s="11"/>
      <c r="B111" s="11"/>
      <c r="C111" s="14" t="str">
        <f aca="false">IF($B111="","",IFERROR(TRIM(LEFT($B111,FIND(" - ",$B111)-1)),"Others"))</f>
        <v/>
      </c>
      <c r="D111" s="11"/>
      <c r="E111" s="11"/>
      <c r="F111" s="12"/>
      <c r="G111" s="21"/>
      <c r="H111" s="21"/>
      <c r="I111" s="21"/>
      <c r="J111" s="21"/>
      <c r="K111" s="21"/>
      <c r="L111" s="21"/>
      <c r="M111" s="21"/>
      <c r="N111" s="22"/>
      <c r="O111" s="22"/>
      <c r="P111" s="17" t="str">
        <f aca="false">IF($A111="","",SUM($G111:$I111))</f>
        <v/>
      </c>
      <c r="Q111" s="17" t="str">
        <f aca="false">IF($A111="","",SUM($J111:$L111))</f>
        <v/>
      </c>
      <c r="R111" s="17" t="str">
        <f aca="false">IF($A111="","",($M111+$Q111)-$P111)</f>
        <v/>
      </c>
      <c r="S111" s="18" t="str">
        <f aca="false">IF(OR($A111="",$P111=0),"",$R111/$P111)</f>
        <v/>
      </c>
      <c r="T111" s="23"/>
      <c r="U111" s="14" t="str">
        <f aca="false">IF($A111="","",IF($M111&gt;0,"Live","Exited"))</f>
        <v/>
      </c>
      <c r="V111" s="20" t="str">
        <f aca="false">IF($A111="","",IF($A111='Client Report'!$C$4,COUNTIFS($A$6:$A111,'Client Report'!$C$4),""))</f>
        <v/>
      </c>
    </row>
    <row r="112" customFormat="false" ht="15" hidden="false" customHeight="false" outlineLevel="0" collapsed="false">
      <c r="A112" s="11"/>
      <c r="B112" s="11"/>
      <c r="C112" s="14" t="str">
        <f aca="false">IF($B112="","",IFERROR(TRIM(LEFT($B112,FIND(" - ",$B112)-1)),"Others"))</f>
        <v/>
      </c>
      <c r="D112" s="11"/>
      <c r="E112" s="11"/>
      <c r="F112" s="12"/>
      <c r="G112" s="21"/>
      <c r="H112" s="21"/>
      <c r="I112" s="21"/>
      <c r="J112" s="21"/>
      <c r="K112" s="21"/>
      <c r="L112" s="21"/>
      <c r="M112" s="21"/>
      <c r="N112" s="22"/>
      <c r="O112" s="22"/>
      <c r="P112" s="17" t="str">
        <f aca="false">IF($A112="","",SUM($G112:$I112))</f>
        <v/>
      </c>
      <c r="Q112" s="17" t="str">
        <f aca="false">IF($A112="","",SUM($J112:$L112))</f>
        <v/>
      </c>
      <c r="R112" s="17" t="str">
        <f aca="false">IF($A112="","",($M112+$Q112)-$P112)</f>
        <v/>
      </c>
      <c r="S112" s="18" t="str">
        <f aca="false">IF(OR($A112="",$P112=0),"",$R112/$P112)</f>
        <v/>
      </c>
      <c r="T112" s="23"/>
      <c r="U112" s="14" t="str">
        <f aca="false">IF($A112="","",IF($M112&gt;0,"Live","Exited"))</f>
        <v/>
      </c>
      <c r="V112" s="20" t="str">
        <f aca="false">IF($A112="","",IF($A112='Client Report'!$C$4,COUNTIFS($A$6:$A112,'Client Report'!$C$4),""))</f>
        <v/>
      </c>
    </row>
    <row r="113" customFormat="false" ht="15" hidden="false" customHeight="false" outlineLevel="0" collapsed="false">
      <c r="A113" s="11"/>
      <c r="B113" s="11"/>
      <c r="C113" s="14" t="str">
        <f aca="false">IF($B113="","",IFERROR(TRIM(LEFT($B113,FIND(" - ",$B113)-1)),"Others"))</f>
        <v/>
      </c>
      <c r="D113" s="11"/>
      <c r="E113" s="11"/>
      <c r="F113" s="12"/>
      <c r="G113" s="21"/>
      <c r="H113" s="21"/>
      <c r="I113" s="21"/>
      <c r="J113" s="21"/>
      <c r="K113" s="21"/>
      <c r="L113" s="21"/>
      <c r="M113" s="21"/>
      <c r="N113" s="22"/>
      <c r="O113" s="22"/>
      <c r="P113" s="17" t="str">
        <f aca="false">IF($A113="","",SUM($G113:$I113))</f>
        <v/>
      </c>
      <c r="Q113" s="17" t="str">
        <f aca="false">IF($A113="","",SUM($J113:$L113))</f>
        <v/>
      </c>
      <c r="R113" s="17" t="str">
        <f aca="false">IF($A113="","",($M113+$Q113)-$P113)</f>
        <v/>
      </c>
      <c r="S113" s="18" t="str">
        <f aca="false">IF(OR($A113="",$P113=0),"",$R113/$P113)</f>
        <v/>
      </c>
      <c r="T113" s="23"/>
      <c r="U113" s="14" t="str">
        <f aca="false">IF($A113="","",IF($M113&gt;0,"Live","Exited"))</f>
        <v/>
      </c>
      <c r="V113" s="20" t="str">
        <f aca="false">IF($A113="","",IF($A113='Client Report'!$C$4,COUNTIFS($A$6:$A113,'Client Report'!$C$4),""))</f>
        <v/>
      </c>
    </row>
    <row r="114" customFormat="false" ht="15" hidden="false" customHeight="false" outlineLevel="0" collapsed="false">
      <c r="A114" s="11"/>
      <c r="B114" s="11"/>
      <c r="C114" s="14" t="str">
        <f aca="false">IF($B114="","",IFERROR(TRIM(LEFT($B114,FIND(" - ",$B114)-1)),"Others"))</f>
        <v/>
      </c>
      <c r="D114" s="11"/>
      <c r="E114" s="11"/>
      <c r="F114" s="12"/>
      <c r="G114" s="21"/>
      <c r="H114" s="21"/>
      <c r="I114" s="21"/>
      <c r="J114" s="21"/>
      <c r="K114" s="21"/>
      <c r="L114" s="21"/>
      <c r="M114" s="21"/>
      <c r="N114" s="22"/>
      <c r="O114" s="22"/>
      <c r="P114" s="17" t="str">
        <f aca="false">IF($A114="","",SUM($G114:$I114))</f>
        <v/>
      </c>
      <c r="Q114" s="17" t="str">
        <f aca="false">IF($A114="","",SUM($J114:$L114))</f>
        <v/>
      </c>
      <c r="R114" s="17" t="str">
        <f aca="false">IF($A114="","",($M114+$Q114)-$P114)</f>
        <v/>
      </c>
      <c r="S114" s="18" t="str">
        <f aca="false">IF(OR($A114="",$P114=0),"",$R114/$P114)</f>
        <v/>
      </c>
      <c r="T114" s="23"/>
      <c r="U114" s="14" t="str">
        <f aca="false">IF($A114="","",IF($M114&gt;0,"Live","Exited"))</f>
        <v/>
      </c>
      <c r="V114" s="20" t="str">
        <f aca="false">IF($A114="","",IF($A114='Client Report'!$C$4,COUNTIFS($A$6:$A114,'Client Report'!$C$4),""))</f>
        <v/>
      </c>
    </row>
    <row r="115" customFormat="false" ht="15" hidden="false" customHeight="false" outlineLevel="0" collapsed="false">
      <c r="A115" s="11"/>
      <c r="B115" s="11"/>
      <c r="C115" s="14" t="str">
        <f aca="false">IF($B115="","",IFERROR(TRIM(LEFT($B115,FIND(" - ",$B115)-1)),"Others"))</f>
        <v/>
      </c>
      <c r="D115" s="11"/>
      <c r="E115" s="11"/>
      <c r="F115" s="12"/>
      <c r="G115" s="21"/>
      <c r="H115" s="21"/>
      <c r="I115" s="21"/>
      <c r="J115" s="21"/>
      <c r="K115" s="21"/>
      <c r="L115" s="21"/>
      <c r="M115" s="21"/>
      <c r="N115" s="22"/>
      <c r="O115" s="22"/>
      <c r="P115" s="17" t="str">
        <f aca="false">IF($A115="","",SUM($G115:$I115))</f>
        <v/>
      </c>
      <c r="Q115" s="17" t="str">
        <f aca="false">IF($A115="","",SUM($J115:$L115))</f>
        <v/>
      </c>
      <c r="R115" s="17" t="str">
        <f aca="false">IF($A115="","",($M115+$Q115)-$P115)</f>
        <v/>
      </c>
      <c r="S115" s="18" t="str">
        <f aca="false">IF(OR($A115="",$P115=0),"",$R115/$P115)</f>
        <v/>
      </c>
      <c r="T115" s="23"/>
      <c r="U115" s="14" t="str">
        <f aca="false">IF($A115="","",IF($M115&gt;0,"Live","Exited"))</f>
        <v/>
      </c>
      <c r="V115" s="20" t="str">
        <f aca="false">IF($A115="","",IF($A115='Client Report'!$C$4,COUNTIFS($A$6:$A115,'Client Report'!$C$4),""))</f>
        <v/>
      </c>
    </row>
    <row r="116" customFormat="false" ht="15" hidden="false" customHeight="false" outlineLevel="0" collapsed="false">
      <c r="A116" s="11"/>
      <c r="B116" s="11"/>
      <c r="C116" s="14" t="str">
        <f aca="false">IF($B116="","",IFERROR(TRIM(LEFT($B116,FIND(" - ",$B116)-1)),"Others"))</f>
        <v/>
      </c>
      <c r="D116" s="11"/>
      <c r="E116" s="11"/>
      <c r="F116" s="12"/>
      <c r="G116" s="21"/>
      <c r="H116" s="21"/>
      <c r="I116" s="21"/>
      <c r="J116" s="21"/>
      <c r="K116" s="21"/>
      <c r="L116" s="21"/>
      <c r="M116" s="21"/>
      <c r="N116" s="22"/>
      <c r="O116" s="22"/>
      <c r="P116" s="17" t="str">
        <f aca="false">IF($A116="","",SUM($G116:$I116))</f>
        <v/>
      </c>
      <c r="Q116" s="17" t="str">
        <f aca="false">IF($A116="","",SUM($J116:$L116))</f>
        <v/>
      </c>
      <c r="R116" s="17" t="str">
        <f aca="false">IF($A116="","",($M116+$Q116)-$P116)</f>
        <v/>
      </c>
      <c r="S116" s="18" t="str">
        <f aca="false">IF(OR($A116="",$P116=0),"",$R116/$P116)</f>
        <v/>
      </c>
      <c r="T116" s="23"/>
      <c r="U116" s="14" t="str">
        <f aca="false">IF($A116="","",IF($M116&gt;0,"Live","Exited"))</f>
        <v/>
      </c>
      <c r="V116" s="20" t="str">
        <f aca="false">IF($A116="","",IF($A116='Client Report'!$C$4,COUNTIFS($A$6:$A116,'Client Report'!$C$4),""))</f>
        <v/>
      </c>
    </row>
    <row r="117" customFormat="false" ht="15" hidden="false" customHeight="false" outlineLevel="0" collapsed="false">
      <c r="A117" s="11"/>
      <c r="B117" s="11"/>
      <c r="C117" s="14" t="str">
        <f aca="false">IF($B117="","",IFERROR(TRIM(LEFT($B117,FIND(" - ",$B117)-1)),"Others"))</f>
        <v/>
      </c>
      <c r="D117" s="11"/>
      <c r="E117" s="11"/>
      <c r="F117" s="12"/>
      <c r="G117" s="21"/>
      <c r="H117" s="21"/>
      <c r="I117" s="21"/>
      <c r="J117" s="21"/>
      <c r="K117" s="21"/>
      <c r="L117" s="21"/>
      <c r="M117" s="21"/>
      <c r="N117" s="22"/>
      <c r="O117" s="22"/>
      <c r="P117" s="17" t="str">
        <f aca="false">IF($A117="","",SUM($G117:$I117))</f>
        <v/>
      </c>
      <c r="Q117" s="17" t="str">
        <f aca="false">IF($A117="","",SUM($J117:$L117))</f>
        <v/>
      </c>
      <c r="R117" s="17" t="str">
        <f aca="false">IF($A117="","",($M117+$Q117)-$P117)</f>
        <v/>
      </c>
      <c r="S117" s="18" t="str">
        <f aca="false">IF(OR($A117="",$P117=0),"",$R117/$P117)</f>
        <v/>
      </c>
      <c r="T117" s="23"/>
      <c r="U117" s="14" t="str">
        <f aca="false">IF($A117="","",IF($M117&gt;0,"Live","Exited"))</f>
        <v/>
      </c>
      <c r="V117" s="20" t="str">
        <f aca="false">IF($A117="","",IF($A117='Client Report'!$C$4,COUNTIFS($A$6:$A117,'Client Report'!$C$4),""))</f>
        <v/>
      </c>
    </row>
    <row r="118" customFormat="false" ht="15" hidden="false" customHeight="false" outlineLevel="0" collapsed="false">
      <c r="A118" s="11"/>
      <c r="B118" s="11"/>
      <c r="C118" s="14" t="str">
        <f aca="false">IF($B118="","",IFERROR(TRIM(LEFT($B118,FIND(" - ",$B118)-1)),"Others"))</f>
        <v/>
      </c>
      <c r="D118" s="11"/>
      <c r="E118" s="11"/>
      <c r="F118" s="12"/>
      <c r="G118" s="21"/>
      <c r="H118" s="21"/>
      <c r="I118" s="21"/>
      <c r="J118" s="21"/>
      <c r="K118" s="21"/>
      <c r="L118" s="21"/>
      <c r="M118" s="21"/>
      <c r="N118" s="22"/>
      <c r="O118" s="22"/>
      <c r="P118" s="17" t="str">
        <f aca="false">IF($A118="","",SUM($G118:$I118))</f>
        <v/>
      </c>
      <c r="Q118" s="17" t="str">
        <f aca="false">IF($A118="","",SUM($J118:$L118))</f>
        <v/>
      </c>
      <c r="R118" s="17" t="str">
        <f aca="false">IF($A118="","",($M118+$Q118)-$P118)</f>
        <v/>
      </c>
      <c r="S118" s="18" t="str">
        <f aca="false">IF(OR($A118="",$P118=0),"",$R118/$P118)</f>
        <v/>
      </c>
      <c r="T118" s="23"/>
      <c r="U118" s="14" t="str">
        <f aca="false">IF($A118="","",IF($M118&gt;0,"Live","Exited"))</f>
        <v/>
      </c>
      <c r="V118" s="20" t="str">
        <f aca="false">IF($A118="","",IF($A118='Client Report'!$C$4,COUNTIFS($A$6:$A118,'Client Report'!$C$4),""))</f>
        <v/>
      </c>
    </row>
    <row r="119" customFormat="false" ht="15" hidden="false" customHeight="false" outlineLevel="0" collapsed="false">
      <c r="A119" s="11"/>
      <c r="B119" s="11"/>
      <c r="C119" s="14" t="str">
        <f aca="false">IF($B119="","",IFERROR(TRIM(LEFT($B119,FIND(" - ",$B119)-1)),"Others"))</f>
        <v/>
      </c>
      <c r="D119" s="11"/>
      <c r="E119" s="11"/>
      <c r="F119" s="12"/>
      <c r="G119" s="21"/>
      <c r="H119" s="21"/>
      <c r="I119" s="21"/>
      <c r="J119" s="21"/>
      <c r="K119" s="21"/>
      <c r="L119" s="21"/>
      <c r="M119" s="21"/>
      <c r="N119" s="22"/>
      <c r="O119" s="22"/>
      <c r="P119" s="17" t="str">
        <f aca="false">IF($A119="","",SUM($G119:$I119))</f>
        <v/>
      </c>
      <c r="Q119" s="17" t="str">
        <f aca="false">IF($A119="","",SUM($J119:$L119))</f>
        <v/>
      </c>
      <c r="R119" s="17" t="str">
        <f aca="false">IF($A119="","",($M119+$Q119)-$P119)</f>
        <v/>
      </c>
      <c r="S119" s="18" t="str">
        <f aca="false">IF(OR($A119="",$P119=0),"",$R119/$P119)</f>
        <v/>
      </c>
      <c r="T119" s="23"/>
      <c r="U119" s="14" t="str">
        <f aca="false">IF($A119="","",IF($M119&gt;0,"Live","Exited"))</f>
        <v/>
      </c>
      <c r="V119" s="20" t="str">
        <f aca="false">IF($A119="","",IF($A119='Client Report'!$C$4,COUNTIFS($A$6:$A119,'Client Report'!$C$4),""))</f>
        <v/>
      </c>
    </row>
    <row r="120" customFormat="false" ht="15" hidden="false" customHeight="false" outlineLevel="0" collapsed="false">
      <c r="A120" s="11"/>
      <c r="B120" s="11"/>
      <c r="C120" s="14" t="str">
        <f aca="false">IF($B120="","",IFERROR(TRIM(LEFT($B120,FIND(" - ",$B120)-1)),"Others"))</f>
        <v/>
      </c>
      <c r="D120" s="11"/>
      <c r="E120" s="11"/>
      <c r="F120" s="12"/>
      <c r="G120" s="21"/>
      <c r="H120" s="21"/>
      <c r="I120" s="21"/>
      <c r="J120" s="21"/>
      <c r="K120" s="21"/>
      <c r="L120" s="21"/>
      <c r="M120" s="21"/>
      <c r="N120" s="22"/>
      <c r="O120" s="22"/>
      <c r="P120" s="17" t="str">
        <f aca="false">IF($A120="","",SUM($G120:$I120))</f>
        <v/>
      </c>
      <c r="Q120" s="17" t="str">
        <f aca="false">IF($A120="","",SUM($J120:$L120))</f>
        <v/>
      </c>
      <c r="R120" s="17" t="str">
        <f aca="false">IF($A120="","",($M120+$Q120)-$P120)</f>
        <v/>
      </c>
      <c r="S120" s="18" t="str">
        <f aca="false">IF(OR($A120="",$P120=0),"",$R120/$P120)</f>
        <v/>
      </c>
      <c r="T120" s="23"/>
      <c r="U120" s="14" t="str">
        <f aca="false">IF($A120="","",IF($M120&gt;0,"Live","Exited"))</f>
        <v/>
      </c>
      <c r="V120" s="20" t="str">
        <f aca="false">IF($A120="","",IF($A120='Client Report'!$C$4,COUNTIFS($A$6:$A120,'Client Report'!$C$4),""))</f>
        <v/>
      </c>
    </row>
    <row r="121" customFormat="false" ht="15" hidden="false" customHeight="false" outlineLevel="0" collapsed="false">
      <c r="A121" s="11"/>
      <c r="B121" s="11"/>
      <c r="C121" s="14" t="str">
        <f aca="false">IF($B121="","",IFERROR(TRIM(LEFT($B121,FIND(" - ",$B121)-1)),"Others"))</f>
        <v/>
      </c>
      <c r="D121" s="11"/>
      <c r="E121" s="11"/>
      <c r="F121" s="12"/>
      <c r="G121" s="21"/>
      <c r="H121" s="21"/>
      <c r="I121" s="21"/>
      <c r="J121" s="21"/>
      <c r="K121" s="21"/>
      <c r="L121" s="21"/>
      <c r="M121" s="21"/>
      <c r="N121" s="22"/>
      <c r="O121" s="22"/>
      <c r="P121" s="17" t="str">
        <f aca="false">IF($A121="","",SUM($G121:$I121))</f>
        <v/>
      </c>
      <c r="Q121" s="17" t="str">
        <f aca="false">IF($A121="","",SUM($J121:$L121))</f>
        <v/>
      </c>
      <c r="R121" s="17" t="str">
        <f aca="false">IF($A121="","",($M121+$Q121)-$P121)</f>
        <v/>
      </c>
      <c r="S121" s="18" t="str">
        <f aca="false">IF(OR($A121="",$P121=0),"",$R121/$P121)</f>
        <v/>
      </c>
      <c r="T121" s="23"/>
      <c r="U121" s="14" t="str">
        <f aca="false">IF($A121="","",IF($M121&gt;0,"Live","Exited"))</f>
        <v/>
      </c>
      <c r="V121" s="20" t="str">
        <f aca="false">IF($A121="","",IF($A121='Client Report'!$C$4,COUNTIFS($A$6:$A121,'Client Report'!$C$4),""))</f>
        <v/>
      </c>
    </row>
    <row r="122" customFormat="false" ht="15" hidden="false" customHeight="false" outlineLevel="0" collapsed="false">
      <c r="A122" s="11"/>
      <c r="B122" s="11"/>
      <c r="C122" s="14" t="str">
        <f aca="false">IF($B122="","",IFERROR(TRIM(LEFT($B122,FIND(" - ",$B122)-1)),"Others"))</f>
        <v/>
      </c>
      <c r="D122" s="11"/>
      <c r="E122" s="11"/>
      <c r="F122" s="12"/>
      <c r="G122" s="21"/>
      <c r="H122" s="21"/>
      <c r="I122" s="21"/>
      <c r="J122" s="21"/>
      <c r="K122" s="21"/>
      <c r="L122" s="21"/>
      <c r="M122" s="21"/>
      <c r="N122" s="22"/>
      <c r="O122" s="22"/>
      <c r="P122" s="17" t="str">
        <f aca="false">IF($A122="","",SUM($G122:$I122))</f>
        <v/>
      </c>
      <c r="Q122" s="17" t="str">
        <f aca="false">IF($A122="","",SUM($J122:$L122))</f>
        <v/>
      </c>
      <c r="R122" s="17" t="str">
        <f aca="false">IF($A122="","",($M122+$Q122)-$P122)</f>
        <v/>
      </c>
      <c r="S122" s="18" t="str">
        <f aca="false">IF(OR($A122="",$P122=0),"",$R122/$P122)</f>
        <v/>
      </c>
      <c r="T122" s="23"/>
      <c r="U122" s="14" t="str">
        <f aca="false">IF($A122="","",IF($M122&gt;0,"Live","Exited"))</f>
        <v/>
      </c>
      <c r="V122" s="20" t="str">
        <f aca="false">IF($A122="","",IF($A122='Client Report'!$C$4,COUNTIFS($A$6:$A122,'Client Report'!$C$4),""))</f>
        <v/>
      </c>
    </row>
    <row r="123" customFormat="false" ht="15" hidden="false" customHeight="false" outlineLevel="0" collapsed="false">
      <c r="A123" s="11"/>
      <c r="B123" s="11"/>
      <c r="C123" s="14" t="str">
        <f aca="false">IF($B123="","",IFERROR(TRIM(LEFT($B123,FIND(" - ",$B123)-1)),"Others"))</f>
        <v/>
      </c>
      <c r="D123" s="11"/>
      <c r="E123" s="11"/>
      <c r="F123" s="12"/>
      <c r="G123" s="21"/>
      <c r="H123" s="21"/>
      <c r="I123" s="21"/>
      <c r="J123" s="21"/>
      <c r="K123" s="21"/>
      <c r="L123" s="21"/>
      <c r="M123" s="21"/>
      <c r="N123" s="22"/>
      <c r="O123" s="22"/>
      <c r="P123" s="17" t="str">
        <f aca="false">IF($A123="","",SUM($G123:$I123))</f>
        <v/>
      </c>
      <c r="Q123" s="17" t="str">
        <f aca="false">IF($A123="","",SUM($J123:$L123))</f>
        <v/>
      </c>
      <c r="R123" s="17" t="str">
        <f aca="false">IF($A123="","",($M123+$Q123)-$P123)</f>
        <v/>
      </c>
      <c r="S123" s="18" t="str">
        <f aca="false">IF(OR($A123="",$P123=0),"",$R123/$P123)</f>
        <v/>
      </c>
      <c r="T123" s="23"/>
      <c r="U123" s="14" t="str">
        <f aca="false">IF($A123="","",IF($M123&gt;0,"Live","Exited"))</f>
        <v/>
      </c>
      <c r="V123" s="20" t="str">
        <f aca="false">IF($A123="","",IF($A123='Client Report'!$C$4,COUNTIFS($A$6:$A123,'Client Report'!$C$4),""))</f>
        <v/>
      </c>
    </row>
    <row r="124" customFormat="false" ht="15" hidden="false" customHeight="false" outlineLevel="0" collapsed="false">
      <c r="A124" s="11"/>
      <c r="B124" s="11"/>
      <c r="C124" s="14" t="str">
        <f aca="false">IF($B124="","",IFERROR(TRIM(LEFT($B124,FIND(" - ",$B124)-1)),"Others"))</f>
        <v/>
      </c>
      <c r="D124" s="11"/>
      <c r="E124" s="11"/>
      <c r="F124" s="12"/>
      <c r="G124" s="21"/>
      <c r="H124" s="21"/>
      <c r="I124" s="21"/>
      <c r="J124" s="21"/>
      <c r="K124" s="21"/>
      <c r="L124" s="21"/>
      <c r="M124" s="21"/>
      <c r="N124" s="22"/>
      <c r="O124" s="22"/>
      <c r="P124" s="17" t="str">
        <f aca="false">IF($A124="","",SUM($G124:$I124))</f>
        <v/>
      </c>
      <c r="Q124" s="17" t="str">
        <f aca="false">IF($A124="","",SUM($J124:$L124))</f>
        <v/>
      </c>
      <c r="R124" s="17" t="str">
        <f aca="false">IF($A124="","",($M124+$Q124)-$P124)</f>
        <v/>
      </c>
      <c r="S124" s="18" t="str">
        <f aca="false">IF(OR($A124="",$P124=0),"",$R124/$P124)</f>
        <v/>
      </c>
      <c r="T124" s="23"/>
      <c r="U124" s="14" t="str">
        <f aca="false">IF($A124="","",IF($M124&gt;0,"Live","Exited"))</f>
        <v/>
      </c>
      <c r="V124" s="20" t="str">
        <f aca="false">IF($A124="","",IF($A124='Client Report'!$C$4,COUNTIFS($A$6:$A124,'Client Report'!$C$4),""))</f>
        <v/>
      </c>
    </row>
    <row r="125" customFormat="false" ht="15" hidden="false" customHeight="false" outlineLevel="0" collapsed="false">
      <c r="A125" s="11"/>
      <c r="B125" s="11"/>
      <c r="C125" s="14" t="str">
        <f aca="false">IF($B125="","",IFERROR(TRIM(LEFT($B125,FIND(" - ",$B125)-1)),"Others"))</f>
        <v/>
      </c>
      <c r="D125" s="11"/>
      <c r="E125" s="11"/>
      <c r="F125" s="12"/>
      <c r="G125" s="21"/>
      <c r="H125" s="21"/>
      <c r="I125" s="21"/>
      <c r="J125" s="21"/>
      <c r="K125" s="21"/>
      <c r="L125" s="21"/>
      <c r="M125" s="21"/>
      <c r="N125" s="22"/>
      <c r="O125" s="22"/>
      <c r="P125" s="17" t="str">
        <f aca="false">IF($A125="","",SUM($G125:$I125))</f>
        <v/>
      </c>
      <c r="Q125" s="17" t="str">
        <f aca="false">IF($A125="","",SUM($J125:$L125))</f>
        <v/>
      </c>
      <c r="R125" s="17" t="str">
        <f aca="false">IF($A125="","",($M125+$Q125)-$P125)</f>
        <v/>
      </c>
      <c r="S125" s="18" t="str">
        <f aca="false">IF(OR($A125="",$P125=0),"",$R125/$P125)</f>
        <v/>
      </c>
      <c r="T125" s="23"/>
      <c r="U125" s="14" t="str">
        <f aca="false">IF($A125="","",IF($M125&gt;0,"Live","Exited"))</f>
        <v/>
      </c>
      <c r="V125" s="20" t="str">
        <f aca="false">IF($A125="","",IF($A125='Client Report'!$C$4,COUNTIFS($A$6:$A125,'Client Report'!$C$4),""))</f>
        <v/>
      </c>
    </row>
    <row r="126" customFormat="false" ht="15" hidden="false" customHeight="false" outlineLevel="0" collapsed="false">
      <c r="A126" s="11"/>
      <c r="B126" s="11"/>
      <c r="C126" s="14" t="str">
        <f aca="false">IF($B126="","",IFERROR(TRIM(LEFT($B126,FIND(" - ",$B126)-1)),"Others"))</f>
        <v/>
      </c>
      <c r="D126" s="11"/>
      <c r="E126" s="11"/>
      <c r="F126" s="12"/>
      <c r="G126" s="21"/>
      <c r="H126" s="21"/>
      <c r="I126" s="21"/>
      <c r="J126" s="21"/>
      <c r="K126" s="21"/>
      <c r="L126" s="21"/>
      <c r="M126" s="21"/>
      <c r="N126" s="22"/>
      <c r="O126" s="22"/>
      <c r="P126" s="17" t="str">
        <f aca="false">IF($A126="","",SUM($G126:$I126))</f>
        <v/>
      </c>
      <c r="Q126" s="17" t="str">
        <f aca="false">IF($A126="","",SUM($J126:$L126))</f>
        <v/>
      </c>
      <c r="R126" s="17" t="str">
        <f aca="false">IF($A126="","",($M126+$Q126)-$P126)</f>
        <v/>
      </c>
      <c r="S126" s="18" t="str">
        <f aca="false">IF(OR($A126="",$P126=0),"",$R126/$P126)</f>
        <v/>
      </c>
      <c r="T126" s="23"/>
      <c r="U126" s="14" t="str">
        <f aca="false">IF($A126="","",IF($M126&gt;0,"Live","Exited"))</f>
        <v/>
      </c>
      <c r="V126" s="20" t="str">
        <f aca="false">IF($A126="","",IF($A126='Client Report'!$C$4,COUNTIFS($A$6:$A126,'Client Report'!$C$4),""))</f>
        <v/>
      </c>
    </row>
    <row r="127" customFormat="false" ht="15" hidden="false" customHeight="false" outlineLevel="0" collapsed="false">
      <c r="A127" s="11"/>
      <c r="B127" s="11"/>
      <c r="C127" s="14" t="str">
        <f aca="false">IF($B127="","",IFERROR(TRIM(LEFT($B127,FIND(" - ",$B127)-1)),"Others"))</f>
        <v/>
      </c>
      <c r="D127" s="11"/>
      <c r="E127" s="11"/>
      <c r="F127" s="12"/>
      <c r="G127" s="21"/>
      <c r="H127" s="21"/>
      <c r="I127" s="21"/>
      <c r="J127" s="21"/>
      <c r="K127" s="21"/>
      <c r="L127" s="21"/>
      <c r="M127" s="21"/>
      <c r="N127" s="22"/>
      <c r="O127" s="22"/>
      <c r="P127" s="17" t="str">
        <f aca="false">IF($A127="","",SUM($G127:$I127))</f>
        <v/>
      </c>
      <c r="Q127" s="17" t="str">
        <f aca="false">IF($A127="","",SUM($J127:$L127))</f>
        <v/>
      </c>
      <c r="R127" s="17" t="str">
        <f aca="false">IF($A127="","",($M127+$Q127)-$P127)</f>
        <v/>
      </c>
      <c r="S127" s="18" t="str">
        <f aca="false">IF(OR($A127="",$P127=0),"",$R127/$P127)</f>
        <v/>
      </c>
      <c r="T127" s="23"/>
      <c r="U127" s="14" t="str">
        <f aca="false">IF($A127="","",IF($M127&gt;0,"Live","Exited"))</f>
        <v/>
      </c>
      <c r="V127" s="20" t="str">
        <f aca="false">IF($A127="","",IF($A127='Client Report'!$C$4,COUNTIFS($A$6:$A127,'Client Report'!$C$4),""))</f>
        <v/>
      </c>
    </row>
    <row r="128" customFormat="false" ht="15" hidden="false" customHeight="false" outlineLevel="0" collapsed="false">
      <c r="A128" s="11"/>
      <c r="B128" s="11"/>
      <c r="C128" s="14" t="str">
        <f aca="false">IF($B128="","",IFERROR(TRIM(LEFT($B128,FIND(" - ",$B128)-1)),"Others"))</f>
        <v/>
      </c>
      <c r="D128" s="11"/>
      <c r="E128" s="11"/>
      <c r="F128" s="12"/>
      <c r="G128" s="21"/>
      <c r="H128" s="21"/>
      <c r="I128" s="21"/>
      <c r="J128" s="21"/>
      <c r="K128" s="21"/>
      <c r="L128" s="21"/>
      <c r="M128" s="21"/>
      <c r="N128" s="22"/>
      <c r="O128" s="22"/>
      <c r="P128" s="17" t="str">
        <f aca="false">IF($A128="","",SUM($G128:$I128))</f>
        <v/>
      </c>
      <c r="Q128" s="17" t="str">
        <f aca="false">IF($A128="","",SUM($J128:$L128))</f>
        <v/>
      </c>
      <c r="R128" s="17" t="str">
        <f aca="false">IF($A128="","",($M128+$Q128)-$P128)</f>
        <v/>
      </c>
      <c r="S128" s="18" t="str">
        <f aca="false">IF(OR($A128="",$P128=0),"",$R128/$P128)</f>
        <v/>
      </c>
      <c r="T128" s="23"/>
      <c r="U128" s="14" t="str">
        <f aca="false">IF($A128="","",IF($M128&gt;0,"Live","Exited"))</f>
        <v/>
      </c>
      <c r="V128" s="20" t="str">
        <f aca="false">IF($A128="","",IF($A128='Client Report'!$C$4,COUNTIFS($A$6:$A128,'Client Report'!$C$4),""))</f>
        <v/>
      </c>
    </row>
    <row r="129" customFormat="false" ht="15" hidden="false" customHeight="false" outlineLevel="0" collapsed="false">
      <c r="A129" s="11"/>
      <c r="B129" s="11"/>
      <c r="C129" s="14" t="str">
        <f aca="false">IF($B129="","",IFERROR(TRIM(LEFT($B129,FIND(" - ",$B129)-1)),"Others"))</f>
        <v/>
      </c>
      <c r="D129" s="11"/>
      <c r="E129" s="11"/>
      <c r="F129" s="12"/>
      <c r="G129" s="21"/>
      <c r="H129" s="21"/>
      <c r="I129" s="21"/>
      <c r="J129" s="21"/>
      <c r="K129" s="21"/>
      <c r="L129" s="21"/>
      <c r="M129" s="21"/>
      <c r="N129" s="22"/>
      <c r="O129" s="22"/>
      <c r="P129" s="17" t="str">
        <f aca="false">IF($A129="","",SUM($G129:$I129))</f>
        <v/>
      </c>
      <c r="Q129" s="17" t="str">
        <f aca="false">IF($A129="","",SUM($J129:$L129))</f>
        <v/>
      </c>
      <c r="R129" s="17" t="str">
        <f aca="false">IF($A129="","",($M129+$Q129)-$P129)</f>
        <v/>
      </c>
      <c r="S129" s="18" t="str">
        <f aca="false">IF(OR($A129="",$P129=0),"",$R129/$P129)</f>
        <v/>
      </c>
      <c r="T129" s="23"/>
      <c r="U129" s="14" t="str">
        <f aca="false">IF($A129="","",IF($M129&gt;0,"Live","Exited"))</f>
        <v/>
      </c>
      <c r="V129" s="20" t="str">
        <f aca="false">IF($A129="","",IF($A129='Client Report'!$C$4,COUNTIFS($A$6:$A129,'Client Report'!$C$4),""))</f>
        <v/>
      </c>
    </row>
    <row r="130" customFormat="false" ht="15" hidden="false" customHeight="false" outlineLevel="0" collapsed="false">
      <c r="A130" s="11"/>
      <c r="B130" s="11"/>
      <c r="C130" s="14" t="str">
        <f aca="false">IF($B130="","",IFERROR(TRIM(LEFT($B130,FIND(" - ",$B130)-1)),"Others"))</f>
        <v/>
      </c>
      <c r="D130" s="11"/>
      <c r="E130" s="11"/>
      <c r="F130" s="12"/>
      <c r="G130" s="21"/>
      <c r="H130" s="21"/>
      <c r="I130" s="21"/>
      <c r="J130" s="21"/>
      <c r="K130" s="21"/>
      <c r="L130" s="21"/>
      <c r="M130" s="21"/>
      <c r="N130" s="22"/>
      <c r="O130" s="22"/>
      <c r="P130" s="17" t="str">
        <f aca="false">IF($A130="","",SUM($G130:$I130))</f>
        <v/>
      </c>
      <c r="Q130" s="17" t="str">
        <f aca="false">IF($A130="","",SUM($J130:$L130))</f>
        <v/>
      </c>
      <c r="R130" s="17" t="str">
        <f aca="false">IF($A130="","",($M130+$Q130)-$P130)</f>
        <v/>
      </c>
      <c r="S130" s="18" t="str">
        <f aca="false">IF(OR($A130="",$P130=0),"",$R130/$P130)</f>
        <v/>
      </c>
      <c r="T130" s="23"/>
      <c r="U130" s="14" t="str">
        <f aca="false">IF($A130="","",IF($M130&gt;0,"Live","Exited"))</f>
        <v/>
      </c>
      <c r="V130" s="20" t="str">
        <f aca="false">IF($A130="","",IF($A130='Client Report'!$C$4,COUNTIFS($A$6:$A130,'Client Report'!$C$4),""))</f>
        <v/>
      </c>
    </row>
    <row r="131" customFormat="false" ht="15" hidden="false" customHeight="false" outlineLevel="0" collapsed="false">
      <c r="A131" s="11"/>
      <c r="B131" s="11"/>
      <c r="C131" s="14" t="str">
        <f aca="false">IF($B131="","",IFERROR(TRIM(LEFT($B131,FIND(" - ",$B131)-1)),"Others"))</f>
        <v/>
      </c>
      <c r="D131" s="11"/>
      <c r="E131" s="11"/>
      <c r="F131" s="12"/>
      <c r="G131" s="21"/>
      <c r="H131" s="21"/>
      <c r="I131" s="21"/>
      <c r="J131" s="21"/>
      <c r="K131" s="21"/>
      <c r="L131" s="21"/>
      <c r="M131" s="21"/>
      <c r="N131" s="22"/>
      <c r="O131" s="22"/>
      <c r="P131" s="17" t="str">
        <f aca="false">IF($A131="","",SUM($G131:$I131))</f>
        <v/>
      </c>
      <c r="Q131" s="17" t="str">
        <f aca="false">IF($A131="","",SUM($J131:$L131))</f>
        <v/>
      </c>
      <c r="R131" s="17" t="str">
        <f aca="false">IF($A131="","",($M131+$Q131)-$P131)</f>
        <v/>
      </c>
      <c r="S131" s="18" t="str">
        <f aca="false">IF(OR($A131="",$P131=0),"",$R131/$P131)</f>
        <v/>
      </c>
      <c r="T131" s="23"/>
      <c r="U131" s="14" t="str">
        <f aca="false">IF($A131="","",IF($M131&gt;0,"Live","Exited"))</f>
        <v/>
      </c>
      <c r="V131" s="20" t="str">
        <f aca="false">IF($A131="","",IF($A131='Client Report'!$C$4,COUNTIFS($A$6:$A131,'Client Report'!$C$4),""))</f>
        <v/>
      </c>
    </row>
    <row r="132" customFormat="false" ht="15" hidden="false" customHeight="false" outlineLevel="0" collapsed="false">
      <c r="A132" s="11"/>
      <c r="B132" s="11"/>
      <c r="C132" s="14" t="str">
        <f aca="false">IF($B132="","",IFERROR(TRIM(LEFT($B132,FIND(" - ",$B132)-1)),"Others"))</f>
        <v/>
      </c>
      <c r="D132" s="11"/>
      <c r="E132" s="11"/>
      <c r="F132" s="12"/>
      <c r="G132" s="21"/>
      <c r="H132" s="21"/>
      <c r="I132" s="21"/>
      <c r="J132" s="21"/>
      <c r="K132" s="21"/>
      <c r="L132" s="21"/>
      <c r="M132" s="21"/>
      <c r="N132" s="22"/>
      <c r="O132" s="22"/>
      <c r="P132" s="17" t="str">
        <f aca="false">IF($A132="","",SUM($G132:$I132))</f>
        <v/>
      </c>
      <c r="Q132" s="17" t="str">
        <f aca="false">IF($A132="","",SUM($J132:$L132))</f>
        <v/>
      </c>
      <c r="R132" s="17" t="str">
        <f aca="false">IF($A132="","",($M132+$Q132)-$P132)</f>
        <v/>
      </c>
      <c r="S132" s="18" t="str">
        <f aca="false">IF(OR($A132="",$P132=0),"",$R132/$P132)</f>
        <v/>
      </c>
      <c r="T132" s="23"/>
      <c r="U132" s="14" t="str">
        <f aca="false">IF($A132="","",IF($M132&gt;0,"Live","Exited"))</f>
        <v/>
      </c>
      <c r="V132" s="20" t="str">
        <f aca="false">IF($A132="","",IF($A132='Client Report'!$C$4,COUNTIFS($A$6:$A132,'Client Report'!$C$4),""))</f>
        <v/>
      </c>
    </row>
    <row r="133" customFormat="false" ht="15" hidden="false" customHeight="false" outlineLevel="0" collapsed="false">
      <c r="A133" s="11"/>
      <c r="B133" s="11"/>
      <c r="C133" s="14" t="str">
        <f aca="false">IF($B133="","",IFERROR(TRIM(LEFT($B133,FIND(" - ",$B133)-1)),"Others"))</f>
        <v/>
      </c>
      <c r="D133" s="11"/>
      <c r="E133" s="11"/>
      <c r="F133" s="12"/>
      <c r="G133" s="21"/>
      <c r="H133" s="21"/>
      <c r="I133" s="21"/>
      <c r="J133" s="21"/>
      <c r="K133" s="21"/>
      <c r="L133" s="21"/>
      <c r="M133" s="21"/>
      <c r="N133" s="22"/>
      <c r="O133" s="22"/>
      <c r="P133" s="17" t="str">
        <f aca="false">IF($A133="","",SUM($G133:$I133))</f>
        <v/>
      </c>
      <c r="Q133" s="17" t="str">
        <f aca="false">IF($A133="","",SUM($J133:$L133))</f>
        <v/>
      </c>
      <c r="R133" s="17" t="str">
        <f aca="false">IF($A133="","",($M133+$Q133)-$P133)</f>
        <v/>
      </c>
      <c r="S133" s="18" t="str">
        <f aca="false">IF(OR($A133="",$P133=0),"",$R133/$P133)</f>
        <v/>
      </c>
      <c r="T133" s="23"/>
      <c r="U133" s="14" t="str">
        <f aca="false">IF($A133="","",IF($M133&gt;0,"Live","Exited"))</f>
        <v/>
      </c>
      <c r="V133" s="20" t="str">
        <f aca="false">IF($A133="","",IF($A133='Client Report'!$C$4,COUNTIFS($A$6:$A133,'Client Report'!$C$4),""))</f>
        <v/>
      </c>
    </row>
    <row r="134" customFormat="false" ht="15" hidden="false" customHeight="false" outlineLevel="0" collapsed="false">
      <c r="A134" s="11"/>
      <c r="B134" s="11"/>
      <c r="C134" s="14" t="str">
        <f aca="false">IF($B134="","",IFERROR(TRIM(LEFT($B134,FIND(" - ",$B134)-1)),"Others"))</f>
        <v/>
      </c>
      <c r="D134" s="11"/>
      <c r="E134" s="11"/>
      <c r="F134" s="12"/>
      <c r="G134" s="21"/>
      <c r="H134" s="21"/>
      <c r="I134" s="21"/>
      <c r="J134" s="21"/>
      <c r="K134" s="21"/>
      <c r="L134" s="21"/>
      <c r="M134" s="21"/>
      <c r="N134" s="22"/>
      <c r="O134" s="22"/>
      <c r="P134" s="17" t="str">
        <f aca="false">IF($A134="","",SUM($G134:$I134))</f>
        <v/>
      </c>
      <c r="Q134" s="17" t="str">
        <f aca="false">IF($A134="","",SUM($J134:$L134))</f>
        <v/>
      </c>
      <c r="R134" s="17" t="str">
        <f aca="false">IF($A134="","",($M134+$Q134)-$P134)</f>
        <v/>
      </c>
      <c r="S134" s="18" t="str">
        <f aca="false">IF(OR($A134="",$P134=0),"",$R134/$P134)</f>
        <v/>
      </c>
      <c r="T134" s="23"/>
      <c r="U134" s="14" t="str">
        <f aca="false">IF($A134="","",IF($M134&gt;0,"Live","Exited"))</f>
        <v/>
      </c>
      <c r="V134" s="20" t="str">
        <f aca="false">IF($A134="","",IF($A134='Client Report'!$C$4,COUNTIFS($A$6:$A134,'Client Report'!$C$4),""))</f>
        <v/>
      </c>
    </row>
    <row r="135" customFormat="false" ht="15" hidden="false" customHeight="false" outlineLevel="0" collapsed="false">
      <c r="A135" s="11"/>
      <c r="B135" s="11"/>
      <c r="C135" s="14" t="str">
        <f aca="false">IF($B135="","",IFERROR(TRIM(LEFT($B135,FIND(" - ",$B135)-1)),"Others"))</f>
        <v/>
      </c>
      <c r="D135" s="11"/>
      <c r="E135" s="11"/>
      <c r="F135" s="12"/>
      <c r="G135" s="21"/>
      <c r="H135" s="21"/>
      <c r="I135" s="21"/>
      <c r="J135" s="21"/>
      <c r="K135" s="21"/>
      <c r="L135" s="21"/>
      <c r="M135" s="21"/>
      <c r="N135" s="22"/>
      <c r="O135" s="22"/>
      <c r="P135" s="17" t="str">
        <f aca="false">IF($A135="","",SUM($G135:$I135))</f>
        <v/>
      </c>
      <c r="Q135" s="17" t="str">
        <f aca="false">IF($A135="","",SUM($J135:$L135))</f>
        <v/>
      </c>
      <c r="R135" s="17" t="str">
        <f aca="false">IF($A135="","",($M135+$Q135)-$P135)</f>
        <v/>
      </c>
      <c r="S135" s="18" t="str">
        <f aca="false">IF(OR($A135="",$P135=0),"",$R135/$P135)</f>
        <v/>
      </c>
      <c r="T135" s="23"/>
      <c r="U135" s="14" t="str">
        <f aca="false">IF($A135="","",IF($M135&gt;0,"Live","Exited"))</f>
        <v/>
      </c>
      <c r="V135" s="20" t="str">
        <f aca="false">IF($A135="","",IF($A135='Client Report'!$C$4,COUNTIFS($A$6:$A135,'Client Report'!$C$4),""))</f>
        <v/>
      </c>
    </row>
    <row r="136" customFormat="false" ht="15" hidden="false" customHeight="false" outlineLevel="0" collapsed="false">
      <c r="A136" s="11"/>
      <c r="B136" s="11"/>
      <c r="C136" s="14" t="str">
        <f aca="false">IF($B136="","",IFERROR(TRIM(LEFT($B136,FIND(" - ",$B136)-1)),"Others"))</f>
        <v/>
      </c>
      <c r="D136" s="11"/>
      <c r="E136" s="11"/>
      <c r="F136" s="12"/>
      <c r="G136" s="21"/>
      <c r="H136" s="21"/>
      <c r="I136" s="21"/>
      <c r="J136" s="21"/>
      <c r="K136" s="21"/>
      <c r="L136" s="21"/>
      <c r="M136" s="21"/>
      <c r="N136" s="22"/>
      <c r="O136" s="22"/>
      <c r="P136" s="17" t="str">
        <f aca="false">IF($A136="","",SUM($G136:$I136))</f>
        <v/>
      </c>
      <c r="Q136" s="17" t="str">
        <f aca="false">IF($A136="","",SUM($J136:$L136))</f>
        <v/>
      </c>
      <c r="R136" s="17" t="str">
        <f aca="false">IF($A136="","",($M136+$Q136)-$P136)</f>
        <v/>
      </c>
      <c r="S136" s="18" t="str">
        <f aca="false">IF(OR($A136="",$P136=0),"",$R136/$P136)</f>
        <v/>
      </c>
      <c r="T136" s="23"/>
      <c r="U136" s="14" t="str">
        <f aca="false">IF($A136="","",IF($M136&gt;0,"Live","Exited"))</f>
        <v/>
      </c>
      <c r="V136" s="20" t="str">
        <f aca="false">IF($A136="","",IF($A136='Client Report'!$C$4,COUNTIFS($A$6:$A136,'Client Report'!$C$4),""))</f>
        <v/>
      </c>
    </row>
    <row r="137" customFormat="false" ht="15" hidden="false" customHeight="false" outlineLevel="0" collapsed="false">
      <c r="A137" s="11"/>
      <c r="B137" s="11"/>
      <c r="C137" s="14" t="str">
        <f aca="false">IF($B137="","",IFERROR(TRIM(LEFT($B137,FIND(" - ",$B137)-1)),"Others"))</f>
        <v/>
      </c>
      <c r="D137" s="11"/>
      <c r="E137" s="11"/>
      <c r="F137" s="12"/>
      <c r="G137" s="21"/>
      <c r="H137" s="21"/>
      <c r="I137" s="21"/>
      <c r="J137" s="21"/>
      <c r="K137" s="21"/>
      <c r="L137" s="21"/>
      <c r="M137" s="21"/>
      <c r="N137" s="22"/>
      <c r="O137" s="22"/>
      <c r="P137" s="17" t="str">
        <f aca="false">IF($A137="","",SUM($G137:$I137))</f>
        <v/>
      </c>
      <c r="Q137" s="17" t="str">
        <f aca="false">IF($A137="","",SUM($J137:$L137))</f>
        <v/>
      </c>
      <c r="R137" s="17" t="str">
        <f aca="false">IF($A137="","",($M137+$Q137)-$P137)</f>
        <v/>
      </c>
      <c r="S137" s="18" t="str">
        <f aca="false">IF(OR($A137="",$P137=0),"",$R137/$P137)</f>
        <v/>
      </c>
      <c r="T137" s="23"/>
      <c r="U137" s="14" t="str">
        <f aca="false">IF($A137="","",IF($M137&gt;0,"Live","Exited"))</f>
        <v/>
      </c>
      <c r="V137" s="20" t="str">
        <f aca="false">IF($A137="","",IF($A137='Client Report'!$C$4,COUNTIFS($A$6:$A137,'Client Report'!$C$4),""))</f>
        <v/>
      </c>
    </row>
    <row r="138" customFormat="false" ht="15" hidden="false" customHeight="false" outlineLevel="0" collapsed="false">
      <c r="A138" s="11"/>
      <c r="B138" s="11"/>
      <c r="C138" s="14" t="str">
        <f aca="false">IF($B138="","",IFERROR(TRIM(LEFT($B138,FIND(" - ",$B138)-1)),"Others"))</f>
        <v/>
      </c>
      <c r="D138" s="11"/>
      <c r="E138" s="11"/>
      <c r="F138" s="12"/>
      <c r="G138" s="21"/>
      <c r="H138" s="21"/>
      <c r="I138" s="21"/>
      <c r="J138" s="21"/>
      <c r="K138" s="21"/>
      <c r="L138" s="21"/>
      <c r="M138" s="21"/>
      <c r="N138" s="22"/>
      <c r="O138" s="22"/>
      <c r="P138" s="17" t="str">
        <f aca="false">IF($A138="","",SUM($G138:$I138))</f>
        <v/>
      </c>
      <c r="Q138" s="17" t="str">
        <f aca="false">IF($A138="","",SUM($J138:$L138))</f>
        <v/>
      </c>
      <c r="R138" s="17" t="str">
        <f aca="false">IF($A138="","",($M138+$Q138)-$P138)</f>
        <v/>
      </c>
      <c r="S138" s="18" t="str">
        <f aca="false">IF(OR($A138="",$P138=0),"",$R138/$P138)</f>
        <v/>
      </c>
      <c r="T138" s="23"/>
      <c r="U138" s="14" t="str">
        <f aca="false">IF($A138="","",IF($M138&gt;0,"Live","Exited"))</f>
        <v/>
      </c>
      <c r="V138" s="20" t="str">
        <f aca="false">IF($A138="","",IF($A138='Client Report'!$C$4,COUNTIFS($A$6:$A138,'Client Report'!$C$4),""))</f>
        <v/>
      </c>
    </row>
    <row r="139" customFormat="false" ht="15" hidden="false" customHeight="false" outlineLevel="0" collapsed="false">
      <c r="A139" s="11"/>
      <c r="B139" s="11"/>
      <c r="C139" s="14" t="str">
        <f aca="false">IF($B139="","",IFERROR(TRIM(LEFT($B139,FIND(" - ",$B139)-1)),"Others"))</f>
        <v/>
      </c>
      <c r="D139" s="11"/>
      <c r="E139" s="11"/>
      <c r="F139" s="12"/>
      <c r="G139" s="21"/>
      <c r="H139" s="21"/>
      <c r="I139" s="21"/>
      <c r="J139" s="21"/>
      <c r="K139" s="21"/>
      <c r="L139" s="21"/>
      <c r="M139" s="21"/>
      <c r="N139" s="22"/>
      <c r="O139" s="22"/>
      <c r="P139" s="17" t="str">
        <f aca="false">IF($A139="","",SUM($G139:$I139))</f>
        <v/>
      </c>
      <c r="Q139" s="17" t="str">
        <f aca="false">IF($A139="","",SUM($J139:$L139))</f>
        <v/>
      </c>
      <c r="R139" s="17" t="str">
        <f aca="false">IF($A139="","",($M139+$Q139)-$P139)</f>
        <v/>
      </c>
      <c r="S139" s="18" t="str">
        <f aca="false">IF(OR($A139="",$P139=0),"",$R139/$P139)</f>
        <v/>
      </c>
      <c r="T139" s="23"/>
      <c r="U139" s="14" t="str">
        <f aca="false">IF($A139="","",IF($M139&gt;0,"Live","Exited"))</f>
        <v/>
      </c>
      <c r="V139" s="20" t="str">
        <f aca="false">IF($A139="","",IF($A139='Client Report'!$C$4,COUNTIFS($A$6:$A139,'Client Report'!$C$4),""))</f>
        <v/>
      </c>
    </row>
    <row r="140" customFormat="false" ht="15" hidden="false" customHeight="false" outlineLevel="0" collapsed="false">
      <c r="A140" s="11"/>
      <c r="B140" s="11"/>
      <c r="C140" s="14" t="str">
        <f aca="false">IF($B140="","",IFERROR(TRIM(LEFT($B140,FIND(" - ",$B140)-1)),"Others"))</f>
        <v/>
      </c>
      <c r="D140" s="11"/>
      <c r="E140" s="11"/>
      <c r="F140" s="12"/>
      <c r="G140" s="21"/>
      <c r="H140" s="21"/>
      <c r="I140" s="21"/>
      <c r="J140" s="21"/>
      <c r="K140" s="21"/>
      <c r="L140" s="21"/>
      <c r="M140" s="21"/>
      <c r="N140" s="22"/>
      <c r="O140" s="22"/>
      <c r="P140" s="17" t="str">
        <f aca="false">IF($A140="","",SUM($G140:$I140))</f>
        <v/>
      </c>
      <c r="Q140" s="17" t="str">
        <f aca="false">IF($A140="","",SUM($J140:$L140))</f>
        <v/>
      </c>
      <c r="R140" s="17" t="str">
        <f aca="false">IF($A140="","",($M140+$Q140)-$P140)</f>
        <v/>
      </c>
      <c r="S140" s="18" t="str">
        <f aca="false">IF(OR($A140="",$P140=0),"",$R140/$P140)</f>
        <v/>
      </c>
      <c r="T140" s="23"/>
      <c r="U140" s="14" t="str">
        <f aca="false">IF($A140="","",IF($M140&gt;0,"Live","Exited"))</f>
        <v/>
      </c>
      <c r="V140" s="20" t="str">
        <f aca="false">IF($A140="","",IF($A140='Client Report'!$C$4,COUNTIFS($A$6:$A140,'Client Report'!$C$4),""))</f>
        <v/>
      </c>
    </row>
    <row r="141" customFormat="false" ht="15" hidden="false" customHeight="false" outlineLevel="0" collapsed="false">
      <c r="A141" s="11"/>
      <c r="B141" s="11"/>
      <c r="C141" s="14" t="str">
        <f aca="false">IF($B141="","",IFERROR(TRIM(LEFT($B141,FIND(" - ",$B141)-1)),"Others"))</f>
        <v/>
      </c>
      <c r="D141" s="11"/>
      <c r="E141" s="11"/>
      <c r="F141" s="12"/>
      <c r="G141" s="21"/>
      <c r="H141" s="21"/>
      <c r="I141" s="21"/>
      <c r="J141" s="21"/>
      <c r="K141" s="21"/>
      <c r="L141" s="21"/>
      <c r="M141" s="21"/>
      <c r="N141" s="22"/>
      <c r="O141" s="22"/>
      <c r="P141" s="17" t="str">
        <f aca="false">IF($A141="","",SUM($G141:$I141))</f>
        <v/>
      </c>
      <c r="Q141" s="17" t="str">
        <f aca="false">IF($A141="","",SUM($J141:$L141))</f>
        <v/>
      </c>
      <c r="R141" s="17" t="str">
        <f aca="false">IF($A141="","",($M141+$Q141)-$P141)</f>
        <v/>
      </c>
      <c r="S141" s="18" t="str">
        <f aca="false">IF(OR($A141="",$P141=0),"",$R141/$P141)</f>
        <v/>
      </c>
      <c r="T141" s="23"/>
      <c r="U141" s="14" t="str">
        <f aca="false">IF($A141="","",IF($M141&gt;0,"Live","Exited"))</f>
        <v/>
      </c>
      <c r="V141" s="20" t="str">
        <f aca="false">IF($A141="","",IF($A141='Client Report'!$C$4,COUNTIFS($A$6:$A141,'Client Report'!$C$4),""))</f>
        <v/>
      </c>
    </row>
    <row r="142" customFormat="false" ht="15" hidden="false" customHeight="false" outlineLevel="0" collapsed="false">
      <c r="A142" s="11"/>
      <c r="B142" s="11"/>
      <c r="C142" s="14" t="str">
        <f aca="false">IF($B142="","",IFERROR(TRIM(LEFT($B142,FIND(" - ",$B142)-1)),"Others"))</f>
        <v/>
      </c>
      <c r="D142" s="11"/>
      <c r="E142" s="11"/>
      <c r="F142" s="12"/>
      <c r="G142" s="21"/>
      <c r="H142" s="21"/>
      <c r="I142" s="21"/>
      <c r="J142" s="21"/>
      <c r="K142" s="21"/>
      <c r="L142" s="21"/>
      <c r="M142" s="21"/>
      <c r="N142" s="22"/>
      <c r="O142" s="22"/>
      <c r="P142" s="17" t="str">
        <f aca="false">IF($A142="","",SUM($G142:$I142))</f>
        <v/>
      </c>
      <c r="Q142" s="17" t="str">
        <f aca="false">IF($A142="","",SUM($J142:$L142))</f>
        <v/>
      </c>
      <c r="R142" s="17" t="str">
        <f aca="false">IF($A142="","",($M142+$Q142)-$P142)</f>
        <v/>
      </c>
      <c r="S142" s="18" t="str">
        <f aca="false">IF(OR($A142="",$P142=0),"",$R142/$P142)</f>
        <v/>
      </c>
      <c r="T142" s="23"/>
      <c r="U142" s="14" t="str">
        <f aca="false">IF($A142="","",IF($M142&gt;0,"Live","Exited"))</f>
        <v/>
      </c>
      <c r="V142" s="20" t="str">
        <f aca="false">IF($A142="","",IF($A142='Client Report'!$C$4,COUNTIFS($A$6:$A142,'Client Report'!$C$4),""))</f>
        <v/>
      </c>
    </row>
    <row r="143" customFormat="false" ht="15" hidden="false" customHeight="false" outlineLevel="0" collapsed="false">
      <c r="A143" s="11"/>
      <c r="B143" s="11"/>
      <c r="C143" s="14" t="str">
        <f aca="false">IF($B143="","",IFERROR(TRIM(LEFT($B143,FIND(" - ",$B143)-1)),"Others"))</f>
        <v/>
      </c>
      <c r="D143" s="11"/>
      <c r="E143" s="11"/>
      <c r="F143" s="12"/>
      <c r="G143" s="21"/>
      <c r="H143" s="21"/>
      <c r="I143" s="21"/>
      <c r="J143" s="21"/>
      <c r="K143" s="21"/>
      <c r="L143" s="21"/>
      <c r="M143" s="21"/>
      <c r="N143" s="22"/>
      <c r="O143" s="22"/>
      <c r="P143" s="17" t="str">
        <f aca="false">IF($A143="","",SUM($G143:$I143))</f>
        <v/>
      </c>
      <c r="Q143" s="17" t="str">
        <f aca="false">IF($A143="","",SUM($J143:$L143))</f>
        <v/>
      </c>
      <c r="R143" s="17" t="str">
        <f aca="false">IF($A143="","",($M143+$Q143)-$P143)</f>
        <v/>
      </c>
      <c r="S143" s="18" t="str">
        <f aca="false">IF(OR($A143="",$P143=0),"",$R143/$P143)</f>
        <v/>
      </c>
      <c r="T143" s="23"/>
      <c r="U143" s="14" t="str">
        <f aca="false">IF($A143="","",IF($M143&gt;0,"Live","Exited"))</f>
        <v/>
      </c>
      <c r="V143" s="20" t="str">
        <f aca="false">IF($A143="","",IF($A143='Client Report'!$C$4,COUNTIFS($A$6:$A143,'Client Report'!$C$4),""))</f>
        <v/>
      </c>
    </row>
    <row r="144" customFormat="false" ht="15" hidden="false" customHeight="false" outlineLevel="0" collapsed="false">
      <c r="A144" s="11"/>
      <c r="B144" s="11"/>
      <c r="C144" s="14" t="str">
        <f aca="false">IF($B144="","",IFERROR(TRIM(LEFT($B144,FIND(" - ",$B144)-1)),"Others"))</f>
        <v/>
      </c>
      <c r="D144" s="11"/>
      <c r="E144" s="11"/>
      <c r="F144" s="12"/>
      <c r="G144" s="21"/>
      <c r="H144" s="21"/>
      <c r="I144" s="21"/>
      <c r="J144" s="21"/>
      <c r="K144" s="21"/>
      <c r="L144" s="21"/>
      <c r="M144" s="21"/>
      <c r="N144" s="22"/>
      <c r="O144" s="22"/>
      <c r="P144" s="17" t="str">
        <f aca="false">IF($A144="","",SUM($G144:$I144))</f>
        <v/>
      </c>
      <c r="Q144" s="17" t="str">
        <f aca="false">IF($A144="","",SUM($J144:$L144))</f>
        <v/>
      </c>
      <c r="R144" s="17" t="str">
        <f aca="false">IF($A144="","",($M144+$Q144)-$P144)</f>
        <v/>
      </c>
      <c r="S144" s="18" t="str">
        <f aca="false">IF(OR($A144="",$P144=0),"",$R144/$P144)</f>
        <v/>
      </c>
      <c r="T144" s="23"/>
      <c r="U144" s="14" t="str">
        <f aca="false">IF($A144="","",IF($M144&gt;0,"Live","Exited"))</f>
        <v/>
      </c>
      <c r="V144" s="20" t="str">
        <f aca="false">IF($A144="","",IF($A144='Client Report'!$C$4,COUNTIFS($A$6:$A144,'Client Report'!$C$4),""))</f>
        <v/>
      </c>
    </row>
    <row r="145" customFormat="false" ht="15" hidden="false" customHeight="false" outlineLevel="0" collapsed="false">
      <c r="A145" s="11"/>
      <c r="B145" s="11"/>
      <c r="C145" s="14" t="str">
        <f aca="false">IF($B145="","",IFERROR(TRIM(LEFT($B145,FIND(" - ",$B145)-1)),"Others"))</f>
        <v/>
      </c>
      <c r="D145" s="11"/>
      <c r="E145" s="11"/>
      <c r="F145" s="12"/>
      <c r="G145" s="21"/>
      <c r="H145" s="21"/>
      <c r="I145" s="21"/>
      <c r="J145" s="21"/>
      <c r="K145" s="21"/>
      <c r="L145" s="21"/>
      <c r="M145" s="21"/>
      <c r="N145" s="22"/>
      <c r="O145" s="22"/>
      <c r="P145" s="17" t="str">
        <f aca="false">IF($A145="","",SUM($G145:$I145))</f>
        <v/>
      </c>
      <c r="Q145" s="17" t="str">
        <f aca="false">IF($A145="","",SUM($J145:$L145))</f>
        <v/>
      </c>
      <c r="R145" s="17" t="str">
        <f aca="false">IF($A145="","",($M145+$Q145)-$P145)</f>
        <v/>
      </c>
      <c r="S145" s="18" t="str">
        <f aca="false">IF(OR($A145="",$P145=0),"",$R145/$P145)</f>
        <v/>
      </c>
      <c r="T145" s="23"/>
      <c r="U145" s="14" t="str">
        <f aca="false">IF($A145="","",IF($M145&gt;0,"Live","Exited"))</f>
        <v/>
      </c>
      <c r="V145" s="20" t="str">
        <f aca="false">IF($A145="","",IF($A145='Client Report'!$C$4,COUNTIFS($A$6:$A145,'Client Report'!$C$4),""))</f>
        <v/>
      </c>
    </row>
    <row r="146" customFormat="false" ht="15" hidden="false" customHeight="false" outlineLevel="0" collapsed="false">
      <c r="A146" s="11"/>
      <c r="B146" s="11"/>
      <c r="C146" s="14" t="str">
        <f aca="false">IF($B146="","",IFERROR(TRIM(LEFT($B146,FIND(" - ",$B146)-1)),"Others"))</f>
        <v/>
      </c>
      <c r="D146" s="11"/>
      <c r="E146" s="11"/>
      <c r="F146" s="12"/>
      <c r="G146" s="21"/>
      <c r="H146" s="21"/>
      <c r="I146" s="21"/>
      <c r="J146" s="21"/>
      <c r="K146" s="21"/>
      <c r="L146" s="21"/>
      <c r="M146" s="21"/>
      <c r="N146" s="22"/>
      <c r="O146" s="22"/>
      <c r="P146" s="17" t="str">
        <f aca="false">IF($A146="","",SUM($G146:$I146))</f>
        <v/>
      </c>
      <c r="Q146" s="17" t="str">
        <f aca="false">IF($A146="","",SUM($J146:$L146))</f>
        <v/>
      </c>
      <c r="R146" s="17" t="str">
        <f aca="false">IF($A146="","",($M146+$Q146)-$P146)</f>
        <v/>
      </c>
      <c r="S146" s="18" t="str">
        <f aca="false">IF(OR($A146="",$P146=0),"",$R146/$P146)</f>
        <v/>
      </c>
      <c r="T146" s="23"/>
      <c r="U146" s="14" t="str">
        <f aca="false">IF($A146="","",IF($M146&gt;0,"Live","Exited"))</f>
        <v/>
      </c>
      <c r="V146" s="20" t="str">
        <f aca="false">IF($A146="","",IF($A146='Client Report'!$C$4,COUNTIFS($A$6:$A146,'Client Report'!$C$4),""))</f>
        <v/>
      </c>
    </row>
    <row r="147" customFormat="false" ht="15" hidden="false" customHeight="false" outlineLevel="0" collapsed="false">
      <c r="A147" s="11"/>
      <c r="B147" s="11"/>
      <c r="C147" s="14" t="str">
        <f aca="false">IF($B147="","",IFERROR(TRIM(LEFT($B147,FIND(" - ",$B147)-1)),"Others"))</f>
        <v/>
      </c>
      <c r="D147" s="11"/>
      <c r="E147" s="11"/>
      <c r="F147" s="12"/>
      <c r="G147" s="21"/>
      <c r="H147" s="21"/>
      <c r="I147" s="21"/>
      <c r="J147" s="21"/>
      <c r="K147" s="21"/>
      <c r="L147" s="21"/>
      <c r="M147" s="21"/>
      <c r="N147" s="22"/>
      <c r="O147" s="22"/>
      <c r="P147" s="17" t="str">
        <f aca="false">IF($A147="","",SUM($G147:$I147))</f>
        <v/>
      </c>
      <c r="Q147" s="17" t="str">
        <f aca="false">IF($A147="","",SUM($J147:$L147))</f>
        <v/>
      </c>
      <c r="R147" s="17" t="str">
        <f aca="false">IF($A147="","",($M147+$Q147)-$P147)</f>
        <v/>
      </c>
      <c r="S147" s="18" t="str">
        <f aca="false">IF(OR($A147="",$P147=0),"",$R147/$P147)</f>
        <v/>
      </c>
      <c r="T147" s="23"/>
      <c r="U147" s="14" t="str">
        <f aca="false">IF($A147="","",IF($M147&gt;0,"Live","Exited"))</f>
        <v/>
      </c>
      <c r="V147" s="20" t="str">
        <f aca="false">IF($A147="","",IF($A147='Client Report'!$C$4,COUNTIFS($A$6:$A147,'Client Report'!$C$4),""))</f>
        <v/>
      </c>
    </row>
    <row r="148" customFormat="false" ht="15" hidden="false" customHeight="false" outlineLevel="0" collapsed="false">
      <c r="A148" s="11"/>
      <c r="B148" s="11"/>
      <c r="C148" s="14" t="str">
        <f aca="false">IF($B148="","",IFERROR(TRIM(LEFT($B148,FIND(" - ",$B148)-1)),"Others"))</f>
        <v/>
      </c>
      <c r="D148" s="11"/>
      <c r="E148" s="11"/>
      <c r="F148" s="12"/>
      <c r="G148" s="21"/>
      <c r="H148" s="21"/>
      <c r="I148" s="21"/>
      <c r="J148" s="21"/>
      <c r="K148" s="21"/>
      <c r="L148" s="21"/>
      <c r="M148" s="21"/>
      <c r="N148" s="22"/>
      <c r="O148" s="22"/>
      <c r="P148" s="17" t="str">
        <f aca="false">IF($A148="","",SUM($G148:$I148))</f>
        <v/>
      </c>
      <c r="Q148" s="17" t="str">
        <f aca="false">IF($A148="","",SUM($J148:$L148))</f>
        <v/>
      </c>
      <c r="R148" s="17" t="str">
        <f aca="false">IF($A148="","",($M148+$Q148)-$P148)</f>
        <v/>
      </c>
      <c r="S148" s="18" t="str">
        <f aca="false">IF(OR($A148="",$P148=0),"",$R148/$P148)</f>
        <v/>
      </c>
      <c r="T148" s="23"/>
      <c r="U148" s="14" t="str">
        <f aca="false">IF($A148="","",IF($M148&gt;0,"Live","Exited"))</f>
        <v/>
      </c>
      <c r="V148" s="20" t="str">
        <f aca="false">IF($A148="","",IF($A148='Client Report'!$C$4,COUNTIFS($A$6:$A148,'Client Report'!$C$4),""))</f>
        <v/>
      </c>
    </row>
    <row r="149" customFormat="false" ht="15" hidden="false" customHeight="false" outlineLevel="0" collapsed="false">
      <c r="A149" s="11"/>
      <c r="B149" s="11"/>
      <c r="C149" s="14" t="str">
        <f aca="false">IF($B149="","",IFERROR(TRIM(LEFT($B149,FIND(" - ",$B149)-1)),"Others"))</f>
        <v/>
      </c>
      <c r="D149" s="11"/>
      <c r="E149" s="11"/>
      <c r="F149" s="12"/>
      <c r="G149" s="21"/>
      <c r="H149" s="21"/>
      <c r="I149" s="21"/>
      <c r="J149" s="21"/>
      <c r="K149" s="21"/>
      <c r="L149" s="21"/>
      <c r="M149" s="21"/>
      <c r="N149" s="22"/>
      <c r="O149" s="22"/>
      <c r="P149" s="17" t="str">
        <f aca="false">IF($A149="","",SUM($G149:$I149))</f>
        <v/>
      </c>
      <c r="Q149" s="17" t="str">
        <f aca="false">IF($A149="","",SUM($J149:$L149))</f>
        <v/>
      </c>
      <c r="R149" s="17" t="str">
        <f aca="false">IF($A149="","",($M149+$Q149)-$P149)</f>
        <v/>
      </c>
      <c r="S149" s="18" t="str">
        <f aca="false">IF(OR($A149="",$P149=0),"",$R149/$P149)</f>
        <v/>
      </c>
      <c r="T149" s="23"/>
      <c r="U149" s="14" t="str">
        <f aca="false">IF($A149="","",IF($M149&gt;0,"Live","Exited"))</f>
        <v/>
      </c>
      <c r="V149" s="20" t="str">
        <f aca="false">IF($A149="","",IF($A149='Client Report'!$C$4,COUNTIFS($A$6:$A149,'Client Report'!$C$4),""))</f>
        <v/>
      </c>
    </row>
    <row r="150" customFormat="false" ht="15" hidden="false" customHeight="false" outlineLevel="0" collapsed="false">
      <c r="A150" s="11"/>
      <c r="B150" s="11"/>
      <c r="C150" s="14" t="str">
        <f aca="false">IF($B150="","",IFERROR(TRIM(LEFT($B150,FIND(" - ",$B150)-1)),"Others"))</f>
        <v/>
      </c>
      <c r="D150" s="11"/>
      <c r="E150" s="11"/>
      <c r="F150" s="12"/>
      <c r="G150" s="21"/>
      <c r="H150" s="21"/>
      <c r="I150" s="21"/>
      <c r="J150" s="21"/>
      <c r="K150" s="21"/>
      <c r="L150" s="21"/>
      <c r="M150" s="21"/>
      <c r="N150" s="22"/>
      <c r="O150" s="22"/>
      <c r="P150" s="17" t="str">
        <f aca="false">IF($A150="","",SUM($G150:$I150))</f>
        <v/>
      </c>
      <c r="Q150" s="17" t="str">
        <f aca="false">IF($A150="","",SUM($J150:$L150))</f>
        <v/>
      </c>
      <c r="R150" s="17" t="str">
        <f aca="false">IF($A150="","",($M150+$Q150)-$P150)</f>
        <v/>
      </c>
      <c r="S150" s="18" t="str">
        <f aca="false">IF(OR($A150="",$P150=0),"",$R150/$P150)</f>
        <v/>
      </c>
      <c r="T150" s="23"/>
      <c r="U150" s="14" t="str">
        <f aca="false">IF($A150="","",IF($M150&gt;0,"Live","Exited"))</f>
        <v/>
      </c>
      <c r="V150" s="20" t="str">
        <f aca="false">IF($A150="","",IF($A150='Client Report'!$C$4,COUNTIFS($A$6:$A150,'Client Report'!$C$4),""))</f>
        <v/>
      </c>
    </row>
    <row r="151" customFormat="false" ht="15" hidden="false" customHeight="false" outlineLevel="0" collapsed="false">
      <c r="A151" s="11"/>
      <c r="B151" s="11"/>
      <c r="C151" s="14" t="str">
        <f aca="false">IF($B151="","",IFERROR(TRIM(LEFT($B151,FIND(" - ",$B151)-1)),"Others"))</f>
        <v/>
      </c>
      <c r="D151" s="11"/>
      <c r="E151" s="11"/>
      <c r="F151" s="12"/>
      <c r="G151" s="21"/>
      <c r="H151" s="21"/>
      <c r="I151" s="21"/>
      <c r="J151" s="21"/>
      <c r="K151" s="21"/>
      <c r="L151" s="21"/>
      <c r="M151" s="21"/>
      <c r="N151" s="22"/>
      <c r="O151" s="22"/>
      <c r="P151" s="17" t="str">
        <f aca="false">IF($A151="","",SUM($G151:$I151))</f>
        <v/>
      </c>
      <c r="Q151" s="17" t="str">
        <f aca="false">IF($A151="","",SUM($J151:$L151))</f>
        <v/>
      </c>
      <c r="R151" s="17" t="str">
        <f aca="false">IF($A151="","",($M151+$Q151)-$P151)</f>
        <v/>
      </c>
      <c r="S151" s="18" t="str">
        <f aca="false">IF(OR($A151="",$P151=0),"",$R151/$P151)</f>
        <v/>
      </c>
      <c r="T151" s="23"/>
      <c r="U151" s="14" t="str">
        <f aca="false">IF($A151="","",IF($M151&gt;0,"Live","Exited"))</f>
        <v/>
      </c>
      <c r="V151" s="20" t="str">
        <f aca="false">IF($A151="","",IF($A151='Client Report'!$C$4,COUNTIFS($A$6:$A151,'Client Report'!$C$4),""))</f>
        <v/>
      </c>
    </row>
    <row r="152" customFormat="false" ht="15" hidden="false" customHeight="false" outlineLevel="0" collapsed="false">
      <c r="A152" s="11"/>
      <c r="B152" s="11"/>
      <c r="C152" s="14" t="str">
        <f aca="false">IF($B152="","",IFERROR(TRIM(LEFT($B152,FIND(" - ",$B152)-1)),"Others"))</f>
        <v/>
      </c>
      <c r="D152" s="11"/>
      <c r="E152" s="11"/>
      <c r="F152" s="12"/>
      <c r="G152" s="21"/>
      <c r="H152" s="21"/>
      <c r="I152" s="21"/>
      <c r="J152" s="21"/>
      <c r="K152" s="21"/>
      <c r="L152" s="21"/>
      <c r="M152" s="21"/>
      <c r="N152" s="22"/>
      <c r="O152" s="22"/>
      <c r="P152" s="17" t="str">
        <f aca="false">IF($A152="","",SUM($G152:$I152))</f>
        <v/>
      </c>
      <c r="Q152" s="17" t="str">
        <f aca="false">IF($A152="","",SUM($J152:$L152))</f>
        <v/>
      </c>
      <c r="R152" s="17" t="str">
        <f aca="false">IF($A152="","",($M152+$Q152)-$P152)</f>
        <v/>
      </c>
      <c r="S152" s="18" t="str">
        <f aca="false">IF(OR($A152="",$P152=0),"",$R152/$P152)</f>
        <v/>
      </c>
      <c r="T152" s="23"/>
      <c r="U152" s="14" t="str">
        <f aca="false">IF($A152="","",IF($M152&gt;0,"Live","Exited"))</f>
        <v/>
      </c>
      <c r="V152" s="20" t="str">
        <f aca="false">IF($A152="","",IF($A152='Client Report'!$C$4,COUNTIFS($A$6:$A152,'Client Report'!$C$4),""))</f>
        <v/>
      </c>
    </row>
    <row r="153" customFormat="false" ht="15" hidden="false" customHeight="false" outlineLevel="0" collapsed="false">
      <c r="A153" s="11"/>
      <c r="B153" s="11"/>
      <c r="C153" s="14" t="str">
        <f aca="false">IF($B153="","",IFERROR(TRIM(LEFT($B153,FIND(" - ",$B153)-1)),"Others"))</f>
        <v/>
      </c>
      <c r="D153" s="11"/>
      <c r="E153" s="11"/>
      <c r="F153" s="12"/>
      <c r="G153" s="21"/>
      <c r="H153" s="21"/>
      <c r="I153" s="21"/>
      <c r="J153" s="21"/>
      <c r="K153" s="21"/>
      <c r="L153" s="21"/>
      <c r="M153" s="21"/>
      <c r="N153" s="22"/>
      <c r="O153" s="22"/>
      <c r="P153" s="17" t="str">
        <f aca="false">IF($A153="","",SUM($G153:$I153))</f>
        <v/>
      </c>
      <c r="Q153" s="17" t="str">
        <f aca="false">IF($A153="","",SUM($J153:$L153))</f>
        <v/>
      </c>
      <c r="R153" s="17" t="str">
        <f aca="false">IF($A153="","",($M153+$Q153)-$P153)</f>
        <v/>
      </c>
      <c r="S153" s="18" t="str">
        <f aca="false">IF(OR($A153="",$P153=0),"",$R153/$P153)</f>
        <v/>
      </c>
      <c r="T153" s="23"/>
      <c r="U153" s="14" t="str">
        <f aca="false">IF($A153="","",IF($M153&gt;0,"Live","Exited"))</f>
        <v/>
      </c>
      <c r="V153" s="20" t="str">
        <f aca="false">IF($A153="","",IF($A153='Client Report'!$C$4,COUNTIFS($A$6:$A153,'Client Report'!$C$4),""))</f>
        <v/>
      </c>
    </row>
    <row r="154" customFormat="false" ht="15" hidden="false" customHeight="false" outlineLevel="0" collapsed="false">
      <c r="A154" s="11"/>
      <c r="B154" s="11"/>
      <c r="C154" s="14" t="str">
        <f aca="false">IF($B154="","",IFERROR(TRIM(LEFT($B154,FIND(" - ",$B154)-1)),"Others"))</f>
        <v/>
      </c>
      <c r="D154" s="11"/>
      <c r="E154" s="11"/>
      <c r="F154" s="12"/>
      <c r="G154" s="21"/>
      <c r="H154" s="21"/>
      <c r="I154" s="21"/>
      <c r="J154" s="21"/>
      <c r="K154" s="21"/>
      <c r="L154" s="21"/>
      <c r="M154" s="21"/>
      <c r="N154" s="22"/>
      <c r="O154" s="22"/>
      <c r="P154" s="17" t="str">
        <f aca="false">IF($A154="","",SUM($G154:$I154))</f>
        <v/>
      </c>
      <c r="Q154" s="17" t="str">
        <f aca="false">IF($A154="","",SUM($J154:$L154))</f>
        <v/>
      </c>
      <c r="R154" s="17" t="str">
        <f aca="false">IF($A154="","",($M154+$Q154)-$P154)</f>
        <v/>
      </c>
      <c r="S154" s="18" t="str">
        <f aca="false">IF(OR($A154="",$P154=0),"",$R154/$P154)</f>
        <v/>
      </c>
      <c r="T154" s="23"/>
      <c r="U154" s="14" t="str">
        <f aca="false">IF($A154="","",IF($M154&gt;0,"Live","Exited"))</f>
        <v/>
      </c>
      <c r="V154" s="20" t="str">
        <f aca="false">IF($A154="","",IF($A154='Client Report'!$C$4,COUNTIFS($A$6:$A154,'Client Report'!$C$4),""))</f>
        <v/>
      </c>
    </row>
    <row r="155" customFormat="false" ht="15" hidden="false" customHeight="false" outlineLevel="0" collapsed="false">
      <c r="A155" s="11"/>
      <c r="B155" s="11"/>
      <c r="C155" s="14" t="str">
        <f aca="false">IF($B155="","",IFERROR(TRIM(LEFT($B155,FIND(" - ",$B155)-1)),"Others"))</f>
        <v/>
      </c>
      <c r="D155" s="11"/>
      <c r="E155" s="11"/>
      <c r="F155" s="12"/>
      <c r="G155" s="21"/>
      <c r="H155" s="21"/>
      <c r="I155" s="21"/>
      <c r="J155" s="21"/>
      <c r="K155" s="21"/>
      <c r="L155" s="21"/>
      <c r="M155" s="21"/>
      <c r="N155" s="22"/>
      <c r="O155" s="22"/>
      <c r="P155" s="17" t="str">
        <f aca="false">IF($A155="","",SUM($G155:$I155))</f>
        <v/>
      </c>
      <c r="Q155" s="17" t="str">
        <f aca="false">IF($A155="","",SUM($J155:$L155))</f>
        <v/>
      </c>
      <c r="R155" s="17" t="str">
        <f aca="false">IF($A155="","",($M155+$Q155)-$P155)</f>
        <v/>
      </c>
      <c r="S155" s="18" t="str">
        <f aca="false">IF(OR($A155="",$P155=0),"",$R155/$P155)</f>
        <v/>
      </c>
      <c r="T155" s="23"/>
      <c r="U155" s="14" t="str">
        <f aca="false">IF($A155="","",IF($M155&gt;0,"Live","Exited"))</f>
        <v/>
      </c>
      <c r="V155" s="20" t="str">
        <f aca="false">IF($A155="","",IF($A155='Client Report'!$C$4,COUNTIFS($A$6:$A155,'Client Report'!$C$4),""))</f>
        <v/>
      </c>
    </row>
    <row r="156" customFormat="false" ht="15" hidden="false" customHeight="false" outlineLevel="0" collapsed="false">
      <c r="A156" s="11"/>
      <c r="B156" s="11"/>
      <c r="C156" s="14" t="str">
        <f aca="false">IF($B156="","",IFERROR(TRIM(LEFT($B156,FIND(" - ",$B156)-1)),"Others"))</f>
        <v/>
      </c>
      <c r="D156" s="11"/>
      <c r="E156" s="11"/>
      <c r="F156" s="12"/>
      <c r="G156" s="21"/>
      <c r="H156" s="21"/>
      <c r="I156" s="21"/>
      <c r="J156" s="21"/>
      <c r="K156" s="21"/>
      <c r="L156" s="21"/>
      <c r="M156" s="21"/>
      <c r="N156" s="22"/>
      <c r="O156" s="22"/>
      <c r="P156" s="17" t="str">
        <f aca="false">IF($A156="","",SUM($G156:$I156))</f>
        <v/>
      </c>
      <c r="Q156" s="17" t="str">
        <f aca="false">IF($A156="","",SUM($J156:$L156))</f>
        <v/>
      </c>
      <c r="R156" s="17" t="str">
        <f aca="false">IF($A156="","",($M156+$Q156)-$P156)</f>
        <v/>
      </c>
      <c r="S156" s="18" t="str">
        <f aca="false">IF(OR($A156="",$P156=0),"",$R156/$P156)</f>
        <v/>
      </c>
      <c r="T156" s="23"/>
      <c r="U156" s="14" t="str">
        <f aca="false">IF($A156="","",IF($M156&gt;0,"Live","Exited"))</f>
        <v/>
      </c>
      <c r="V156" s="20" t="str">
        <f aca="false">IF($A156="","",IF($A156='Client Report'!$C$4,COUNTIFS($A$6:$A156,'Client Report'!$C$4),""))</f>
        <v/>
      </c>
    </row>
    <row r="157" customFormat="false" ht="15" hidden="false" customHeight="false" outlineLevel="0" collapsed="false">
      <c r="A157" s="11"/>
      <c r="B157" s="11"/>
      <c r="C157" s="14" t="str">
        <f aca="false">IF($B157="","",IFERROR(TRIM(LEFT($B157,FIND(" - ",$B157)-1)),"Others"))</f>
        <v/>
      </c>
      <c r="D157" s="11"/>
      <c r="E157" s="11"/>
      <c r="F157" s="12"/>
      <c r="G157" s="21"/>
      <c r="H157" s="21"/>
      <c r="I157" s="21"/>
      <c r="J157" s="21"/>
      <c r="K157" s="21"/>
      <c r="L157" s="21"/>
      <c r="M157" s="21"/>
      <c r="N157" s="22"/>
      <c r="O157" s="22"/>
      <c r="P157" s="17" t="str">
        <f aca="false">IF($A157="","",SUM($G157:$I157))</f>
        <v/>
      </c>
      <c r="Q157" s="17" t="str">
        <f aca="false">IF($A157="","",SUM($J157:$L157))</f>
        <v/>
      </c>
      <c r="R157" s="17" t="str">
        <f aca="false">IF($A157="","",($M157+$Q157)-$P157)</f>
        <v/>
      </c>
      <c r="S157" s="18" t="str">
        <f aca="false">IF(OR($A157="",$P157=0),"",$R157/$P157)</f>
        <v/>
      </c>
      <c r="T157" s="23"/>
      <c r="U157" s="14" t="str">
        <f aca="false">IF($A157="","",IF($M157&gt;0,"Live","Exited"))</f>
        <v/>
      </c>
      <c r="V157" s="20" t="str">
        <f aca="false">IF($A157="","",IF($A157='Client Report'!$C$4,COUNTIFS($A$6:$A157,'Client Report'!$C$4),""))</f>
        <v/>
      </c>
    </row>
    <row r="158" customFormat="false" ht="15" hidden="false" customHeight="false" outlineLevel="0" collapsed="false">
      <c r="A158" s="11"/>
      <c r="B158" s="11"/>
      <c r="C158" s="14" t="str">
        <f aca="false">IF($B158="","",IFERROR(TRIM(LEFT($B158,FIND(" - ",$B158)-1)),"Others"))</f>
        <v/>
      </c>
      <c r="D158" s="11"/>
      <c r="E158" s="11"/>
      <c r="F158" s="12"/>
      <c r="G158" s="21"/>
      <c r="H158" s="21"/>
      <c r="I158" s="21"/>
      <c r="J158" s="21"/>
      <c r="K158" s="21"/>
      <c r="L158" s="21"/>
      <c r="M158" s="21"/>
      <c r="N158" s="22"/>
      <c r="O158" s="22"/>
      <c r="P158" s="17" t="str">
        <f aca="false">IF($A158="","",SUM($G158:$I158))</f>
        <v/>
      </c>
      <c r="Q158" s="17" t="str">
        <f aca="false">IF($A158="","",SUM($J158:$L158))</f>
        <v/>
      </c>
      <c r="R158" s="17" t="str">
        <f aca="false">IF($A158="","",($M158+$Q158)-$P158)</f>
        <v/>
      </c>
      <c r="S158" s="18" t="str">
        <f aca="false">IF(OR($A158="",$P158=0),"",$R158/$P158)</f>
        <v/>
      </c>
      <c r="T158" s="23"/>
      <c r="U158" s="14" t="str">
        <f aca="false">IF($A158="","",IF($M158&gt;0,"Live","Exited"))</f>
        <v/>
      </c>
      <c r="V158" s="20" t="str">
        <f aca="false">IF($A158="","",IF($A158='Client Report'!$C$4,COUNTIFS($A$6:$A158,'Client Report'!$C$4),""))</f>
        <v/>
      </c>
    </row>
    <row r="159" customFormat="false" ht="15" hidden="false" customHeight="false" outlineLevel="0" collapsed="false">
      <c r="A159" s="11"/>
      <c r="B159" s="11"/>
      <c r="C159" s="14" t="str">
        <f aca="false">IF($B159="","",IFERROR(TRIM(LEFT($B159,FIND(" - ",$B159)-1)),"Others"))</f>
        <v/>
      </c>
      <c r="D159" s="11"/>
      <c r="E159" s="11"/>
      <c r="F159" s="12"/>
      <c r="G159" s="21"/>
      <c r="H159" s="21"/>
      <c r="I159" s="21"/>
      <c r="J159" s="21"/>
      <c r="K159" s="21"/>
      <c r="L159" s="21"/>
      <c r="M159" s="21"/>
      <c r="N159" s="22"/>
      <c r="O159" s="22"/>
      <c r="P159" s="17" t="str">
        <f aca="false">IF($A159="","",SUM($G159:$I159))</f>
        <v/>
      </c>
      <c r="Q159" s="17" t="str">
        <f aca="false">IF($A159="","",SUM($J159:$L159))</f>
        <v/>
      </c>
      <c r="R159" s="17" t="str">
        <f aca="false">IF($A159="","",($M159+$Q159)-$P159)</f>
        <v/>
      </c>
      <c r="S159" s="18" t="str">
        <f aca="false">IF(OR($A159="",$P159=0),"",$R159/$P159)</f>
        <v/>
      </c>
      <c r="T159" s="23"/>
      <c r="U159" s="14" t="str">
        <f aca="false">IF($A159="","",IF($M159&gt;0,"Live","Exited"))</f>
        <v/>
      </c>
      <c r="V159" s="20" t="str">
        <f aca="false">IF($A159="","",IF($A159='Client Report'!$C$4,COUNTIFS($A$6:$A159,'Client Report'!$C$4),""))</f>
        <v/>
      </c>
    </row>
    <row r="160" customFormat="false" ht="15" hidden="false" customHeight="false" outlineLevel="0" collapsed="false">
      <c r="A160" s="11"/>
      <c r="B160" s="11"/>
      <c r="C160" s="14" t="str">
        <f aca="false">IF($B160="","",IFERROR(TRIM(LEFT($B160,FIND(" - ",$B160)-1)),"Others"))</f>
        <v/>
      </c>
      <c r="D160" s="11"/>
      <c r="E160" s="11"/>
      <c r="F160" s="12"/>
      <c r="G160" s="21"/>
      <c r="H160" s="21"/>
      <c r="I160" s="21"/>
      <c r="J160" s="21"/>
      <c r="K160" s="21"/>
      <c r="L160" s="21"/>
      <c r="M160" s="21"/>
      <c r="N160" s="22"/>
      <c r="O160" s="22"/>
      <c r="P160" s="17" t="str">
        <f aca="false">IF($A160="","",SUM($G160:$I160))</f>
        <v/>
      </c>
      <c r="Q160" s="17" t="str">
        <f aca="false">IF($A160="","",SUM($J160:$L160))</f>
        <v/>
      </c>
      <c r="R160" s="17" t="str">
        <f aca="false">IF($A160="","",($M160+$Q160)-$P160)</f>
        <v/>
      </c>
      <c r="S160" s="18" t="str">
        <f aca="false">IF(OR($A160="",$P160=0),"",$R160/$P160)</f>
        <v/>
      </c>
      <c r="T160" s="23"/>
      <c r="U160" s="14" t="str">
        <f aca="false">IF($A160="","",IF($M160&gt;0,"Live","Exited"))</f>
        <v/>
      </c>
      <c r="V160" s="20" t="str">
        <f aca="false">IF($A160="","",IF($A160='Client Report'!$C$4,COUNTIFS($A$6:$A160,'Client Report'!$C$4),""))</f>
        <v/>
      </c>
    </row>
    <row r="161" customFormat="false" ht="15" hidden="false" customHeight="false" outlineLevel="0" collapsed="false">
      <c r="A161" s="11"/>
      <c r="B161" s="11"/>
      <c r="C161" s="14" t="str">
        <f aca="false">IF($B161="","",IFERROR(TRIM(LEFT($B161,FIND(" - ",$B161)-1)),"Others"))</f>
        <v/>
      </c>
      <c r="D161" s="11"/>
      <c r="E161" s="11"/>
      <c r="F161" s="12"/>
      <c r="G161" s="21"/>
      <c r="H161" s="21"/>
      <c r="I161" s="21"/>
      <c r="J161" s="21"/>
      <c r="K161" s="21"/>
      <c r="L161" s="21"/>
      <c r="M161" s="21"/>
      <c r="N161" s="22"/>
      <c r="O161" s="22"/>
      <c r="P161" s="17" t="str">
        <f aca="false">IF($A161="","",SUM($G161:$I161))</f>
        <v/>
      </c>
      <c r="Q161" s="17" t="str">
        <f aca="false">IF($A161="","",SUM($J161:$L161))</f>
        <v/>
      </c>
      <c r="R161" s="17" t="str">
        <f aca="false">IF($A161="","",($M161+$Q161)-$P161)</f>
        <v/>
      </c>
      <c r="S161" s="18" t="str">
        <f aca="false">IF(OR($A161="",$P161=0),"",$R161/$P161)</f>
        <v/>
      </c>
      <c r="T161" s="23"/>
      <c r="U161" s="14" t="str">
        <f aca="false">IF($A161="","",IF($M161&gt;0,"Live","Exited"))</f>
        <v/>
      </c>
      <c r="V161" s="20" t="str">
        <f aca="false">IF($A161="","",IF($A161='Client Report'!$C$4,COUNTIFS($A$6:$A161,'Client Report'!$C$4),""))</f>
        <v/>
      </c>
    </row>
    <row r="162" customFormat="false" ht="15" hidden="false" customHeight="false" outlineLevel="0" collapsed="false">
      <c r="A162" s="11"/>
      <c r="B162" s="11"/>
      <c r="C162" s="14" t="str">
        <f aca="false">IF($B162="","",IFERROR(TRIM(LEFT($B162,FIND(" - ",$B162)-1)),"Others"))</f>
        <v/>
      </c>
      <c r="D162" s="11"/>
      <c r="E162" s="11"/>
      <c r="F162" s="12"/>
      <c r="G162" s="21"/>
      <c r="H162" s="21"/>
      <c r="I162" s="21"/>
      <c r="J162" s="21"/>
      <c r="K162" s="21"/>
      <c r="L162" s="21"/>
      <c r="M162" s="21"/>
      <c r="N162" s="22"/>
      <c r="O162" s="22"/>
      <c r="P162" s="17" t="str">
        <f aca="false">IF($A162="","",SUM($G162:$I162))</f>
        <v/>
      </c>
      <c r="Q162" s="17" t="str">
        <f aca="false">IF($A162="","",SUM($J162:$L162))</f>
        <v/>
      </c>
      <c r="R162" s="17" t="str">
        <f aca="false">IF($A162="","",($M162+$Q162)-$P162)</f>
        <v/>
      </c>
      <c r="S162" s="18" t="str">
        <f aca="false">IF(OR($A162="",$P162=0),"",$R162/$P162)</f>
        <v/>
      </c>
      <c r="T162" s="23"/>
      <c r="U162" s="14" t="str">
        <f aca="false">IF($A162="","",IF($M162&gt;0,"Live","Exited"))</f>
        <v/>
      </c>
      <c r="V162" s="20" t="str">
        <f aca="false">IF($A162="","",IF($A162='Client Report'!$C$4,COUNTIFS($A$6:$A162,'Client Report'!$C$4),""))</f>
        <v/>
      </c>
    </row>
    <row r="163" customFormat="false" ht="15" hidden="false" customHeight="false" outlineLevel="0" collapsed="false">
      <c r="A163" s="11"/>
      <c r="B163" s="11"/>
      <c r="C163" s="14" t="str">
        <f aca="false">IF($B163="","",IFERROR(TRIM(LEFT($B163,FIND(" - ",$B163)-1)),"Others"))</f>
        <v/>
      </c>
      <c r="D163" s="11"/>
      <c r="E163" s="11"/>
      <c r="F163" s="12"/>
      <c r="G163" s="21"/>
      <c r="H163" s="21"/>
      <c r="I163" s="21"/>
      <c r="J163" s="21"/>
      <c r="K163" s="21"/>
      <c r="L163" s="21"/>
      <c r="M163" s="21"/>
      <c r="N163" s="22"/>
      <c r="O163" s="22"/>
      <c r="P163" s="17" t="str">
        <f aca="false">IF($A163="","",SUM($G163:$I163))</f>
        <v/>
      </c>
      <c r="Q163" s="17" t="str">
        <f aca="false">IF($A163="","",SUM($J163:$L163))</f>
        <v/>
      </c>
      <c r="R163" s="17" t="str">
        <f aca="false">IF($A163="","",($M163+$Q163)-$P163)</f>
        <v/>
      </c>
      <c r="S163" s="18" t="str">
        <f aca="false">IF(OR($A163="",$P163=0),"",$R163/$P163)</f>
        <v/>
      </c>
      <c r="T163" s="23"/>
      <c r="U163" s="14" t="str">
        <f aca="false">IF($A163="","",IF($M163&gt;0,"Live","Exited"))</f>
        <v/>
      </c>
      <c r="V163" s="20" t="str">
        <f aca="false">IF($A163="","",IF($A163='Client Report'!$C$4,COUNTIFS($A$6:$A163,'Client Report'!$C$4),""))</f>
        <v/>
      </c>
    </row>
    <row r="164" customFormat="false" ht="15" hidden="false" customHeight="false" outlineLevel="0" collapsed="false">
      <c r="A164" s="11"/>
      <c r="B164" s="11"/>
      <c r="C164" s="14" t="str">
        <f aca="false">IF($B164="","",IFERROR(TRIM(LEFT($B164,FIND(" - ",$B164)-1)),"Others"))</f>
        <v/>
      </c>
      <c r="D164" s="11"/>
      <c r="E164" s="11"/>
      <c r="F164" s="12"/>
      <c r="G164" s="21"/>
      <c r="H164" s="21"/>
      <c r="I164" s="21"/>
      <c r="J164" s="21"/>
      <c r="K164" s="21"/>
      <c r="L164" s="21"/>
      <c r="M164" s="21"/>
      <c r="N164" s="22"/>
      <c r="O164" s="22"/>
      <c r="P164" s="17" t="str">
        <f aca="false">IF($A164="","",SUM($G164:$I164))</f>
        <v/>
      </c>
      <c r="Q164" s="17" t="str">
        <f aca="false">IF($A164="","",SUM($J164:$L164))</f>
        <v/>
      </c>
      <c r="R164" s="17" t="str">
        <f aca="false">IF($A164="","",($M164+$Q164)-$P164)</f>
        <v/>
      </c>
      <c r="S164" s="18" t="str">
        <f aca="false">IF(OR($A164="",$P164=0),"",$R164/$P164)</f>
        <v/>
      </c>
      <c r="T164" s="23"/>
      <c r="U164" s="14" t="str">
        <f aca="false">IF($A164="","",IF($M164&gt;0,"Live","Exited"))</f>
        <v/>
      </c>
      <c r="V164" s="20" t="str">
        <f aca="false">IF($A164="","",IF($A164='Client Report'!$C$4,COUNTIFS($A$6:$A164,'Client Report'!$C$4),""))</f>
        <v/>
      </c>
    </row>
    <row r="165" customFormat="false" ht="15" hidden="false" customHeight="false" outlineLevel="0" collapsed="false">
      <c r="A165" s="11"/>
      <c r="B165" s="11"/>
      <c r="C165" s="14" t="str">
        <f aca="false">IF($B165="","",IFERROR(TRIM(LEFT($B165,FIND(" - ",$B165)-1)),"Others"))</f>
        <v/>
      </c>
      <c r="D165" s="11"/>
      <c r="E165" s="11"/>
      <c r="F165" s="12"/>
      <c r="G165" s="21"/>
      <c r="H165" s="21"/>
      <c r="I165" s="21"/>
      <c r="J165" s="21"/>
      <c r="K165" s="21"/>
      <c r="L165" s="21"/>
      <c r="M165" s="21"/>
      <c r="N165" s="22"/>
      <c r="O165" s="22"/>
      <c r="P165" s="17" t="str">
        <f aca="false">IF($A165="","",SUM($G165:$I165))</f>
        <v/>
      </c>
      <c r="Q165" s="17" t="str">
        <f aca="false">IF($A165="","",SUM($J165:$L165))</f>
        <v/>
      </c>
      <c r="R165" s="17" t="str">
        <f aca="false">IF($A165="","",($M165+$Q165)-$P165)</f>
        <v/>
      </c>
      <c r="S165" s="18" t="str">
        <f aca="false">IF(OR($A165="",$P165=0),"",$R165/$P165)</f>
        <v/>
      </c>
      <c r="T165" s="23"/>
      <c r="U165" s="14" t="str">
        <f aca="false">IF($A165="","",IF($M165&gt;0,"Live","Exited"))</f>
        <v/>
      </c>
      <c r="V165" s="20" t="str">
        <f aca="false">IF($A165="","",IF($A165='Client Report'!$C$4,COUNTIFS($A$6:$A165,'Client Report'!$C$4),""))</f>
        <v/>
      </c>
    </row>
    <row r="166" customFormat="false" ht="15" hidden="false" customHeight="false" outlineLevel="0" collapsed="false">
      <c r="A166" s="11"/>
      <c r="B166" s="11"/>
      <c r="C166" s="14" t="str">
        <f aca="false">IF($B166="","",IFERROR(TRIM(LEFT($B166,FIND(" - ",$B166)-1)),"Others"))</f>
        <v/>
      </c>
      <c r="D166" s="11"/>
      <c r="E166" s="11"/>
      <c r="F166" s="12"/>
      <c r="G166" s="21"/>
      <c r="H166" s="21"/>
      <c r="I166" s="21"/>
      <c r="J166" s="21"/>
      <c r="K166" s="21"/>
      <c r="L166" s="21"/>
      <c r="M166" s="21"/>
      <c r="N166" s="22"/>
      <c r="O166" s="22"/>
      <c r="P166" s="17" t="str">
        <f aca="false">IF($A166="","",SUM($G166:$I166))</f>
        <v/>
      </c>
      <c r="Q166" s="17" t="str">
        <f aca="false">IF($A166="","",SUM($J166:$L166))</f>
        <v/>
      </c>
      <c r="R166" s="17" t="str">
        <f aca="false">IF($A166="","",($M166+$Q166)-$P166)</f>
        <v/>
      </c>
      <c r="S166" s="18" t="str">
        <f aca="false">IF(OR($A166="",$P166=0),"",$R166/$P166)</f>
        <v/>
      </c>
      <c r="T166" s="23"/>
      <c r="U166" s="14" t="str">
        <f aca="false">IF($A166="","",IF($M166&gt;0,"Live","Exited"))</f>
        <v/>
      </c>
      <c r="V166" s="20" t="str">
        <f aca="false">IF($A166="","",IF($A166='Client Report'!$C$4,COUNTIFS($A$6:$A166,'Client Report'!$C$4),""))</f>
        <v/>
      </c>
    </row>
    <row r="167" customFormat="false" ht="15" hidden="false" customHeight="false" outlineLevel="0" collapsed="false">
      <c r="A167" s="11"/>
      <c r="B167" s="11"/>
      <c r="C167" s="14" t="str">
        <f aca="false">IF($B167="","",IFERROR(TRIM(LEFT($B167,FIND(" - ",$B167)-1)),"Others"))</f>
        <v/>
      </c>
      <c r="D167" s="11"/>
      <c r="E167" s="11"/>
      <c r="F167" s="12"/>
      <c r="G167" s="21"/>
      <c r="H167" s="21"/>
      <c r="I167" s="21"/>
      <c r="J167" s="21"/>
      <c r="K167" s="21"/>
      <c r="L167" s="21"/>
      <c r="M167" s="21"/>
      <c r="N167" s="22"/>
      <c r="O167" s="22"/>
      <c r="P167" s="17" t="str">
        <f aca="false">IF($A167="","",SUM($G167:$I167))</f>
        <v/>
      </c>
      <c r="Q167" s="17" t="str">
        <f aca="false">IF($A167="","",SUM($J167:$L167))</f>
        <v/>
      </c>
      <c r="R167" s="17" t="str">
        <f aca="false">IF($A167="","",($M167+$Q167)-$P167)</f>
        <v/>
      </c>
      <c r="S167" s="18" t="str">
        <f aca="false">IF(OR($A167="",$P167=0),"",$R167/$P167)</f>
        <v/>
      </c>
      <c r="T167" s="23"/>
      <c r="U167" s="14" t="str">
        <f aca="false">IF($A167="","",IF($M167&gt;0,"Live","Exited"))</f>
        <v/>
      </c>
      <c r="V167" s="20" t="str">
        <f aca="false">IF($A167="","",IF($A167='Client Report'!$C$4,COUNTIFS($A$6:$A167,'Client Report'!$C$4),""))</f>
        <v/>
      </c>
    </row>
    <row r="168" customFormat="false" ht="15" hidden="false" customHeight="false" outlineLevel="0" collapsed="false">
      <c r="A168" s="11"/>
      <c r="B168" s="11"/>
      <c r="C168" s="14" t="str">
        <f aca="false">IF($B168="","",IFERROR(TRIM(LEFT($B168,FIND(" - ",$B168)-1)),"Others"))</f>
        <v/>
      </c>
      <c r="D168" s="11"/>
      <c r="E168" s="11"/>
      <c r="F168" s="12"/>
      <c r="G168" s="21"/>
      <c r="H168" s="21"/>
      <c r="I168" s="21"/>
      <c r="J168" s="21"/>
      <c r="K168" s="21"/>
      <c r="L168" s="21"/>
      <c r="M168" s="21"/>
      <c r="N168" s="22"/>
      <c r="O168" s="22"/>
      <c r="P168" s="17" t="str">
        <f aca="false">IF($A168="","",SUM($G168:$I168))</f>
        <v/>
      </c>
      <c r="Q168" s="17" t="str">
        <f aca="false">IF($A168="","",SUM($J168:$L168))</f>
        <v/>
      </c>
      <c r="R168" s="17" t="str">
        <f aca="false">IF($A168="","",($M168+$Q168)-$P168)</f>
        <v/>
      </c>
      <c r="S168" s="18" t="str">
        <f aca="false">IF(OR($A168="",$P168=0),"",$R168/$P168)</f>
        <v/>
      </c>
      <c r="T168" s="23"/>
      <c r="U168" s="14" t="str">
        <f aca="false">IF($A168="","",IF($M168&gt;0,"Live","Exited"))</f>
        <v/>
      </c>
      <c r="V168" s="20" t="str">
        <f aca="false">IF($A168="","",IF($A168='Client Report'!$C$4,COUNTIFS($A$6:$A168,'Client Report'!$C$4),""))</f>
        <v/>
      </c>
    </row>
    <row r="169" customFormat="false" ht="15" hidden="false" customHeight="false" outlineLevel="0" collapsed="false">
      <c r="A169" s="11"/>
      <c r="B169" s="11"/>
      <c r="C169" s="14" t="str">
        <f aca="false">IF($B169="","",IFERROR(TRIM(LEFT($B169,FIND(" - ",$B169)-1)),"Others"))</f>
        <v/>
      </c>
      <c r="D169" s="11"/>
      <c r="E169" s="11"/>
      <c r="F169" s="12"/>
      <c r="G169" s="21"/>
      <c r="H169" s="21"/>
      <c r="I169" s="21"/>
      <c r="J169" s="21"/>
      <c r="K169" s="21"/>
      <c r="L169" s="21"/>
      <c r="M169" s="21"/>
      <c r="N169" s="22"/>
      <c r="O169" s="22"/>
      <c r="P169" s="17" t="str">
        <f aca="false">IF($A169="","",SUM($G169:$I169))</f>
        <v/>
      </c>
      <c r="Q169" s="17" t="str">
        <f aca="false">IF($A169="","",SUM($J169:$L169))</f>
        <v/>
      </c>
      <c r="R169" s="17" t="str">
        <f aca="false">IF($A169="","",($M169+$Q169)-$P169)</f>
        <v/>
      </c>
      <c r="S169" s="18" t="str">
        <f aca="false">IF(OR($A169="",$P169=0),"",$R169/$P169)</f>
        <v/>
      </c>
      <c r="T169" s="23"/>
      <c r="U169" s="14" t="str">
        <f aca="false">IF($A169="","",IF($M169&gt;0,"Live","Exited"))</f>
        <v/>
      </c>
      <c r="V169" s="20" t="str">
        <f aca="false">IF($A169="","",IF($A169='Client Report'!$C$4,COUNTIFS($A$6:$A169,'Client Report'!$C$4),""))</f>
        <v/>
      </c>
    </row>
    <row r="170" customFormat="false" ht="15" hidden="false" customHeight="false" outlineLevel="0" collapsed="false">
      <c r="A170" s="11"/>
      <c r="B170" s="11"/>
      <c r="C170" s="14" t="str">
        <f aca="false">IF($B170="","",IFERROR(TRIM(LEFT($B170,FIND(" - ",$B170)-1)),"Others"))</f>
        <v/>
      </c>
      <c r="D170" s="11"/>
      <c r="E170" s="11"/>
      <c r="F170" s="12"/>
      <c r="G170" s="21"/>
      <c r="H170" s="21"/>
      <c r="I170" s="21"/>
      <c r="J170" s="21"/>
      <c r="K170" s="21"/>
      <c r="L170" s="21"/>
      <c r="M170" s="21"/>
      <c r="N170" s="22"/>
      <c r="O170" s="22"/>
      <c r="P170" s="17" t="str">
        <f aca="false">IF($A170="","",SUM($G170:$I170))</f>
        <v/>
      </c>
      <c r="Q170" s="17" t="str">
        <f aca="false">IF($A170="","",SUM($J170:$L170))</f>
        <v/>
      </c>
      <c r="R170" s="17" t="str">
        <f aca="false">IF($A170="","",($M170+$Q170)-$P170)</f>
        <v/>
      </c>
      <c r="S170" s="18" t="str">
        <f aca="false">IF(OR($A170="",$P170=0),"",$R170/$P170)</f>
        <v/>
      </c>
      <c r="T170" s="23"/>
      <c r="U170" s="14" t="str">
        <f aca="false">IF($A170="","",IF($M170&gt;0,"Live","Exited"))</f>
        <v/>
      </c>
      <c r="V170" s="20" t="str">
        <f aca="false">IF($A170="","",IF($A170='Client Report'!$C$4,COUNTIFS($A$6:$A170,'Client Report'!$C$4),""))</f>
        <v/>
      </c>
    </row>
    <row r="171" customFormat="false" ht="15" hidden="false" customHeight="false" outlineLevel="0" collapsed="false">
      <c r="A171" s="11"/>
      <c r="B171" s="11"/>
      <c r="C171" s="14" t="str">
        <f aca="false">IF($B171="","",IFERROR(TRIM(LEFT($B171,FIND(" - ",$B171)-1)),"Others"))</f>
        <v/>
      </c>
      <c r="D171" s="11"/>
      <c r="E171" s="11"/>
      <c r="F171" s="12"/>
      <c r="G171" s="21"/>
      <c r="H171" s="21"/>
      <c r="I171" s="21"/>
      <c r="J171" s="21"/>
      <c r="K171" s="21"/>
      <c r="L171" s="21"/>
      <c r="M171" s="21"/>
      <c r="N171" s="22"/>
      <c r="O171" s="22"/>
      <c r="P171" s="17" t="str">
        <f aca="false">IF($A171="","",SUM($G171:$I171))</f>
        <v/>
      </c>
      <c r="Q171" s="17" t="str">
        <f aca="false">IF($A171="","",SUM($J171:$L171))</f>
        <v/>
      </c>
      <c r="R171" s="17" t="str">
        <f aca="false">IF($A171="","",($M171+$Q171)-$P171)</f>
        <v/>
      </c>
      <c r="S171" s="18" t="str">
        <f aca="false">IF(OR($A171="",$P171=0),"",$R171/$P171)</f>
        <v/>
      </c>
      <c r="T171" s="23"/>
      <c r="U171" s="14" t="str">
        <f aca="false">IF($A171="","",IF($M171&gt;0,"Live","Exited"))</f>
        <v/>
      </c>
      <c r="V171" s="20" t="str">
        <f aca="false">IF($A171="","",IF($A171='Client Report'!$C$4,COUNTIFS($A$6:$A171,'Client Report'!$C$4),""))</f>
        <v/>
      </c>
    </row>
    <row r="172" customFormat="false" ht="15" hidden="false" customHeight="false" outlineLevel="0" collapsed="false">
      <c r="A172" s="11"/>
      <c r="B172" s="11"/>
      <c r="C172" s="14" t="str">
        <f aca="false">IF($B172="","",IFERROR(TRIM(LEFT($B172,FIND(" - ",$B172)-1)),"Others"))</f>
        <v/>
      </c>
      <c r="D172" s="11"/>
      <c r="E172" s="11"/>
      <c r="F172" s="12"/>
      <c r="G172" s="21"/>
      <c r="H172" s="21"/>
      <c r="I172" s="21"/>
      <c r="J172" s="21"/>
      <c r="K172" s="21"/>
      <c r="L172" s="21"/>
      <c r="M172" s="21"/>
      <c r="N172" s="22"/>
      <c r="O172" s="22"/>
      <c r="P172" s="17" t="str">
        <f aca="false">IF($A172="","",SUM($G172:$I172))</f>
        <v/>
      </c>
      <c r="Q172" s="17" t="str">
        <f aca="false">IF($A172="","",SUM($J172:$L172))</f>
        <v/>
      </c>
      <c r="R172" s="17" t="str">
        <f aca="false">IF($A172="","",($M172+$Q172)-$P172)</f>
        <v/>
      </c>
      <c r="S172" s="18" t="str">
        <f aca="false">IF(OR($A172="",$P172=0),"",$R172/$P172)</f>
        <v/>
      </c>
      <c r="T172" s="23"/>
      <c r="U172" s="14" t="str">
        <f aca="false">IF($A172="","",IF($M172&gt;0,"Live","Exited"))</f>
        <v/>
      </c>
      <c r="V172" s="20" t="str">
        <f aca="false">IF($A172="","",IF($A172='Client Report'!$C$4,COUNTIFS($A$6:$A172,'Client Report'!$C$4),""))</f>
        <v/>
      </c>
    </row>
    <row r="173" customFormat="false" ht="15" hidden="false" customHeight="false" outlineLevel="0" collapsed="false">
      <c r="A173" s="11"/>
      <c r="B173" s="11"/>
      <c r="C173" s="14" t="str">
        <f aca="false">IF($B173="","",IFERROR(TRIM(LEFT($B173,FIND(" - ",$B173)-1)),"Others"))</f>
        <v/>
      </c>
      <c r="D173" s="11"/>
      <c r="E173" s="11"/>
      <c r="F173" s="12"/>
      <c r="G173" s="21"/>
      <c r="H173" s="21"/>
      <c r="I173" s="21"/>
      <c r="J173" s="21"/>
      <c r="K173" s="21"/>
      <c r="L173" s="21"/>
      <c r="M173" s="21"/>
      <c r="N173" s="22"/>
      <c r="O173" s="22"/>
      <c r="P173" s="17" t="str">
        <f aca="false">IF($A173="","",SUM($G173:$I173))</f>
        <v/>
      </c>
      <c r="Q173" s="17" t="str">
        <f aca="false">IF($A173="","",SUM($J173:$L173))</f>
        <v/>
      </c>
      <c r="R173" s="17" t="str">
        <f aca="false">IF($A173="","",($M173+$Q173)-$P173)</f>
        <v/>
      </c>
      <c r="S173" s="18" t="str">
        <f aca="false">IF(OR($A173="",$P173=0),"",$R173/$P173)</f>
        <v/>
      </c>
      <c r="T173" s="23"/>
      <c r="U173" s="14" t="str">
        <f aca="false">IF($A173="","",IF($M173&gt;0,"Live","Exited"))</f>
        <v/>
      </c>
      <c r="V173" s="20" t="str">
        <f aca="false">IF($A173="","",IF($A173='Client Report'!$C$4,COUNTIFS($A$6:$A173,'Client Report'!$C$4),""))</f>
        <v/>
      </c>
    </row>
    <row r="174" customFormat="false" ht="15" hidden="false" customHeight="false" outlineLevel="0" collapsed="false">
      <c r="A174" s="11"/>
      <c r="B174" s="11"/>
      <c r="C174" s="14" t="str">
        <f aca="false">IF($B174="","",IFERROR(TRIM(LEFT($B174,FIND(" - ",$B174)-1)),"Others"))</f>
        <v/>
      </c>
      <c r="D174" s="11"/>
      <c r="E174" s="11"/>
      <c r="F174" s="12"/>
      <c r="G174" s="21"/>
      <c r="H174" s="21"/>
      <c r="I174" s="21"/>
      <c r="J174" s="21"/>
      <c r="K174" s="21"/>
      <c r="L174" s="21"/>
      <c r="M174" s="21"/>
      <c r="N174" s="22"/>
      <c r="O174" s="22"/>
      <c r="P174" s="17" t="str">
        <f aca="false">IF($A174="","",SUM($G174:$I174))</f>
        <v/>
      </c>
      <c r="Q174" s="17" t="str">
        <f aca="false">IF($A174="","",SUM($J174:$L174))</f>
        <v/>
      </c>
      <c r="R174" s="17" t="str">
        <f aca="false">IF($A174="","",($M174+$Q174)-$P174)</f>
        <v/>
      </c>
      <c r="S174" s="18" t="str">
        <f aca="false">IF(OR($A174="",$P174=0),"",$R174/$P174)</f>
        <v/>
      </c>
      <c r="T174" s="23"/>
      <c r="U174" s="14" t="str">
        <f aca="false">IF($A174="","",IF($M174&gt;0,"Live","Exited"))</f>
        <v/>
      </c>
      <c r="V174" s="20" t="str">
        <f aca="false">IF($A174="","",IF($A174='Client Report'!$C$4,COUNTIFS($A$6:$A174,'Client Report'!$C$4),""))</f>
        <v/>
      </c>
    </row>
    <row r="175" customFormat="false" ht="15" hidden="false" customHeight="false" outlineLevel="0" collapsed="false">
      <c r="A175" s="11"/>
      <c r="B175" s="11"/>
      <c r="C175" s="14" t="str">
        <f aca="false">IF($B175="","",IFERROR(TRIM(LEFT($B175,FIND(" - ",$B175)-1)),"Others"))</f>
        <v/>
      </c>
      <c r="D175" s="11"/>
      <c r="E175" s="11"/>
      <c r="F175" s="12"/>
      <c r="G175" s="21"/>
      <c r="H175" s="21"/>
      <c r="I175" s="21"/>
      <c r="J175" s="21"/>
      <c r="K175" s="21"/>
      <c r="L175" s="21"/>
      <c r="M175" s="21"/>
      <c r="N175" s="22"/>
      <c r="O175" s="22"/>
      <c r="P175" s="17" t="str">
        <f aca="false">IF($A175="","",SUM($G175:$I175))</f>
        <v/>
      </c>
      <c r="Q175" s="17" t="str">
        <f aca="false">IF($A175="","",SUM($J175:$L175))</f>
        <v/>
      </c>
      <c r="R175" s="17" t="str">
        <f aca="false">IF($A175="","",($M175+$Q175)-$P175)</f>
        <v/>
      </c>
      <c r="S175" s="18" t="str">
        <f aca="false">IF(OR($A175="",$P175=0),"",$R175/$P175)</f>
        <v/>
      </c>
      <c r="T175" s="23"/>
      <c r="U175" s="14" t="str">
        <f aca="false">IF($A175="","",IF($M175&gt;0,"Live","Exited"))</f>
        <v/>
      </c>
      <c r="V175" s="20" t="str">
        <f aca="false">IF($A175="","",IF($A175='Client Report'!$C$4,COUNTIFS($A$6:$A175,'Client Report'!$C$4),""))</f>
        <v/>
      </c>
    </row>
    <row r="176" customFormat="false" ht="15" hidden="false" customHeight="false" outlineLevel="0" collapsed="false">
      <c r="A176" s="11"/>
      <c r="B176" s="11"/>
      <c r="C176" s="14" t="str">
        <f aca="false">IF($B176="","",IFERROR(TRIM(LEFT($B176,FIND(" - ",$B176)-1)),"Others"))</f>
        <v/>
      </c>
      <c r="D176" s="11"/>
      <c r="E176" s="11"/>
      <c r="F176" s="12"/>
      <c r="G176" s="21"/>
      <c r="H176" s="21"/>
      <c r="I176" s="21"/>
      <c r="J176" s="21"/>
      <c r="K176" s="21"/>
      <c r="L176" s="21"/>
      <c r="M176" s="21"/>
      <c r="N176" s="22"/>
      <c r="O176" s="22"/>
      <c r="P176" s="17" t="str">
        <f aca="false">IF($A176="","",SUM($G176:$I176))</f>
        <v/>
      </c>
      <c r="Q176" s="17" t="str">
        <f aca="false">IF($A176="","",SUM($J176:$L176))</f>
        <v/>
      </c>
      <c r="R176" s="17" t="str">
        <f aca="false">IF($A176="","",($M176+$Q176)-$P176)</f>
        <v/>
      </c>
      <c r="S176" s="18" t="str">
        <f aca="false">IF(OR($A176="",$P176=0),"",$R176/$P176)</f>
        <v/>
      </c>
      <c r="T176" s="23"/>
      <c r="U176" s="14" t="str">
        <f aca="false">IF($A176="","",IF($M176&gt;0,"Live","Exited"))</f>
        <v/>
      </c>
      <c r="V176" s="20" t="str">
        <f aca="false">IF($A176="","",IF($A176='Client Report'!$C$4,COUNTIFS($A$6:$A176,'Client Report'!$C$4),""))</f>
        <v/>
      </c>
    </row>
    <row r="177" customFormat="false" ht="15" hidden="false" customHeight="false" outlineLevel="0" collapsed="false">
      <c r="A177" s="11"/>
      <c r="B177" s="11"/>
      <c r="C177" s="14" t="str">
        <f aca="false">IF($B177="","",IFERROR(TRIM(LEFT($B177,FIND(" - ",$B177)-1)),"Others"))</f>
        <v/>
      </c>
      <c r="D177" s="11"/>
      <c r="E177" s="11"/>
      <c r="F177" s="12"/>
      <c r="G177" s="21"/>
      <c r="H177" s="21"/>
      <c r="I177" s="21"/>
      <c r="J177" s="21"/>
      <c r="K177" s="21"/>
      <c r="L177" s="21"/>
      <c r="M177" s="21"/>
      <c r="N177" s="22"/>
      <c r="O177" s="22"/>
      <c r="P177" s="17" t="str">
        <f aca="false">IF($A177="","",SUM($G177:$I177))</f>
        <v/>
      </c>
      <c r="Q177" s="17" t="str">
        <f aca="false">IF($A177="","",SUM($J177:$L177))</f>
        <v/>
      </c>
      <c r="R177" s="17" t="str">
        <f aca="false">IF($A177="","",($M177+$Q177)-$P177)</f>
        <v/>
      </c>
      <c r="S177" s="18" t="str">
        <f aca="false">IF(OR($A177="",$P177=0),"",$R177/$P177)</f>
        <v/>
      </c>
      <c r="T177" s="23"/>
      <c r="U177" s="14" t="str">
        <f aca="false">IF($A177="","",IF($M177&gt;0,"Live","Exited"))</f>
        <v/>
      </c>
      <c r="V177" s="20" t="str">
        <f aca="false">IF($A177="","",IF($A177='Client Report'!$C$4,COUNTIFS($A$6:$A177,'Client Report'!$C$4),""))</f>
        <v/>
      </c>
    </row>
    <row r="178" customFormat="false" ht="15" hidden="false" customHeight="false" outlineLevel="0" collapsed="false">
      <c r="A178" s="11"/>
      <c r="B178" s="11"/>
      <c r="C178" s="14" t="str">
        <f aca="false">IF($B178="","",IFERROR(TRIM(LEFT($B178,FIND(" - ",$B178)-1)),"Others"))</f>
        <v/>
      </c>
      <c r="D178" s="11"/>
      <c r="E178" s="11"/>
      <c r="F178" s="12"/>
      <c r="G178" s="21"/>
      <c r="H178" s="21"/>
      <c r="I178" s="21"/>
      <c r="J178" s="21"/>
      <c r="K178" s="21"/>
      <c r="L178" s="21"/>
      <c r="M178" s="21"/>
      <c r="N178" s="22"/>
      <c r="O178" s="22"/>
      <c r="P178" s="17" t="str">
        <f aca="false">IF($A178="","",SUM($G178:$I178))</f>
        <v/>
      </c>
      <c r="Q178" s="17" t="str">
        <f aca="false">IF($A178="","",SUM($J178:$L178))</f>
        <v/>
      </c>
      <c r="R178" s="17" t="str">
        <f aca="false">IF($A178="","",($M178+$Q178)-$P178)</f>
        <v/>
      </c>
      <c r="S178" s="18" t="str">
        <f aca="false">IF(OR($A178="",$P178=0),"",$R178/$P178)</f>
        <v/>
      </c>
      <c r="T178" s="23"/>
      <c r="U178" s="14" t="str">
        <f aca="false">IF($A178="","",IF($M178&gt;0,"Live","Exited"))</f>
        <v/>
      </c>
      <c r="V178" s="20" t="str">
        <f aca="false">IF($A178="","",IF($A178='Client Report'!$C$4,COUNTIFS($A$6:$A178,'Client Report'!$C$4),""))</f>
        <v/>
      </c>
    </row>
    <row r="179" customFormat="false" ht="15" hidden="false" customHeight="false" outlineLevel="0" collapsed="false">
      <c r="A179" s="11"/>
      <c r="B179" s="11"/>
      <c r="C179" s="14" t="str">
        <f aca="false">IF($B179="","",IFERROR(TRIM(LEFT($B179,FIND(" - ",$B179)-1)),"Others"))</f>
        <v/>
      </c>
      <c r="D179" s="11"/>
      <c r="E179" s="11"/>
      <c r="F179" s="12"/>
      <c r="G179" s="21"/>
      <c r="H179" s="21"/>
      <c r="I179" s="21"/>
      <c r="J179" s="21"/>
      <c r="K179" s="21"/>
      <c r="L179" s="21"/>
      <c r="M179" s="21"/>
      <c r="N179" s="22"/>
      <c r="O179" s="22"/>
      <c r="P179" s="17" t="str">
        <f aca="false">IF($A179="","",SUM($G179:$I179))</f>
        <v/>
      </c>
      <c r="Q179" s="17" t="str">
        <f aca="false">IF($A179="","",SUM($J179:$L179))</f>
        <v/>
      </c>
      <c r="R179" s="17" t="str">
        <f aca="false">IF($A179="","",($M179+$Q179)-$P179)</f>
        <v/>
      </c>
      <c r="S179" s="18" t="str">
        <f aca="false">IF(OR($A179="",$P179=0),"",$R179/$P179)</f>
        <v/>
      </c>
      <c r="T179" s="23"/>
      <c r="U179" s="14" t="str">
        <f aca="false">IF($A179="","",IF($M179&gt;0,"Live","Exited"))</f>
        <v/>
      </c>
      <c r="V179" s="20" t="str">
        <f aca="false">IF($A179="","",IF($A179='Client Report'!$C$4,COUNTIFS($A$6:$A179,'Client Report'!$C$4),""))</f>
        <v/>
      </c>
    </row>
    <row r="180" customFormat="false" ht="15" hidden="false" customHeight="false" outlineLevel="0" collapsed="false">
      <c r="A180" s="11"/>
      <c r="B180" s="11"/>
      <c r="C180" s="14" t="str">
        <f aca="false">IF($B180="","",IFERROR(TRIM(LEFT($B180,FIND(" - ",$B180)-1)),"Others"))</f>
        <v/>
      </c>
      <c r="D180" s="11"/>
      <c r="E180" s="11"/>
      <c r="F180" s="12"/>
      <c r="G180" s="21"/>
      <c r="H180" s="21"/>
      <c r="I180" s="21"/>
      <c r="J180" s="21"/>
      <c r="K180" s="21"/>
      <c r="L180" s="21"/>
      <c r="M180" s="21"/>
      <c r="N180" s="22"/>
      <c r="O180" s="22"/>
      <c r="P180" s="17" t="str">
        <f aca="false">IF($A180="","",SUM($G180:$I180))</f>
        <v/>
      </c>
      <c r="Q180" s="17" t="str">
        <f aca="false">IF($A180="","",SUM($J180:$L180))</f>
        <v/>
      </c>
      <c r="R180" s="17" t="str">
        <f aca="false">IF($A180="","",($M180+$Q180)-$P180)</f>
        <v/>
      </c>
      <c r="S180" s="18" t="str">
        <f aca="false">IF(OR($A180="",$P180=0),"",$R180/$P180)</f>
        <v/>
      </c>
      <c r="T180" s="23"/>
      <c r="U180" s="14" t="str">
        <f aca="false">IF($A180="","",IF($M180&gt;0,"Live","Exited"))</f>
        <v/>
      </c>
      <c r="V180" s="20" t="str">
        <f aca="false">IF($A180="","",IF($A180='Client Report'!$C$4,COUNTIFS($A$6:$A180,'Client Report'!$C$4),""))</f>
        <v/>
      </c>
    </row>
    <row r="181" customFormat="false" ht="15" hidden="false" customHeight="false" outlineLevel="0" collapsed="false">
      <c r="A181" s="11"/>
      <c r="B181" s="11"/>
      <c r="C181" s="14" t="str">
        <f aca="false">IF($B181="","",IFERROR(TRIM(LEFT($B181,FIND(" - ",$B181)-1)),"Others"))</f>
        <v/>
      </c>
      <c r="D181" s="11"/>
      <c r="E181" s="11"/>
      <c r="F181" s="12"/>
      <c r="G181" s="21"/>
      <c r="H181" s="21"/>
      <c r="I181" s="21"/>
      <c r="J181" s="21"/>
      <c r="K181" s="21"/>
      <c r="L181" s="21"/>
      <c r="M181" s="21"/>
      <c r="N181" s="22"/>
      <c r="O181" s="22"/>
      <c r="P181" s="17" t="str">
        <f aca="false">IF($A181="","",SUM($G181:$I181))</f>
        <v/>
      </c>
      <c r="Q181" s="17" t="str">
        <f aca="false">IF($A181="","",SUM($J181:$L181))</f>
        <v/>
      </c>
      <c r="R181" s="17" t="str">
        <f aca="false">IF($A181="","",($M181+$Q181)-$P181)</f>
        <v/>
      </c>
      <c r="S181" s="18" t="str">
        <f aca="false">IF(OR($A181="",$P181=0),"",$R181/$P181)</f>
        <v/>
      </c>
      <c r="T181" s="23"/>
      <c r="U181" s="14" t="str">
        <f aca="false">IF($A181="","",IF($M181&gt;0,"Live","Exited"))</f>
        <v/>
      </c>
      <c r="V181" s="20" t="str">
        <f aca="false">IF($A181="","",IF($A181='Client Report'!$C$4,COUNTIFS($A$6:$A181,'Client Report'!$C$4),""))</f>
        <v/>
      </c>
    </row>
    <row r="182" customFormat="false" ht="15" hidden="false" customHeight="false" outlineLevel="0" collapsed="false">
      <c r="A182" s="11"/>
      <c r="B182" s="11"/>
      <c r="C182" s="14" t="str">
        <f aca="false">IF($B182="","",IFERROR(TRIM(LEFT($B182,FIND(" - ",$B182)-1)),"Others"))</f>
        <v/>
      </c>
      <c r="D182" s="11"/>
      <c r="E182" s="11"/>
      <c r="F182" s="12"/>
      <c r="G182" s="21"/>
      <c r="H182" s="21"/>
      <c r="I182" s="21"/>
      <c r="J182" s="21"/>
      <c r="K182" s="21"/>
      <c r="L182" s="21"/>
      <c r="M182" s="21"/>
      <c r="N182" s="22"/>
      <c r="O182" s="22"/>
      <c r="P182" s="17" t="str">
        <f aca="false">IF($A182="","",SUM($G182:$I182))</f>
        <v/>
      </c>
      <c r="Q182" s="17" t="str">
        <f aca="false">IF($A182="","",SUM($J182:$L182))</f>
        <v/>
      </c>
      <c r="R182" s="17" t="str">
        <f aca="false">IF($A182="","",($M182+$Q182)-$P182)</f>
        <v/>
      </c>
      <c r="S182" s="18" t="str">
        <f aca="false">IF(OR($A182="",$P182=0),"",$R182/$P182)</f>
        <v/>
      </c>
      <c r="T182" s="23"/>
      <c r="U182" s="14" t="str">
        <f aca="false">IF($A182="","",IF($M182&gt;0,"Live","Exited"))</f>
        <v/>
      </c>
      <c r="V182" s="20" t="str">
        <f aca="false">IF($A182="","",IF($A182='Client Report'!$C$4,COUNTIFS($A$6:$A182,'Client Report'!$C$4),""))</f>
        <v/>
      </c>
    </row>
    <row r="183" customFormat="false" ht="15" hidden="false" customHeight="false" outlineLevel="0" collapsed="false">
      <c r="A183" s="11"/>
      <c r="B183" s="11"/>
      <c r="C183" s="14" t="str">
        <f aca="false">IF($B183="","",IFERROR(TRIM(LEFT($B183,FIND(" - ",$B183)-1)),"Others"))</f>
        <v/>
      </c>
      <c r="D183" s="11"/>
      <c r="E183" s="11"/>
      <c r="F183" s="12"/>
      <c r="G183" s="21"/>
      <c r="H183" s="21"/>
      <c r="I183" s="21"/>
      <c r="J183" s="21"/>
      <c r="K183" s="21"/>
      <c r="L183" s="21"/>
      <c r="M183" s="21"/>
      <c r="N183" s="22"/>
      <c r="O183" s="22"/>
      <c r="P183" s="17" t="str">
        <f aca="false">IF($A183="","",SUM($G183:$I183))</f>
        <v/>
      </c>
      <c r="Q183" s="17" t="str">
        <f aca="false">IF($A183="","",SUM($J183:$L183))</f>
        <v/>
      </c>
      <c r="R183" s="17" t="str">
        <f aca="false">IF($A183="","",($M183+$Q183)-$P183)</f>
        <v/>
      </c>
      <c r="S183" s="18" t="str">
        <f aca="false">IF(OR($A183="",$P183=0),"",$R183/$P183)</f>
        <v/>
      </c>
      <c r="T183" s="23"/>
      <c r="U183" s="14" t="str">
        <f aca="false">IF($A183="","",IF($M183&gt;0,"Live","Exited"))</f>
        <v/>
      </c>
      <c r="V183" s="20" t="str">
        <f aca="false">IF($A183="","",IF($A183='Client Report'!$C$4,COUNTIFS($A$6:$A183,'Client Report'!$C$4),""))</f>
        <v/>
      </c>
    </row>
    <row r="184" customFormat="false" ht="15" hidden="false" customHeight="false" outlineLevel="0" collapsed="false">
      <c r="A184" s="11"/>
      <c r="B184" s="11"/>
      <c r="C184" s="14" t="str">
        <f aca="false">IF($B184="","",IFERROR(TRIM(LEFT($B184,FIND(" - ",$B184)-1)),"Others"))</f>
        <v/>
      </c>
      <c r="D184" s="11"/>
      <c r="E184" s="11"/>
      <c r="F184" s="12"/>
      <c r="G184" s="21"/>
      <c r="H184" s="21"/>
      <c r="I184" s="21"/>
      <c r="J184" s="21"/>
      <c r="K184" s="21"/>
      <c r="L184" s="21"/>
      <c r="M184" s="21"/>
      <c r="N184" s="22"/>
      <c r="O184" s="22"/>
      <c r="P184" s="17" t="str">
        <f aca="false">IF($A184="","",SUM($G184:$I184))</f>
        <v/>
      </c>
      <c r="Q184" s="17" t="str">
        <f aca="false">IF($A184="","",SUM($J184:$L184))</f>
        <v/>
      </c>
      <c r="R184" s="17" t="str">
        <f aca="false">IF($A184="","",($M184+$Q184)-$P184)</f>
        <v/>
      </c>
      <c r="S184" s="18" t="str">
        <f aca="false">IF(OR($A184="",$P184=0),"",$R184/$P184)</f>
        <v/>
      </c>
      <c r="T184" s="23"/>
      <c r="U184" s="14" t="str">
        <f aca="false">IF($A184="","",IF($M184&gt;0,"Live","Exited"))</f>
        <v/>
      </c>
      <c r="V184" s="20" t="str">
        <f aca="false">IF($A184="","",IF($A184='Client Report'!$C$4,COUNTIFS($A$6:$A184,'Client Report'!$C$4),""))</f>
        <v/>
      </c>
    </row>
    <row r="185" customFormat="false" ht="15" hidden="false" customHeight="false" outlineLevel="0" collapsed="false">
      <c r="A185" s="11"/>
      <c r="B185" s="11"/>
      <c r="C185" s="14" t="str">
        <f aca="false">IF($B185="","",IFERROR(TRIM(LEFT($B185,FIND(" - ",$B185)-1)),"Others"))</f>
        <v/>
      </c>
      <c r="D185" s="11"/>
      <c r="E185" s="11"/>
      <c r="F185" s="12"/>
      <c r="G185" s="21"/>
      <c r="H185" s="21"/>
      <c r="I185" s="21"/>
      <c r="J185" s="21"/>
      <c r="K185" s="21"/>
      <c r="L185" s="21"/>
      <c r="M185" s="21"/>
      <c r="N185" s="22"/>
      <c r="O185" s="22"/>
      <c r="P185" s="17" t="str">
        <f aca="false">IF($A185="","",SUM($G185:$I185))</f>
        <v/>
      </c>
      <c r="Q185" s="17" t="str">
        <f aca="false">IF($A185="","",SUM($J185:$L185))</f>
        <v/>
      </c>
      <c r="R185" s="17" t="str">
        <f aca="false">IF($A185="","",($M185+$Q185)-$P185)</f>
        <v/>
      </c>
      <c r="S185" s="18" t="str">
        <f aca="false">IF(OR($A185="",$P185=0),"",$R185/$P185)</f>
        <v/>
      </c>
      <c r="T185" s="23"/>
      <c r="U185" s="14" t="str">
        <f aca="false">IF($A185="","",IF($M185&gt;0,"Live","Exited"))</f>
        <v/>
      </c>
      <c r="V185" s="20" t="str">
        <f aca="false">IF($A185="","",IF($A185='Client Report'!$C$4,COUNTIFS($A$6:$A185,'Client Report'!$C$4),""))</f>
        <v/>
      </c>
    </row>
    <row r="186" customFormat="false" ht="15" hidden="false" customHeight="false" outlineLevel="0" collapsed="false">
      <c r="A186" s="11"/>
      <c r="B186" s="11"/>
      <c r="C186" s="14" t="str">
        <f aca="false">IF($B186="","",IFERROR(TRIM(LEFT($B186,FIND(" - ",$B186)-1)),"Others"))</f>
        <v/>
      </c>
      <c r="D186" s="11"/>
      <c r="E186" s="11"/>
      <c r="F186" s="12"/>
      <c r="G186" s="21"/>
      <c r="H186" s="21"/>
      <c r="I186" s="21"/>
      <c r="J186" s="21"/>
      <c r="K186" s="21"/>
      <c r="L186" s="21"/>
      <c r="M186" s="21"/>
      <c r="N186" s="22"/>
      <c r="O186" s="22"/>
      <c r="P186" s="17" t="str">
        <f aca="false">IF($A186="","",SUM($G186:$I186))</f>
        <v/>
      </c>
      <c r="Q186" s="17" t="str">
        <f aca="false">IF($A186="","",SUM($J186:$L186))</f>
        <v/>
      </c>
      <c r="R186" s="17" t="str">
        <f aca="false">IF($A186="","",($M186+$Q186)-$P186)</f>
        <v/>
      </c>
      <c r="S186" s="18" t="str">
        <f aca="false">IF(OR($A186="",$P186=0),"",$R186/$P186)</f>
        <v/>
      </c>
      <c r="T186" s="23"/>
      <c r="U186" s="14" t="str">
        <f aca="false">IF($A186="","",IF($M186&gt;0,"Live","Exited"))</f>
        <v/>
      </c>
      <c r="V186" s="20" t="str">
        <f aca="false">IF($A186="","",IF($A186='Client Report'!$C$4,COUNTIFS($A$6:$A186,'Client Report'!$C$4),""))</f>
        <v/>
      </c>
    </row>
    <row r="187" customFormat="false" ht="15" hidden="false" customHeight="false" outlineLevel="0" collapsed="false">
      <c r="A187" s="11"/>
      <c r="B187" s="11"/>
      <c r="C187" s="14" t="str">
        <f aca="false">IF($B187="","",IFERROR(TRIM(LEFT($B187,FIND(" - ",$B187)-1)),"Others"))</f>
        <v/>
      </c>
      <c r="D187" s="11"/>
      <c r="E187" s="11"/>
      <c r="F187" s="12"/>
      <c r="G187" s="21"/>
      <c r="H187" s="21"/>
      <c r="I187" s="21"/>
      <c r="J187" s="21"/>
      <c r="K187" s="21"/>
      <c r="L187" s="21"/>
      <c r="M187" s="21"/>
      <c r="N187" s="22"/>
      <c r="O187" s="22"/>
      <c r="P187" s="17" t="str">
        <f aca="false">IF($A187="","",SUM($G187:$I187))</f>
        <v/>
      </c>
      <c r="Q187" s="17" t="str">
        <f aca="false">IF($A187="","",SUM($J187:$L187))</f>
        <v/>
      </c>
      <c r="R187" s="17" t="str">
        <f aca="false">IF($A187="","",($M187+$Q187)-$P187)</f>
        <v/>
      </c>
      <c r="S187" s="18" t="str">
        <f aca="false">IF(OR($A187="",$P187=0),"",$R187/$P187)</f>
        <v/>
      </c>
      <c r="T187" s="23"/>
      <c r="U187" s="14" t="str">
        <f aca="false">IF($A187="","",IF($M187&gt;0,"Live","Exited"))</f>
        <v/>
      </c>
      <c r="V187" s="20" t="str">
        <f aca="false">IF($A187="","",IF($A187='Client Report'!$C$4,COUNTIFS($A$6:$A187,'Client Report'!$C$4),""))</f>
        <v/>
      </c>
    </row>
    <row r="188" customFormat="false" ht="15" hidden="false" customHeight="false" outlineLevel="0" collapsed="false">
      <c r="A188" s="11"/>
      <c r="B188" s="11"/>
      <c r="C188" s="14" t="str">
        <f aca="false">IF($B188="","",IFERROR(TRIM(LEFT($B188,FIND(" - ",$B188)-1)),"Others"))</f>
        <v/>
      </c>
      <c r="D188" s="11"/>
      <c r="E188" s="11"/>
      <c r="F188" s="12"/>
      <c r="G188" s="21"/>
      <c r="H188" s="21"/>
      <c r="I188" s="21"/>
      <c r="J188" s="21"/>
      <c r="K188" s="21"/>
      <c r="L188" s="21"/>
      <c r="M188" s="21"/>
      <c r="N188" s="22"/>
      <c r="O188" s="22"/>
      <c r="P188" s="17" t="str">
        <f aca="false">IF($A188="","",SUM($G188:$I188))</f>
        <v/>
      </c>
      <c r="Q188" s="17" t="str">
        <f aca="false">IF($A188="","",SUM($J188:$L188))</f>
        <v/>
      </c>
      <c r="R188" s="17" t="str">
        <f aca="false">IF($A188="","",($M188+$Q188)-$P188)</f>
        <v/>
      </c>
      <c r="S188" s="18" t="str">
        <f aca="false">IF(OR($A188="",$P188=0),"",$R188/$P188)</f>
        <v/>
      </c>
      <c r="T188" s="23"/>
      <c r="U188" s="14" t="str">
        <f aca="false">IF($A188="","",IF($M188&gt;0,"Live","Exited"))</f>
        <v/>
      </c>
      <c r="V188" s="20" t="str">
        <f aca="false">IF($A188="","",IF($A188='Client Report'!$C$4,COUNTIFS($A$6:$A188,'Client Report'!$C$4),""))</f>
        <v/>
      </c>
    </row>
    <row r="189" customFormat="false" ht="15" hidden="false" customHeight="false" outlineLevel="0" collapsed="false">
      <c r="A189" s="11"/>
      <c r="B189" s="11"/>
      <c r="C189" s="14" t="str">
        <f aca="false">IF($B189="","",IFERROR(TRIM(LEFT($B189,FIND(" - ",$B189)-1)),"Others"))</f>
        <v/>
      </c>
      <c r="D189" s="11"/>
      <c r="E189" s="11"/>
      <c r="F189" s="12"/>
      <c r="G189" s="21"/>
      <c r="H189" s="21"/>
      <c r="I189" s="21"/>
      <c r="J189" s="21"/>
      <c r="K189" s="21"/>
      <c r="L189" s="21"/>
      <c r="M189" s="21"/>
      <c r="N189" s="22"/>
      <c r="O189" s="22"/>
      <c r="P189" s="17" t="str">
        <f aca="false">IF($A189="","",SUM($G189:$I189))</f>
        <v/>
      </c>
      <c r="Q189" s="17" t="str">
        <f aca="false">IF($A189="","",SUM($J189:$L189))</f>
        <v/>
      </c>
      <c r="R189" s="17" t="str">
        <f aca="false">IF($A189="","",($M189+$Q189)-$P189)</f>
        <v/>
      </c>
      <c r="S189" s="18" t="str">
        <f aca="false">IF(OR($A189="",$P189=0),"",$R189/$P189)</f>
        <v/>
      </c>
      <c r="T189" s="23"/>
      <c r="U189" s="14" t="str">
        <f aca="false">IF($A189="","",IF($M189&gt;0,"Live","Exited"))</f>
        <v/>
      </c>
      <c r="V189" s="20" t="str">
        <f aca="false">IF($A189="","",IF($A189='Client Report'!$C$4,COUNTIFS($A$6:$A189,'Client Report'!$C$4),""))</f>
        <v/>
      </c>
    </row>
    <row r="190" customFormat="false" ht="15" hidden="false" customHeight="false" outlineLevel="0" collapsed="false">
      <c r="A190" s="11"/>
      <c r="B190" s="11"/>
      <c r="C190" s="14" t="str">
        <f aca="false">IF($B190="","",IFERROR(TRIM(LEFT($B190,FIND(" - ",$B190)-1)),"Others"))</f>
        <v/>
      </c>
      <c r="D190" s="11"/>
      <c r="E190" s="11"/>
      <c r="F190" s="12"/>
      <c r="G190" s="21"/>
      <c r="H190" s="21"/>
      <c r="I190" s="21"/>
      <c r="J190" s="21"/>
      <c r="K190" s="21"/>
      <c r="L190" s="21"/>
      <c r="M190" s="21"/>
      <c r="N190" s="22"/>
      <c r="O190" s="22"/>
      <c r="P190" s="17" t="str">
        <f aca="false">IF($A190="","",SUM($G190:$I190))</f>
        <v/>
      </c>
      <c r="Q190" s="17" t="str">
        <f aca="false">IF($A190="","",SUM($J190:$L190))</f>
        <v/>
      </c>
      <c r="R190" s="17" t="str">
        <f aca="false">IF($A190="","",($M190+$Q190)-$P190)</f>
        <v/>
      </c>
      <c r="S190" s="18" t="str">
        <f aca="false">IF(OR($A190="",$P190=0),"",$R190/$P190)</f>
        <v/>
      </c>
      <c r="T190" s="23"/>
      <c r="U190" s="14" t="str">
        <f aca="false">IF($A190="","",IF($M190&gt;0,"Live","Exited"))</f>
        <v/>
      </c>
      <c r="V190" s="20" t="str">
        <f aca="false">IF($A190="","",IF($A190='Client Report'!$C$4,COUNTIFS($A$6:$A190,'Client Report'!$C$4),""))</f>
        <v/>
      </c>
    </row>
    <row r="191" customFormat="false" ht="15" hidden="false" customHeight="false" outlineLevel="0" collapsed="false">
      <c r="A191" s="11"/>
      <c r="B191" s="11"/>
      <c r="C191" s="14" t="str">
        <f aca="false">IF($B191="","",IFERROR(TRIM(LEFT($B191,FIND(" - ",$B191)-1)),"Others"))</f>
        <v/>
      </c>
      <c r="D191" s="11"/>
      <c r="E191" s="11"/>
      <c r="F191" s="12"/>
      <c r="G191" s="21"/>
      <c r="H191" s="21"/>
      <c r="I191" s="21"/>
      <c r="J191" s="21"/>
      <c r="K191" s="21"/>
      <c r="L191" s="21"/>
      <c r="M191" s="21"/>
      <c r="N191" s="22"/>
      <c r="O191" s="22"/>
      <c r="P191" s="17" t="str">
        <f aca="false">IF($A191="","",SUM($G191:$I191))</f>
        <v/>
      </c>
      <c r="Q191" s="17" t="str">
        <f aca="false">IF($A191="","",SUM($J191:$L191))</f>
        <v/>
      </c>
      <c r="R191" s="17" t="str">
        <f aca="false">IF($A191="","",($M191+$Q191)-$P191)</f>
        <v/>
      </c>
      <c r="S191" s="18" t="str">
        <f aca="false">IF(OR($A191="",$P191=0),"",$R191/$P191)</f>
        <v/>
      </c>
      <c r="T191" s="23"/>
      <c r="U191" s="14" t="str">
        <f aca="false">IF($A191="","",IF($M191&gt;0,"Live","Exited"))</f>
        <v/>
      </c>
      <c r="V191" s="20" t="str">
        <f aca="false">IF($A191="","",IF($A191='Client Report'!$C$4,COUNTIFS($A$6:$A191,'Client Report'!$C$4),""))</f>
        <v/>
      </c>
    </row>
    <row r="192" customFormat="false" ht="15" hidden="false" customHeight="false" outlineLevel="0" collapsed="false">
      <c r="A192" s="11"/>
      <c r="B192" s="11"/>
      <c r="C192" s="14" t="str">
        <f aca="false">IF($B192="","",IFERROR(TRIM(LEFT($B192,FIND(" - ",$B192)-1)),"Others"))</f>
        <v/>
      </c>
      <c r="D192" s="11"/>
      <c r="E192" s="11"/>
      <c r="F192" s="12"/>
      <c r="G192" s="21"/>
      <c r="H192" s="21"/>
      <c r="I192" s="21"/>
      <c r="J192" s="21"/>
      <c r="K192" s="21"/>
      <c r="L192" s="21"/>
      <c r="M192" s="21"/>
      <c r="N192" s="22"/>
      <c r="O192" s="22"/>
      <c r="P192" s="17" t="str">
        <f aca="false">IF($A192="","",SUM($G192:$I192))</f>
        <v/>
      </c>
      <c r="Q192" s="17" t="str">
        <f aca="false">IF($A192="","",SUM($J192:$L192))</f>
        <v/>
      </c>
      <c r="R192" s="17" t="str">
        <f aca="false">IF($A192="","",($M192+$Q192)-$P192)</f>
        <v/>
      </c>
      <c r="S192" s="18" t="str">
        <f aca="false">IF(OR($A192="",$P192=0),"",$R192/$P192)</f>
        <v/>
      </c>
      <c r="T192" s="23"/>
      <c r="U192" s="14" t="str">
        <f aca="false">IF($A192="","",IF($M192&gt;0,"Live","Exited"))</f>
        <v/>
      </c>
      <c r="V192" s="20" t="str">
        <f aca="false">IF($A192="","",IF($A192='Client Report'!$C$4,COUNTIFS($A$6:$A192,'Client Report'!$C$4),""))</f>
        <v/>
      </c>
    </row>
    <row r="193" customFormat="false" ht="15" hidden="false" customHeight="false" outlineLevel="0" collapsed="false">
      <c r="A193" s="11"/>
      <c r="B193" s="11"/>
      <c r="C193" s="14" t="str">
        <f aca="false">IF($B193="","",IFERROR(TRIM(LEFT($B193,FIND(" - ",$B193)-1)),"Others"))</f>
        <v/>
      </c>
      <c r="D193" s="11"/>
      <c r="E193" s="11"/>
      <c r="F193" s="12"/>
      <c r="G193" s="21"/>
      <c r="H193" s="21"/>
      <c r="I193" s="21"/>
      <c r="J193" s="21"/>
      <c r="K193" s="21"/>
      <c r="L193" s="21"/>
      <c r="M193" s="21"/>
      <c r="N193" s="22"/>
      <c r="O193" s="22"/>
      <c r="P193" s="17" t="str">
        <f aca="false">IF($A193="","",SUM($G193:$I193))</f>
        <v/>
      </c>
      <c r="Q193" s="17" t="str">
        <f aca="false">IF($A193="","",SUM($J193:$L193))</f>
        <v/>
      </c>
      <c r="R193" s="17" t="str">
        <f aca="false">IF($A193="","",($M193+$Q193)-$P193)</f>
        <v/>
      </c>
      <c r="S193" s="18" t="str">
        <f aca="false">IF(OR($A193="",$P193=0),"",$R193/$P193)</f>
        <v/>
      </c>
      <c r="T193" s="23"/>
      <c r="U193" s="14" t="str">
        <f aca="false">IF($A193="","",IF($M193&gt;0,"Live","Exited"))</f>
        <v/>
      </c>
      <c r="V193" s="20" t="str">
        <f aca="false">IF($A193="","",IF($A193='Client Report'!$C$4,COUNTIFS($A$6:$A193,'Client Report'!$C$4),""))</f>
        <v/>
      </c>
    </row>
    <row r="194" customFormat="false" ht="15" hidden="false" customHeight="false" outlineLevel="0" collapsed="false">
      <c r="A194" s="11"/>
      <c r="B194" s="11"/>
      <c r="C194" s="14" t="str">
        <f aca="false">IF($B194="","",IFERROR(TRIM(LEFT($B194,FIND(" - ",$B194)-1)),"Others"))</f>
        <v/>
      </c>
      <c r="D194" s="11"/>
      <c r="E194" s="11"/>
      <c r="F194" s="12"/>
      <c r="G194" s="21"/>
      <c r="H194" s="21"/>
      <c r="I194" s="21"/>
      <c r="J194" s="21"/>
      <c r="K194" s="21"/>
      <c r="L194" s="21"/>
      <c r="M194" s="21"/>
      <c r="N194" s="22"/>
      <c r="O194" s="22"/>
      <c r="P194" s="17" t="str">
        <f aca="false">IF($A194="","",SUM($G194:$I194))</f>
        <v/>
      </c>
      <c r="Q194" s="17" t="str">
        <f aca="false">IF($A194="","",SUM($J194:$L194))</f>
        <v/>
      </c>
      <c r="R194" s="17" t="str">
        <f aca="false">IF($A194="","",($M194+$Q194)-$P194)</f>
        <v/>
      </c>
      <c r="S194" s="18" t="str">
        <f aca="false">IF(OR($A194="",$P194=0),"",$R194/$P194)</f>
        <v/>
      </c>
      <c r="T194" s="23"/>
      <c r="U194" s="14" t="str">
        <f aca="false">IF($A194="","",IF($M194&gt;0,"Live","Exited"))</f>
        <v/>
      </c>
      <c r="V194" s="20" t="str">
        <f aca="false">IF($A194="","",IF($A194='Client Report'!$C$4,COUNTIFS($A$6:$A194,'Client Report'!$C$4),""))</f>
        <v/>
      </c>
    </row>
    <row r="195" customFormat="false" ht="15" hidden="false" customHeight="false" outlineLevel="0" collapsed="false">
      <c r="A195" s="11"/>
      <c r="B195" s="11"/>
      <c r="C195" s="14" t="str">
        <f aca="false">IF($B195="","",IFERROR(TRIM(LEFT($B195,FIND(" - ",$B195)-1)),"Others"))</f>
        <v/>
      </c>
      <c r="D195" s="11"/>
      <c r="E195" s="11"/>
      <c r="F195" s="12"/>
      <c r="G195" s="21"/>
      <c r="H195" s="21"/>
      <c r="I195" s="21"/>
      <c r="J195" s="21"/>
      <c r="K195" s="21"/>
      <c r="L195" s="21"/>
      <c r="M195" s="21"/>
      <c r="N195" s="22"/>
      <c r="O195" s="22"/>
      <c r="P195" s="17" t="str">
        <f aca="false">IF($A195="","",SUM($G195:$I195))</f>
        <v/>
      </c>
      <c r="Q195" s="17" t="str">
        <f aca="false">IF($A195="","",SUM($J195:$L195))</f>
        <v/>
      </c>
      <c r="R195" s="17" t="str">
        <f aca="false">IF($A195="","",($M195+$Q195)-$P195)</f>
        <v/>
      </c>
      <c r="S195" s="18" t="str">
        <f aca="false">IF(OR($A195="",$P195=0),"",$R195/$P195)</f>
        <v/>
      </c>
      <c r="T195" s="23"/>
      <c r="U195" s="14" t="str">
        <f aca="false">IF($A195="","",IF($M195&gt;0,"Live","Exited"))</f>
        <v/>
      </c>
      <c r="V195" s="20" t="str">
        <f aca="false">IF($A195="","",IF($A195='Client Report'!$C$4,COUNTIFS($A$6:$A195,'Client Report'!$C$4),""))</f>
        <v/>
      </c>
    </row>
    <row r="196" customFormat="false" ht="15" hidden="false" customHeight="false" outlineLevel="0" collapsed="false">
      <c r="A196" s="11"/>
      <c r="B196" s="11"/>
      <c r="C196" s="14" t="str">
        <f aca="false">IF($B196="","",IFERROR(TRIM(LEFT($B196,FIND(" - ",$B196)-1)),"Others"))</f>
        <v/>
      </c>
      <c r="D196" s="11"/>
      <c r="E196" s="11"/>
      <c r="F196" s="12"/>
      <c r="G196" s="21"/>
      <c r="H196" s="21"/>
      <c r="I196" s="21"/>
      <c r="J196" s="21"/>
      <c r="K196" s="21"/>
      <c r="L196" s="21"/>
      <c r="M196" s="21"/>
      <c r="N196" s="22"/>
      <c r="O196" s="22"/>
      <c r="P196" s="17" t="str">
        <f aca="false">IF($A196="","",SUM($G196:$I196))</f>
        <v/>
      </c>
      <c r="Q196" s="17" t="str">
        <f aca="false">IF($A196="","",SUM($J196:$L196))</f>
        <v/>
      </c>
      <c r="R196" s="17" t="str">
        <f aca="false">IF($A196="","",($M196+$Q196)-$P196)</f>
        <v/>
      </c>
      <c r="S196" s="18" t="str">
        <f aca="false">IF(OR($A196="",$P196=0),"",$R196/$P196)</f>
        <v/>
      </c>
      <c r="T196" s="23"/>
      <c r="U196" s="14" t="str">
        <f aca="false">IF($A196="","",IF($M196&gt;0,"Live","Exited"))</f>
        <v/>
      </c>
      <c r="V196" s="20" t="str">
        <f aca="false">IF($A196="","",IF($A196='Client Report'!$C$4,COUNTIFS($A$6:$A196,'Client Report'!$C$4),""))</f>
        <v/>
      </c>
    </row>
    <row r="197" customFormat="false" ht="15" hidden="false" customHeight="false" outlineLevel="0" collapsed="false">
      <c r="A197" s="11"/>
      <c r="B197" s="11"/>
      <c r="C197" s="14" t="str">
        <f aca="false">IF($B197="","",IFERROR(TRIM(LEFT($B197,FIND(" - ",$B197)-1)),"Others"))</f>
        <v/>
      </c>
      <c r="D197" s="11"/>
      <c r="E197" s="11"/>
      <c r="F197" s="12"/>
      <c r="G197" s="21"/>
      <c r="H197" s="21"/>
      <c r="I197" s="21"/>
      <c r="J197" s="21"/>
      <c r="K197" s="21"/>
      <c r="L197" s="21"/>
      <c r="M197" s="21"/>
      <c r="N197" s="22"/>
      <c r="O197" s="22"/>
      <c r="P197" s="17" t="str">
        <f aca="false">IF($A197="","",SUM($G197:$I197))</f>
        <v/>
      </c>
      <c r="Q197" s="17" t="str">
        <f aca="false">IF($A197="","",SUM($J197:$L197))</f>
        <v/>
      </c>
      <c r="R197" s="17" t="str">
        <f aca="false">IF($A197="","",($M197+$Q197)-$P197)</f>
        <v/>
      </c>
      <c r="S197" s="18" t="str">
        <f aca="false">IF(OR($A197="",$P197=0),"",$R197/$P197)</f>
        <v/>
      </c>
      <c r="T197" s="23"/>
      <c r="U197" s="14" t="str">
        <f aca="false">IF($A197="","",IF($M197&gt;0,"Live","Exited"))</f>
        <v/>
      </c>
      <c r="V197" s="20" t="str">
        <f aca="false">IF($A197="","",IF($A197='Client Report'!$C$4,COUNTIFS($A$6:$A197,'Client Report'!$C$4),""))</f>
        <v/>
      </c>
    </row>
    <row r="198" customFormat="false" ht="15" hidden="false" customHeight="false" outlineLevel="0" collapsed="false">
      <c r="A198" s="11"/>
      <c r="B198" s="11"/>
      <c r="C198" s="14" t="str">
        <f aca="false">IF($B198="","",IFERROR(TRIM(LEFT($B198,FIND(" - ",$B198)-1)),"Others"))</f>
        <v/>
      </c>
      <c r="D198" s="11"/>
      <c r="E198" s="11"/>
      <c r="F198" s="12"/>
      <c r="G198" s="21"/>
      <c r="H198" s="21"/>
      <c r="I198" s="21"/>
      <c r="J198" s="21"/>
      <c r="K198" s="21"/>
      <c r="L198" s="21"/>
      <c r="M198" s="21"/>
      <c r="N198" s="22"/>
      <c r="O198" s="22"/>
      <c r="P198" s="17" t="str">
        <f aca="false">IF($A198="","",SUM($G198:$I198))</f>
        <v/>
      </c>
      <c r="Q198" s="17" t="str">
        <f aca="false">IF($A198="","",SUM($J198:$L198))</f>
        <v/>
      </c>
      <c r="R198" s="17" t="str">
        <f aca="false">IF($A198="","",($M198+$Q198)-$P198)</f>
        <v/>
      </c>
      <c r="S198" s="18" t="str">
        <f aca="false">IF(OR($A198="",$P198=0),"",$R198/$P198)</f>
        <v/>
      </c>
      <c r="T198" s="23"/>
      <c r="U198" s="14" t="str">
        <f aca="false">IF($A198="","",IF($M198&gt;0,"Live","Exited"))</f>
        <v/>
      </c>
      <c r="V198" s="20" t="str">
        <f aca="false">IF($A198="","",IF($A198='Client Report'!$C$4,COUNTIFS($A$6:$A198,'Client Report'!$C$4),""))</f>
        <v/>
      </c>
    </row>
    <row r="199" customFormat="false" ht="15" hidden="false" customHeight="false" outlineLevel="0" collapsed="false">
      <c r="A199" s="11"/>
      <c r="B199" s="11"/>
      <c r="C199" s="14" t="str">
        <f aca="false">IF($B199="","",IFERROR(TRIM(LEFT($B199,FIND(" - ",$B199)-1)),"Others"))</f>
        <v/>
      </c>
      <c r="D199" s="11"/>
      <c r="E199" s="11"/>
      <c r="F199" s="12"/>
      <c r="G199" s="21"/>
      <c r="H199" s="21"/>
      <c r="I199" s="21"/>
      <c r="J199" s="21"/>
      <c r="K199" s="21"/>
      <c r="L199" s="21"/>
      <c r="M199" s="21"/>
      <c r="N199" s="22"/>
      <c r="O199" s="22"/>
      <c r="P199" s="17" t="str">
        <f aca="false">IF($A199="","",SUM($G199:$I199))</f>
        <v/>
      </c>
      <c r="Q199" s="17" t="str">
        <f aca="false">IF($A199="","",SUM($J199:$L199))</f>
        <v/>
      </c>
      <c r="R199" s="17" t="str">
        <f aca="false">IF($A199="","",($M199+$Q199)-$P199)</f>
        <v/>
      </c>
      <c r="S199" s="18" t="str">
        <f aca="false">IF(OR($A199="",$P199=0),"",$R199/$P199)</f>
        <v/>
      </c>
      <c r="T199" s="23"/>
      <c r="U199" s="14" t="str">
        <f aca="false">IF($A199="","",IF($M199&gt;0,"Live","Exited"))</f>
        <v/>
      </c>
      <c r="V199" s="20" t="str">
        <f aca="false">IF($A199="","",IF($A199='Client Report'!$C$4,COUNTIFS($A$6:$A199,'Client Report'!$C$4),""))</f>
        <v/>
      </c>
    </row>
    <row r="200" customFormat="false" ht="15" hidden="false" customHeight="false" outlineLevel="0" collapsed="false">
      <c r="A200" s="11"/>
      <c r="B200" s="11"/>
      <c r="C200" s="14" t="str">
        <f aca="false">IF($B200="","",IFERROR(TRIM(LEFT($B200,FIND(" - ",$B200)-1)),"Others"))</f>
        <v/>
      </c>
      <c r="D200" s="11"/>
      <c r="E200" s="11"/>
      <c r="F200" s="12"/>
      <c r="G200" s="21"/>
      <c r="H200" s="21"/>
      <c r="I200" s="21"/>
      <c r="J200" s="21"/>
      <c r="K200" s="21"/>
      <c r="L200" s="21"/>
      <c r="M200" s="21"/>
      <c r="N200" s="22"/>
      <c r="O200" s="22"/>
      <c r="P200" s="17" t="str">
        <f aca="false">IF($A200="","",SUM($G200:$I200))</f>
        <v/>
      </c>
      <c r="Q200" s="17" t="str">
        <f aca="false">IF($A200="","",SUM($J200:$L200))</f>
        <v/>
      </c>
      <c r="R200" s="17" t="str">
        <f aca="false">IF($A200="","",($M200+$Q200)-$P200)</f>
        <v/>
      </c>
      <c r="S200" s="18" t="str">
        <f aca="false">IF(OR($A200="",$P200=0),"",$R200/$P200)</f>
        <v/>
      </c>
      <c r="T200" s="23"/>
      <c r="U200" s="14" t="str">
        <f aca="false">IF($A200="","",IF($M200&gt;0,"Live","Exited"))</f>
        <v/>
      </c>
      <c r="V200" s="20" t="str">
        <f aca="false">IF($A200="","",IF($A200='Client Report'!$C$4,COUNTIFS($A$6:$A200,'Client Report'!$C$4),""))</f>
        <v/>
      </c>
    </row>
    <row r="201" customFormat="false" ht="15" hidden="false" customHeight="false" outlineLevel="0" collapsed="false">
      <c r="A201" s="11"/>
      <c r="B201" s="11"/>
      <c r="C201" s="14" t="str">
        <f aca="false">IF($B201="","",IFERROR(TRIM(LEFT($B201,FIND(" - ",$B201)-1)),"Others"))</f>
        <v/>
      </c>
      <c r="D201" s="11"/>
      <c r="E201" s="11"/>
      <c r="F201" s="12"/>
      <c r="G201" s="21"/>
      <c r="H201" s="21"/>
      <c r="I201" s="21"/>
      <c r="J201" s="21"/>
      <c r="K201" s="21"/>
      <c r="L201" s="21"/>
      <c r="M201" s="21"/>
      <c r="N201" s="22"/>
      <c r="O201" s="22"/>
      <c r="P201" s="17" t="str">
        <f aca="false">IF($A201="","",SUM($G201:$I201))</f>
        <v/>
      </c>
      <c r="Q201" s="17" t="str">
        <f aca="false">IF($A201="","",SUM($J201:$L201))</f>
        <v/>
      </c>
      <c r="R201" s="17" t="str">
        <f aca="false">IF($A201="","",($M201+$Q201)-$P201)</f>
        <v/>
      </c>
      <c r="S201" s="18" t="str">
        <f aca="false">IF(OR($A201="",$P201=0),"",$R201/$P201)</f>
        <v/>
      </c>
      <c r="T201" s="23"/>
      <c r="U201" s="14" t="str">
        <f aca="false">IF($A201="","",IF($M201&gt;0,"Live","Exited"))</f>
        <v/>
      </c>
      <c r="V201" s="20" t="str">
        <f aca="false">IF($A201="","",IF($A201='Client Report'!$C$4,COUNTIFS($A$6:$A201,'Client Report'!$C$4),""))</f>
        <v/>
      </c>
    </row>
    <row r="202" customFormat="false" ht="15" hidden="false" customHeight="false" outlineLevel="0" collapsed="false">
      <c r="A202" s="11"/>
      <c r="B202" s="11"/>
      <c r="C202" s="14" t="str">
        <f aca="false">IF($B202="","",IFERROR(TRIM(LEFT($B202,FIND(" - ",$B202)-1)),"Others"))</f>
        <v/>
      </c>
      <c r="D202" s="11"/>
      <c r="E202" s="11"/>
      <c r="F202" s="12"/>
      <c r="G202" s="21"/>
      <c r="H202" s="21"/>
      <c r="I202" s="21"/>
      <c r="J202" s="21"/>
      <c r="K202" s="21"/>
      <c r="L202" s="21"/>
      <c r="M202" s="21"/>
      <c r="N202" s="22"/>
      <c r="O202" s="22"/>
      <c r="P202" s="17" t="str">
        <f aca="false">IF($A202="","",SUM($G202:$I202))</f>
        <v/>
      </c>
      <c r="Q202" s="17" t="str">
        <f aca="false">IF($A202="","",SUM($J202:$L202))</f>
        <v/>
      </c>
      <c r="R202" s="17" t="str">
        <f aca="false">IF($A202="","",($M202+$Q202)-$P202)</f>
        <v/>
      </c>
      <c r="S202" s="18" t="str">
        <f aca="false">IF(OR($A202="",$P202=0),"",$R202/$P202)</f>
        <v/>
      </c>
      <c r="T202" s="23"/>
      <c r="U202" s="14" t="str">
        <f aca="false">IF($A202="","",IF($M202&gt;0,"Live","Exited"))</f>
        <v/>
      </c>
      <c r="V202" s="20" t="str">
        <f aca="false">IF($A202="","",IF($A202='Client Report'!$C$4,COUNTIFS($A$6:$A202,'Client Report'!$C$4),""))</f>
        <v/>
      </c>
    </row>
    <row r="203" customFormat="false" ht="15" hidden="false" customHeight="false" outlineLevel="0" collapsed="false">
      <c r="A203" s="11"/>
      <c r="B203" s="11"/>
      <c r="C203" s="14" t="str">
        <f aca="false">IF($B203="","",IFERROR(TRIM(LEFT($B203,FIND(" - ",$B203)-1)),"Others"))</f>
        <v/>
      </c>
      <c r="D203" s="11"/>
      <c r="E203" s="11"/>
      <c r="F203" s="12"/>
      <c r="G203" s="21"/>
      <c r="H203" s="21"/>
      <c r="I203" s="21"/>
      <c r="J203" s="21"/>
      <c r="K203" s="21"/>
      <c r="L203" s="21"/>
      <c r="M203" s="21"/>
      <c r="N203" s="22"/>
      <c r="O203" s="22"/>
      <c r="P203" s="17" t="str">
        <f aca="false">IF($A203="","",SUM($G203:$I203))</f>
        <v/>
      </c>
      <c r="Q203" s="17" t="str">
        <f aca="false">IF($A203="","",SUM($J203:$L203))</f>
        <v/>
      </c>
      <c r="R203" s="17" t="str">
        <f aca="false">IF($A203="","",($M203+$Q203)-$P203)</f>
        <v/>
      </c>
      <c r="S203" s="18" t="str">
        <f aca="false">IF(OR($A203="",$P203=0),"",$R203/$P203)</f>
        <v/>
      </c>
      <c r="T203" s="23"/>
      <c r="U203" s="14" t="str">
        <f aca="false">IF($A203="","",IF($M203&gt;0,"Live","Exited"))</f>
        <v/>
      </c>
      <c r="V203" s="20" t="str">
        <f aca="false">IF($A203="","",IF($A203='Client Report'!$C$4,COUNTIFS($A$6:$A203,'Client Report'!$C$4),""))</f>
        <v/>
      </c>
    </row>
    <row r="204" customFormat="false" ht="15" hidden="false" customHeight="false" outlineLevel="0" collapsed="false">
      <c r="A204" s="11"/>
      <c r="B204" s="11"/>
      <c r="C204" s="14" t="str">
        <f aca="false">IF($B204="","",IFERROR(TRIM(LEFT($B204,FIND(" - ",$B204)-1)),"Others"))</f>
        <v/>
      </c>
      <c r="D204" s="11"/>
      <c r="E204" s="11"/>
      <c r="F204" s="12"/>
      <c r="G204" s="21"/>
      <c r="H204" s="21"/>
      <c r="I204" s="21"/>
      <c r="J204" s="21"/>
      <c r="K204" s="21"/>
      <c r="L204" s="21"/>
      <c r="M204" s="21"/>
      <c r="N204" s="22"/>
      <c r="O204" s="22"/>
      <c r="P204" s="17" t="str">
        <f aca="false">IF($A204="","",SUM($G204:$I204))</f>
        <v/>
      </c>
      <c r="Q204" s="17" t="str">
        <f aca="false">IF($A204="","",SUM($J204:$L204))</f>
        <v/>
      </c>
      <c r="R204" s="17" t="str">
        <f aca="false">IF($A204="","",($M204+$Q204)-$P204)</f>
        <v/>
      </c>
      <c r="S204" s="18" t="str">
        <f aca="false">IF(OR($A204="",$P204=0),"",$R204/$P204)</f>
        <v/>
      </c>
      <c r="T204" s="23"/>
      <c r="U204" s="14" t="str">
        <f aca="false">IF($A204="","",IF($M204&gt;0,"Live","Exited"))</f>
        <v/>
      </c>
      <c r="V204" s="20" t="str">
        <f aca="false">IF($A204="","",IF($A204='Client Report'!$C$4,COUNTIFS($A$6:$A204,'Client Report'!$C$4),""))</f>
        <v/>
      </c>
    </row>
    <row r="205" customFormat="false" ht="15" hidden="false" customHeight="false" outlineLevel="0" collapsed="false">
      <c r="A205" s="11"/>
      <c r="B205" s="11"/>
      <c r="C205" s="14" t="str">
        <f aca="false">IF($B205="","",IFERROR(TRIM(LEFT($B205,FIND(" - ",$B205)-1)),"Others"))</f>
        <v/>
      </c>
      <c r="D205" s="11"/>
      <c r="E205" s="11"/>
      <c r="F205" s="12"/>
      <c r="G205" s="21"/>
      <c r="H205" s="21"/>
      <c r="I205" s="21"/>
      <c r="J205" s="21"/>
      <c r="K205" s="21"/>
      <c r="L205" s="21"/>
      <c r="M205" s="21"/>
      <c r="N205" s="22"/>
      <c r="O205" s="22"/>
      <c r="P205" s="17" t="str">
        <f aca="false">IF($A205="","",SUM($G205:$I205))</f>
        <v/>
      </c>
      <c r="Q205" s="17" t="str">
        <f aca="false">IF($A205="","",SUM($J205:$L205))</f>
        <v/>
      </c>
      <c r="R205" s="17" t="str">
        <f aca="false">IF($A205="","",($M205+$Q205)-$P205)</f>
        <v/>
      </c>
      <c r="S205" s="18" t="str">
        <f aca="false">IF(OR($A205="",$P205=0),"",$R205/$P205)</f>
        <v/>
      </c>
      <c r="T205" s="23"/>
      <c r="U205" s="14" t="str">
        <f aca="false">IF($A205="","",IF($M205&gt;0,"Live","Exited"))</f>
        <v/>
      </c>
      <c r="V205" s="20" t="str">
        <f aca="false">IF($A205="","",IF($A205='Client Report'!$C$4,COUNTIFS($A$6:$A205,'Client Report'!$C$4),""))</f>
        <v/>
      </c>
    </row>
    <row r="206" customFormat="false" ht="15" hidden="false" customHeight="false" outlineLevel="0" collapsed="false">
      <c r="A206" s="11"/>
      <c r="B206" s="11"/>
      <c r="C206" s="14" t="str">
        <f aca="false">IF($B206="","",IFERROR(TRIM(LEFT($B206,FIND(" - ",$B206)-1)),"Others"))</f>
        <v/>
      </c>
      <c r="D206" s="11"/>
      <c r="E206" s="11"/>
      <c r="F206" s="12"/>
      <c r="G206" s="21"/>
      <c r="H206" s="21"/>
      <c r="I206" s="21"/>
      <c r="J206" s="21"/>
      <c r="K206" s="21"/>
      <c r="L206" s="21"/>
      <c r="M206" s="21"/>
      <c r="N206" s="22"/>
      <c r="O206" s="22"/>
      <c r="P206" s="17" t="str">
        <f aca="false">IF($A206="","",SUM($G206:$I206))</f>
        <v/>
      </c>
      <c r="Q206" s="17" t="str">
        <f aca="false">IF($A206="","",SUM($J206:$L206))</f>
        <v/>
      </c>
      <c r="R206" s="17" t="str">
        <f aca="false">IF($A206="","",($M206+$Q206)-$P206)</f>
        <v/>
      </c>
      <c r="S206" s="18" t="str">
        <f aca="false">IF(OR($A206="",$P206=0),"",$R206/$P206)</f>
        <v/>
      </c>
      <c r="T206" s="23"/>
      <c r="U206" s="14" t="str">
        <f aca="false">IF($A206="","",IF($M206&gt;0,"Live","Exited"))</f>
        <v/>
      </c>
      <c r="V206" s="20" t="str">
        <f aca="false">IF($A206="","",IF($A206='Client Report'!$C$4,COUNTIFS($A$6:$A206,'Client Report'!$C$4),""))</f>
        <v/>
      </c>
    </row>
    <row r="207" customFormat="false" ht="15" hidden="false" customHeight="false" outlineLevel="0" collapsed="false">
      <c r="A207" s="11"/>
      <c r="B207" s="11"/>
      <c r="C207" s="14" t="str">
        <f aca="false">IF($B207="","",IFERROR(TRIM(LEFT($B207,FIND(" - ",$B207)-1)),"Others"))</f>
        <v/>
      </c>
      <c r="D207" s="11"/>
      <c r="E207" s="11"/>
      <c r="F207" s="12"/>
      <c r="G207" s="21"/>
      <c r="H207" s="21"/>
      <c r="I207" s="21"/>
      <c r="J207" s="21"/>
      <c r="K207" s="21"/>
      <c r="L207" s="21"/>
      <c r="M207" s="21"/>
      <c r="N207" s="22"/>
      <c r="O207" s="22"/>
      <c r="P207" s="17" t="str">
        <f aca="false">IF($A207="","",SUM($G207:$I207))</f>
        <v/>
      </c>
      <c r="Q207" s="17" t="str">
        <f aca="false">IF($A207="","",SUM($J207:$L207))</f>
        <v/>
      </c>
      <c r="R207" s="17" t="str">
        <f aca="false">IF($A207="","",($M207+$Q207)-$P207)</f>
        <v/>
      </c>
      <c r="S207" s="18" t="str">
        <f aca="false">IF(OR($A207="",$P207=0),"",$R207/$P207)</f>
        <v/>
      </c>
      <c r="T207" s="23"/>
      <c r="U207" s="14" t="str">
        <f aca="false">IF($A207="","",IF($M207&gt;0,"Live","Exited"))</f>
        <v/>
      </c>
      <c r="V207" s="20" t="str">
        <f aca="false">IF($A207="","",IF($A207='Client Report'!$C$4,COUNTIFS($A$6:$A207,'Client Report'!$C$4),""))</f>
        <v/>
      </c>
    </row>
    <row r="208" customFormat="false" ht="15" hidden="false" customHeight="false" outlineLevel="0" collapsed="false">
      <c r="A208" s="11"/>
      <c r="B208" s="11"/>
      <c r="C208" s="14" t="str">
        <f aca="false">IF($B208="","",IFERROR(TRIM(LEFT($B208,FIND(" - ",$B208)-1)),"Others"))</f>
        <v/>
      </c>
      <c r="D208" s="11"/>
      <c r="E208" s="11"/>
      <c r="F208" s="12"/>
      <c r="G208" s="21"/>
      <c r="H208" s="21"/>
      <c r="I208" s="21"/>
      <c r="J208" s="21"/>
      <c r="K208" s="21"/>
      <c r="L208" s="21"/>
      <c r="M208" s="21"/>
      <c r="N208" s="22"/>
      <c r="O208" s="22"/>
      <c r="P208" s="17" t="str">
        <f aca="false">IF($A208="","",SUM($G208:$I208))</f>
        <v/>
      </c>
      <c r="Q208" s="17" t="str">
        <f aca="false">IF($A208="","",SUM($J208:$L208))</f>
        <v/>
      </c>
      <c r="R208" s="17" t="str">
        <f aca="false">IF($A208="","",($M208+$Q208)-$P208)</f>
        <v/>
      </c>
      <c r="S208" s="18" t="str">
        <f aca="false">IF(OR($A208="",$P208=0),"",$R208/$P208)</f>
        <v/>
      </c>
      <c r="T208" s="23"/>
      <c r="U208" s="14" t="str">
        <f aca="false">IF($A208="","",IF($M208&gt;0,"Live","Exited"))</f>
        <v/>
      </c>
      <c r="V208" s="20" t="str">
        <f aca="false">IF($A208="","",IF($A208='Client Report'!$C$4,COUNTIFS($A$6:$A208,'Client Report'!$C$4),""))</f>
        <v/>
      </c>
    </row>
    <row r="209" customFormat="false" ht="15" hidden="false" customHeight="false" outlineLevel="0" collapsed="false">
      <c r="A209" s="11"/>
      <c r="B209" s="11"/>
      <c r="C209" s="14" t="str">
        <f aca="false">IF($B209="","",IFERROR(TRIM(LEFT($B209,FIND(" - ",$B209)-1)),"Others"))</f>
        <v/>
      </c>
      <c r="D209" s="11"/>
      <c r="E209" s="11"/>
      <c r="F209" s="12"/>
      <c r="G209" s="21"/>
      <c r="H209" s="21"/>
      <c r="I209" s="21"/>
      <c r="J209" s="21"/>
      <c r="K209" s="21"/>
      <c r="L209" s="21"/>
      <c r="M209" s="21"/>
      <c r="N209" s="22"/>
      <c r="O209" s="22"/>
      <c r="P209" s="17" t="str">
        <f aca="false">IF($A209="","",SUM($G209:$I209))</f>
        <v/>
      </c>
      <c r="Q209" s="17" t="str">
        <f aca="false">IF($A209="","",SUM($J209:$L209))</f>
        <v/>
      </c>
      <c r="R209" s="17" t="str">
        <f aca="false">IF($A209="","",($M209+$Q209)-$P209)</f>
        <v/>
      </c>
      <c r="S209" s="18" t="str">
        <f aca="false">IF(OR($A209="",$P209=0),"",$R209/$P209)</f>
        <v/>
      </c>
      <c r="T209" s="23"/>
      <c r="U209" s="14" t="str">
        <f aca="false">IF($A209="","",IF($M209&gt;0,"Live","Exited"))</f>
        <v/>
      </c>
      <c r="V209" s="20" t="str">
        <f aca="false">IF($A209="","",IF($A209='Client Report'!$C$4,COUNTIFS($A$6:$A209,'Client Report'!$C$4),""))</f>
        <v/>
      </c>
    </row>
    <row r="210" customFormat="false" ht="15" hidden="false" customHeight="false" outlineLevel="0" collapsed="false">
      <c r="A210" s="11"/>
      <c r="B210" s="11"/>
      <c r="C210" s="14" t="str">
        <f aca="false">IF($B210="","",IFERROR(TRIM(LEFT($B210,FIND(" - ",$B210)-1)),"Others"))</f>
        <v/>
      </c>
      <c r="D210" s="11"/>
      <c r="E210" s="11"/>
      <c r="F210" s="12"/>
      <c r="G210" s="21"/>
      <c r="H210" s="21"/>
      <c r="I210" s="21"/>
      <c r="J210" s="21"/>
      <c r="K210" s="21"/>
      <c r="L210" s="21"/>
      <c r="M210" s="21"/>
      <c r="N210" s="22"/>
      <c r="O210" s="22"/>
      <c r="P210" s="17" t="str">
        <f aca="false">IF($A210="","",SUM($G210:$I210))</f>
        <v/>
      </c>
      <c r="Q210" s="17" t="str">
        <f aca="false">IF($A210="","",SUM($J210:$L210))</f>
        <v/>
      </c>
      <c r="R210" s="17" t="str">
        <f aca="false">IF($A210="","",($M210+$Q210)-$P210)</f>
        <v/>
      </c>
      <c r="S210" s="18" t="str">
        <f aca="false">IF(OR($A210="",$P210=0),"",$R210/$P210)</f>
        <v/>
      </c>
      <c r="T210" s="23"/>
      <c r="U210" s="14" t="str">
        <f aca="false">IF($A210="","",IF($M210&gt;0,"Live","Exited"))</f>
        <v/>
      </c>
      <c r="V210" s="20" t="str">
        <f aca="false">IF($A210="","",IF($A210='Client Report'!$C$4,COUNTIFS($A$6:$A210,'Client Report'!$C$4),""))</f>
        <v/>
      </c>
    </row>
    <row r="211" customFormat="false" ht="15" hidden="false" customHeight="false" outlineLevel="0" collapsed="false">
      <c r="A211" s="11"/>
      <c r="B211" s="11"/>
      <c r="C211" s="14" t="str">
        <f aca="false">IF($B211="","",IFERROR(TRIM(LEFT($B211,FIND(" - ",$B211)-1)),"Others"))</f>
        <v/>
      </c>
      <c r="D211" s="11"/>
      <c r="E211" s="11"/>
      <c r="F211" s="12"/>
      <c r="G211" s="21"/>
      <c r="H211" s="21"/>
      <c r="I211" s="21"/>
      <c r="J211" s="21"/>
      <c r="K211" s="21"/>
      <c r="L211" s="21"/>
      <c r="M211" s="21"/>
      <c r="N211" s="22"/>
      <c r="O211" s="22"/>
      <c r="P211" s="17" t="str">
        <f aca="false">IF($A211="","",SUM($G211:$I211))</f>
        <v/>
      </c>
      <c r="Q211" s="17" t="str">
        <f aca="false">IF($A211="","",SUM($J211:$L211))</f>
        <v/>
      </c>
      <c r="R211" s="17" t="str">
        <f aca="false">IF($A211="","",($M211+$Q211)-$P211)</f>
        <v/>
      </c>
      <c r="S211" s="18" t="str">
        <f aca="false">IF(OR($A211="",$P211=0),"",$R211/$P211)</f>
        <v/>
      </c>
      <c r="T211" s="23"/>
      <c r="U211" s="14" t="str">
        <f aca="false">IF($A211="","",IF($M211&gt;0,"Live","Exited"))</f>
        <v/>
      </c>
      <c r="V211" s="20" t="str">
        <f aca="false">IF($A211="","",IF($A211='Client Report'!$C$4,COUNTIFS($A$6:$A211,'Client Report'!$C$4),""))</f>
        <v/>
      </c>
    </row>
    <row r="212" customFormat="false" ht="15" hidden="false" customHeight="false" outlineLevel="0" collapsed="false">
      <c r="A212" s="11"/>
      <c r="B212" s="11"/>
      <c r="C212" s="14" t="str">
        <f aca="false">IF($B212="","",IFERROR(TRIM(LEFT($B212,FIND(" - ",$B212)-1)),"Others"))</f>
        <v/>
      </c>
      <c r="D212" s="11"/>
      <c r="E212" s="11"/>
      <c r="F212" s="12"/>
      <c r="G212" s="21"/>
      <c r="H212" s="21"/>
      <c r="I212" s="21"/>
      <c r="J212" s="21"/>
      <c r="K212" s="21"/>
      <c r="L212" s="21"/>
      <c r="M212" s="21"/>
      <c r="N212" s="22"/>
      <c r="O212" s="22"/>
      <c r="P212" s="17" t="str">
        <f aca="false">IF($A212="","",SUM($G212:$I212))</f>
        <v/>
      </c>
      <c r="Q212" s="17" t="str">
        <f aca="false">IF($A212="","",SUM($J212:$L212))</f>
        <v/>
      </c>
      <c r="R212" s="17" t="str">
        <f aca="false">IF($A212="","",($M212+$Q212)-$P212)</f>
        <v/>
      </c>
      <c r="S212" s="18" t="str">
        <f aca="false">IF(OR($A212="",$P212=0),"",$R212/$P212)</f>
        <v/>
      </c>
      <c r="T212" s="23"/>
      <c r="U212" s="14" t="str">
        <f aca="false">IF($A212="","",IF($M212&gt;0,"Live","Exited"))</f>
        <v/>
      </c>
      <c r="V212" s="20" t="str">
        <f aca="false">IF($A212="","",IF($A212='Client Report'!$C$4,COUNTIFS($A$6:$A212,'Client Report'!$C$4),""))</f>
        <v/>
      </c>
    </row>
    <row r="213" customFormat="false" ht="15" hidden="false" customHeight="false" outlineLevel="0" collapsed="false">
      <c r="A213" s="11"/>
      <c r="B213" s="11"/>
      <c r="C213" s="14" t="str">
        <f aca="false">IF($B213="","",IFERROR(TRIM(LEFT($B213,FIND(" - ",$B213)-1)),"Others"))</f>
        <v/>
      </c>
      <c r="D213" s="11"/>
      <c r="E213" s="11"/>
      <c r="F213" s="12"/>
      <c r="G213" s="21"/>
      <c r="H213" s="21"/>
      <c r="I213" s="21"/>
      <c r="J213" s="21"/>
      <c r="K213" s="21"/>
      <c r="L213" s="21"/>
      <c r="M213" s="21"/>
      <c r="N213" s="22"/>
      <c r="O213" s="22"/>
      <c r="P213" s="17" t="str">
        <f aca="false">IF($A213="","",SUM($G213:$I213))</f>
        <v/>
      </c>
      <c r="Q213" s="17" t="str">
        <f aca="false">IF($A213="","",SUM($J213:$L213))</f>
        <v/>
      </c>
      <c r="R213" s="17" t="str">
        <f aca="false">IF($A213="","",($M213+$Q213)-$P213)</f>
        <v/>
      </c>
      <c r="S213" s="18" t="str">
        <f aca="false">IF(OR($A213="",$P213=0),"",$R213/$P213)</f>
        <v/>
      </c>
      <c r="T213" s="23"/>
      <c r="U213" s="14" t="str">
        <f aca="false">IF($A213="","",IF($M213&gt;0,"Live","Exited"))</f>
        <v/>
      </c>
      <c r="V213" s="20" t="str">
        <f aca="false">IF($A213="","",IF($A213='Client Report'!$C$4,COUNTIFS($A$6:$A213,'Client Report'!$C$4),""))</f>
        <v/>
      </c>
    </row>
    <row r="214" customFormat="false" ht="15" hidden="false" customHeight="false" outlineLevel="0" collapsed="false">
      <c r="A214" s="11"/>
      <c r="B214" s="11"/>
      <c r="C214" s="14" t="str">
        <f aca="false">IF($B214="","",IFERROR(TRIM(LEFT($B214,FIND(" - ",$B214)-1)),"Others"))</f>
        <v/>
      </c>
      <c r="D214" s="11"/>
      <c r="E214" s="11"/>
      <c r="F214" s="12"/>
      <c r="G214" s="21"/>
      <c r="H214" s="21"/>
      <c r="I214" s="21"/>
      <c r="J214" s="21"/>
      <c r="K214" s="21"/>
      <c r="L214" s="21"/>
      <c r="M214" s="21"/>
      <c r="N214" s="22"/>
      <c r="O214" s="22"/>
      <c r="P214" s="17" t="str">
        <f aca="false">IF($A214="","",SUM($G214:$I214))</f>
        <v/>
      </c>
      <c r="Q214" s="17" t="str">
        <f aca="false">IF($A214="","",SUM($J214:$L214))</f>
        <v/>
      </c>
      <c r="R214" s="17" t="str">
        <f aca="false">IF($A214="","",($M214+$Q214)-$P214)</f>
        <v/>
      </c>
      <c r="S214" s="18" t="str">
        <f aca="false">IF(OR($A214="",$P214=0),"",$R214/$P214)</f>
        <v/>
      </c>
      <c r="T214" s="23"/>
      <c r="U214" s="14" t="str">
        <f aca="false">IF($A214="","",IF($M214&gt;0,"Live","Exited"))</f>
        <v/>
      </c>
      <c r="V214" s="20" t="str">
        <f aca="false">IF($A214="","",IF($A214='Client Report'!$C$4,COUNTIFS($A$6:$A214,'Client Report'!$C$4),""))</f>
        <v/>
      </c>
    </row>
    <row r="215" customFormat="false" ht="15" hidden="false" customHeight="false" outlineLevel="0" collapsed="false">
      <c r="A215" s="11"/>
      <c r="B215" s="11"/>
      <c r="C215" s="14" t="str">
        <f aca="false">IF($B215="","",IFERROR(TRIM(LEFT($B215,FIND(" - ",$B215)-1)),"Others"))</f>
        <v/>
      </c>
      <c r="D215" s="11"/>
      <c r="E215" s="11"/>
      <c r="F215" s="12"/>
      <c r="G215" s="21"/>
      <c r="H215" s="21"/>
      <c r="I215" s="21"/>
      <c r="J215" s="21"/>
      <c r="K215" s="21"/>
      <c r="L215" s="21"/>
      <c r="M215" s="21"/>
      <c r="N215" s="22"/>
      <c r="O215" s="22"/>
      <c r="P215" s="17" t="str">
        <f aca="false">IF($A215="","",SUM($G215:$I215))</f>
        <v/>
      </c>
      <c r="Q215" s="17" t="str">
        <f aca="false">IF($A215="","",SUM($J215:$L215))</f>
        <v/>
      </c>
      <c r="R215" s="17" t="str">
        <f aca="false">IF($A215="","",($M215+$Q215)-$P215)</f>
        <v/>
      </c>
      <c r="S215" s="18" t="str">
        <f aca="false">IF(OR($A215="",$P215=0),"",$R215/$P215)</f>
        <v/>
      </c>
      <c r="T215" s="23"/>
      <c r="U215" s="14" t="str">
        <f aca="false">IF($A215="","",IF($M215&gt;0,"Live","Exited"))</f>
        <v/>
      </c>
      <c r="V215" s="20" t="str">
        <f aca="false">IF($A215="","",IF($A215='Client Report'!$C$4,COUNTIFS($A$6:$A215,'Client Report'!$C$4),""))</f>
        <v/>
      </c>
    </row>
    <row r="216" customFormat="false" ht="15" hidden="false" customHeight="false" outlineLevel="0" collapsed="false">
      <c r="A216" s="11"/>
      <c r="B216" s="11"/>
      <c r="C216" s="14" t="str">
        <f aca="false">IF($B216="","",IFERROR(TRIM(LEFT($B216,FIND(" - ",$B216)-1)),"Others"))</f>
        <v/>
      </c>
      <c r="D216" s="11"/>
      <c r="E216" s="11"/>
      <c r="F216" s="12"/>
      <c r="G216" s="21"/>
      <c r="H216" s="21"/>
      <c r="I216" s="21"/>
      <c r="J216" s="21"/>
      <c r="K216" s="21"/>
      <c r="L216" s="21"/>
      <c r="M216" s="21"/>
      <c r="N216" s="22"/>
      <c r="O216" s="22"/>
      <c r="P216" s="17" t="str">
        <f aca="false">IF($A216="","",SUM($G216:$I216))</f>
        <v/>
      </c>
      <c r="Q216" s="17" t="str">
        <f aca="false">IF($A216="","",SUM($J216:$L216))</f>
        <v/>
      </c>
      <c r="R216" s="17" t="str">
        <f aca="false">IF($A216="","",($M216+$Q216)-$P216)</f>
        <v/>
      </c>
      <c r="S216" s="18" t="str">
        <f aca="false">IF(OR($A216="",$P216=0),"",$R216/$P216)</f>
        <v/>
      </c>
      <c r="T216" s="23"/>
      <c r="U216" s="14" t="str">
        <f aca="false">IF($A216="","",IF($M216&gt;0,"Live","Exited"))</f>
        <v/>
      </c>
      <c r="V216" s="20" t="str">
        <f aca="false">IF($A216="","",IF($A216='Client Report'!$C$4,COUNTIFS($A$6:$A216,'Client Report'!$C$4),""))</f>
        <v/>
      </c>
    </row>
    <row r="217" customFormat="false" ht="15" hidden="false" customHeight="false" outlineLevel="0" collapsed="false">
      <c r="A217" s="11"/>
      <c r="B217" s="11"/>
      <c r="C217" s="14" t="str">
        <f aca="false">IF($B217="","",IFERROR(TRIM(LEFT($B217,FIND(" - ",$B217)-1)),"Others"))</f>
        <v/>
      </c>
      <c r="D217" s="11"/>
      <c r="E217" s="11"/>
      <c r="F217" s="12"/>
      <c r="G217" s="21"/>
      <c r="H217" s="21"/>
      <c r="I217" s="21"/>
      <c r="J217" s="21"/>
      <c r="K217" s="21"/>
      <c r="L217" s="21"/>
      <c r="M217" s="21"/>
      <c r="N217" s="22"/>
      <c r="O217" s="22"/>
      <c r="P217" s="17" t="str">
        <f aca="false">IF($A217="","",SUM($G217:$I217))</f>
        <v/>
      </c>
      <c r="Q217" s="17" t="str">
        <f aca="false">IF($A217="","",SUM($J217:$L217))</f>
        <v/>
      </c>
      <c r="R217" s="17" t="str">
        <f aca="false">IF($A217="","",($M217+$Q217)-$P217)</f>
        <v/>
      </c>
      <c r="S217" s="18" t="str">
        <f aca="false">IF(OR($A217="",$P217=0),"",$R217/$P217)</f>
        <v/>
      </c>
      <c r="T217" s="23"/>
      <c r="U217" s="14" t="str">
        <f aca="false">IF($A217="","",IF($M217&gt;0,"Live","Exited"))</f>
        <v/>
      </c>
      <c r="V217" s="20" t="str">
        <f aca="false">IF($A217="","",IF($A217='Client Report'!$C$4,COUNTIFS($A$6:$A217,'Client Report'!$C$4),""))</f>
        <v/>
      </c>
    </row>
    <row r="218" customFormat="false" ht="15" hidden="false" customHeight="false" outlineLevel="0" collapsed="false">
      <c r="A218" s="11"/>
      <c r="B218" s="11"/>
      <c r="C218" s="14" t="str">
        <f aca="false">IF($B218="","",IFERROR(TRIM(LEFT($B218,FIND(" - ",$B218)-1)),"Others"))</f>
        <v/>
      </c>
      <c r="D218" s="11"/>
      <c r="E218" s="11"/>
      <c r="F218" s="12"/>
      <c r="G218" s="21"/>
      <c r="H218" s="21"/>
      <c r="I218" s="21"/>
      <c r="J218" s="21"/>
      <c r="K218" s="21"/>
      <c r="L218" s="21"/>
      <c r="M218" s="21"/>
      <c r="N218" s="22"/>
      <c r="O218" s="22"/>
      <c r="P218" s="17" t="str">
        <f aca="false">IF($A218="","",SUM($G218:$I218))</f>
        <v/>
      </c>
      <c r="Q218" s="17" t="str">
        <f aca="false">IF($A218="","",SUM($J218:$L218))</f>
        <v/>
      </c>
      <c r="R218" s="17" t="str">
        <f aca="false">IF($A218="","",($M218+$Q218)-$P218)</f>
        <v/>
      </c>
      <c r="S218" s="18" t="str">
        <f aca="false">IF(OR($A218="",$P218=0),"",$R218/$P218)</f>
        <v/>
      </c>
      <c r="T218" s="23"/>
      <c r="U218" s="14" t="str">
        <f aca="false">IF($A218="","",IF($M218&gt;0,"Live","Exited"))</f>
        <v/>
      </c>
      <c r="V218" s="20" t="str">
        <f aca="false">IF($A218="","",IF($A218='Client Report'!$C$4,COUNTIFS($A$6:$A218,'Client Report'!$C$4),""))</f>
        <v/>
      </c>
    </row>
    <row r="219" customFormat="false" ht="15" hidden="false" customHeight="false" outlineLevel="0" collapsed="false">
      <c r="A219" s="11"/>
      <c r="B219" s="11"/>
      <c r="C219" s="14" t="str">
        <f aca="false">IF($B219="","",IFERROR(TRIM(LEFT($B219,FIND(" - ",$B219)-1)),"Others"))</f>
        <v/>
      </c>
      <c r="D219" s="11"/>
      <c r="E219" s="11"/>
      <c r="F219" s="12"/>
      <c r="G219" s="21"/>
      <c r="H219" s="21"/>
      <c r="I219" s="21"/>
      <c r="J219" s="21"/>
      <c r="K219" s="21"/>
      <c r="L219" s="21"/>
      <c r="M219" s="21"/>
      <c r="N219" s="22"/>
      <c r="O219" s="22"/>
      <c r="P219" s="17" t="str">
        <f aca="false">IF($A219="","",SUM($G219:$I219))</f>
        <v/>
      </c>
      <c r="Q219" s="17" t="str">
        <f aca="false">IF($A219="","",SUM($J219:$L219))</f>
        <v/>
      </c>
      <c r="R219" s="17" t="str">
        <f aca="false">IF($A219="","",($M219+$Q219)-$P219)</f>
        <v/>
      </c>
      <c r="S219" s="18" t="str">
        <f aca="false">IF(OR($A219="",$P219=0),"",$R219/$P219)</f>
        <v/>
      </c>
      <c r="T219" s="23"/>
      <c r="U219" s="14" t="str">
        <f aca="false">IF($A219="","",IF($M219&gt;0,"Live","Exited"))</f>
        <v/>
      </c>
      <c r="V219" s="20" t="str">
        <f aca="false">IF($A219="","",IF($A219='Client Report'!$C$4,COUNTIFS($A$6:$A219,'Client Report'!$C$4),""))</f>
        <v/>
      </c>
    </row>
    <row r="220" customFormat="false" ht="15" hidden="false" customHeight="false" outlineLevel="0" collapsed="false">
      <c r="A220" s="11"/>
      <c r="B220" s="11"/>
      <c r="C220" s="14" t="str">
        <f aca="false">IF($B220="","",IFERROR(TRIM(LEFT($B220,FIND(" - ",$B220)-1)),"Others"))</f>
        <v/>
      </c>
      <c r="D220" s="11"/>
      <c r="E220" s="11"/>
      <c r="F220" s="12"/>
      <c r="G220" s="21"/>
      <c r="H220" s="21"/>
      <c r="I220" s="21"/>
      <c r="J220" s="21"/>
      <c r="K220" s="21"/>
      <c r="L220" s="21"/>
      <c r="M220" s="21"/>
      <c r="N220" s="22"/>
      <c r="O220" s="22"/>
      <c r="P220" s="17" t="str">
        <f aca="false">IF($A220="","",SUM($G220:$I220))</f>
        <v/>
      </c>
      <c r="Q220" s="17" t="str">
        <f aca="false">IF($A220="","",SUM($J220:$L220))</f>
        <v/>
      </c>
      <c r="R220" s="17" t="str">
        <f aca="false">IF($A220="","",($M220+$Q220)-$P220)</f>
        <v/>
      </c>
      <c r="S220" s="18" t="str">
        <f aca="false">IF(OR($A220="",$P220=0),"",$R220/$P220)</f>
        <v/>
      </c>
      <c r="T220" s="23"/>
      <c r="U220" s="14" t="str">
        <f aca="false">IF($A220="","",IF($M220&gt;0,"Live","Exited"))</f>
        <v/>
      </c>
      <c r="V220" s="20" t="str">
        <f aca="false">IF($A220="","",IF($A220='Client Report'!$C$4,COUNTIFS($A$6:$A220,'Client Report'!$C$4),""))</f>
        <v/>
      </c>
    </row>
    <row r="221" customFormat="false" ht="15" hidden="false" customHeight="false" outlineLevel="0" collapsed="false">
      <c r="A221" s="11"/>
      <c r="B221" s="11"/>
      <c r="C221" s="14" t="str">
        <f aca="false">IF($B221="","",IFERROR(TRIM(LEFT($B221,FIND(" - ",$B221)-1)),"Others"))</f>
        <v/>
      </c>
      <c r="D221" s="11"/>
      <c r="E221" s="11"/>
      <c r="F221" s="12"/>
      <c r="G221" s="21"/>
      <c r="H221" s="21"/>
      <c r="I221" s="21"/>
      <c r="J221" s="21"/>
      <c r="K221" s="21"/>
      <c r="L221" s="21"/>
      <c r="M221" s="21"/>
      <c r="N221" s="22"/>
      <c r="O221" s="22"/>
      <c r="P221" s="17" t="str">
        <f aca="false">IF($A221="","",SUM($G221:$I221))</f>
        <v/>
      </c>
      <c r="Q221" s="17" t="str">
        <f aca="false">IF($A221="","",SUM($J221:$L221))</f>
        <v/>
      </c>
      <c r="R221" s="17" t="str">
        <f aca="false">IF($A221="","",($M221+$Q221)-$P221)</f>
        <v/>
      </c>
      <c r="S221" s="18" t="str">
        <f aca="false">IF(OR($A221="",$P221=0),"",$R221/$P221)</f>
        <v/>
      </c>
      <c r="T221" s="23"/>
      <c r="U221" s="14" t="str">
        <f aca="false">IF($A221="","",IF($M221&gt;0,"Live","Exited"))</f>
        <v/>
      </c>
      <c r="V221" s="20" t="str">
        <f aca="false">IF($A221="","",IF($A221='Client Report'!$C$4,COUNTIFS($A$6:$A221,'Client Report'!$C$4),""))</f>
        <v/>
      </c>
    </row>
    <row r="222" customFormat="false" ht="15" hidden="false" customHeight="false" outlineLevel="0" collapsed="false">
      <c r="A222" s="11"/>
      <c r="B222" s="11"/>
      <c r="C222" s="14" t="str">
        <f aca="false">IF($B222="","",IFERROR(TRIM(LEFT($B222,FIND(" - ",$B222)-1)),"Others"))</f>
        <v/>
      </c>
      <c r="D222" s="11"/>
      <c r="E222" s="11"/>
      <c r="F222" s="12"/>
      <c r="G222" s="21"/>
      <c r="H222" s="21"/>
      <c r="I222" s="21"/>
      <c r="J222" s="21"/>
      <c r="K222" s="21"/>
      <c r="L222" s="21"/>
      <c r="M222" s="21"/>
      <c r="N222" s="22"/>
      <c r="O222" s="22"/>
      <c r="P222" s="17" t="str">
        <f aca="false">IF($A222="","",SUM($G222:$I222))</f>
        <v/>
      </c>
      <c r="Q222" s="17" t="str">
        <f aca="false">IF($A222="","",SUM($J222:$L222))</f>
        <v/>
      </c>
      <c r="R222" s="17" t="str">
        <f aca="false">IF($A222="","",($M222+$Q222)-$P222)</f>
        <v/>
      </c>
      <c r="S222" s="18" t="str">
        <f aca="false">IF(OR($A222="",$P222=0),"",$R222/$P222)</f>
        <v/>
      </c>
      <c r="T222" s="23"/>
      <c r="U222" s="14" t="str">
        <f aca="false">IF($A222="","",IF($M222&gt;0,"Live","Exited"))</f>
        <v/>
      </c>
      <c r="V222" s="20" t="str">
        <f aca="false">IF($A222="","",IF($A222='Client Report'!$C$4,COUNTIFS($A$6:$A222,'Client Report'!$C$4),""))</f>
        <v/>
      </c>
    </row>
    <row r="223" customFormat="false" ht="15" hidden="false" customHeight="false" outlineLevel="0" collapsed="false">
      <c r="A223" s="11"/>
      <c r="B223" s="11"/>
      <c r="C223" s="14" t="str">
        <f aca="false">IF($B223="","",IFERROR(TRIM(LEFT($B223,FIND(" - ",$B223)-1)),"Others"))</f>
        <v/>
      </c>
      <c r="D223" s="11"/>
      <c r="E223" s="11"/>
      <c r="F223" s="12"/>
      <c r="G223" s="21"/>
      <c r="H223" s="21"/>
      <c r="I223" s="21"/>
      <c r="J223" s="21"/>
      <c r="K223" s="21"/>
      <c r="L223" s="21"/>
      <c r="M223" s="21"/>
      <c r="N223" s="22"/>
      <c r="O223" s="22"/>
      <c r="P223" s="17" t="str">
        <f aca="false">IF($A223="","",SUM($G223:$I223))</f>
        <v/>
      </c>
      <c r="Q223" s="17" t="str">
        <f aca="false">IF($A223="","",SUM($J223:$L223))</f>
        <v/>
      </c>
      <c r="R223" s="17" t="str">
        <f aca="false">IF($A223="","",($M223+$Q223)-$P223)</f>
        <v/>
      </c>
      <c r="S223" s="18" t="str">
        <f aca="false">IF(OR($A223="",$P223=0),"",$R223/$P223)</f>
        <v/>
      </c>
      <c r="T223" s="23"/>
      <c r="U223" s="14" t="str">
        <f aca="false">IF($A223="","",IF($M223&gt;0,"Live","Exited"))</f>
        <v/>
      </c>
      <c r="V223" s="20" t="str">
        <f aca="false">IF($A223="","",IF($A223='Client Report'!$C$4,COUNTIFS($A$6:$A223,'Client Report'!$C$4),""))</f>
        <v/>
      </c>
    </row>
    <row r="224" customFormat="false" ht="15" hidden="false" customHeight="false" outlineLevel="0" collapsed="false">
      <c r="A224" s="11"/>
      <c r="B224" s="11"/>
      <c r="C224" s="14" t="str">
        <f aca="false">IF($B224="","",IFERROR(TRIM(LEFT($B224,FIND(" - ",$B224)-1)),"Others"))</f>
        <v/>
      </c>
      <c r="D224" s="11"/>
      <c r="E224" s="11"/>
      <c r="F224" s="12"/>
      <c r="G224" s="21"/>
      <c r="H224" s="21"/>
      <c r="I224" s="21"/>
      <c r="J224" s="21"/>
      <c r="K224" s="21"/>
      <c r="L224" s="21"/>
      <c r="M224" s="21"/>
      <c r="N224" s="22"/>
      <c r="O224" s="22"/>
      <c r="P224" s="17" t="str">
        <f aca="false">IF($A224="","",SUM($G224:$I224))</f>
        <v/>
      </c>
      <c r="Q224" s="17" t="str">
        <f aca="false">IF($A224="","",SUM($J224:$L224))</f>
        <v/>
      </c>
      <c r="R224" s="17" t="str">
        <f aca="false">IF($A224="","",($M224+$Q224)-$P224)</f>
        <v/>
      </c>
      <c r="S224" s="18" t="str">
        <f aca="false">IF(OR($A224="",$P224=0),"",$R224/$P224)</f>
        <v/>
      </c>
      <c r="T224" s="23"/>
      <c r="U224" s="14" t="str">
        <f aca="false">IF($A224="","",IF($M224&gt;0,"Live","Exited"))</f>
        <v/>
      </c>
      <c r="V224" s="20" t="str">
        <f aca="false">IF($A224="","",IF($A224='Client Report'!$C$4,COUNTIFS($A$6:$A224,'Client Report'!$C$4),""))</f>
        <v/>
      </c>
    </row>
    <row r="225" customFormat="false" ht="15" hidden="false" customHeight="false" outlineLevel="0" collapsed="false">
      <c r="A225" s="11"/>
      <c r="B225" s="11"/>
      <c r="C225" s="14" t="str">
        <f aca="false">IF($B225="","",IFERROR(TRIM(LEFT($B225,FIND(" - ",$B225)-1)),"Others"))</f>
        <v/>
      </c>
      <c r="D225" s="11"/>
      <c r="E225" s="11"/>
      <c r="F225" s="12"/>
      <c r="G225" s="21"/>
      <c r="H225" s="21"/>
      <c r="I225" s="21"/>
      <c r="J225" s="21"/>
      <c r="K225" s="21"/>
      <c r="L225" s="21"/>
      <c r="M225" s="21"/>
      <c r="N225" s="22"/>
      <c r="O225" s="22"/>
      <c r="P225" s="17" t="str">
        <f aca="false">IF($A225="","",SUM($G225:$I225))</f>
        <v/>
      </c>
      <c r="Q225" s="17" t="str">
        <f aca="false">IF($A225="","",SUM($J225:$L225))</f>
        <v/>
      </c>
      <c r="R225" s="17" t="str">
        <f aca="false">IF($A225="","",($M225+$Q225)-$P225)</f>
        <v/>
      </c>
      <c r="S225" s="18" t="str">
        <f aca="false">IF(OR($A225="",$P225=0),"",$R225/$P225)</f>
        <v/>
      </c>
      <c r="T225" s="23"/>
      <c r="U225" s="14" t="str">
        <f aca="false">IF($A225="","",IF($M225&gt;0,"Live","Exited"))</f>
        <v/>
      </c>
      <c r="V225" s="20" t="str">
        <f aca="false">IF($A225="","",IF($A225='Client Report'!$C$4,COUNTIFS($A$6:$A225,'Client Report'!$C$4),""))</f>
        <v/>
      </c>
    </row>
    <row r="226" customFormat="false" ht="15" hidden="false" customHeight="false" outlineLevel="0" collapsed="false">
      <c r="A226" s="11"/>
      <c r="B226" s="11"/>
      <c r="C226" s="14" t="str">
        <f aca="false">IF($B226="","",IFERROR(TRIM(LEFT($B226,FIND(" - ",$B226)-1)),"Others"))</f>
        <v/>
      </c>
      <c r="D226" s="11"/>
      <c r="E226" s="11"/>
      <c r="F226" s="12"/>
      <c r="G226" s="21"/>
      <c r="H226" s="21"/>
      <c r="I226" s="21"/>
      <c r="J226" s="21"/>
      <c r="K226" s="21"/>
      <c r="L226" s="21"/>
      <c r="M226" s="21"/>
      <c r="N226" s="22"/>
      <c r="O226" s="22"/>
      <c r="P226" s="17" t="str">
        <f aca="false">IF($A226="","",SUM($G226:$I226))</f>
        <v/>
      </c>
      <c r="Q226" s="17" t="str">
        <f aca="false">IF($A226="","",SUM($J226:$L226))</f>
        <v/>
      </c>
      <c r="R226" s="17" t="str">
        <f aca="false">IF($A226="","",($M226+$Q226)-$P226)</f>
        <v/>
      </c>
      <c r="S226" s="18" t="str">
        <f aca="false">IF(OR($A226="",$P226=0),"",$R226/$P226)</f>
        <v/>
      </c>
      <c r="T226" s="23"/>
      <c r="U226" s="14" t="str">
        <f aca="false">IF($A226="","",IF($M226&gt;0,"Live","Exited"))</f>
        <v/>
      </c>
      <c r="V226" s="20" t="str">
        <f aca="false">IF($A226="","",IF($A226='Client Report'!$C$4,COUNTIFS($A$6:$A226,'Client Report'!$C$4),""))</f>
        <v/>
      </c>
    </row>
    <row r="227" customFormat="false" ht="15" hidden="false" customHeight="false" outlineLevel="0" collapsed="false">
      <c r="A227" s="11"/>
      <c r="B227" s="11"/>
      <c r="C227" s="14" t="str">
        <f aca="false">IF($B227="","",IFERROR(TRIM(LEFT($B227,FIND(" - ",$B227)-1)),"Others"))</f>
        <v/>
      </c>
      <c r="D227" s="11"/>
      <c r="E227" s="11"/>
      <c r="F227" s="12"/>
      <c r="G227" s="21"/>
      <c r="H227" s="21"/>
      <c r="I227" s="21"/>
      <c r="J227" s="21"/>
      <c r="K227" s="21"/>
      <c r="L227" s="21"/>
      <c r="M227" s="21"/>
      <c r="N227" s="22"/>
      <c r="O227" s="22"/>
      <c r="P227" s="17" t="str">
        <f aca="false">IF($A227="","",SUM($G227:$I227))</f>
        <v/>
      </c>
      <c r="Q227" s="17" t="str">
        <f aca="false">IF($A227="","",SUM($J227:$L227))</f>
        <v/>
      </c>
      <c r="R227" s="17" t="str">
        <f aca="false">IF($A227="","",($M227+$Q227)-$P227)</f>
        <v/>
      </c>
      <c r="S227" s="18" t="str">
        <f aca="false">IF(OR($A227="",$P227=0),"",$R227/$P227)</f>
        <v/>
      </c>
      <c r="T227" s="23"/>
      <c r="U227" s="14" t="str">
        <f aca="false">IF($A227="","",IF($M227&gt;0,"Live","Exited"))</f>
        <v/>
      </c>
      <c r="V227" s="20" t="str">
        <f aca="false">IF($A227="","",IF($A227='Client Report'!$C$4,COUNTIFS($A$6:$A227,'Client Report'!$C$4),""))</f>
        <v/>
      </c>
    </row>
    <row r="228" customFormat="false" ht="15" hidden="false" customHeight="false" outlineLevel="0" collapsed="false">
      <c r="A228" s="11"/>
      <c r="B228" s="11"/>
      <c r="C228" s="14" t="str">
        <f aca="false">IF($B228="","",IFERROR(TRIM(LEFT($B228,FIND(" - ",$B228)-1)),"Others"))</f>
        <v/>
      </c>
      <c r="D228" s="11"/>
      <c r="E228" s="11"/>
      <c r="F228" s="12"/>
      <c r="G228" s="21"/>
      <c r="H228" s="21"/>
      <c r="I228" s="21"/>
      <c r="J228" s="21"/>
      <c r="K228" s="21"/>
      <c r="L228" s="21"/>
      <c r="M228" s="21"/>
      <c r="N228" s="22"/>
      <c r="O228" s="22"/>
      <c r="P228" s="17" t="str">
        <f aca="false">IF($A228="","",SUM($G228:$I228))</f>
        <v/>
      </c>
      <c r="Q228" s="17" t="str">
        <f aca="false">IF($A228="","",SUM($J228:$L228))</f>
        <v/>
      </c>
      <c r="R228" s="17" t="str">
        <f aca="false">IF($A228="","",($M228+$Q228)-$P228)</f>
        <v/>
      </c>
      <c r="S228" s="18" t="str">
        <f aca="false">IF(OR($A228="",$P228=0),"",$R228/$P228)</f>
        <v/>
      </c>
      <c r="T228" s="23"/>
      <c r="U228" s="14" t="str">
        <f aca="false">IF($A228="","",IF($M228&gt;0,"Live","Exited"))</f>
        <v/>
      </c>
      <c r="V228" s="20" t="str">
        <f aca="false">IF($A228="","",IF($A228='Client Report'!$C$4,COUNTIFS($A$6:$A228,'Client Report'!$C$4),""))</f>
        <v/>
      </c>
    </row>
    <row r="229" customFormat="false" ht="15" hidden="false" customHeight="false" outlineLevel="0" collapsed="false">
      <c r="A229" s="11"/>
      <c r="B229" s="11"/>
      <c r="C229" s="14" t="str">
        <f aca="false">IF($B229="","",IFERROR(TRIM(LEFT($B229,FIND(" - ",$B229)-1)),"Others"))</f>
        <v/>
      </c>
      <c r="D229" s="11"/>
      <c r="E229" s="11"/>
      <c r="F229" s="12"/>
      <c r="G229" s="21"/>
      <c r="H229" s="21"/>
      <c r="I229" s="21"/>
      <c r="J229" s="21"/>
      <c r="K229" s="21"/>
      <c r="L229" s="21"/>
      <c r="M229" s="21"/>
      <c r="N229" s="22"/>
      <c r="O229" s="22"/>
      <c r="P229" s="17" t="str">
        <f aca="false">IF($A229="","",SUM($G229:$I229))</f>
        <v/>
      </c>
      <c r="Q229" s="17" t="str">
        <f aca="false">IF($A229="","",SUM($J229:$L229))</f>
        <v/>
      </c>
      <c r="R229" s="17" t="str">
        <f aca="false">IF($A229="","",($M229+$Q229)-$P229)</f>
        <v/>
      </c>
      <c r="S229" s="18" t="str">
        <f aca="false">IF(OR($A229="",$P229=0),"",$R229/$P229)</f>
        <v/>
      </c>
      <c r="T229" s="23"/>
      <c r="U229" s="14" t="str">
        <f aca="false">IF($A229="","",IF($M229&gt;0,"Live","Exited"))</f>
        <v/>
      </c>
      <c r="V229" s="20" t="str">
        <f aca="false">IF($A229="","",IF($A229='Client Report'!$C$4,COUNTIFS($A$6:$A229,'Client Report'!$C$4),""))</f>
        <v/>
      </c>
    </row>
    <row r="230" customFormat="false" ht="15" hidden="false" customHeight="false" outlineLevel="0" collapsed="false">
      <c r="A230" s="11"/>
      <c r="B230" s="11"/>
      <c r="C230" s="14" t="str">
        <f aca="false">IF($B230="","",IFERROR(TRIM(LEFT($B230,FIND(" - ",$B230)-1)),"Others"))</f>
        <v/>
      </c>
      <c r="D230" s="11"/>
      <c r="E230" s="11"/>
      <c r="F230" s="12"/>
      <c r="G230" s="21"/>
      <c r="H230" s="21"/>
      <c r="I230" s="21"/>
      <c r="J230" s="21"/>
      <c r="K230" s="21"/>
      <c r="L230" s="21"/>
      <c r="M230" s="21"/>
      <c r="N230" s="22"/>
      <c r="O230" s="22"/>
      <c r="P230" s="17" t="str">
        <f aca="false">IF($A230="","",SUM($G230:$I230))</f>
        <v/>
      </c>
      <c r="Q230" s="17" t="str">
        <f aca="false">IF($A230="","",SUM($J230:$L230))</f>
        <v/>
      </c>
      <c r="R230" s="17" t="str">
        <f aca="false">IF($A230="","",($M230+$Q230)-$P230)</f>
        <v/>
      </c>
      <c r="S230" s="18" t="str">
        <f aca="false">IF(OR($A230="",$P230=0),"",$R230/$P230)</f>
        <v/>
      </c>
      <c r="T230" s="23"/>
      <c r="U230" s="14" t="str">
        <f aca="false">IF($A230="","",IF($M230&gt;0,"Live","Exited"))</f>
        <v/>
      </c>
      <c r="V230" s="20" t="str">
        <f aca="false">IF($A230="","",IF($A230='Client Report'!$C$4,COUNTIFS($A$6:$A230,'Client Report'!$C$4),""))</f>
        <v/>
      </c>
    </row>
    <row r="231" customFormat="false" ht="15" hidden="false" customHeight="false" outlineLevel="0" collapsed="false">
      <c r="A231" s="11"/>
      <c r="B231" s="11"/>
      <c r="C231" s="14" t="str">
        <f aca="false">IF($B231="","",IFERROR(TRIM(LEFT($B231,FIND(" - ",$B231)-1)),"Others"))</f>
        <v/>
      </c>
      <c r="D231" s="11"/>
      <c r="E231" s="11"/>
      <c r="F231" s="12"/>
      <c r="G231" s="21"/>
      <c r="H231" s="21"/>
      <c r="I231" s="21"/>
      <c r="J231" s="21"/>
      <c r="K231" s="21"/>
      <c r="L231" s="21"/>
      <c r="M231" s="21"/>
      <c r="N231" s="22"/>
      <c r="O231" s="22"/>
      <c r="P231" s="17" t="str">
        <f aca="false">IF($A231="","",SUM($G231:$I231))</f>
        <v/>
      </c>
      <c r="Q231" s="17" t="str">
        <f aca="false">IF($A231="","",SUM($J231:$L231))</f>
        <v/>
      </c>
      <c r="R231" s="17" t="str">
        <f aca="false">IF($A231="","",($M231+$Q231)-$P231)</f>
        <v/>
      </c>
      <c r="S231" s="18" t="str">
        <f aca="false">IF(OR($A231="",$P231=0),"",$R231/$P231)</f>
        <v/>
      </c>
      <c r="T231" s="23"/>
      <c r="U231" s="14" t="str">
        <f aca="false">IF($A231="","",IF($M231&gt;0,"Live","Exited"))</f>
        <v/>
      </c>
      <c r="V231" s="20" t="str">
        <f aca="false">IF($A231="","",IF($A231='Client Report'!$C$4,COUNTIFS($A$6:$A231,'Client Report'!$C$4),""))</f>
        <v/>
      </c>
    </row>
    <row r="232" customFormat="false" ht="15" hidden="false" customHeight="false" outlineLevel="0" collapsed="false">
      <c r="A232" s="11"/>
      <c r="B232" s="11"/>
      <c r="C232" s="14" t="str">
        <f aca="false">IF($B232="","",IFERROR(TRIM(LEFT($B232,FIND(" - ",$B232)-1)),"Others"))</f>
        <v/>
      </c>
      <c r="D232" s="11"/>
      <c r="E232" s="11"/>
      <c r="F232" s="12"/>
      <c r="G232" s="21"/>
      <c r="H232" s="21"/>
      <c r="I232" s="21"/>
      <c r="J232" s="21"/>
      <c r="K232" s="21"/>
      <c r="L232" s="21"/>
      <c r="M232" s="21"/>
      <c r="N232" s="22"/>
      <c r="O232" s="22"/>
      <c r="P232" s="17" t="str">
        <f aca="false">IF($A232="","",SUM($G232:$I232))</f>
        <v/>
      </c>
      <c r="Q232" s="17" t="str">
        <f aca="false">IF($A232="","",SUM($J232:$L232))</f>
        <v/>
      </c>
      <c r="R232" s="17" t="str">
        <f aca="false">IF($A232="","",($M232+$Q232)-$P232)</f>
        <v/>
      </c>
      <c r="S232" s="18" t="str">
        <f aca="false">IF(OR($A232="",$P232=0),"",$R232/$P232)</f>
        <v/>
      </c>
      <c r="T232" s="23"/>
      <c r="U232" s="14" t="str">
        <f aca="false">IF($A232="","",IF($M232&gt;0,"Live","Exited"))</f>
        <v/>
      </c>
      <c r="V232" s="20" t="str">
        <f aca="false">IF($A232="","",IF($A232='Client Report'!$C$4,COUNTIFS($A$6:$A232,'Client Report'!$C$4),""))</f>
        <v/>
      </c>
    </row>
    <row r="233" customFormat="false" ht="15" hidden="false" customHeight="false" outlineLevel="0" collapsed="false">
      <c r="A233" s="11"/>
      <c r="B233" s="11"/>
      <c r="C233" s="14" t="str">
        <f aca="false">IF($B233="","",IFERROR(TRIM(LEFT($B233,FIND(" - ",$B233)-1)),"Others"))</f>
        <v/>
      </c>
      <c r="D233" s="11"/>
      <c r="E233" s="11"/>
      <c r="F233" s="12"/>
      <c r="G233" s="21"/>
      <c r="H233" s="21"/>
      <c r="I233" s="21"/>
      <c r="J233" s="21"/>
      <c r="K233" s="21"/>
      <c r="L233" s="21"/>
      <c r="M233" s="21"/>
      <c r="N233" s="22"/>
      <c r="O233" s="22"/>
      <c r="P233" s="17" t="str">
        <f aca="false">IF($A233="","",SUM($G233:$I233))</f>
        <v/>
      </c>
      <c r="Q233" s="17" t="str">
        <f aca="false">IF($A233="","",SUM($J233:$L233))</f>
        <v/>
      </c>
      <c r="R233" s="17" t="str">
        <f aca="false">IF($A233="","",($M233+$Q233)-$P233)</f>
        <v/>
      </c>
      <c r="S233" s="18" t="str">
        <f aca="false">IF(OR($A233="",$P233=0),"",$R233/$P233)</f>
        <v/>
      </c>
      <c r="T233" s="23"/>
      <c r="U233" s="14" t="str">
        <f aca="false">IF($A233="","",IF($M233&gt;0,"Live","Exited"))</f>
        <v/>
      </c>
      <c r="V233" s="20" t="str">
        <f aca="false">IF($A233="","",IF($A233='Client Report'!$C$4,COUNTIFS($A$6:$A233,'Client Report'!$C$4),""))</f>
        <v/>
      </c>
    </row>
    <row r="234" customFormat="false" ht="15" hidden="false" customHeight="false" outlineLevel="0" collapsed="false">
      <c r="A234" s="11"/>
      <c r="B234" s="11"/>
      <c r="C234" s="14" t="str">
        <f aca="false">IF($B234="","",IFERROR(TRIM(LEFT($B234,FIND(" - ",$B234)-1)),"Others"))</f>
        <v/>
      </c>
      <c r="D234" s="11"/>
      <c r="E234" s="11"/>
      <c r="F234" s="12"/>
      <c r="G234" s="21"/>
      <c r="H234" s="21"/>
      <c r="I234" s="21"/>
      <c r="J234" s="21"/>
      <c r="K234" s="21"/>
      <c r="L234" s="21"/>
      <c r="M234" s="21"/>
      <c r="N234" s="22"/>
      <c r="O234" s="22"/>
      <c r="P234" s="17" t="str">
        <f aca="false">IF($A234="","",SUM($G234:$I234))</f>
        <v/>
      </c>
      <c r="Q234" s="17" t="str">
        <f aca="false">IF($A234="","",SUM($J234:$L234))</f>
        <v/>
      </c>
      <c r="R234" s="17" t="str">
        <f aca="false">IF($A234="","",($M234+$Q234)-$P234)</f>
        <v/>
      </c>
      <c r="S234" s="18" t="str">
        <f aca="false">IF(OR($A234="",$P234=0),"",$R234/$P234)</f>
        <v/>
      </c>
      <c r="T234" s="23"/>
      <c r="U234" s="14" t="str">
        <f aca="false">IF($A234="","",IF($M234&gt;0,"Live","Exited"))</f>
        <v/>
      </c>
      <c r="V234" s="20" t="str">
        <f aca="false">IF($A234="","",IF($A234='Client Report'!$C$4,COUNTIFS($A$6:$A234,'Client Report'!$C$4),""))</f>
        <v/>
      </c>
    </row>
    <row r="235" customFormat="false" ht="15" hidden="false" customHeight="false" outlineLevel="0" collapsed="false">
      <c r="A235" s="11"/>
      <c r="B235" s="11"/>
      <c r="C235" s="14" t="str">
        <f aca="false">IF($B235="","",IFERROR(TRIM(LEFT($B235,FIND(" - ",$B235)-1)),"Others"))</f>
        <v/>
      </c>
      <c r="D235" s="11"/>
      <c r="E235" s="11"/>
      <c r="F235" s="12"/>
      <c r="G235" s="21"/>
      <c r="H235" s="21"/>
      <c r="I235" s="21"/>
      <c r="J235" s="21"/>
      <c r="K235" s="21"/>
      <c r="L235" s="21"/>
      <c r="M235" s="21"/>
      <c r="N235" s="22"/>
      <c r="O235" s="22"/>
      <c r="P235" s="17" t="str">
        <f aca="false">IF($A235="","",SUM($G235:$I235))</f>
        <v/>
      </c>
      <c r="Q235" s="17" t="str">
        <f aca="false">IF($A235="","",SUM($J235:$L235))</f>
        <v/>
      </c>
      <c r="R235" s="17" t="str">
        <f aca="false">IF($A235="","",($M235+$Q235)-$P235)</f>
        <v/>
      </c>
      <c r="S235" s="18" t="str">
        <f aca="false">IF(OR($A235="",$P235=0),"",$R235/$P235)</f>
        <v/>
      </c>
      <c r="T235" s="23"/>
      <c r="U235" s="14" t="str">
        <f aca="false">IF($A235="","",IF($M235&gt;0,"Live","Exited"))</f>
        <v/>
      </c>
      <c r="V235" s="20" t="str">
        <f aca="false">IF($A235="","",IF($A235='Client Report'!$C$4,COUNTIFS($A$6:$A235,'Client Report'!$C$4),""))</f>
        <v/>
      </c>
    </row>
    <row r="236" customFormat="false" ht="15" hidden="false" customHeight="false" outlineLevel="0" collapsed="false">
      <c r="A236" s="11"/>
      <c r="B236" s="11"/>
      <c r="C236" s="14" t="str">
        <f aca="false">IF($B236="","",IFERROR(TRIM(LEFT($B236,FIND(" - ",$B236)-1)),"Others"))</f>
        <v/>
      </c>
      <c r="D236" s="11"/>
      <c r="E236" s="11"/>
      <c r="F236" s="12"/>
      <c r="G236" s="21"/>
      <c r="H236" s="21"/>
      <c r="I236" s="21"/>
      <c r="J236" s="21"/>
      <c r="K236" s="21"/>
      <c r="L236" s="21"/>
      <c r="M236" s="21"/>
      <c r="N236" s="22"/>
      <c r="O236" s="22"/>
      <c r="P236" s="17" t="str">
        <f aca="false">IF($A236="","",SUM($G236:$I236))</f>
        <v/>
      </c>
      <c r="Q236" s="17" t="str">
        <f aca="false">IF($A236="","",SUM($J236:$L236))</f>
        <v/>
      </c>
      <c r="R236" s="17" t="str">
        <f aca="false">IF($A236="","",($M236+$Q236)-$P236)</f>
        <v/>
      </c>
      <c r="S236" s="18" t="str">
        <f aca="false">IF(OR($A236="",$P236=0),"",$R236/$P236)</f>
        <v/>
      </c>
      <c r="T236" s="23"/>
      <c r="U236" s="14" t="str">
        <f aca="false">IF($A236="","",IF($M236&gt;0,"Live","Exited"))</f>
        <v/>
      </c>
      <c r="V236" s="20" t="str">
        <f aca="false">IF($A236="","",IF($A236='Client Report'!$C$4,COUNTIFS($A$6:$A236,'Client Report'!$C$4),""))</f>
        <v/>
      </c>
    </row>
    <row r="237" customFormat="false" ht="15" hidden="false" customHeight="false" outlineLevel="0" collapsed="false">
      <c r="A237" s="11"/>
      <c r="B237" s="11"/>
      <c r="C237" s="14" t="str">
        <f aca="false">IF($B237="","",IFERROR(TRIM(LEFT($B237,FIND(" - ",$B237)-1)),"Others"))</f>
        <v/>
      </c>
      <c r="D237" s="11"/>
      <c r="E237" s="11"/>
      <c r="F237" s="12"/>
      <c r="G237" s="21"/>
      <c r="H237" s="21"/>
      <c r="I237" s="21"/>
      <c r="J237" s="21"/>
      <c r="K237" s="21"/>
      <c r="L237" s="21"/>
      <c r="M237" s="21"/>
      <c r="N237" s="22"/>
      <c r="O237" s="22"/>
      <c r="P237" s="17" t="str">
        <f aca="false">IF($A237="","",SUM($G237:$I237))</f>
        <v/>
      </c>
      <c r="Q237" s="17" t="str">
        <f aca="false">IF($A237="","",SUM($J237:$L237))</f>
        <v/>
      </c>
      <c r="R237" s="17" t="str">
        <f aca="false">IF($A237="","",($M237+$Q237)-$P237)</f>
        <v/>
      </c>
      <c r="S237" s="18" t="str">
        <f aca="false">IF(OR($A237="",$P237=0),"",$R237/$P237)</f>
        <v/>
      </c>
      <c r="T237" s="23"/>
      <c r="U237" s="14" t="str">
        <f aca="false">IF($A237="","",IF($M237&gt;0,"Live","Exited"))</f>
        <v/>
      </c>
      <c r="V237" s="20" t="str">
        <f aca="false">IF($A237="","",IF($A237='Client Report'!$C$4,COUNTIFS($A$6:$A237,'Client Report'!$C$4),""))</f>
        <v/>
      </c>
    </row>
    <row r="238" customFormat="false" ht="15" hidden="false" customHeight="false" outlineLevel="0" collapsed="false">
      <c r="A238" s="11"/>
      <c r="B238" s="11"/>
      <c r="C238" s="14" t="str">
        <f aca="false">IF($B238="","",IFERROR(TRIM(LEFT($B238,FIND(" - ",$B238)-1)),"Others"))</f>
        <v/>
      </c>
      <c r="D238" s="11"/>
      <c r="E238" s="11"/>
      <c r="F238" s="12"/>
      <c r="G238" s="21"/>
      <c r="H238" s="21"/>
      <c r="I238" s="21"/>
      <c r="J238" s="21"/>
      <c r="K238" s="21"/>
      <c r="L238" s="21"/>
      <c r="M238" s="21"/>
      <c r="N238" s="22"/>
      <c r="O238" s="22"/>
      <c r="P238" s="17" t="str">
        <f aca="false">IF($A238="","",SUM($G238:$I238))</f>
        <v/>
      </c>
      <c r="Q238" s="17" t="str">
        <f aca="false">IF($A238="","",SUM($J238:$L238))</f>
        <v/>
      </c>
      <c r="R238" s="17" t="str">
        <f aca="false">IF($A238="","",($M238+$Q238)-$P238)</f>
        <v/>
      </c>
      <c r="S238" s="18" t="str">
        <f aca="false">IF(OR($A238="",$P238=0),"",$R238/$P238)</f>
        <v/>
      </c>
      <c r="T238" s="23"/>
      <c r="U238" s="14" t="str">
        <f aca="false">IF($A238="","",IF($M238&gt;0,"Live","Exited"))</f>
        <v/>
      </c>
      <c r="V238" s="20" t="str">
        <f aca="false">IF($A238="","",IF($A238='Client Report'!$C$4,COUNTIFS($A$6:$A238,'Client Report'!$C$4),""))</f>
        <v/>
      </c>
    </row>
    <row r="239" customFormat="false" ht="15" hidden="false" customHeight="false" outlineLevel="0" collapsed="false">
      <c r="A239" s="11"/>
      <c r="B239" s="11"/>
      <c r="C239" s="14" t="str">
        <f aca="false">IF($B239="","",IFERROR(TRIM(LEFT($B239,FIND(" - ",$B239)-1)),"Others"))</f>
        <v/>
      </c>
      <c r="D239" s="11"/>
      <c r="E239" s="11"/>
      <c r="F239" s="12"/>
      <c r="G239" s="21"/>
      <c r="H239" s="21"/>
      <c r="I239" s="21"/>
      <c r="J239" s="21"/>
      <c r="K239" s="21"/>
      <c r="L239" s="21"/>
      <c r="M239" s="21"/>
      <c r="N239" s="22"/>
      <c r="O239" s="22"/>
      <c r="P239" s="17" t="str">
        <f aca="false">IF($A239="","",SUM($G239:$I239))</f>
        <v/>
      </c>
      <c r="Q239" s="17" t="str">
        <f aca="false">IF($A239="","",SUM($J239:$L239))</f>
        <v/>
      </c>
      <c r="R239" s="17" t="str">
        <f aca="false">IF($A239="","",($M239+$Q239)-$P239)</f>
        <v/>
      </c>
      <c r="S239" s="18" t="str">
        <f aca="false">IF(OR($A239="",$P239=0),"",$R239/$P239)</f>
        <v/>
      </c>
      <c r="T239" s="23"/>
      <c r="U239" s="14" t="str">
        <f aca="false">IF($A239="","",IF($M239&gt;0,"Live","Exited"))</f>
        <v/>
      </c>
      <c r="V239" s="20" t="str">
        <f aca="false">IF($A239="","",IF($A239='Client Report'!$C$4,COUNTIFS($A$6:$A239,'Client Report'!$C$4),""))</f>
        <v/>
      </c>
    </row>
    <row r="240" customFormat="false" ht="15" hidden="false" customHeight="false" outlineLevel="0" collapsed="false">
      <c r="A240" s="11"/>
      <c r="B240" s="11"/>
      <c r="C240" s="14" t="str">
        <f aca="false">IF($B240="","",IFERROR(TRIM(LEFT($B240,FIND(" - ",$B240)-1)),"Others"))</f>
        <v/>
      </c>
      <c r="D240" s="11"/>
      <c r="E240" s="11"/>
      <c r="F240" s="12"/>
      <c r="G240" s="21"/>
      <c r="H240" s="21"/>
      <c r="I240" s="21"/>
      <c r="J240" s="21"/>
      <c r="K240" s="21"/>
      <c r="L240" s="21"/>
      <c r="M240" s="21"/>
      <c r="N240" s="22"/>
      <c r="O240" s="22"/>
      <c r="P240" s="17" t="str">
        <f aca="false">IF($A240="","",SUM($G240:$I240))</f>
        <v/>
      </c>
      <c r="Q240" s="17" t="str">
        <f aca="false">IF($A240="","",SUM($J240:$L240))</f>
        <v/>
      </c>
      <c r="R240" s="17" t="str">
        <f aca="false">IF($A240="","",($M240+$Q240)-$P240)</f>
        <v/>
      </c>
      <c r="S240" s="18" t="str">
        <f aca="false">IF(OR($A240="",$P240=0),"",$R240/$P240)</f>
        <v/>
      </c>
      <c r="T240" s="23"/>
      <c r="U240" s="14" t="str">
        <f aca="false">IF($A240="","",IF($M240&gt;0,"Live","Exited"))</f>
        <v/>
      </c>
      <c r="V240" s="20" t="str">
        <f aca="false">IF($A240="","",IF($A240='Client Report'!$C$4,COUNTIFS($A$6:$A240,'Client Report'!$C$4),""))</f>
        <v/>
      </c>
    </row>
    <row r="241" customFormat="false" ht="15" hidden="false" customHeight="false" outlineLevel="0" collapsed="false">
      <c r="A241" s="11"/>
      <c r="B241" s="11"/>
      <c r="C241" s="14" t="str">
        <f aca="false">IF($B241="","",IFERROR(TRIM(LEFT($B241,FIND(" - ",$B241)-1)),"Others"))</f>
        <v/>
      </c>
      <c r="D241" s="11"/>
      <c r="E241" s="11"/>
      <c r="F241" s="12"/>
      <c r="G241" s="21"/>
      <c r="H241" s="21"/>
      <c r="I241" s="21"/>
      <c r="J241" s="21"/>
      <c r="K241" s="21"/>
      <c r="L241" s="21"/>
      <c r="M241" s="21"/>
      <c r="N241" s="22"/>
      <c r="O241" s="22"/>
      <c r="P241" s="17" t="str">
        <f aca="false">IF($A241="","",SUM($G241:$I241))</f>
        <v/>
      </c>
      <c r="Q241" s="17" t="str">
        <f aca="false">IF($A241="","",SUM($J241:$L241))</f>
        <v/>
      </c>
      <c r="R241" s="17" t="str">
        <f aca="false">IF($A241="","",($M241+$Q241)-$P241)</f>
        <v/>
      </c>
      <c r="S241" s="18" t="str">
        <f aca="false">IF(OR($A241="",$P241=0),"",$R241/$P241)</f>
        <v/>
      </c>
      <c r="T241" s="23"/>
      <c r="U241" s="14" t="str">
        <f aca="false">IF($A241="","",IF($M241&gt;0,"Live","Exited"))</f>
        <v/>
      </c>
      <c r="V241" s="20" t="str">
        <f aca="false">IF($A241="","",IF($A241='Client Report'!$C$4,COUNTIFS($A$6:$A241,'Client Report'!$C$4),""))</f>
        <v/>
      </c>
    </row>
    <row r="242" customFormat="false" ht="15" hidden="false" customHeight="false" outlineLevel="0" collapsed="false">
      <c r="A242" s="11"/>
      <c r="B242" s="11"/>
      <c r="C242" s="14" t="str">
        <f aca="false">IF($B242="","",IFERROR(TRIM(LEFT($B242,FIND(" - ",$B242)-1)),"Others"))</f>
        <v/>
      </c>
      <c r="D242" s="11"/>
      <c r="E242" s="11"/>
      <c r="F242" s="12"/>
      <c r="G242" s="21"/>
      <c r="H242" s="21"/>
      <c r="I242" s="21"/>
      <c r="J242" s="21"/>
      <c r="K242" s="21"/>
      <c r="L242" s="21"/>
      <c r="M242" s="21"/>
      <c r="N242" s="22"/>
      <c r="O242" s="22"/>
      <c r="P242" s="17" t="str">
        <f aca="false">IF($A242="","",SUM($G242:$I242))</f>
        <v/>
      </c>
      <c r="Q242" s="17" t="str">
        <f aca="false">IF($A242="","",SUM($J242:$L242))</f>
        <v/>
      </c>
      <c r="R242" s="17" t="str">
        <f aca="false">IF($A242="","",($M242+$Q242)-$P242)</f>
        <v/>
      </c>
      <c r="S242" s="18" t="str">
        <f aca="false">IF(OR($A242="",$P242=0),"",$R242/$P242)</f>
        <v/>
      </c>
      <c r="T242" s="23"/>
      <c r="U242" s="14" t="str">
        <f aca="false">IF($A242="","",IF($M242&gt;0,"Live","Exited"))</f>
        <v/>
      </c>
      <c r="V242" s="20" t="str">
        <f aca="false">IF($A242="","",IF($A242='Client Report'!$C$4,COUNTIFS($A$6:$A242,'Client Report'!$C$4),""))</f>
        <v/>
      </c>
    </row>
    <row r="243" customFormat="false" ht="15" hidden="false" customHeight="false" outlineLevel="0" collapsed="false">
      <c r="A243" s="11"/>
      <c r="B243" s="11"/>
      <c r="C243" s="14" t="str">
        <f aca="false">IF($B243="","",IFERROR(TRIM(LEFT($B243,FIND(" - ",$B243)-1)),"Others"))</f>
        <v/>
      </c>
      <c r="D243" s="11"/>
      <c r="E243" s="11"/>
      <c r="F243" s="12"/>
      <c r="G243" s="21"/>
      <c r="H243" s="21"/>
      <c r="I243" s="21"/>
      <c r="J243" s="21"/>
      <c r="K243" s="21"/>
      <c r="L243" s="21"/>
      <c r="M243" s="21"/>
      <c r="N243" s="22"/>
      <c r="O243" s="22"/>
      <c r="P243" s="17" t="str">
        <f aca="false">IF($A243="","",SUM($G243:$I243))</f>
        <v/>
      </c>
      <c r="Q243" s="17" t="str">
        <f aca="false">IF($A243="","",SUM($J243:$L243))</f>
        <v/>
      </c>
      <c r="R243" s="17" t="str">
        <f aca="false">IF($A243="","",($M243+$Q243)-$P243)</f>
        <v/>
      </c>
      <c r="S243" s="18" t="str">
        <f aca="false">IF(OR($A243="",$P243=0),"",$R243/$P243)</f>
        <v/>
      </c>
      <c r="T243" s="23"/>
      <c r="U243" s="14" t="str">
        <f aca="false">IF($A243="","",IF($M243&gt;0,"Live","Exited"))</f>
        <v/>
      </c>
      <c r="V243" s="20" t="str">
        <f aca="false">IF($A243="","",IF($A243='Client Report'!$C$4,COUNTIFS($A$6:$A243,'Client Report'!$C$4),""))</f>
        <v/>
      </c>
    </row>
    <row r="244" customFormat="false" ht="15" hidden="false" customHeight="false" outlineLevel="0" collapsed="false">
      <c r="A244" s="11"/>
      <c r="B244" s="11"/>
      <c r="C244" s="14" t="str">
        <f aca="false">IF($B244="","",IFERROR(TRIM(LEFT($B244,FIND(" - ",$B244)-1)),"Others"))</f>
        <v/>
      </c>
      <c r="D244" s="11"/>
      <c r="E244" s="11"/>
      <c r="F244" s="12"/>
      <c r="G244" s="21"/>
      <c r="H244" s="21"/>
      <c r="I244" s="21"/>
      <c r="J244" s="21"/>
      <c r="K244" s="21"/>
      <c r="L244" s="21"/>
      <c r="M244" s="21"/>
      <c r="N244" s="22"/>
      <c r="O244" s="22"/>
      <c r="P244" s="17" t="str">
        <f aca="false">IF($A244="","",SUM($G244:$I244))</f>
        <v/>
      </c>
      <c r="Q244" s="17" t="str">
        <f aca="false">IF($A244="","",SUM($J244:$L244))</f>
        <v/>
      </c>
      <c r="R244" s="17" t="str">
        <f aca="false">IF($A244="","",($M244+$Q244)-$P244)</f>
        <v/>
      </c>
      <c r="S244" s="18" t="str">
        <f aca="false">IF(OR($A244="",$P244=0),"",$R244/$P244)</f>
        <v/>
      </c>
      <c r="T244" s="23"/>
      <c r="U244" s="14" t="str">
        <f aca="false">IF($A244="","",IF($M244&gt;0,"Live","Exited"))</f>
        <v/>
      </c>
      <c r="V244" s="20" t="str">
        <f aca="false">IF($A244="","",IF($A244='Client Report'!$C$4,COUNTIFS($A$6:$A244,'Client Report'!$C$4),""))</f>
        <v/>
      </c>
    </row>
    <row r="245" customFormat="false" ht="15" hidden="false" customHeight="false" outlineLevel="0" collapsed="false">
      <c r="A245" s="11"/>
      <c r="B245" s="11"/>
      <c r="C245" s="14" t="str">
        <f aca="false">IF($B245="","",IFERROR(TRIM(LEFT($B245,FIND(" - ",$B245)-1)),"Others"))</f>
        <v/>
      </c>
      <c r="D245" s="11"/>
      <c r="E245" s="11"/>
      <c r="F245" s="12"/>
      <c r="G245" s="21"/>
      <c r="H245" s="21"/>
      <c r="I245" s="21"/>
      <c r="J245" s="21"/>
      <c r="K245" s="21"/>
      <c r="L245" s="21"/>
      <c r="M245" s="21"/>
      <c r="N245" s="22"/>
      <c r="O245" s="22"/>
      <c r="P245" s="17" t="str">
        <f aca="false">IF($A245="","",SUM($G245:$I245))</f>
        <v/>
      </c>
      <c r="Q245" s="17" t="str">
        <f aca="false">IF($A245="","",SUM($J245:$L245))</f>
        <v/>
      </c>
      <c r="R245" s="17" t="str">
        <f aca="false">IF($A245="","",($M245+$Q245)-$P245)</f>
        <v/>
      </c>
      <c r="S245" s="18" t="str">
        <f aca="false">IF(OR($A245="",$P245=0),"",$R245/$P245)</f>
        <v/>
      </c>
      <c r="T245" s="23"/>
      <c r="U245" s="14" t="str">
        <f aca="false">IF($A245="","",IF($M245&gt;0,"Live","Exited"))</f>
        <v/>
      </c>
      <c r="V245" s="20" t="str">
        <f aca="false">IF($A245="","",IF($A245='Client Report'!$C$4,COUNTIFS($A$6:$A245,'Client Report'!$C$4),""))</f>
        <v/>
      </c>
    </row>
    <row r="246" customFormat="false" ht="15" hidden="false" customHeight="false" outlineLevel="0" collapsed="false">
      <c r="A246" s="11"/>
      <c r="B246" s="11"/>
      <c r="C246" s="14" t="str">
        <f aca="false">IF($B246="","",IFERROR(TRIM(LEFT($B246,FIND(" - ",$B246)-1)),"Others"))</f>
        <v/>
      </c>
      <c r="D246" s="11"/>
      <c r="E246" s="11"/>
      <c r="F246" s="12"/>
      <c r="G246" s="21"/>
      <c r="H246" s="21"/>
      <c r="I246" s="21"/>
      <c r="J246" s="21"/>
      <c r="K246" s="21"/>
      <c r="L246" s="21"/>
      <c r="M246" s="21"/>
      <c r="N246" s="22"/>
      <c r="O246" s="22"/>
      <c r="P246" s="17" t="str">
        <f aca="false">IF($A246="","",SUM($G246:$I246))</f>
        <v/>
      </c>
      <c r="Q246" s="17" t="str">
        <f aca="false">IF($A246="","",SUM($J246:$L246))</f>
        <v/>
      </c>
      <c r="R246" s="17" t="str">
        <f aca="false">IF($A246="","",($M246+$Q246)-$P246)</f>
        <v/>
      </c>
      <c r="S246" s="18" t="str">
        <f aca="false">IF(OR($A246="",$P246=0),"",$R246/$P246)</f>
        <v/>
      </c>
      <c r="T246" s="23"/>
      <c r="U246" s="14" t="str">
        <f aca="false">IF($A246="","",IF($M246&gt;0,"Live","Exited"))</f>
        <v/>
      </c>
      <c r="V246" s="20" t="str">
        <f aca="false">IF($A246="","",IF($A246='Client Report'!$C$4,COUNTIFS($A$6:$A246,'Client Report'!$C$4),""))</f>
        <v/>
      </c>
    </row>
    <row r="247" customFormat="false" ht="15" hidden="false" customHeight="false" outlineLevel="0" collapsed="false">
      <c r="A247" s="11"/>
      <c r="B247" s="11"/>
      <c r="C247" s="14" t="str">
        <f aca="false">IF($B247="","",IFERROR(TRIM(LEFT($B247,FIND(" - ",$B247)-1)),"Others"))</f>
        <v/>
      </c>
      <c r="D247" s="11"/>
      <c r="E247" s="11"/>
      <c r="F247" s="12"/>
      <c r="G247" s="21"/>
      <c r="H247" s="21"/>
      <c r="I247" s="21"/>
      <c r="J247" s="21"/>
      <c r="K247" s="21"/>
      <c r="L247" s="21"/>
      <c r="M247" s="21"/>
      <c r="N247" s="22"/>
      <c r="O247" s="22"/>
      <c r="P247" s="17" t="str">
        <f aca="false">IF($A247="","",SUM($G247:$I247))</f>
        <v/>
      </c>
      <c r="Q247" s="17" t="str">
        <f aca="false">IF($A247="","",SUM($J247:$L247))</f>
        <v/>
      </c>
      <c r="R247" s="17" t="str">
        <f aca="false">IF($A247="","",($M247+$Q247)-$P247)</f>
        <v/>
      </c>
      <c r="S247" s="18" t="str">
        <f aca="false">IF(OR($A247="",$P247=0),"",$R247/$P247)</f>
        <v/>
      </c>
      <c r="T247" s="23"/>
      <c r="U247" s="14" t="str">
        <f aca="false">IF($A247="","",IF($M247&gt;0,"Live","Exited"))</f>
        <v/>
      </c>
      <c r="V247" s="20" t="str">
        <f aca="false">IF($A247="","",IF($A247='Client Report'!$C$4,COUNTIFS($A$6:$A247,'Client Report'!$C$4),""))</f>
        <v/>
      </c>
    </row>
    <row r="248" customFormat="false" ht="15" hidden="false" customHeight="false" outlineLevel="0" collapsed="false">
      <c r="A248" s="11"/>
      <c r="B248" s="11"/>
      <c r="C248" s="14" t="str">
        <f aca="false">IF($B248="","",IFERROR(TRIM(LEFT($B248,FIND(" - ",$B248)-1)),"Others"))</f>
        <v/>
      </c>
      <c r="D248" s="11"/>
      <c r="E248" s="11"/>
      <c r="F248" s="12"/>
      <c r="G248" s="21"/>
      <c r="H248" s="21"/>
      <c r="I248" s="21"/>
      <c r="J248" s="21"/>
      <c r="K248" s="21"/>
      <c r="L248" s="21"/>
      <c r="M248" s="21"/>
      <c r="N248" s="22"/>
      <c r="O248" s="22"/>
      <c r="P248" s="17" t="str">
        <f aca="false">IF($A248="","",SUM($G248:$I248))</f>
        <v/>
      </c>
      <c r="Q248" s="17" t="str">
        <f aca="false">IF($A248="","",SUM($J248:$L248))</f>
        <v/>
      </c>
      <c r="R248" s="17" t="str">
        <f aca="false">IF($A248="","",($M248+$Q248)-$P248)</f>
        <v/>
      </c>
      <c r="S248" s="18" t="str">
        <f aca="false">IF(OR($A248="",$P248=0),"",$R248/$P248)</f>
        <v/>
      </c>
      <c r="T248" s="23"/>
      <c r="U248" s="14" t="str">
        <f aca="false">IF($A248="","",IF($M248&gt;0,"Live","Exited"))</f>
        <v/>
      </c>
      <c r="V248" s="20" t="str">
        <f aca="false">IF($A248="","",IF($A248='Client Report'!$C$4,COUNTIFS($A$6:$A248,'Client Report'!$C$4),""))</f>
        <v/>
      </c>
    </row>
    <row r="249" customFormat="false" ht="15" hidden="false" customHeight="false" outlineLevel="0" collapsed="false">
      <c r="A249" s="11"/>
      <c r="B249" s="11"/>
      <c r="C249" s="14" t="str">
        <f aca="false">IF($B249="","",IFERROR(TRIM(LEFT($B249,FIND(" - ",$B249)-1)),"Others"))</f>
        <v/>
      </c>
      <c r="D249" s="11"/>
      <c r="E249" s="11"/>
      <c r="F249" s="12"/>
      <c r="G249" s="21"/>
      <c r="H249" s="21"/>
      <c r="I249" s="21"/>
      <c r="J249" s="21"/>
      <c r="K249" s="21"/>
      <c r="L249" s="21"/>
      <c r="M249" s="21"/>
      <c r="N249" s="22"/>
      <c r="O249" s="22"/>
      <c r="P249" s="17" t="str">
        <f aca="false">IF($A249="","",SUM($G249:$I249))</f>
        <v/>
      </c>
      <c r="Q249" s="17" t="str">
        <f aca="false">IF($A249="","",SUM($J249:$L249))</f>
        <v/>
      </c>
      <c r="R249" s="17" t="str">
        <f aca="false">IF($A249="","",($M249+$Q249)-$P249)</f>
        <v/>
      </c>
      <c r="S249" s="18" t="str">
        <f aca="false">IF(OR($A249="",$P249=0),"",$R249/$P249)</f>
        <v/>
      </c>
      <c r="T249" s="23"/>
      <c r="U249" s="14" t="str">
        <f aca="false">IF($A249="","",IF($M249&gt;0,"Live","Exited"))</f>
        <v/>
      </c>
      <c r="V249" s="20" t="str">
        <f aca="false">IF($A249="","",IF($A249='Client Report'!$C$4,COUNTIFS($A$6:$A249,'Client Report'!$C$4),""))</f>
        <v/>
      </c>
    </row>
    <row r="250" customFormat="false" ht="15" hidden="false" customHeight="false" outlineLevel="0" collapsed="false">
      <c r="A250" s="11"/>
      <c r="B250" s="11"/>
      <c r="C250" s="14" t="str">
        <f aca="false">IF($B250="","",IFERROR(TRIM(LEFT($B250,FIND(" - ",$B250)-1)),"Others"))</f>
        <v/>
      </c>
      <c r="D250" s="11"/>
      <c r="E250" s="11"/>
      <c r="F250" s="12"/>
      <c r="G250" s="21"/>
      <c r="H250" s="21"/>
      <c r="I250" s="21"/>
      <c r="J250" s="21"/>
      <c r="K250" s="21"/>
      <c r="L250" s="21"/>
      <c r="M250" s="21"/>
      <c r="N250" s="22"/>
      <c r="O250" s="22"/>
      <c r="P250" s="17" t="str">
        <f aca="false">IF($A250="","",SUM($G250:$I250))</f>
        <v/>
      </c>
      <c r="Q250" s="17" t="str">
        <f aca="false">IF($A250="","",SUM($J250:$L250))</f>
        <v/>
      </c>
      <c r="R250" s="17" t="str">
        <f aca="false">IF($A250="","",($M250+$Q250)-$P250)</f>
        <v/>
      </c>
      <c r="S250" s="18" t="str">
        <f aca="false">IF(OR($A250="",$P250=0),"",$R250/$P250)</f>
        <v/>
      </c>
      <c r="T250" s="23"/>
      <c r="U250" s="14" t="str">
        <f aca="false">IF($A250="","",IF($M250&gt;0,"Live","Exited"))</f>
        <v/>
      </c>
      <c r="V250" s="20" t="str">
        <f aca="false">IF($A250="","",IF($A250='Client Report'!$C$4,COUNTIFS($A$6:$A250,'Client Report'!$C$4),""))</f>
        <v/>
      </c>
    </row>
    <row r="251" customFormat="false" ht="15" hidden="false" customHeight="false" outlineLevel="0" collapsed="false">
      <c r="A251" s="11"/>
      <c r="B251" s="11"/>
      <c r="C251" s="14" t="str">
        <f aca="false">IF($B251="","",IFERROR(TRIM(LEFT($B251,FIND(" - ",$B251)-1)),"Others"))</f>
        <v/>
      </c>
      <c r="D251" s="11"/>
      <c r="E251" s="11"/>
      <c r="F251" s="12"/>
      <c r="G251" s="21"/>
      <c r="H251" s="21"/>
      <c r="I251" s="21"/>
      <c r="J251" s="21"/>
      <c r="K251" s="21"/>
      <c r="L251" s="21"/>
      <c r="M251" s="21"/>
      <c r="N251" s="22"/>
      <c r="O251" s="22"/>
      <c r="P251" s="17" t="str">
        <f aca="false">IF($A251="","",SUM($G251:$I251))</f>
        <v/>
      </c>
      <c r="Q251" s="17" t="str">
        <f aca="false">IF($A251="","",SUM($J251:$L251))</f>
        <v/>
      </c>
      <c r="R251" s="17" t="str">
        <f aca="false">IF($A251="","",($M251+$Q251)-$P251)</f>
        <v/>
      </c>
      <c r="S251" s="18" t="str">
        <f aca="false">IF(OR($A251="",$P251=0),"",$R251/$P251)</f>
        <v/>
      </c>
      <c r="T251" s="23"/>
      <c r="U251" s="14" t="str">
        <f aca="false">IF($A251="","",IF($M251&gt;0,"Live","Exited"))</f>
        <v/>
      </c>
      <c r="V251" s="20" t="str">
        <f aca="false">IF($A251="","",IF($A251='Client Report'!$C$4,COUNTIFS($A$6:$A251,'Client Report'!$C$4),""))</f>
        <v/>
      </c>
    </row>
    <row r="252" customFormat="false" ht="15" hidden="false" customHeight="false" outlineLevel="0" collapsed="false">
      <c r="A252" s="11"/>
      <c r="B252" s="11"/>
      <c r="C252" s="14" t="str">
        <f aca="false">IF($B252="","",IFERROR(TRIM(LEFT($B252,FIND(" - ",$B252)-1)),"Others"))</f>
        <v/>
      </c>
      <c r="D252" s="11"/>
      <c r="E252" s="11"/>
      <c r="F252" s="12"/>
      <c r="G252" s="21"/>
      <c r="H252" s="21"/>
      <c r="I252" s="21"/>
      <c r="J252" s="21"/>
      <c r="K252" s="21"/>
      <c r="L252" s="21"/>
      <c r="M252" s="21"/>
      <c r="N252" s="22"/>
      <c r="O252" s="22"/>
      <c r="P252" s="17" t="str">
        <f aca="false">IF($A252="","",SUM($G252:$I252))</f>
        <v/>
      </c>
      <c r="Q252" s="17" t="str">
        <f aca="false">IF($A252="","",SUM($J252:$L252))</f>
        <v/>
      </c>
      <c r="R252" s="17" t="str">
        <f aca="false">IF($A252="","",($M252+$Q252)-$P252)</f>
        <v/>
      </c>
      <c r="S252" s="18" t="str">
        <f aca="false">IF(OR($A252="",$P252=0),"",$R252/$P252)</f>
        <v/>
      </c>
      <c r="T252" s="23"/>
      <c r="U252" s="14" t="str">
        <f aca="false">IF($A252="","",IF($M252&gt;0,"Live","Exited"))</f>
        <v/>
      </c>
      <c r="V252" s="20" t="str">
        <f aca="false">IF($A252="","",IF($A252='Client Report'!$C$4,COUNTIFS($A$6:$A252,'Client Report'!$C$4),""))</f>
        <v/>
      </c>
    </row>
    <row r="253" customFormat="false" ht="15" hidden="false" customHeight="false" outlineLevel="0" collapsed="false">
      <c r="A253" s="11"/>
      <c r="B253" s="11"/>
      <c r="C253" s="14" t="str">
        <f aca="false">IF($B253="","",IFERROR(TRIM(LEFT($B253,FIND(" - ",$B253)-1)),"Others"))</f>
        <v/>
      </c>
      <c r="D253" s="11"/>
      <c r="E253" s="11"/>
      <c r="F253" s="12"/>
      <c r="G253" s="21"/>
      <c r="H253" s="21"/>
      <c r="I253" s="21"/>
      <c r="J253" s="21"/>
      <c r="K253" s="21"/>
      <c r="L253" s="21"/>
      <c r="M253" s="21"/>
      <c r="N253" s="22"/>
      <c r="O253" s="22"/>
      <c r="P253" s="17" t="str">
        <f aca="false">IF($A253="","",SUM($G253:$I253))</f>
        <v/>
      </c>
      <c r="Q253" s="17" t="str">
        <f aca="false">IF($A253="","",SUM($J253:$L253))</f>
        <v/>
      </c>
      <c r="R253" s="17" t="str">
        <f aca="false">IF($A253="","",($M253+$Q253)-$P253)</f>
        <v/>
      </c>
      <c r="S253" s="18" t="str">
        <f aca="false">IF(OR($A253="",$P253=0),"",$R253/$P253)</f>
        <v/>
      </c>
      <c r="T253" s="23"/>
      <c r="U253" s="14" t="str">
        <f aca="false">IF($A253="","",IF($M253&gt;0,"Live","Exited"))</f>
        <v/>
      </c>
      <c r="V253" s="20" t="str">
        <f aca="false">IF($A253="","",IF($A253='Client Report'!$C$4,COUNTIFS($A$6:$A253,'Client Report'!$C$4),""))</f>
        <v/>
      </c>
    </row>
    <row r="254" customFormat="false" ht="15" hidden="false" customHeight="false" outlineLevel="0" collapsed="false">
      <c r="A254" s="11"/>
      <c r="B254" s="11"/>
      <c r="C254" s="14" t="str">
        <f aca="false">IF($B254="","",IFERROR(TRIM(LEFT($B254,FIND(" - ",$B254)-1)),"Others"))</f>
        <v/>
      </c>
      <c r="D254" s="11"/>
      <c r="E254" s="11"/>
      <c r="F254" s="12"/>
      <c r="G254" s="21"/>
      <c r="H254" s="21"/>
      <c r="I254" s="21"/>
      <c r="J254" s="21"/>
      <c r="K254" s="21"/>
      <c r="L254" s="21"/>
      <c r="M254" s="21"/>
      <c r="N254" s="22"/>
      <c r="O254" s="22"/>
      <c r="P254" s="17" t="str">
        <f aca="false">IF($A254="","",SUM($G254:$I254))</f>
        <v/>
      </c>
      <c r="Q254" s="17" t="str">
        <f aca="false">IF($A254="","",SUM($J254:$L254))</f>
        <v/>
      </c>
      <c r="R254" s="17" t="str">
        <f aca="false">IF($A254="","",($M254+$Q254)-$P254)</f>
        <v/>
      </c>
      <c r="S254" s="18" t="str">
        <f aca="false">IF(OR($A254="",$P254=0),"",$R254/$P254)</f>
        <v/>
      </c>
      <c r="T254" s="23"/>
      <c r="U254" s="14" t="str">
        <f aca="false">IF($A254="","",IF($M254&gt;0,"Live","Exited"))</f>
        <v/>
      </c>
      <c r="V254" s="20" t="str">
        <f aca="false">IF($A254="","",IF($A254='Client Report'!$C$4,COUNTIFS($A$6:$A254,'Client Report'!$C$4),""))</f>
        <v/>
      </c>
    </row>
    <row r="255" customFormat="false" ht="15" hidden="false" customHeight="false" outlineLevel="0" collapsed="false">
      <c r="A255" s="11"/>
      <c r="B255" s="11"/>
      <c r="C255" s="14" t="str">
        <f aca="false">IF($B255="","",IFERROR(TRIM(LEFT($B255,FIND(" - ",$B255)-1)),"Others"))</f>
        <v/>
      </c>
      <c r="D255" s="11"/>
      <c r="E255" s="11"/>
      <c r="F255" s="12"/>
      <c r="G255" s="21"/>
      <c r="H255" s="21"/>
      <c r="I255" s="21"/>
      <c r="J255" s="21"/>
      <c r="K255" s="21"/>
      <c r="L255" s="21"/>
      <c r="M255" s="21"/>
      <c r="N255" s="22"/>
      <c r="O255" s="22"/>
      <c r="P255" s="17" t="str">
        <f aca="false">IF($A255="","",SUM($G255:$I255))</f>
        <v/>
      </c>
      <c r="Q255" s="17" t="str">
        <f aca="false">IF($A255="","",SUM($J255:$L255))</f>
        <v/>
      </c>
      <c r="R255" s="17" t="str">
        <f aca="false">IF($A255="","",($M255+$Q255)-$P255)</f>
        <v/>
      </c>
      <c r="S255" s="18" t="str">
        <f aca="false">IF(OR($A255="",$P255=0),"",$R255/$P255)</f>
        <v/>
      </c>
      <c r="T255" s="23"/>
      <c r="U255" s="14" t="str">
        <f aca="false">IF($A255="","",IF($M255&gt;0,"Live","Exited"))</f>
        <v/>
      </c>
      <c r="V255" s="20" t="str">
        <f aca="false">IF($A255="","",IF($A255='Client Report'!$C$4,COUNTIFS($A$6:$A255,'Client Report'!$C$4),""))</f>
        <v/>
      </c>
    </row>
    <row r="256" customFormat="false" ht="15" hidden="false" customHeight="false" outlineLevel="0" collapsed="false">
      <c r="A256" s="11"/>
      <c r="B256" s="11"/>
      <c r="C256" s="14" t="str">
        <f aca="false">IF($B256="","",IFERROR(TRIM(LEFT($B256,FIND(" - ",$B256)-1)),"Others"))</f>
        <v/>
      </c>
      <c r="D256" s="11"/>
      <c r="E256" s="11"/>
      <c r="F256" s="12"/>
      <c r="G256" s="21"/>
      <c r="H256" s="21"/>
      <c r="I256" s="21"/>
      <c r="J256" s="21"/>
      <c r="K256" s="21"/>
      <c r="L256" s="21"/>
      <c r="M256" s="21"/>
      <c r="N256" s="22"/>
      <c r="O256" s="22"/>
      <c r="P256" s="17" t="str">
        <f aca="false">IF($A256="","",SUM($G256:$I256))</f>
        <v/>
      </c>
      <c r="Q256" s="17" t="str">
        <f aca="false">IF($A256="","",SUM($J256:$L256))</f>
        <v/>
      </c>
      <c r="R256" s="17" t="str">
        <f aca="false">IF($A256="","",($M256+$Q256)-$P256)</f>
        <v/>
      </c>
      <c r="S256" s="18" t="str">
        <f aca="false">IF(OR($A256="",$P256=0),"",$R256/$P256)</f>
        <v/>
      </c>
      <c r="T256" s="23"/>
      <c r="U256" s="14" t="str">
        <f aca="false">IF($A256="","",IF($M256&gt;0,"Live","Exited"))</f>
        <v/>
      </c>
      <c r="V256" s="20" t="str">
        <f aca="false">IF($A256="","",IF($A256='Client Report'!$C$4,COUNTIFS($A$6:$A256,'Client Report'!$C$4),""))</f>
        <v/>
      </c>
    </row>
    <row r="257" customFormat="false" ht="15" hidden="false" customHeight="false" outlineLevel="0" collapsed="false">
      <c r="A257" s="11"/>
      <c r="B257" s="11"/>
      <c r="C257" s="14" t="str">
        <f aca="false">IF($B257="","",IFERROR(TRIM(LEFT($B257,FIND(" - ",$B257)-1)),"Others"))</f>
        <v/>
      </c>
      <c r="D257" s="11"/>
      <c r="E257" s="11"/>
      <c r="F257" s="12"/>
      <c r="G257" s="21"/>
      <c r="H257" s="21"/>
      <c r="I257" s="21"/>
      <c r="J257" s="21"/>
      <c r="K257" s="21"/>
      <c r="L257" s="21"/>
      <c r="M257" s="21"/>
      <c r="N257" s="22"/>
      <c r="O257" s="22"/>
      <c r="P257" s="17" t="str">
        <f aca="false">IF($A257="","",SUM($G257:$I257))</f>
        <v/>
      </c>
      <c r="Q257" s="17" t="str">
        <f aca="false">IF($A257="","",SUM($J257:$L257))</f>
        <v/>
      </c>
      <c r="R257" s="17" t="str">
        <f aca="false">IF($A257="","",($M257+$Q257)-$P257)</f>
        <v/>
      </c>
      <c r="S257" s="18" t="str">
        <f aca="false">IF(OR($A257="",$P257=0),"",$R257/$P257)</f>
        <v/>
      </c>
      <c r="T257" s="23"/>
      <c r="U257" s="14" t="str">
        <f aca="false">IF($A257="","",IF($M257&gt;0,"Live","Exited"))</f>
        <v/>
      </c>
      <c r="V257" s="20" t="str">
        <f aca="false">IF($A257="","",IF($A257='Client Report'!$C$4,COUNTIFS($A$6:$A257,'Client Report'!$C$4),""))</f>
        <v/>
      </c>
    </row>
    <row r="258" customFormat="false" ht="15" hidden="false" customHeight="false" outlineLevel="0" collapsed="false">
      <c r="A258" s="11"/>
      <c r="B258" s="11"/>
      <c r="C258" s="14" t="str">
        <f aca="false">IF($B258="","",IFERROR(TRIM(LEFT($B258,FIND(" - ",$B258)-1)),"Others"))</f>
        <v/>
      </c>
      <c r="D258" s="11"/>
      <c r="E258" s="11"/>
      <c r="F258" s="12"/>
      <c r="G258" s="21"/>
      <c r="H258" s="21"/>
      <c r="I258" s="21"/>
      <c r="J258" s="21"/>
      <c r="K258" s="21"/>
      <c r="L258" s="21"/>
      <c r="M258" s="21"/>
      <c r="N258" s="22"/>
      <c r="O258" s="22"/>
      <c r="P258" s="17" t="str">
        <f aca="false">IF($A258="","",SUM($G258:$I258))</f>
        <v/>
      </c>
      <c r="Q258" s="17" t="str">
        <f aca="false">IF($A258="","",SUM($J258:$L258))</f>
        <v/>
      </c>
      <c r="R258" s="17" t="str">
        <f aca="false">IF($A258="","",($M258+$Q258)-$P258)</f>
        <v/>
      </c>
      <c r="S258" s="18" t="str">
        <f aca="false">IF(OR($A258="",$P258=0),"",$R258/$P258)</f>
        <v/>
      </c>
      <c r="T258" s="23"/>
      <c r="U258" s="14" t="str">
        <f aca="false">IF($A258="","",IF($M258&gt;0,"Live","Exited"))</f>
        <v/>
      </c>
      <c r="V258" s="20" t="str">
        <f aca="false">IF($A258="","",IF($A258='Client Report'!$C$4,COUNTIFS($A$6:$A258,'Client Report'!$C$4),""))</f>
        <v/>
      </c>
    </row>
    <row r="259" customFormat="false" ht="15" hidden="false" customHeight="false" outlineLevel="0" collapsed="false">
      <c r="A259" s="11"/>
      <c r="B259" s="11"/>
      <c r="C259" s="14" t="str">
        <f aca="false">IF($B259="","",IFERROR(TRIM(LEFT($B259,FIND(" - ",$B259)-1)),"Others"))</f>
        <v/>
      </c>
      <c r="D259" s="11"/>
      <c r="E259" s="11"/>
      <c r="F259" s="12"/>
      <c r="G259" s="21"/>
      <c r="H259" s="21"/>
      <c r="I259" s="21"/>
      <c r="J259" s="21"/>
      <c r="K259" s="21"/>
      <c r="L259" s="21"/>
      <c r="M259" s="21"/>
      <c r="N259" s="22"/>
      <c r="O259" s="22"/>
      <c r="P259" s="17" t="str">
        <f aca="false">IF($A259="","",SUM($G259:$I259))</f>
        <v/>
      </c>
      <c r="Q259" s="17" t="str">
        <f aca="false">IF($A259="","",SUM($J259:$L259))</f>
        <v/>
      </c>
      <c r="R259" s="17" t="str">
        <f aca="false">IF($A259="","",($M259+$Q259)-$P259)</f>
        <v/>
      </c>
      <c r="S259" s="18" t="str">
        <f aca="false">IF(OR($A259="",$P259=0),"",$R259/$P259)</f>
        <v/>
      </c>
      <c r="T259" s="23"/>
      <c r="U259" s="14" t="str">
        <f aca="false">IF($A259="","",IF($M259&gt;0,"Live","Exited"))</f>
        <v/>
      </c>
      <c r="V259" s="20" t="str">
        <f aca="false">IF($A259="","",IF($A259='Client Report'!$C$4,COUNTIFS($A$6:$A259,'Client Report'!$C$4),""))</f>
        <v/>
      </c>
    </row>
    <row r="260" customFormat="false" ht="15" hidden="false" customHeight="false" outlineLevel="0" collapsed="false">
      <c r="A260" s="11"/>
      <c r="B260" s="11"/>
      <c r="C260" s="14" t="str">
        <f aca="false">IF($B260="","",IFERROR(TRIM(LEFT($B260,FIND(" - ",$B260)-1)),"Others"))</f>
        <v/>
      </c>
      <c r="D260" s="11"/>
      <c r="E260" s="11"/>
      <c r="F260" s="12"/>
      <c r="G260" s="21"/>
      <c r="H260" s="21"/>
      <c r="I260" s="21"/>
      <c r="J260" s="21"/>
      <c r="K260" s="21"/>
      <c r="L260" s="21"/>
      <c r="M260" s="21"/>
      <c r="N260" s="22"/>
      <c r="O260" s="22"/>
      <c r="P260" s="17" t="str">
        <f aca="false">IF($A260="","",SUM($G260:$I260))</f>
        <v/>
      </c>
      <c r="Q260" s="17" t="str">
        <f aca="false">IF($A260="","",SUM($J260:$L260))</f>
        <v/>
      </c>
      <c r="R260" s="17" t="str">
        <f aca="false">IF($A260="","",($M260+$Q260)-$P260)</f>
        <v/>
      </c>
      <c r="S260" s="18" t="str">
        <f aca="false">IF(OR($A260="",$P260=0),"",$R260/$P260)</f>
        <v/>
      </c>
      <c r="T260" s="23"/>
      <c r="U260" s="14" t="str">
        <f aca="false">IF($A260="","",IF($M260&gt;0,"Live","Exited"))</f>
        <v/>
      </c>
      <c r="V260" s="20" t="str">
        <f aca="false">IF($A260="","",IF($A260='Client Report'!$C$4,COUNTIFS($A$6:$A260,'Client Report'!$C$4),""))</f>
        <v/>
      </c>
    </row>
    <row r="261" customFormat="false" ht="15" hidden="false" customHeight="false" outlineLevel="0" collapsed="false">
      <c r="A261" s="11"/>
      <c r="B261" s="11"/>
      <c r="C261" s="14" t="str">
        <f aca="false">IF($B261="","",IFERROR(TRIM(LEFT($B261,FIND(" - ",$B261)-1)),"Others"))</f>
        <v/>
      </c>
      <c r="D261" s="11"/>
      <c r="E261" s="11"/>
      <c r="F261" s="12"/>
      <c r="G261" s="21"/>
      <c r="H261" s="21"/>
      <c r="I261" s="21"/>
      <c r="J261" s="21"/>
      <c r="K261" s="21"/>
      <c r="L261" s="21"/>
      <c r="M261" s="21"/>
      <c r="N261" s="22"/>
      <c r="O261" s="22"/>
      <c r="P261" s="17" t="str">
        <f aca="false">IF($A261="","",SUM($G261:$I261))</f>
        <v/>
      </c>
      <c r="Q261" s="17" t="str">
        <f aca="false">IF($A261="","",SUM($J261:$L261))</f>
        <v/>
      </c>
      <c r="R261" s="17" t="str">
        <f aca="false">IF($A261="","",($M261+$Q261)-$P261)</f>
        <v/>
      </c>
      <c r="S261" s="18" t="str">
        <f aca="false">IF(OR($A261="",$P261=0),"",$R261/$P261)</f>
        <v/>
      </c>
      <c r="T261" s="23"/>
      <c r="U261" s="14" t="str">
        <f aca="false">IF($A261="","",IF($M261&gt;0,"Live","Exited"))</f>
        <v/>
      </c>
      <c r="V261" s="20" t="str">
        <f aca="false">IF($A261="","",IF($A261='Client Report'!$C$4,COUNTIFS($A$6:$A261,'Client Report'!$C$4),""))</f>
        <v/>
      </c>
    </row>
    <row r="262" customFormat="false" ht="15" hidden="false" customHeight="false" outlineLevel="0" collapsed="false">
      <c r="A262" s="11"/>
      <c r="B262" s="11"/>
      <c r="C262" s="14" t="str">
        <f aca="false">IF($B262="","",IFERROR(TRIM(LEFT($B262,FIND(" - ",$B262)-1)),"Others"))</f>
        <v/>
      </c>
      <c r="D262" s="11"/>
      <c r="E262" s="11"/>
      <c r="F262" s="12"/>
      <c r="G262" s="21"/>
      <c r="H262" s="21"/>
      <c r="I262" s="21"/>
      <c r="J262" s="21"/>
      <c r="K262" s="21"/>
      <c r="L262" s="21"/>
      <c r="M262" s="21"/>
      <c r="N262" s="22"/>
      <c r="O262" s="22"/>
      <c r="P262" s="17" t="str">
        <f aca="false">IF($A262="","",SUM($G262:$I262))</f>
        <v/>
      </c>
      <c r="Q262" s="17" t="str">
        <f aca="false">IF($A262="","",SUM($J262:$L262))</f>
        <v/>
      </c>
      <c r="R262" s="17" t="str">
        <f aca="false">IF($A262="","",($M262+$Q262)-$P262)</f>
        <v/>
      </c>
      <c r="S262" s="18" t="str">
        <f aca="false">IF(OR($A262="",$P262=0),"",$R262/$P262)</f>
        <v/>
      </c>
      <c r="T262" s="23"/>
      <c r="U262" s="14" t="str">
        <f aca="false">IF($A262="","",IF($M262&gt;0,"Live","Exited"))</f>
        <v/>
      </c>
      <c r="V262" s="20" t="str">
        <f aca="false">IF($A262="","",IF($A262='Client Report'!$C$4,COUNTIFS($A$6:$A262,'Client Report'!$C$4),""))</f>
        <v/>
      </c>
    </row>
    <row r="263" customFormat="false" ht="15" hidden="false" customHeight="false" outlineLevel="0" collapsed="false">
      <c r="A263" s="11"/>
      <c r="B263" s="11"/>
      <c r="C263" s="14" t="str">
        <f aca="false">IF($B263="","",IFERROR(TRIM(LEFT($B263,FIND(" - ",$B263)-1)),"Others"))</f>
        <v/>
      </c>
      <c r="D263" s="11"/>
      <c r="E263" s="11"/>
      <c r="F263" s="12"/>
      <c r="G263" s="21"/>
      <c r="H263" s="21"/>
      <c r="I263" s="21"/>
      <c r="J263" s="21"/>
      <c r="K263" s="21"/>
      <c r="L263" s="21"/>
      <c r="M263" s="21"/>
      <c r="N263" s="22"/>
      <c r="O263" s="22"/>
      <c r="P263" s="17" t="str">
        <f aca="false">IF($A263="","",SUM($G263:$I263))</f>
        <v/>
      </c>
      <c r="Q263" s="17" t="str">
        <f aca="false">IF($A263="","",SUM($J263:$L263))</f>
        <v/>
      </c>
      <c r="R263" s="17" t="str">
        <f aca="false">IF($A263="","",($M263+$Q263)-$P263)</f>
        <v/>
      </c>
      <c r="S263" s="18" t="str">
        <f aca="false">IF(OR($A263="",$P263=0),"",$R263/$P263)</f>
        <v/>
      </c>
      <c r="T263" s="23"/>
      <c r="U263" s="14" t="str">
        <f aca="false">IF($A263="","",IF($M263&gt;0,"Live","Exited"))</f>
        <v/>
      </c>
      <c r="V263" s="20" t="str">
        <f aca="false">IF($A263="","",IF($A263='Client Report'!$C$4,COUNTIFS($A$6:$A263,'Client Report'!$C$4),""))</f>
        <v/>
      </c>
    </row>
    <row r="264" customFormat="false" ht="15" hidden="false" customHeight="false" outlineLevel="0" collapsed="false">
      <c r="A264" s="11"/>
      <c r="B264" s="11"/>
      <c r="C264" s="14" t="str">
        <f aca="false">IF($B264="","",IFERROR(TRIM(LEFT($B264,FIND(" - ",$B264)-1)),"Others"))</f>
        <v/>
      </c>
      <c r="D264" s="11"/>
      <c r="E264" s="11"/>
      <c r="F264" s="12"/>
      <c r="G264" s="21"/>
      <c r="H264" s="21"/>
      <c r="I264" s="21"/>
      <c r="J264" s="21"/>
      <c r="K264" s="21"/>
      <c r="L264" s="21"/>
      <c r="M264" s="21"/>
      <c r="N264" s="22"/>
      <c r="O264" s="22"/>
      <c r="P264" s="17" t="str">
        <f aca="false">IF($A264="","",SUM($G264:$I264))</f>
        <v/>
      </c>
      <c r="Q264" s="17" t="str">
        <f aca="false">IF($A264="","",SUM($J264:$L264))</f>
        <v/>
      </c>
      <c r="R264" s="17" t="str">
        <f aca="false">IF($A264="","",($M264+$Q264)-$P264)</f>
        <v/>
      </c>
      <c r="S264" s="18" t="str">
        <f aca="false">IF(OR($A264="",$P264=0),"",$R264/$P264)</f>
        <v/>
      </c>
      <c r="T264" s="23"/>
      <c r="U264" s="14" t="str">
        <f aca="false">IF($A264="","",IF($M264&gt;0,"Live","Exited"))</f>
        <v/>
      </c>
      <c r="V264" s="20" t="str">
        <f aca="false">IF($A264="","",IF($A264='Client Report'!$C$4,COUNTIFS($A$6:$A264,'Client Report'!$C$4),""))</f>
        <v/>
      </c>
    </row>
    <row r="265" customFormat="false" ht="15" hidden="false" customHeight="false" outlineLevel="0" collapsed="false">
      <c r="A265" s="11"/>
      <c r="B265" s="11"/>
      <c r="C265" s="14" t="str">
        <f aca="false">IF($B265="","",IFERROR(TRIM(LEFT($B265,FIND(" - ",$B265)-1)),"Others"))</f>
        <v/>
      </c>
      <c r="D265" s="11"/>
      <c r="E265" s="11"/>
      <c r="F265" s="12"/>
      <c r="G265" s="21"/>
      <c r="H265" s="21"/>
      <c r="I265" s="21"/>
      <c r="J265" s="21"/>
      <c r="K265" s="21"/>
      <c r="L265" s="21"/>
      <c r="M265" s="21"/>
      <c r="N265" s="22"/>
      <c r="O265" s="22"/>
      <c r="P265" s="17" t="str">
        <f aca="false">IF($A265="","",SUM($G265:$I265))</f>
        <v/>
      </c>
      <c r="Q265" s="17" t="str">
        <f aca="false">IF($A265="","",SUM($J265:$L265))</f>
        <v/>
      </c>
      <c r="R265" s="17" t="str">
        <f aca="false">IF($A265="","",($M265+$Q265)-$P265)</f>
        <v/>
      </c>
      <c r="S265" s="18" t="str">
        <f aca="false">IF(OR($A265="",$P265=0),"",$R265/$P265)</f>
        <v/>
      </c>
      <c r="T265" s="23"/>
      <c r="U265" s="14" t="str">
        <f aca="false">IF($A265="","",IF($M265&gt;0,"Live","Exited"))</f>
        <v/>
      </c>
      <c r="V265" s="20" t="str">
        <f aca="false">IF($A265="","",IF($A265='Client Report'!$C$4,COUNTIFS($A$6:$A265,'Client Report'!$C$4),""))</f>
        <v/>
      </c>
    </row>
    <row r="266" customFormat="false" ht="15" hidden="false" customHeight="false" outlineLevel="0" collapsed="false">
      <c r="A266" s="11"/>
      <c r="B266" s="11"/>
      <c r="C266" s="14" t="str">
        <f aca="false">IF($B266="","",IFERROR(TRIM(LEFT($B266,FIND(" - ",$B266)-1)),"Others"))</f>
        <v/>
      </c>
      <c r="D266" s="11"/>
      <c r="E266" s="11"/>
      <c r="F266" s="12"/>
      <c r="G266" s="21"/>
      <c r="H266" s="21"/>
      <c r="I266" s="21"/>
      <c r="J266" s="21"/>
      <c r="K266" s="21"/>
      <c r="L266" s="21"/>
      <c r="M266" s="21"/>
      <c r="N266" s="22"/>
      <c r="O266" s="22"/>
      <c r="P266" s="17" t="str">
        <f aca="false">IF($A266="","",SUM($G266:$I266))</f>
        <v/>
      </c>
      <c r="Q266" s="17" t="str">
        <f aca="false">IF($A266="","",SUM($J266:$L266))</f>
        <v/>
      </c>
      <c r="R266" s="17" t="str">
        <f aca="false">IF($A266="","",($M266+$Q266)-$P266)</f>
        <v/>
      </c>
      <c r="S266" s="18" t="str">
        <f aca="false">IF(OR($A266="",$P266=0),"",$R266/$P266)</f>
        <v/>
      </c>
      <c r="T266" s="23"/>
      <c r="U266" s="14" t="str">
        <f aca="false">IF($A266="","",IF($M266&gt;0,"Live","Exited"))</f>
        <v/>
      </c>
      <c r="V266" s="20" t="str">
        <f aca="false">IF($A266="","",IF($A266='Client Report'!$C$4,COUNTIFS($A$6:$A266,'Client Report'!$C$4),""))</f>
        <v/>
      </c>
    </row>
    <row r="267" customFormat="false" ht="15" hidden="false" customHeight="false" outlineLevel="0" collapsed="false">
      <c r="A267" s="11"/>
      <c r="B267" s="11"/>
      <c r="C267" s="14" t="str">
        <f aca="false">IF($B267="","",IFERROR(TRIM(LEFT($B267,FIND(" - ",$B267)-1)),"Others"))</f>
        <v/>
      </c>
      <c r="D267" s="11"/>
      <c r="E267" s="11"/>
      <c r="F267" s="12"/>
      <c r="G267" s="21"/>
      <c r="H267" s="21"/>
      <c r="I267" s="21"/>
      <c r="J267" s="21"/>
      <c r="K267" s="21"/>
      <c r="L267" s="21"/>
      <c r="M267" s="21"/>
      <c r="N267" s="22"/>
      <c r="O267" s="22"/>
      <c r="P267" s="17" t="str">
        <f aca="false">IF($A267="","",SUM($G267:$I267))</f>
        <v/>
      </c>
      <c r="Q267" s="17" t="str">
        <f aca="false">IF($A267="","",SUM($J267:$L267))</f>
        <v/>
      </c>
      <c r="R267" s="17" t="str">
        <f aca="false">IF($A267="","",($M267+$Q267)-$P267)</f>
        <v/>
      </c>
      <c r="S267" s="18" t="str">
        <f aca="false">IF(OR($A267="",$P267=0),"",$R267/$P267)</f>
        <v/>
      </c>
      <c r="T267" s="23"/>
      <c r="U267" s="14" t="str">
        <f aca="false">IF($A267="","",IF($M267&gt;0,"Live","Exited"))</f>
        <v/>
      </c>
      <c r="V267" s="20" t="str">
        <f aca="false">IF($A267="","",IF($A267='Client Report'!$C$4,COUNTIFS($A$6:$A267,'Client Report'!$C$4),""))</f>
        <v/>
      </c>
    </row>
    <row r="268" customFormat="false" ht="15" hidden="false" customHeight="false" outlineLevel="0" collapsed="false">
      <c r="A268" s="11"/>
      <c r="B268" s="11"/>
      <c r="C268" s="14" t="str">
        <f aca="false">IF($B268="","",IFERROR(TRIM(LEFT($B268,FIND(" - ",$B268)-1)),"Others"))</f>
        <v/>
      </c>
      <c r="D268" s="11"/>
      <c r="E268" s="11"/>
      <c r="F268" s="12"/>
      <c r="G268" s="21"/>
      <c r="H268" s="21"/>
      <c r="I268" s="21"/>
      <c r="J268" s="21"/>
      <c r="K268" s="21"/>
      <c r="L268" s="21"/>
      <c r="M268" s="21"/>
      <c r="N268" s="22"/>
      <c r="O268" s="22"/>
      <c r="P268" s="17" t="str">
        <f aca="false">IF($A268="","",SUM($G268:$I268))</f>
        <v/>
      </c>
      <c r="Q268" s="17" t="str">
        <f aca="false">IF($A268="","",SUM($J268:$L268))</f>
        <v/>
      </c>
      <c r="R268" s="17" t="str">
        <f aca="false">IF($A268="","",($M268+$Q268)-$P268)</f>
        <v/>
      </c>
      <c r="S268" s="18" t="str">
        <f aca="false">IF(OR($A268="",$P268=0),"",$R268/$P268)</f>
        <v/>
      </c>
      <c r="T268" s="23"/>
      <c r="U268" s="14" t="str">
        <f aca="false">IF($A268="","",IF($M268&gt;0,"Live","Exited"))</f>
        <v/>
      </c>
      <c r="V268" s="20" t="str">
        <f aca="false">IF($A268="","",IF($A268='Client Report'!$C$4,COUNTIFS($A$6:$A268,'Client Report'!$C$4),""))</f>
        <v/>
      </c>
    </row>
    <row r="269" customFormat="false" ht="15" hidden="false" customHeight="false" outlineLevel="0" collapsed="false">
      <c r="A269" s="11"/>
      <c r="B269" s="11"/>
      <c r="C269" s="14" t="str">
        <f aca="false">IF($B269="","",IFERROR(TRIM(LEFT($B269,FIND(" - ",$B269)-1)),"Others"))</f>
        <v/>
      </c>
      <c r="D269" s="11"/>
      <c r="E269" s="11"/>
      <c r="F269" s="12"/>
      <c r="G269" s="21"/>
      <c r="H269" s="21"/>
      <c r="I269" s="21"/>
      <c r="J269" s="21"/>
      <c r="K269" s="21"/>
      <c r="L269" s="21"/>
      <c r="M269" s="21"/>
      <c r="N269" s="22"/>
      <c r="O269" s="22"/>
      <c r="P269" s="17" t="str">
        <f aca="false">IF($A269="","",SUM($G269:$I269))</f>
        <v/>
      </c>
      <c r="Q269" s="17" t="str">
        <f aca="false">IF($A269="","",SUM($J269:$L269))</f>
        <v/>
      </c>
      <c r="R269" s="17" t="str">
        <f aca="false">IF($A269="","",($M269+$Q269)-$P269)</f>
        <v/>
      </c>
      <c r="S269" s="18" t="str">
        <f aca="false">IF(OR($A269="",$P269=0),"",$R269/$P269)</f>
        <v/>
      </c>
      <c r="T269" s="23"/>
      <c r="U269" s="14" t="str">
        <f aca="false">IF($A269="","",IF($M269&gt;0,"Live","Exited"))</f>
        <v/>
      </c>
      <c r="V269" s="20" t="str">
        <f aca="false">IF($A269="","",IF($A269='Client Report'!$C$4,COUNTIFS($A$6:$A269,'Client Report'!$C$4),""))</f>
        <v/>
      </c>
    </row>
    <row r="270" customFormat="false" ht="15" hidden="false" customHeight="false" outlineLevel="0" collapsed="false">
      <c r="A270" s="11"/>
      <c r="B270" s="11"/>
      <c r="C270" s="14" t="str">
        <f aca="false">IF($B270="","",IFERROR(TRIM(LEFT($B270,FIND(" - ",$B270)-1)),"Others"))</f>
        <v/>
      </c>
      <c r="D270" s="11"/>
      <c r="E270" s="11"/>
      <c r="F270" s="12"/>
      <c r="G270" s="21"/>
      <c r="H270" s="21"/>
      <c r="I270" s="21"/>
      <c r="J270" s="21"/>
      <c r="K270" s="21"/>
      <c r="L270" s="21"/>
      <c r="M270" s="21"/>
      <c r="N270" s="22"/>
      <c r="O270" s="22"/>
      <c r="P270" s="17" t="str">
        <f aca="false">IF($A270="","",SUM($G270:$I270))</f>
        <v/>
      </c>
      <c r="Q270" s="17" t="str">
        <f aca="false">IF($A270="","",SUM($J270:$L270))</f>
        <v/>
      </c>
      <c r="R270" s="17" t="str">
        <f aca="false">IF($A270="","",($M270+$Q270)-$P270)</f>
        <v/>
      </c>
      <c r="S270" s="18" t="str">
        <f aca="false">IF(OR($A270="",$P270=0),"",$R270/$P270)</f>
        <v/>
      </c>
      <c r="T270" s="23"/>
      <c r="U270" s="14" t="str">
        <f aca="false">IF($A270="","",IF($M270&gt;0,"Live","Exited"))</f>
        <v/>
      </c>
      <c r="V270" s="20" t="str">
        <f aca="false">IF($A270="","",IF($A270='Client Report'!$C$4,COUNTIFS($A$6:$A270,'Client Report'!$C$4),""))</f>
        <v/>
      </c>
    </row>
    <row r="271" customFormat="false" ht="15" hidden="false" customHeight="false" outlineLevel="0" collapsed="false">
      <c r="A271" s="11"/>
      <c r="B271" s="11"/>
      <c r="C271" s="14" t="str">
        <f aca="false">IF($B271="","",IFERROR(TRIM(LEFT($B271,FIND(" - ",$B271)-1)),"Others"))</f>
        <v/>
      </c>
      <c r="D271" s="11"/>
      <c r="E271" s="11"/>
      <c r="F271" s="12"/>
      <c r="G271" s="21"/>
      <c r="H271" s="21"/>
      <c r="I271" s="21"/>
      <c r="J271" s="21"/>
      <c r="K271" s="21"/>
      <c r="L271" s="21"/>
      <c r="M271" s="21"/>
      <c r="N271" s="22"/>
      <c r="O271" s="22"/>
      <c r="P271" s="17" t="str">
        <f aca="false">IF($A271="","",SUM($G271:$I271))</f>
        <v/>
      </c>
      <c r="Q271" s="17" t="str">
        <f aca="false">IF($A271="","",SUM($J271:$L271))</f>
        <v/>
      </c>
      <c r="R271" s="17" t="str">
        <f aca="false">IF($A271="","",($M271+$Q271)-$P271)</f>
        <v/>
      </c>
      <c r="S271" s="18" t="str">
        <f aca="false">IF(OR($A271="",$P271=0),"",$R271/$P271)</f>
        <v/>
      </c>
      <c r="T271" s="23"/>
      <c r="U271" s="14" t="str">
        <f aca="false">IF($A271="","",IF($M271&gt;0,"Live","Exited"))</f>
        <v/>
      </c>
      <c r="V271" s="20" t="str">
        <f aca="false">IF($A271="","",IF($A271='Client Report'!$C$4,COUNTIFS($A$6:$A271,'Client Report'!$C$4),""))</f>
        <v/>
      </c>
    </row>
    <row r="272" customFormat="false" ht="15" hidden="false" customHeight="false" outlineLevel="0" collapsed="false">
      <c r="A272" s="11"/>
      <c r="B272" s="11"/>
      <c r="C272" s="14" t="str">
        <f aca="false">IF($B272="","",IFERROR(TRIM(LEFT($B272,FIND(" - ",$B272)-1)),"Others"))</f>
        <v/>
      </c>
      <c r="D272" s="11"/>
      <c r="E272" s="11"/>
      <c r="F272" s="12"/>
      <c r="G272" s="21"/>
      <c r="H272" s="21"/>
      <c r="I272" s="21"/>
      <c r="J272" s="21"/>
      <c r="K272" s="21"/>
      <c r="L272" s="21"/>
      <c r="M272" s="21"/>
      <c r="N272" s="22"/>
      <c r="O272" s="22"/>
      <c r="P272" s="17" t="str">
        <f aca="false">IF($A272="","",SUM($G272:$I272))</f>
        <v/>
      </c>
      <c r="Q272" s="17" t="str">
        <f aca="false">IF($A272="","",SUM($J272:$L272))</f>
        <v/>
      </c>
      <c r="R272" s="17" t="str">
        <f aca="false">IF($A272="","",($M272+$Q272)-$P272)</f>
        <v/>
      </c>
      <c r="S272" s="18" t="str">
        <f aca="false">IF(OR($A272="",$P272=0),"",$R272/$P272)</f>
        <v/>
      </c>
      <c r="T272" s="23"/>
      <c r="U272" s="14" t="str">
        <f aca="false">IF($A272="","",IF($M272&gt;0,"Live","Exited"))</f>
        <v/>
      </c>
      <c r="V272" s="20" t="str">
        <f aca="false">IF($A272="","",IF($A272='Client Report'!$C$4,COUNTIFS($A$6:$A272,'Client Report'!$C$4),""))</f>
        <v/>
      </c>
    </row>
    <row r="273" customFormat="false" ht="15" hidden="false" customHeight="false" outlineLevel="0" collapsed="false">
      <c r="A273" s="11"/>
      <c r="B273" s="11"/>
      <c r="C273" s="14" t="str">
        <f aca="false">IF($B273="","",IFERROR(TRIM(LEFT($B273,FIND(" - ",$B273)-1)),"Others"))</f>
        <v/>
      </c>
      <c r="D273" s="11"/>
      <c r="E273" s="11"/>
      <c r="F273" s="12"/>
      <c r="G273" s="21"/>
      <c r="H273" s="21"/>
      <c r="I273" s="21"/>
      <c r="J273" s="21"/>
      <c r="K273" s="21"/>
      <c r="L273" s="21"/>
      <c r="M273" s="21"/>
      <c r="N273" s="22"/>
      <c r="O273" s="22"/>
      <c r="P273" s="17" t="str">
        <f aca="false">IF($A273="","",SUM($G273:$I273))</f>
        <v/>
      </c>
      <c r="Q273" s="17" t="str">
        <f aca="false">IF($A273="","",SUM($J273:$L273))</f>
        <v/>
      </c>
      <c r="R273" s="17" t="str">
        <f aca="false">IF($A273="","",($M273+$Q273)-$P273)</f>
        <v/>
      </c>
      <c r="S273" s="18" t="str">
        <f aca="false">IF(OR($A273="",$P273=0),"",$R273/$P273)</f>
        <v/>
      </c>
      <c r="T273" s="23"/>
      <c r="U273" s="14" t="str">
        <f aca="false">IF($A273="","",IF($M273&gt;0,"Live","Exited"))</f>
        <v/>
      </c>
      <c r="V273" s="20" t="str">
        <f aca="false">IF($A273="","",IF($A273='Client Report'!$C$4,COUNTIFS($A$6:$A273,'Client Report'!$C$4),""))</f>
        <v/>
      </c>
    </row>
    <row r="274" customFormat="false" ht="15" hidden="false" customHeight="false" outlineLevel="0" collapsed="false">
      <c r="A274" s="11"/>
      <c r="B274" s="11"/>
      <c r="C274" s="14" t="str">
        <f aca="false">IF($B274="","",IFERROR(TRIM(LEFT($B274,FIND(" - ",$B274)-1)),"Others"))</f>
        <v/>
      </c>
      <c r="D274" s="11"/>
      <c r="E274" s="11"/>
      <c r="F274" s="12"/>
      <c r="G274" s="21"/>
      <c r="H274" s="21"/>
      <c r="I274" s="21"/>
      <c r="J274" s="21"/>
      <c r="K274" s="21"/>
      <c r="L274" s="21"/>
      <c r="M274" s="21"/>
      <c r="N274" s="22"/>
      <c r="O274" s="22"/>
      <c r="P274" s="17" t="str">
        <f aca="false">IF($A274="","",SUM($G274:$I274))</f>
        <v/>
      </c>
      <c r="Q274" s="17" t="str">
        <f aca="false">IF($A274="","",SUM($J274:$L274))</f>
        <v/>
      </c>
      <c r="R274" s="17" t="str">
        <f aca="false">IF($A274="","",($M274+$Q274)-$P274)</f>
        <v/>
      </c>
      <c r="S274" s="18" t="str">
        <f aca="false">IF(OR($A274="",$P274=0),"",$R274/$P274)</f>
        <v/>
      </c>
      <c r="T274" s="23"/>
      <c r="U274" s="14" t="str">
        <f aca="false">IF($A274="","",IF($M274&gt;0,"Live","Exited"))</f>
        <v/>
      </c>
      <c r="V274" s="20" t="str">
        <f aca="false">IF($A274="","",IF($A274='Client Report'!$C$4,COUNTIFS($A$6:$A274,'Client Report'!$C$4),""))</f>
        <v/>
      </c>
    </row>
    <row r="275" customFormat="false" ht="15" hidden="false" customHeight="false" outlineLevel="0" collapsed="false">
      <c r="A275" s="11"/>
      <c r="B275" s="11"/>
      <c r="C275" s="14" t="str">
        <f aca="false">IF($B275="","",IFERROR(TRIM(LEFT($B275,FIND(" - ",$B275)-1)),"Others"))</f>
        <v/>
      </c>
      <c r="D275" s="11"/>
      <c r="E275" s="11"/>
      <c r="F275" s="12"/>
      <c r="G275" s="21"/>
      <c r="H275" s="21"/>
      <c r="I275" s="21"/>
      <c r="J275" s="21"/>
      <c r="K275" s="21"/>
      <c r="L275" s="21"/>
      <c r="M275" s="21"/>
      <c r="N275" s="22"/>
      <c r="O275" s="22"/>
      <c r="P275" s="17" t="str">
        <f aca="false">IF($A275="","",SUM($G275:$I275))</f>
        <v/>
      </c>
      <c r="Q275" s="17" t="str">
        <f aca="false">IF($A275="","",SUM($J275:$L275))</f>
        <v/>
      </c>
      <c r="R275" s="17" t="str">
        <f aca="false">IF($A275="","",($M275+$Q275)-$P275)</f>
        <v/>
      </c>
      <c r="S275" s="18" t="str">
        <f aca="false">IF(OR($A275="",$P275=0),"",$R275/$P275)</f>
        <v/>
      </c>
      <c r="T275" s="23"/>
      <c r="U275" s="14" t="str">
        <f aca="false">IF($A275="","",IF($M275&gt;0,"Live","Exited"))</f>
        <v/>
      </c>
      <c r="V275" s="20" t="str">
        <f aca="false">IF($A275="","",IF($A275='Client Report'!$C$4,COUNTIFS($A$6:$A275,'Client Report'!$C$4),""))</f>
        <v/>
      </c>
    </row>
    <row r="276" customFormat="false" ht="15" hidden="false" customHeight="false" outlineLevel="0" collapsed="false">
      <c r="A276" s="11"/>
      <c r="B276" s="11"/>
      <c r="C276" s="14" t="str">
        <f aca="false">IF($B276="","",IFERROR(TRIM(LEFT($B276,FIND(" - ",$B276)-1)),"Others"))</f>
        <v/>
      </c>
      <c r="D276" s="11"/>
      <c r="E276" s="11"/>
      <c r="F276" s="12"/>
      <c r="G276" s="21"/>
      <c r="H276" s="21"/>
      <c r="I276" s="21"/>
      <c r="J276" s="21"/>
      <c r="K276" s="21"/>
      <c r="L276" s="21"/>
      <c r="M276" s="21"/>
      <c r="N276" s="22"/>
      <c r="O276" s="22"/>
      <c r="P276" s="17" t="str">
        <f aca="false">IF($A276="","",SUM($G276:$I276))</f>
        <v/>
      </c>
      <c r="Q276" s="17" t="str">
        <f aca="false">IF($A276="","",SUM($J276:$L276))</f>
        <v/>
      </c>
      <c r="R276" s="17" t="str">
        <f aca="false">IF($A276="","",($M276+$Q276)-$P276)</f>
        <v/>
      </c>
      <c r="S276" s="18" t="str">
        <f aca="false">IF(OR($A276="",$P276=0),"",$R276/$P276)</f>
        <v/>
      </c>
      <c r="T276" s="23"/>
      <c r="U276" s="14" t="str">
        <f aca="false">IF($A276="","",IF($M276&gt;0,"Live","Exited"))</f>
        <v/>
      </c>
      <c r="V276" s="20" t="str">
        <f aca="false">IF($A276="","",IF($A276='Client Report'!$C$4,COUNTIFS($A$6:$A276,'Client Report'!$C$4),""))</f>
        <v/>
      </c>
    </row>
    <row r="277" customFormat="false" ht="15" hidden="false" customHeight="false" outlineLevel="0" collapsed="false">
      <c r="A277" s="11"/>
      <c r="B277" s="11"/>
      <c r="C277" s="14" t="str">
        <f aca="false">IF($B277="","",IFERROR(TRIM(LEFT($B277,FIND(" - ",$B277)-1)),"Others"))</f>
        <v/>
      </c>
      <c r="D277" s="11"/>
      <c r="E277" s="11"/>
      <c r="F277" s="12"/>
      <c r="G277" s="21"/>
      <c r="H277" s="21"/>
      <c r="I277" s="21"/>
      <c r="J277" s="21"/>
      <c r="K277" s="21"/>
      <c r="L277" s="21"/>
      <c r="M277" s="21"/>
      <c r="N277" s="22"/>
      <c r="O277" s="22"/>
      <c r="P277" s="17" t="str">
        <f aca="false">IF($A277="","",SUM($G277:$I277))</f>
        <v/>
      </c>
      <c r="Q277" s="17" t="str">
        <f aca="false">IF($A277="","",SUM($J277:$L277))</f>
        <v/>
      </c>
      <c r="R277" s="17" t="str">
        <f aca="false">IF($A277="","",($M277+$Q277)-$P277)</f>
        <v/>
      </c>
      <c r="S277" s="18" t="str">
        <f aca="false">IF(OR($A277="",$P277=0),"",$R277/$P277)</f>
        <v/>
      </c>
      <c r="T277" s="23"/>
      <c r="U277" s="14" t="str">
        <f aca="false">IF($A277="","",IF($M277&gt;0,"Live","Exited"))</f>
        <v/>
      </c>
      <c r="V277" s="20" t="str">
        <f aca="false">IF($A277="","",IF($A277='Client Report'!$C$4,COUNTIFS($A$6:$A277,'Client Report'!$C$4),""))</f>
        <v/>
      </c>
    </row>
    <row r="278" customFormat="false" ht="15" hidden="false" customHeight="false" outlineLevel="0" collapsed="false">
      <c r="A278" s="11"/>
      <c r="B278" s="11"/>
      <c r="C278" s="14" t="str">
        <f aca="false">IF($B278="","",IFERROR(TRIM(LEFT($B278,FIND(" - ",$B278)-1)),"Others"))</f>
        <v/>
      </c>
      <c r="D278" s="11"/>
      <c r="E278" s="11"/>
      <c r="F278" s="12"/>
      <c r="G278" s="21"/>
      <c r="H278" s="21"/>
      <c r="I278" s="21"/>
      <c r="J278" s="21"/>
      <c r="K278" s="21"/>
      <c r="L278" s="21"/>
      <c r="M278" s="21"/>
      <c r="N278" s="22"/>
      <c r="O278" s="22"/>
      <c r="P278" s="17" t="str">
        <f aca="false">IF($A278="","",SUM($G278:$I278))</f>
        <v/>
      </c>
      <c r="Q278" s="17" t="str">
        <f aca="false">IF($A278="","",SUM($J278:$L278))</f>
        <v/>
      </c>
      <c r="R278" s="17" t="str">
        <f aca="false">IF($A278="","",($M278+$Q278)-$P278)</f>
        <v/>
      </c>
      <c r="S278" s="18" t="str">
        <f aca="false">IF(OR($A278="",$P278=0),"",$R278/$P278)</f>
        <v/>
      </c>
      <c r="T278" s="23"/>
      <c r="U278" s="14" t="str">
        <f aca="false">IF($A278="","",IF($M278&gt;0,"Live","Exited"))</f>
        <v/>
      </c>
      <c r="V278" s="20" t="str">
        <f aca="false">IF($A278="","",IF($A278='Client Report'!$C$4,COUNTIFS($A$6:$A278,'Client Report'!$C$4),""))</f>
        <v/>
      </c>
    </row>
    <row r="279" customFormat="false" ht="15" hidden="false" customHeight="false" outlineLevel="0" collapsed="false">
      <c r="A279" s="11"/>
      <c r="B279" s="11"/>
      <c r="C279" s="14" t="str">
        <f aca="false">IF($B279="","",IFERROR(TRIM(LEFT($B279,FIND(" - ",$B279)-1)),"Others"))</f>
        <v/>
      </c>
      <c r="D279" s="11"/>
      <c r="E279" s="11"/>
      <c r="F279" s="12"/>
      <c r="G279" s="21"/>
      <c r="H279" s="21"/>
      <c r="I279" s="21"/>
      <c r="J279" s="21"/>
      <c r="K279" s="21"/>
      <c r="L279" s="21"/>
      <c r="M279" s="21"/>
      <c r="N279" s="22"/>
      <c r="O279" s="22"/>
      <c r="P279" s="17" t="str">
        <f aca="false">IF($A279="","",SUM($G279:$I279))</f>
        <v/>
      </c>
      <c r="Q279" s="17" t="str">
        <f aca="false">IF($A279="","",SUM($J279:$L279))</f>
        <v/>
      </c>
      <c r="R279" s="17" t="str">
        <f aca="false">IF($A279="","",($M279+$Q279)-$P279)</f>
        <v/>
      </c>
      <c r="S279" s="18" t="str">
        <f aca="false">IF(OR($A279="",$P279=0),"",$R279/$P279)</f>
        <v/>
      </c>
      <c r="T279" s="23"/>
      <c r="U279" s="14" t="str">
        <f aca="false">IF($A279="","",IF($M279&gt;0,"Live","Exited"))</f>
        <v/>
      </c>
      <c r="V279" s="20" t="str">
        <f aca="false">IF($A279="","",IF($A279='Client Report'!$C$4,COUNTIFS($A$6:$A279,'Client Report'!$C$4),""))</f>
        <v/>
      </c>
    </row>
    <row r="280" customFormat="false" ht="15" hidden="false" customHeight="false" outlineLevel="0" collapsed="false">
      <c r="A280" s="11"/>
      <c r="B280" s="11"/>
      <c r="C280" s="14" t="str">
        <f aca="false">IF($B280="","",IFERROR(TRIM(LEFT($B280,FIND(" - ",$B280)-1)),"Others"))</f>
        <v/>
      </c>
      <c r="D280" s="11"/>
      <c r="E280" s="11"/>
      <c r="F280" s="12"/>
      <c r="G280" s="21"/>
      <c r="H280" s="21"/>
      <c r="I280" s="21"/>
      <c r="J280" s="21"/>
      <c r="K280" s="21"/>
      <c r="L280" s="21"/>
      <c r="M280" s="21"/>
      <c r="N280" s="22"/>
      <c r="O280" s="22"/>
      <c r="P280" s="17" t="str">
        <f aca="false">IF($A280="","",SUM($G280:$I280))</f>
        <v/>
      </c>
      <c r="Q280" s="17" t="str">
        <f aca="false">IF($A280="","",SUM($J280:$L280))</f>
        <v/>
      </c>
      <c r="R280" s="17" t="str">
        <f aca="false">IF($A280="","",($M280+$Q280)-$P280)</f>
        <v/>
      </c>
      <c r="S280" s="18" t="str">
        <f aca="false">IF(OR($A280="",$P280=0),"",$R280/$P280)</f>
        <v/>
      </c>
      <c r="T280" s="23"/>
      <c r="U280" s="14" t="str">
        <f aca="false">IF($A280="","",IF($M280&gt;0,"Live","Exited"))</f>
        <v/>
      </c>
      <c r="V280" s="20" t="str">
        <f aca="false">IF($A280="","",IF($A280='Client Report'!$C$4,COUNTIFS($A$6:$A280,'Client Report'!$C$4),""))</f>
        <v/>
      </c>
    </row>
    <row r="281" customFormat="false" ht="15" hidden="false" customHeight="false" outlineLevel="0" collapsed="false">
      <c r="A281" s="11"/>
      <c r="B281" s="11"/>
      <c r="C281" s="14" t="str">
        <f aca="false">IF($B281="","",IFERROR(TRIM(LEFT($B281,FIND(" - ",$B281)-1)),"Others"))</f>
        <v/>
      </c>
      <c r="D281" s="11"/>
      <c r="E281" s="11"/>
      <c r="F281" s="12"/>
      <c r="G281" s="21"/>
      <c r="H281" s="21"/>
      <c r="I281" s="21"/>
      <c r="J281" s="21"/>
      <c r="K281" s="21"/>
      <c r="L281" s="21"/>
      <c r="M281" s="21"/>
      <c r="N281" s="22"/>
      <c r="O281" s="22"/>
      <c r="P281" s="17" t="str">
        <f aca="false">IF($A281="","",SUM($G281:$I281))</f>
        <v/>
      </c>
      <c r="Q281" s="17" t="str">
        <f aca="false">IF($A281="","",SUM($J281:$L281))</f>
        <v/>
      </c>
      <c r="R281" s="17" t="str">
        <f aca="false">IF($A281="","",($M281+$Q281)-$P281)</f>
        <v/>
      </c>
      <c r="S281" s="18" t="str">
        <f aca="false">IF(OR($A281="",$P281=0),"",$R281/$P281)</f>
        <v/>
      </c>
      <c r="T281" s="23"/>
      <c r="U281" s="14" t="str">
        <f aca="false">IF($A281="","",IF($M281&gt;0,"Live","Exited"))</f>
        <v/>
      </c>
      <c r="V281" s="20" t="str">
        <f aca="false">IF($A281="","",IF($A281='Client Report'!$C$4,COUNTIFS($A$6:$A281,'Client Report'!$C$4),""))</f>
        <v/>
      </c>
    </row>
    <row r="282" customFormat="false" ht="15" hidden="false" customHeight="false" outlineLevel="0" collapsed="false">
      <c r="A282" s="11"/>
      <c r="B282" s="11"/>
      <c r="C282" s="14" t="str">
        <f aca="false">IF($B282="","",IFERROR(TRIM(LEFT($B282,FIND(" - ",$B282)-1)),"Others"))</f>
        <v/>
      </c>
      <c r="D282" s="11"/>
      <c r="E282" s="11"/>
      <c r="F282" s="12"/>
      <c r="G282" s="21"/>
      <c r="H282" s="21"/>
      <c r="I282" s="21"/>
      <c r="J282" s="21"/>
      <c r="K282" s="21"/>
      <c r="L282" s="21"/>
      <c r="M282" s="21"/>
      <c r="N282" s="22"/>
      <c r="O282" s="22"/>
      <c r="P282" s="17" t="str">
        <f aca="false">IF($A282="","",SUM($G282:$I282))</f>
        <v/>
      </c>
      <c r="Q282" s="17" t="str">
        <f aca="false">IF($A282="","",SUM($J282:$L282))</f>
        <v/>
      </c>
      <c r="R282" s="17" t="str">
        <f aca="false">IF($A282="","",($M282+$Q282)-$P282)</f>
        <v/>
      </c>
      <c r="S282" s="18" t="str">
        <f aca="false">IF(OR($A282="",$P282=0),"",$R282/$P282)</f>
        <v/>
      </c>
      <c r="T282" s="23"/>
      <c r="U282" s="14" t="str">
        <f aca="false">IF($A282="","",IF($M282&gt;0,"Live","Exited"))</f>
        <v/>
      </c>
      <c r="V282" s="20" t="str">
        <f aca="false">IF($A282="","",IF($A282='Client Report'!$C$4,COUNTIFS($A$6:$A282,'Client Report'!$C$4),""))</f>
        <v/>
      </c>
    </row>
    <row r="283" customFormat="false" ht="15" hidden="false" customHeight="false" outlineLevel="0" collapsed="false">
      <c r="A283" s="11"/>
      <c r="B283" s="11"/>
      <c r="C283" s="14" t="str">
        <f aca="false">IF($B283="","",IFERROR(TRIM(LEFT($B283,FIND(" - ",$B283)-1)),"Others"))</f>
        <v/>
      </c>
      <c r="D283" s="11"/>
      <c r="E283" s="11"/>
      <c r="F283" s="12"/>
      <c r="G283" s="21"/>
      <c r="H283" s="21"/>
      <c r="I283" s="21"/>
      <c r="J283" s="21"/>
      <c r="K283" s="21"/>
      <c r="L283" s="21"/>
      <c r="M283" s="21"/>
      <c r="N283" s="22"/>
      <c r="O283" s="22"/>
      <c r="P283" s="17" t="str">
        <f aca="false">IF($A283="","",SUM($G283:$I283))</f>
        <v/>
      </c>
      <c r="Q283" s="17" t="str">
        <f aca="false">IF($A283="","",SUM($J283:$L283))</f>
        <v/>
      </c>
      <c r="R283" s="17" t="str">
        <f aca="false">IF($A283="","",($M283+$Q283)-$P283)</f>
        <v/>
      </c>
      <c r="S283" s="18" t="str">
        <f aca="false">IF(OR($A283="",$P283=0),"",$R283/$P283)</f>
        <v/>
      </c>
      <c r="T283" s="23"/>
      <c r="U283" s="14" t="str">
        <f aca="false">IF($A283="","",IF($M283&gt;0,"Live","Exited"))</f>
        <v/>
      </c>
      <c r="V283" s="20" t="str">
        <f aca="false">IF($A283="","",IF($A283='Client Report'!$C$4,COUNTIFS($A$6:$A283,'Client Report'!$C$4),""))</f>
        <v/>
      </c>
    </row>
    <row r="284" customFormat="false" ht="15" hidden="false" customHeight="false" outlineLevel="0" collapsed="false">
      <c r="A284" s="11"/>
      <c r="B284" s="11"/>
      <c r="C284" s="14" t="str">
        <f aca="false">IF($B284="","",IFERROR(TRIM(LEFT($B284,FIND(" - ",$B284)-1)),"Others"))</f>
        <v/>
      </c>
      <c r="D284" s="11"/>
      <c r="E284" s="11"/>
      <c r="F284" s="12"/>
      <c r="G284" s="21"/>
      <c r="H284" s="21"/>
      <c r="I284" s="21"/>
      <c r="J284" s="21"/>
      <c r="K284" s="21"/>
      <c r="L284" s="21"/>
      <c r="M284" s="21"/>
      <c r="N284" s="22"/>
      <c r="O284" s="22"/>
      <c r="P284" s="17" t="str">
        <f aca="false">IF($A284="","",SUM($G284:$I284))</f>
        <v/>
      </c>
      <c r="Q284" s="17" t="str">
        <f aca="false">IF($A284="","",SUM($J284:$L284))</f>
        <v/>
      </c>
      <c r="R284" s="17" t="str">
        <f aca="false">IF($A284="","",($M284+$Q284)-$P284)</f>
        <v/>
      </c>
      <c r="S284" s="18" t="str">
        <f aca="false">IF(OR($A284="",$P284=0),"",$R284/$P284)</f>
        <v/>
      </c>
      <c r="T284" s="23"/>
      <c r="U284" s="14" t="str">
        <f aca="false">IF($A284="","",IF($M284&gt;0,"Live","Exited"))</f>
        <v/>
      </c>
      <c r="V284" s="20" t="str">
        <f aca="false">IF($A284="","",IF($A284='Client Report'!$C$4,COUNTIFS($A$6:$A284,'Client Report'!$C$4),""))</f>
        <v/>
      </c>
    </row>
    <row r="285" customFormat="false" ht="15" hidden="false" customHeight="false" outlineLevel="0" collapsed="false">
      <c r="A285" s="11"/>
      <c r="B285" s="11"/>
      <c r="C285" s="14" t="str">
        <f aca="false">IF($B285="","",IFERROR(TRIM(LEFT($B285,FIND(" - ",$B285)-1)),"Others"))</f>
        <v/>
      </c>
      <c r="D285" s="11"/>
      <c r="E285" s="11"/>
      <c r="F285" s="12"/>
      <c r="G285" s="21"/>
      <c r="H285" s="21"/>
      <c r="I285" s="21"/>
      <c r="J285" s="21"/>
      <c r="K285" s="21"/>
      <c r="L285" s="21"/>
      <c r="M285" s="21"/>
      <c r="N285" s="22"/>
      <c r="O285" s="22"/>
      <c r="P285" s="17" t="str">
        <f aca="false">IF($A285="","",SUM($G285:$I285))</f>
        <v/>
      </c>
      <c r="Q285" s="17" t="str">
        <f aca="false">IF($A285="","",SUM($J285:$L285))</f>
        <v/>
      </c>
      <c r="R285" s="17" t="str">
        <f aca="false">IF($A285="","",($M285+$Q285)-$P285)</f>
        <v/>
      </c>
      <c r="S285" s="18" t="str">
        <f aca="false">IF(OR($A285="",$P285=0),"",$R285/$P285)</f>
        <v/>
      </c>
      <c r="T285" s="23"/>
      <c r="U285" s="14" t="str">
        <f aca="false">IF($A285="","",IF($M285&gt;0,"Live","Exited"))</f>
        <v/>
      </c>
      <c r="V285" s="20" t="str">
        <f aca="false">IF($A285="","",IF($A285='Client Report'!$C$4,COUNTIFS($A$6:$A285,'Client Report'!$C$4),""))</f>
        <v/>
      </c>
    </row>
    <row r="286" customFormat="false" ht="15" hidden="false" customHeight="false" outlineLevel="0" collapsed="false">
      <c r="A286" s="11"/>
      <c r="B286" s="11"/>
      <c r="C286" s="14" t="str">
        <f aca="false">IF($B286="","",IFERROR(TRIM(LEFT($B286,FIND(" - ",$B286)-1)),"Others"))</f>
        <v/>
      </c>
      <c r="D286" s="11"/>
      <c r="E286" s="11"/>
      <c r="F286" s="12"/>
      <c r="G286" s="21"/>
      <c r="H286" s="21"/>
      <c r="I286" s="21"/>
      <c r="J286" s="21"/>
      <c r="K286" s="21"/>
      <c r="L286" s="21"/>
      <c r="M286" s="21"/>
      <c r="N286" s="22"/>
      <c r="O286" s="22"/>
      <c r="P286" s="17" t="str">
        <f aca="false">IF($A286="","",SUM($G286:$I286))</f>
        <v/>
      </c>
      <c r="Q286" s="17" t="str">
        <f aca="false">IF($A286="","",SUM($J286:$L286))</f>
        <v/>
      </c>
      <c r="R286" s="17" t="str">
        <f aca="false">IF($A286="","",($M286+$Q286)-$P286)</f>
        <v/>
      </c>
      <c r="S286" s="18" t="str">
        <f aca="false">IF(OR($A286="",$P286=0),"",$R286/$P286)</f>
        <v/>
      </c>
      <c r="T286" s="23"/>
      <c r="U286" s="14" t="str">
        <f aca="false">IF($A286="","",IF($M286&gt;0,"Live","Exited"))</f>
        <v/>
      </c>
      <c r="V286" s="20" t="str">
        <f aca="false">IF($A286="","",IF($A286='Client Report'!$C$4,COUNTIFS($A$6:$A286,'Client Report'!$C$4),""))</f>
        <v/>
      </c>
    </row>
    <row r="287" customFormat="false" ht="15" hidden="false" customHeight="false" outlineLevel="0" collapsed="false">
      <c r="A287" s="11"/>
      <c r="B287" s="11"/>
      <c r="C287" s="14" t="str">
        <f aca="false">IF($B287="","",IFERROR(TRIM(LEFT($B287,FIND(" - ",$B287)-1)),"Others"))</f>
        <v/>
      </c>
      <c r="D287" s="11"/>
      <c r="E287" s="11"/>
      <c r="F287" s="12"/>
      <c r="G287" s="21"/>
      <c r="H287" s="21"/>
      <c r="I287" s="21"/>
      <c r="J287" s="21"/>
      <c r="K287" s="21"/>
      <c r="L287" s="21"/>
      <c r="M287" s="21"/>
      <c r="N287" s="22"/>
      <c r="O287" s="22"/>
      <c r="P287" s="17" t="str">
        <f aca="false">IF($A287="","",SUM($G287:$I287))</f>
        <v/>
      </c>
      <c r="Q287" s="17" t="str">
        <f aca="false">IF($A287="","",SUM($J287:$L287))</f>
        <v/>
      </c>
      <c r="R287" s="17" t="str">
        <f aca="false">IF($A287="","",($M287+$Q287)-$P287)</f>
        <v/>
      </c>
      <c r="S287" s="18" t="str">
        <f aca="false">IF(OR($A287="",$P287=0),"",$R287/$P287)</f>
        <v/>
      </c>
      <c r="T287" s="23"/>
      <c r="U287" s="14" t="str">
        <f aca="false">IF($A287="","",IF($M287&gt;0,"Live","Exited"))</f>
        <v/>
      </c>
      <c r="V287" s="20" t="str">
        <f aca="false">IF($A287="","",IF($A287='Client Report'!$C$4,COUNTIFS($A$6:$A287,'Client Report'!$C$4),""))</f>
        <v/>
      </c>
    </row>
    <row r="288" customFormat="false" ht="15" hidden="false" customHeight="false" outlineLevel="0" collapsed="false">
      <c r="A288" s="11"/>
      <c r="B288" s="11"/>
      <c r="C288" s="14" t="str">
        <f aca="false">IF($B288="","",IFERROR(TRIM(LEFT($B288,FIND(" - ",$B288)-1)),"Others"))</f>
        <v/>
      </c>
      <c r="D288" s="11"/>
      <c r="E288" s="11"/>
      <c r="F288" s="12"/>
      <c r="G288" s="21"/>
      <c r="H288" s="21"/>
      <c r="I288" s="21"/>
      <c r="J288" s="21"/>
      <c r="K288" s="21"/>
      <c r="L288" s="21"/>
      <c r="M288" s="21"/>
      <c r="N288" s="22"/>
      <c r="O288" s="22"/>
      <c r="P288" s="17" t="str">
        <f aca="false">IF($A288="","",SUM($G288:$I288))</f>
        <v/>
      </c>
      <c r="Q288" s="17" t="str">
        <f aca="false">IF($A288="","",SUM($J288:$L288))</f>
        <v/>
      </c>
      <c r="R288" s="17" t="str">
        <f aca="false">IF($A288="","",($M288+$Q288)-$P288)</f>
        <v/>
      </c>
      <c r="S288" s="18" t="str">
        <f aca="false">IF(OR($A288="",$P288=0),"",$R288/$P288)</f>
        <v/>
      </c>
      <c r="T288" s="23"/>
      <c r="U288" s="14" t="str">
        <f aca="false">IF($A288="","",IF($M288&gt;0,"Live","Exited"))</f>
        <v/>
      </c>
      <c r="V288" s="20" t="str">
        <f aca="false">IF($A288="","",IF($A288='Client Report'!$C$4,COUNTIFS($A$6:$A288,'Client Report'!$C$4),""))</f>
        <v/>
      </c>
    </row>
    <row r="289" customFormat="false" ht="15" hidden="false" customHeight="false" outlineLevel="0" collapsed="false">
      <c r="A289" s="11"/>
      <c r="B289" s="11"/>
      <c r="C289" s="14" t="str">
        <f aca="false">IF($B289="","",IFERROR(TRIM(LEFT($B289,FIND(" - ",$B289)-1)),"Others"))</f>
        <v/>
      </c>
      <c r="D289" s="11"/>
      <c r="E289" s="11"/>
      <c r="F289" s="12"/>
      <c r="G289" s="21"/>
      <c r="H289" s="21"/>
      <c r="I289" s="21"/>
      <c r="J289" s="21"/>
      <c r="K289" s="21"/>
      <c r="L289" s="21"/>
      <c r="M289" s="21"/>
      <c r="N289" s="22"/>
      <c r="O289" s="22"/>
      <c r="P289" s="17" t="str">
        <f aca="false">IF($A289="","",SUM($G289:$I289))</f>
        <v/>
      </c>
      <c r="Q289" s="17" t="str">
        <f aca="false">IF($A289="","",SUM($J289:$L289))</f>
        <v/>
      </c>
      <c r="R289" s="17" t="str">
        <f aca="false">IF($A289="","",($M289+$Q289)-$P289)</f>
        <v/>
      </c>
      <c r="S289" s="18" t="str">
        <f aca="false">IF(OR($A289="",$P289=0),"",$R289/$P289)</f>
        <v/>
      </c>
      <c r="T289" s="23"/>
      <c r="U289" s="14" t="str">
        <f aca="false">IF($A289="","",IF($M289&gt;0,"Live","Exited"))</f>
        <v/>
      </c>
      <c r="V289" s="20" t="str">
        <f aca="false">IF($A289="","",IF($A289='Client Report'!$C$4,COUNTIFS($A$6:$A289,'Client Report'!$C$4),""))</f>
        <v/>
      </c>
    </row>
    <row r="290" customFormat="false" ht="15" hidden="false" customHeight="false" outlineLevel="0" collapsed="false">
      <c r="A290" s="11"/>
      <c r="B290" s="11"/>
      <c r="C290" s="14" t="str">
        <f aca="false">IF($B290="","",IFERROR(TRIM(LEFT($B290,FIND(" - ",$B290)-1)),"Others"))</f>
        <v/>
      </c>
      <c r="D290" s="11"/>
      <c r="E290" s="11"/>
      <c r="F290" s="12"/>
      <c r="G290" s="21"/>
      <c r="H290" s="21"/>
      <c r="I290" s="21"/>
      <c r="J290" s="21"/>
      <c r="K290" s="21"/>
      <c r="L290" s="21"/>
      <c r="M290" s="21"/>
      <c r="N290" s="22"/>
      <c r="O290" s="22"/>
      <c r="P290" s="17" t="str">
        <f aca="false">IF($A290="","",SUM($G290:$I290))</f>
        <v/>
      </c>
      <c r="Q290" s="17" t="str">
        <f aca="false">IF($A290="","",SUM($J290:$L290))</f>
        <v/>
      </c>
      <c r="R290" s="17" t="str">
        <f aca="false">IF($A290="","",($M290+$Q290)-$P290)</f>
        <v/>
      </c>
      <c r="S290" s="18" t="str">
        <f aca="false">IF(OR($A290="",$P290=0),"",$R290/$P290)</f>
        <v/>
      </c>
      <c r="T290" s="23"/>
      <c r="U290" s="14" t="str">
        <f aca="false">IF($A290="","",IF($M290&gt;0,"Live","Exited"))</f>
        <v/>
      </c>
      <c r="V290" s="20" t="str">
        <f aca="false">IF($A290="","",IF($A290='Client Report'!$C$4,COUNTIFS($A$6:$A290,'Client Report'!$C$4),""))</f>
        <v/>
      </c>
    </row>
    <row r="291" customFormat="false" ht="15" hidden="false" customHeight="false" outlineLevel="0" collapsed="false">
      <c r="A291" s="11"/>
      <c r="B291" s="11"/>
      <c r="C291" s="14" t="str">
        <f aca="false">IF($B291="","",IFERROR(TRIM(LEFT($B291,FIND(" - ",$B291)-1)),"Others"))</f>
        <v/>
      </c>
      <c r="D291" s="11"/>
      <c r="E291" s="11"/>
      <c r="F291" s="12"/>
      <c r="G291" s="21"/>
      <c r="H291" s="21"/>
      <c r="I291" s="21"/>
      <c r="J291" s="21"/>
      <c r="K291" s="21"/>
      <c r="L291" s="21"/>
      <c r="M291" s="21"/>
      <c r="N291" s="22"/>
      <c r="O291" s="22"/>
      <c r="P291" s="17" t="str">
        <f aca="false">IF($A291="","",SUM($G291:$I291))</f>
        <v/>
      </c>
      <c r="Q291" s="17" t="str">
        <f aca="false">IF($A291="","",SUM($J291:$L291))</f>
        <v/>
      </c>
      <c r="R291" s="17" t="str">
        <f aca="false">IF($A291="","",($M291+$Q291)-$P291)</f>
        <v/>
      </c>
      <c r="S291" s="18" t="str">
        <f aca="false">IF(OR($A291="",$P291=0),"",$R291/$P291)</f>
        <v/>
      </c>
      <c r="T291" s="23"/>
      <c r="U291" s="14" t="str">
        <f aca="false">IF($A291="","",IF($M291&gt;0,"Live","Exited"))</f>
        <v/>
      </c>
      <c r="V291" s="20" t="str">
        <f aca="false">IF($A291="","",IF($A291='Client Report'!$C$4,COUNTIFS($A$6:$A291,'Client Report'!$C$4),""))</f>
        <v/>
      </c>
    </row>
    <row r="292" customFormat="false" ht="15" hidden="false" customHeight="false" outlineLevel="0" collapsed="false">
      <c r="A292" s="11"/>
      <c r="B292" s="11"/>
      <c r="C292" s="14" t="str">
        <f aca="false">IF($B292="","",IFERROR(TRIM(LEFT($B292,FIND(" - ",$B292)-1)),"Others"))</f>
        <v/>
      </c>
      <c r="D292" s="11"/>
      <c r="E292" s="11"/>
      <c r="F292" s="12"/>
      <c r="G292" s="21"/>
      <c r="H292" s="21"/>
      <c r="I292" s="21"/>
      <c r="J292" s="21"/>
      <c r="K292" s="21"/>
      <c r="L292" s="21"/>
      <c r="M292" s="21"/>
      <c r="N292" s="22"/>
      <c r="O292" s="22"/>
      <c r="P292" s="17" t="str">
        <f aca="false">IF($A292="","",SUM($G292:$I292))</f>
        <v/>
      </c>
      <c r="Q292" s="17" t="str">
        <f aca="false">IF($A292="","",SUM($J292:$L292))</f>
        <v/>
      </c>
      <c r="R292" s="17" t="str">
        <f aca="false">IF($A292="","",($M292+$Q292)-$P292)</f>
        <v/>
      </c>
      <c r="S292" s="18" t="str">
        <f aca="false">IF(OR($A292="",$P292=0),"",$R292/$P292)</f>
        <v/>
      </c>
      <c r="T292" s="23"/>
      <c r="U292" s="14" t="str">
        <f aca="false">IF($A292="","",IF($M292&gt;0,"Live","Exited"))</f>
        <v/>
      </c>
      <c r="V292" s="20" t="str">
        <f aca="false">IF($A292="","",IF($A292='Client Report'!$C$4,COUNTIFS($A$6:$A292,'Client Report'!$C$4),""))</f>
        <v/>
      </c>
    </row>
    <row r="293" customFormat="false" ht="15" hidden="false" customHeight="false" outlineLevel="0" collapsed="false">
      <c r="A293" s="11"/>
      <c r="B293" s="11"/>
      <c r="C293" s="14" t="str">
        <f aca="false">IF($B293="","",IFERROR(TRIM(LEFT($B293,FIND(" - ",$B293)-1)),"Others"))</f>
        <v/>
      </c>
      <c r="D293" s="11"/>
      <c r="E293" s="11"/>
      <c r="F293" s="12"/>
      <c r="G293" s="21"/>
      <c r="H293" s="21"/>
      <c r="I293" s="21"/>
      <c r="J293" s="21"/>
      <c r="K293" s="21"/>
      <c r="L293" s="21"/>
      <c r="M293" s="21"/>
      <c r="N293" s="22"/>
      <c r="O293" s="22"/>
      <c r="P293" s="17" t="str">
        <f aca="false">IF($A293="","",SUM($G293:$I293))</f>
        <v/>
      </c>
      <c r="Q293" s="17" t="str">
        <f aca="false">IF($A293="","",SUM($J293:$L293))</f>
        <v/>
      </c>
      <c r="R293" s="17" t="str">
        <f aca="false">IF($A293="","",($M293+$Q293)-$P293)</f>
        <v/>
      </c>
      <c r="S293" s="18" t="str">
        <f aca="false">IF(OR($A293="",$P293=0),"",$R293/$P293)</f>
        <v/>
      </c>
      <c r="T293" s="23"/>
      <c r="U293" s="14" t="str">
        <f aca="false">IF($A293="","",IF($M293&gt;0,"Live","Exited"))</f>
        <v/>
      </c>
      <c r="V293" s="20" t="str">
        <f aca="false">IF($A293="","",IF($A293='Client Report'!$C$4,COUNTIFS($A$6:$A293,'Client Report'!$C$4),""))</f>
        <v/>
      </c>
    </row>
    <row r="294" customFormat="false" ht="15" hidden="false" customHeight="false" outlineLevel="0" collapsed="false">
      <c r="A294" s="11"/>
      <c r="B294" s="11"/>
      <c r="C294" s="14" t="str">
        <f aca="false">IF($B294="","",IFERROR(TRIM(LEFT($B294,FIND(" - ",$B294)-1)),"Others"))</f>
        <v/>
      </c>
      <c r="D294" s="11"/>
      <c r="E294" s="11"/>
      <c r="F294" s="12"/>
      <c r="G294" s="21"/>
      <c r="H294" s="21"/>
      <c r="I294" s="21"/>
      <c r="J294" s="21"/>
      <c r="K294" s="21"/>
      <c r="L294" s="21"/>
      <c r="M294" s="21"/>
      <c r="N294" s="22"/>
      <c r="O294" s="22"/>
      <c r="P294" s="17" t="str">
        <f aca="false">IF($A294="","",SUM($G294:$I294))</f>
        <v/>
      </c>
      <c r="Q294" s="17" t="str">
        <f aca="false">IF($A294="","",SUM($J294:$L294))</f>
        <v/>
      </c>
      <c r="R294" s="17" t="str">
        <f aca="false">IF($A294="","",($M294+$Q294)-$P294)</f>
        <v/>
      </c>
      <c r="S294" s="18" t="str">
        <f aca="false">IF(OR($A294="",$P294=0),"",$R294/$P294)</f>
        <v/>
      </c>
      <c r="T294" s="23"/>
      <c r="U294" s="14" t="str">
        <f aca="false">IF($A294="","",IF($M294&gt;0,"Live","Exited"))</f>
        <v/>
      </c>
      <c r="V294" s="20" t="str">
        <f aca="false">IF($A294="","",IF($A294='Client Report'!$C$4,COUNTIFS($A$6:$A294,'Client Report'!$C$4),""))</f>
        <v/>
      </c>
    </row>
    <row r="295" customFormat="false" ht="15" hidden="false" customHeight="false" outlineLevel="0" collapsed="false">
      <c r="A295" s="11"/>
      <c r="B295" s="11"/>
      <c r="C295" s="14" t="str">
        <f aca="false">IF($B295="","",IFERROR(TRIM(LEFT($B295,FIND(" - ",$B295)-1)),"Others"))</f>
        <v/>
      </c>
      <c r="D295" s="11"/>
      <c r="E295" s="11"/>
      <c r="F295" s="12"/>
      <c r="G295" s="21"/>
      <c r="H295" s="21"/>
      <c r="I295" s="21"/>
      <c r="J295" s="21"/>
      <c r="K295" s="21"/>
      <c r="L295" s="21"/>
      <c r="M295" s="21"/>
      <c r="N295" s="22"/>
      <c r="O295" s="22"/>
      <c r="P295" s="17" t="str">
        <f aca="false">IF($A295="","",SUM($G295:$I295))</f>
        <v/>
      </c>
      <c r="Q295" s="17" t="str">
        <f aca="false">IF($A295="","",SUM($J295:$L295))</f>
        <v/>
      </c>
      <c r="R295" s="17" t="str">
        <f aca="false">IF($A295="","",($M295+$Q295)-$P295)</f>
        <v/>
      </c>
      <c r="S295" s="18" t="str">
        <f aca="false">IF(OR($A295="",$P295=0),"",$R295/$P295)</f>
        <v/>
      </c>
      <c r="T295" s="23"/>
      <c r="U295" s="14" t="str">
        <f aca="false">IF($A295="","",IF($M295&gt;0,"Live","Exited"))</f>
        <v/>
      </c>
      <c r="V295" s="20" t="str">
        <f aca="false">IF($A295="","",IF($A295='Client Report'!$C$4,COUNTIFS($A$6:$A295,'Client Report'!$C$4),""))</f>
        <v/>
      </c>
    </row>
    <row r="296" customFormat="false" ht="15" hidden="false" customHeight="false" outlineLevel="0" collapsed="false">
      <c r="A296" s="11"/>
      <c r="B296" s="11"/>
      <c r="C296" s="14" t="str">
        <f aca="false">IF($B296="","",IFERROR(TRIM(LEFT($B296,FIND(" - ",$B296)-1)),"Others"))</f>
        <v/>
      </c>
      <c r="D296" s="11"/>
      <c r="E296" s="11"/>
      <c r="F296" s="12"/>
      <c r="G296" s="21"/>
      <c r="H296" s="21"/>
      <c r="I296" s="21"/>
      <c r="J296" s="21"/>
      <c r="K296" s="21"/>
      <c r="L296" s="21"/>
      <c r="M296" s="21"/>
      <c r="N296" s="22"/>
      <c r="O296" s="22"/>
      <c r="P296" s="17" t="str">
        <f aca="false">IF($A296="","",SUM($G296:$I296))</f>
        <v/>
      </c>
      <c r="Q296" s="17" t="str">
        <f aca="false">IF($A296="","",SUM($J296:$L296))</f>
        <v/>
      </c>
      <c r="R296" s="17" t="str">
        <f aca="false">IF($A296="","",($M296+$Q296)-$P296)</f>
        <v/>
      </c>
      <c r="S296" s="18" t="str">
        <f aca="false">IF(OR($A296="",$P296=0),"",$R296/$P296)</f>
        <v/>
      </c>
      <c r="T296" s="23"/>
      <c r="U296" s="14" t="str">
        <f aca="false">IF($A296="","",IF($M296&gt;0,"Live","Exited"))</f>
        <v/>
      </c>
      <c r="V296" s="20" t="str">
        <f aca="false">IF($A296="","",IF($A296='Client Report'!$C$4,COUNTIFS($A$6:$A296,'Client Report'!$C$4),""))</f>
        <v/>
      </c>
    </row>
    <row r="297" customFormat="false" ht="15" hidden="false" customHeight="false" outlineLevel="0" collapsed="false">
      <c r="A297" s="11"/>
      <c r="B297" s="11"/>
      <c r="C297" s="14" t="str">
        <f aca="false">IF($B297="","",IFERROR(TRIM(LEFT($B297,FIND(" - ",$B297)-1)),"Others"))</f>
        <v/>
      </c>
      <c r="D297" s="11"/>
      <c r="E297" s="11"/>
      <c r="F297" s="12"/>
      <c r="G297" s="21"/>
      <c r="H297" s="21"/>
      <c r="I297" s="21"/>
      <c r="J297" s="21"/>
      <c r="K297" s="21"/>
      <c r="L297" s="21"/>
      <c r="M297" s="21"/>
      <c r="N297" s="22"/>
      <c r="O297" s="22"/>
      <c r="P297" s="17" t="str">
        <f aca="false">IF($A297="","",SUM($G297:$I297))</f>
        <v/>
      </c>
      <c r="Q297" s="17" t="str">
        <f aca="false">IF($A297="","",SUM($J297:$L297))</f>
        <v/>
      </c>
      <c r="R297" s="17" t="str">
        <f aca="false">IF($A297="","",($M297+$Q297)-$P297)</f>
        <v/>
      </c>
      <c r="S297" s="18" t="str">
        <f aca="false">IF(OR($A297="",$P297=0),"",$R297/$P297)</f>
        <v/>
      </c>
      <c r="T297" s="23"/>
      <c r="U297" s="14" t="str">
        <f aca="false">IF($A297="","",IF($M297&gt;0,"Live","Exited"))</f>
        <v/>
      </c>
      <c r="V297" s="20" t="str">
        <f aca="false">IF($A297="","",IF($A297='Client Report'!$C$4,COUNTIFS($A$6:$A297,'Client Report'!$C$4),""))</f>
        <v/>
      </c>
    </row>
    <row r="298" customFormat="false" ht="15" hidden="false" customHeight="false" outlineLevel="0" collapsed="false">
      <c r="A298" s="11"/>
      <c r="B298" s="11"/>
      <c r="C298" s="14" t="str">
        <f aca="false">IF($B298="","",IFERROR(TRIM(LEFT($B298,FIND(" - ",$B298)-1)),"Others"))</f>
        <v/>
      </c>
      <c r="D298" s="11"/>
      <c r="E298" s="11"/>
      <c r="F298" s="12"/>
      <c r="G298" s="21"/>
      <c r="H298" s="21"/>
      <c r="I298" s="21"/>
      <c r="J298" s="21"/>
      <c r="K298" s="21"/>
      <c r="L298" s="21"/>
      <c r="M298" s="21"/>
      <c r="N298" s="22"/>
      <c r="O298" s="22"/>
      <c r="P298" s="17" t="str">
        <f aca="false">IF($A298="","",SUM($G298:$I298))</f>
        <v/>
      </c>
      <c r="Q298" s="17" t="str">
        <f aca="false">IF($A298="","",SUM($J298:$L298))</f>
        <v/>
      </c>
      <c r="R298" s="17" t="str">
        <f aca="false">IF($A298="","",($M298+$Q298)-$P298)</f>
        <v/>
      </c>
      <c r="S298" s="18" t="str">
        <f aca="false">IF(OR($A298="",$P298=0),"",$R298/$P298)</f>
        <v/>
      </c>
      <c r="T298" s="23"/>
      <c r="U298" s="14" t="str">
        <f aca="false">IF($A298="","",IF($M298&gt;0,"Live","Exited"))</f>
        <v/>
      </c>
      <c r="V298" s="20" t="str">
        <f aca="false">IF($A298="","",IF($A298='Client Report'!$C$4,COUNTIFS($A$6:$A298,'Client Report'!$C$4),""))</f>
        <v/>
      </c>
    </row>
    <row r="299" customFormat="false" ht="15" hidden="false" customHeight="false" outlineLevel="0" collapsed="false">
      <c r="A299" s="11"/>
      <c r="B299" s="11"/>
      <c r="C299" s="14" t="str">
        <f aca="false">IF($B299="","",IFERROR(TRIM(LEFT($B299,FIND(" - ",$B299)-1)),"Others"))</f>
        <v/>
      </c>
      <c r="D299" s="11"/>
      <c r="E299" s="11"/>
      <c r="F299" s="12"/>
      <c r="G299" s="21"/>
      <c r="H299" s="21"/>
      <c r="I299" s="21"/>
      <c r="J299" s="21"/>
      <c r="K299" s="21"/>
      <c r="L299" s="21"/>
      <c r="M299" s="21"/>
      <c r="N299" s="22"/>
      <c r="O299" s="22"/>
      <c r="P299" s="17" t="str">
        <f aca="false">IF($A299="","",SUM($G299:$I299))</f>
        <v/>
      </c>
      <c r="Q299" s="17" t="str">
        <f aca="false">IF($A299="","",SUM($J299:$L299))</f>
        <v/>
      </c>
      <c r="R299" s="17" t="str">
        <f aca="false">IF($A299="","",($M299+$Q299)-$P299)</f>
        <v/>
      </c>
      <c r="S299" s="18" t="str">
        <f aca="false">IF(OR($A299="",$P299=0),"",$R299/$P299)</f>
        <v/>
      </c>
      <c r="T299" s="23"/>
      <c r="U299" s="14" t="str">
        <f aca="false">IF($A299="","",IF($M299&gt;0,"Live","Exited"))</f>
        <v/>
      </c>
      <c r="V299" s="20" t="str">
        <f aca="false">IF($A299="","",IF($A299='Client Report'!$C$4,COUNTIFS($A$6:$A299,'Client Report'!$C$4),""))</f>
        <v/>
      </c>
    </row>
    <row r="300" customFormat="false" ht="15" hidden="false" customHeight="false" outlineLevel="0" collapsed="false">
      <c r="A300" s="11"/>
      <c r="B300" s="11"/>
      <c r="C300" s="14" t="str">
        <f aca="false">IF($B300="","",IFERROR(TRIM(LEFT($B300,FIND(" - ",$B300)-1)),"Others"))</f>
        <v/>
      </c>
      <c r="D300" s="11"/>
      <c r="E300" s="11"/>
      <c r="F300" s="12"/>
      <c r="G300" s="21"/>
      <c r="H300" s="21"/>
      <c r="I300" s="21"/>
      <c r="J300" s="21"/>
      <c r="K300" s="21"/>
      <c r="L300" s="21"/>
      <c r="M300" s="21"/>
      <c r="N300" s="22"/>
      <c r="O300" s="22"/>
      <c r="P300" s="17" t="str">
        <f aca="false">IF($A300="","",SUM($G300:$I300))</f>
        <v/>
      </c>
      <c r="Q300" s="17" t="str">
        <f aca="false">IF($A300="","",SUM($J300:$L300))</f>
        <v/>
      </c>
      <c r="R300" s="17" t="str">
        <f aca="false">IF($A300="","",($M300+$Q300)-$P300)</f>
        <v/>
      </c>
      <c r="S300" s="18" t="str">
        <f aca="false">IF(OR($A300="",$P300=0),"",$R300/$P300)</f>
        <v/>
      </c>
      <c r="T300" s="23"/>
      <c r="U300" s="14" t="str">
        <f aca="false">IF($A300="","",IF($M300&gt;0,"Live","Exited"))</f>
        <v/>
      </c>
      <c r="V300" s="20" t="str">
        <f aca="false">IF($A300="","",IF($A300='Client Report'!$C$4,COUNTIFS($A$6:$A300,'Client Report'!$C$4),""))</f>
        <v/>
      </c>
    </row>
    <row r="301" customFormat="false" ht="15" hidden="false" customHeight="false" outlineLevel="0" collapsed="false">
      <c r="A301" s="11"/>
      <c r="B301" s="11"/>
      <c r="C301" s="14" t="str">
        <f aca="false">IF($B301="","",IFERROR(TRIM(LEFT($B301,FIND(" - ",$B301)-1)),"Others"))</f>
        <v/>
      </c>
      <c r="D301" s="11"/>
      <c r="E301" s="11"/>
      <c r="F301" s="12"/>
      <c r="G301" s="21"/>
      <c r="H301" s="21"/>
      <c r="I301" s="21"/>
      <c r="J301" s="21"/>
      <c r="K301" s="21"/>
      <c r="L301" s="21"/>
      <c r="M301" s="21"/>
      <c r="N301" s="22"/>
      <c r="O301" s="22"/>
      <c r="P301" s="17" t="str">
        <f aca="false">IF($A301="","",SUM($G301:$I301))</f>
        <v/>
      </c>
      <c r="Q301" s="17" t="str">
        <f aca="false">IF($A301="","",SUM($J301:$L301))</f>
        <v/>
      </c>
      <c r="R301" s="17" t="str">
        <f aca="false">IF($A301="","",($M301+$Q301)-$P301)</f>
        <v/>
      </c>
      <c r="S301" s="18" t="str">
        <f aca="false">IF(OR($A301="",$P301=0),"",$R301/$P301)</f>
        <v/>
      </c>
      <c r="T301" s="23"/>
      <c r="U301" s="14" t="str">
        <f aca="false">IF($A301="","",IF($M301&gt;0,"Live","Exited"))</f>
        <v/>
      </c>
      <c r="V301" s="20" t="str">
        <f aca="false">IF($A301="","",IF($A301='Client Report'!$C$4,COUNTIFS($A$6:$A301,'Client Report'!$C$4),""))</f>
        <v/>
      </c>
    </row>
    <row r="302" customFormat="false" ht="15" hidden="false" customHeight="false" outlineLevel="0" collapsed="false">
      <c r="A302" s="11"/>
      <c r="B302" s="11"/>
      <c r="C302" s="14" t="str">
        <f aca="false">IF($B302="","",IFERROR(TRIM(LEFT($B302,FIND(" - ",$B302)-1)),"Others"))</f>
        <v/>
      </c>
      <c r="D302" s="11"/>
      <c r="E302" s="11"/>
      <c r="F302" s="12"/>
      <c r="G302" s="21"/>
      <c r="H302" s="21"/>
      <c r="I302" s="21"/>
      <c r="J302" s="21"/>
      <c r="K302" s="21"/>
      <c r="L302" s="21"/>
      <c r="M302" s="21"/>
      <c r="N302" s="22"/>
      <c r="O302" s="22"/>
      <c r="P302" s="17" t="str">
        <f aca="false">IF($A302="","",SUM($G302:$I302))</f>
        <v/>
      </c>
      <c r="Q302" s="17" t="str">
        <f aca="false">IF($A302="","",SUM($J302:$L302))</f>
        <v/>
      </c>
      <c r="R302" s="17" t="str">
        <f aca="false">IF($A302="","",($M302+$Q302)-$P302)</f>
        <v/>
      </c>
      <c r="S302" s="18" t="str">
        <f aca="false">IF(OR($A302="",$P302=0),"",$R302/$P302)</f>
        <v/>
      </c>
      <c r="T302" s="23"/>
      <c r="U302" s="14" t="str">
        <f aca="false">IF($A302="","",IF($M302&gt;0,"Live","Exited"))</f>
        <v/>
      </c>
      <c r="V302" s="20" t="str">
        <f aca="false">IF($A302="","",IF($A302='Client Report'!$C$4,COUNTIFS($A$6:$A302,'Client Report'!$C$4),""))</f>
        <v/>
      </c>
    </row>
    <row r="303" customFormat="false" ht="15" hidden="false" customHeight="false" outlineLevel="0" collapsed="false">
      <c r="A303" s="11"/>
      <c r="B303" s="11"/>
      <c r="C303" s="14" t="str">
        <f aca="false">IF($B303="","",IFERROR(TRIM(LEFT($B303,FIND(" - ",$B303)-1)),"Others"))</f>
        <v/>
      </c>
      <c r="D303" s="11"/>
      <c r="E303" s="11"/>
      <c r="F303" s="12"/>
      <c r="G303" s="21"/>
      <c r="H303" s="21"/>
      <c r="I303" s="21"/>
      <c r="J303" s="21"/>
      <c r="K303" s="21"/>
      <c r="L303" s="21"/>
      <c r="M303" s="21"/>
      <c r="N303" s="22"/>
      <c r="O303" s="22"/>
      <c r="P303" s="17" t="str">
        <f aca="false">IF($A303="","",SUM($G303:$I303))</f>
        <v/>
      </c>
      <c r="Q303" s="17" t="str">
        <f aca="false">IF($A303="","",SUM($J303:$L303))</f>
        <v/>
      </c>
      <c r="R303" s="17" t="str">
        <f aca="false">IF($A303="","",($M303+$Q303)-$P303)</f>
        <v/>
      </c>
      <c r="S303" s="18" t="str">
        <f aca="false">IF(OR($A303="",$P303=0),"",$R303/$P303)</f>
        <v/>
      </c>
      <c r="T303" s="23"/>
      <c r="U303" s="14" t="str">
        <f aca="false">IF($A303="","",IF($M303&gt;0,"Live","Exited"))</f>
        <v/>
      </c>
      <c r="V303" s="20" t="str">
        <f aca="false">IF($A303="","",IF($A303='Client Report'!$C$4,COUNTIFS($A$6:$A303,'Client Report'!$C$4),""))</f>
        <v/>
      </c>
    </row>
    <row r="304" customFormat="false" ht="15" hidden="false" customHeight="false" outlineLevel="0" collapsed="false">
      <c r="A304" s="11"/>
      <c r="B304" s="11"/>
      <c r="C304" s="14" t="str">
        <f aca="false">IF($B304="","",IFERROR(TRIM(LEFT($B304,FIND(" - ",$B304)-1)),"Others"))</f>
        <v/>
      </c>
      <c r="D304" s="11"/>
      <c r="E304" s="11"/>
      <c r="F304" s="12"/>
      <c r="G304" s="21"/>
      <c r="H304" s="21"/>
      <c r="I304" s="21"/>
      <c r="J304" s="21"/>
      <c r="K304" s="21"/>
      <c r="L304" s="21"/>
      <c r="M304" s="21"/>
      <c r="N304" s="22"/>
      <c r="O304" s="22"/>
      <c r="P304" s="17" t="str">
        <f aca="false">IF($A304="","",SUM($G304:$I304))</f>
        <v/>
      </c>
      <c r="Q304" s="17" t="str">
        <f aca="false">IF($A304="","",SUM($J304:$L304))</f>
        <v/>
      </c>
      <c r="R304" s="17" t="str">
        <f aca="false">IF($A304="","",($M304+$Q304)-$P304)</f>
        <v/>
      </c>
      <c r="S304" s="18" t="str">
        <f aca="false">IF(OR($A304="",$P304=0),"",$R304/$P304)</f>
        <v/>
      </c>
      <c r="T304" s="23"/>
      <c r="U304" s="14" t="str">
        <f aca="false">IF($A304="","",IF($M304&gt;0,"Live","Exited"))</f>
        <v/>
      </c>
      <c r="V304" s="20" t="str">
        <f aca="false">IF($A304="","",IF($A304='Client Report'!$C$4,COUNTIFS($A$6:$A304,'Client Report'!$C$4),""))</f>
        <v/>
      </c>
    </row>
    <row r="305" customFormat="false" ht="15" hidden="false" customHeight="false" outlineLevel="0" collapsed="false">
      <c r="A305" s="11"/>
      <c r="B305" s="11"/>
      <c r="C305" s="14" t="str">
        <f aca="false">IF($B305="","",IFERROR(TRIM(LEFT($B305,FIND(" - ",$B305)-1)),"Others"))</f>
        <v/>
      </c>
      <c r="D305" s="11"/>
      <c r="E305" s="11"/>
      <c r="F305" s="12"/>
      <c r="G305" s="21"/>
      <c r="H305" s="21"/>
      <c r="I305" s="21"/>
      <c r="J305" s="21"/>
      <c r="K305" s="21"/>
      <c r="L305" s="21"/>
      <c r="M305" s="21"/>
      <c r="N305" s="22"/>
      <c r="O305" s="22"/>
      <c r="P305" s="17" t="str">
        <f aca="false">IF($A305="","",SUM($G305:$I305))</f>
        <v/>
      </c>
      <c r="Q305" s="17" t="str">
        <f aca="false">IF($A305="","",SUM($J305:$L305))</f>
        <v/>
      </c>
      <c r="R305" s="17" t="str">
        <f aca="false">IF($A305="","",($M305+$Q305)-$P305)</f>
        <v/>
      </c>
      <c r="S305" s="18" t="str">
        <f aca="false">IF(OR($A305="",$P305=0),"",$R305/$P305)</f>
        <v/>
      </c>
      <c r="T305" s="23"/>
      <c r="U305" s="14" t="str">
        <f aca="false">IF($A305="","",IF($M305&gt;0,"Live","Exited"))</f>
        <v/>
      </c>
      <c r="V305" s="20" t="str">
        <f aca="false">IF($A305="","",IF($A305='Client Report'!$C$4,COUNTIFS($A$6:$A305,'Client Report'!$C$4),""))</f>
        <v/>
      </c>
    </row>
    <row r="306" customFormat="false" ht="15" hidden="false" customHeight="false" outlineLevel="0" collapsed="false">
      <c r="A306" s="11"/>
      <c r="B306" s="11"/>
      <c r="C306" s="14" t="str">
        <f aca="false">IF($B306="","",IFERROR(TRIM(LEFT($B306,FIND(" - ",$B306)-1)),"Others"))</f>
        <v/>
      </c>
      <c r="D306" s="11"/>
      <c r="E306" s="11"/>
      <c r="F306" s="12"/>
      <c r="G306" s="21"/>
      <c r="H306" s="21"/>
      <c r="I306" s="21"/>
      <c r="J306" s="21"/>
      <c r="K306" s="21"/>
      <c r="L306" s="21"/>
      <c r="M306" s="21"/>
      <c r="N306" s="22"/>
      <c r="O306" s="22"/>
      <c r="P306" s="17" t="str">
        <f aca="false">IF($A306="","",SUM($G306:$I306))</f>
        <v/>
      </c>
      <c r="Q306" s="17" t="str">
        <f aca="false">IF($A306="","",SUM($J306:$L306))</f>
        <v/>
      </c>
      <c r="R306" s="17" t="str">
        <f aca="false">IF($A306="","",($M306+$Q306)-$P306)</f>
        <v/>
      </c>
      <c r="S306" s="18" t="str">
        <f aca="false">IF(OR($A306="",$P306=0),"",$R306/$P306)</f>
        <v/>
      </c>
      <c r="T306" s="23"/>
      <c r="U306" s="14" t="str">
        <f aca="false">IF($A306="","",IF($M306&gt;0,"Live","Exited"))</f>
        <v/>
      </c>
      <c r="V306" s="20" t="str">
        <f aca="false">IF($A306="","",IF($A306='Client Report'!$C$4,COUNTIFS($A$6:$A306,'Client Report'!$C$4),""))</f>
        <v/>
      </c>
    </row>
    <row r="307" customFormat="false" ht="15" hidden="false" customHeight="false" outlineLevel="0" collapsed="false">
      <c r="A307" s="11"/>
      <c r="B307" s="11"/>
      <c r="C307" s="14" t="str">
        <f aca="false">IF($B307="","",IFERROR(TRIM(LEFT($B307,FIND(" - ",$B307)-1)),"Others"))</f>
        <v/>
      </c>
      <c r="D307" s="11"/>
      <c r="E307" s="11"/>
      <c r="F307" s="12"/>
      <c r="G307" s="21"/>
      <c r="H307" s="21"/>
      <c r="I307" s="21"/>
      <c r="J307" s="21"/>
      <c r="K307" s="21"/>
      <c r="L307" s="21"/>
      <c r="M307" s="21"/>
      <c r="N307" s="22"/>
      <c r="O307" s="22"/>
      <c r="P307" s="17" t="str">
        <f aca="false">IF($A307="","",SUM($G307:$I307))</f>
        <v/>
      </c>
      <c r="Q307" s="17" t="str">
        <f aca="false">IF($A307="","",SUM($J307:$L307))</f>
        <v/>
      </c>
      <c r="R307" s="17" t="str">
        <f aca="false">IF($A307="","",($M307+$Q307)-$P307)</f>
        <v/>
      </c>
      <c r="S307" s="18" t="str">
        <f aca="false">IF(OR($A307="",$P307=0),"",$R307/$P307)</f>
        <v/>
      </c>
      <c r="T307" s="23"/>
      <c r="U307" s="14" t="str">
        <f aca="false">IF($A307="","",IF($M307&gt;0,"Live","Exited"))</f>
        <v/>
      </c>
      <c r="V307" s="20" t="str">
        <f aca="false">IF($A307="","",IF($A307='Client Report'!$C$4,COUNTIFS($A$6:$A307,'Client Report'!$C$4),""))</f>
        <v/>
      </c>
    </row>
    <row r="308" customFormat="false" ht="15" hidden="false" customHeight="false" outlineLevel="0" collapsed="false">
      <c r="A308" s="11"/>
      <c r="B308" s="11"/>
      <c r="C308" s="14" t="str">
        <f aca="false">IF($B308="","",IFERROR(TRIM(LEFT($B308,FIND(" - ",$B308)-1)),"Others"))</f>
        <v/>
      </c>
      <c r="D308" s="11"/>
      <c r="E308" s="11"/>
      <c r="F308" s="12"/>
      <c r="G308" s="21"/>
      <c r="H308" s="21"/>
      <c r="I308" s="21"/>
      <c r="J308" s="21"/>
      <c r="K308" s="21"/>
      <c r="L308" s="21"/>
      <c r="M308" s="21"/>
      <c r="N308" s="22"/>
      <c r="O308" s="22"/>
      <c r="P308" s="17" t="str">
        <f aca="false">IF($A308="","",SUM($G308:$I308))</f>
        <v/>
      </c>
      <c r="Q308" s="17" t="str">
        <f aca="false">IF($A308="","",SUM($J308:$L308))</f>
        <v/>
      </c>
      <c r="R308" s="17" t="str">
        <f aca="false">IF($A308="","",($M308+$Q308)-$P308)</f>
        <v/>
      </c>
      <c r="S308" s="18" t="str">
        <f aca="false">IF(OR($A308="",$P308=0),"",$R308/$P308)</f>
        <v/>
      </c>
      <c r="T308" s="23"/>
      <c r="U308" s="14" t="str">
        <f aca="false">IF($A308="","",IF($M308&gt;0,"Live","Exited"))</f>
        <v/>
      </c>
      <c r="V308" s="20" t="str">
        <f aca="false">IF($A308="","",IF($A308='Client Report'!$C$4,COUNTIFS($A$6:$A308,'Client Report'!$C$4),""))</f>
        <v/>
      </c>
    </row>
    <row r="309" customFormat="false" ht="15" hidden="false" customHeight="false" outlineLevel="0" collapsed="false">
      <c r="A309" s="11"/>
      <c r="B309" s="11"/>
      <c r="C309" s="14" t="str">
        <f aca="false">IF($B309="","",IFERROR(TRIM(LEFT($B309,FIND(" - ",$B309)-1)),"Others"))</f>
        <v/>
      </c>
      <c r="D309" s="11"/>
      <c r="E309" s="11"/>
      <c r="F309" s="12"/>
      <c r="G309" s="21"/>
      <c r="H309" s="21"/>
      <c r="I309" s="21"/>
      <c r="J309" s="21"/>
      <c r="K309" s="21"/>
      <c r="L309" s="21"/>
      <c r="M309" s="21"/>
      <c r="N309" s="22"/>
      <c r="O309" s="22"/>
      <c r="P309" s="17" t="str">
        <f aca="false">IF($A309="","",SUM($G309:$I309))</f>
        <v/>
      </c>
      <c r="Q309" s="17" t="str">
        <f aca="false">IF($A309="","",SUM($J309:$L309))</f>
        <v/>
      </c>
      <c r="R309" s="17" t="str">
        <f aca="false">IF($A309="","",($M309+$Q309)-$P309)</f>
        <v/>
      </c>
      <c r="S309" s="18" t="str">
        <f aca="false">IF(OR($A309="",$P309=0),"",$R309/$P309)</f>
        <v/>
      </c>
      <c r="T309" s="23"/>
      <c r="U309" s="14" t="str">
        <f aca="false">IF($A309="","",IF($M309&gt;0,"Live","Exited"))</f>
        <v/>
      </c>
      <c r="V309" s="20" t="str">
        <f aca="false">IF($A309="","",IF($A309='Client Report'!$C$4,COUNTIFS($A$6:$A309,'Client Report'!$C$4),""))</f>
        <v/>
      </c>
    </row>
    <row r="310" customFormat="false" ht="15" hidden="false" customHeight="false" outlineLevel="0" collapsed="false">
      <c r="A310" s="11"/>
      <c r="B310" s="11"/>
      <c r="C310" s="14" t="str">
        <f aca="false">IF($B310="","",IFERROR(TRIM(LEFT($B310,FIND(" - ",$B310)-1)),"Others"))</f>
        <v/>
      </c>
      <c r="D310" s="11"/>
      <c r="E310" s="11"/>
      <c r="F310" s="12"/>
      <c r="G310" s="21"/>
      <c r="H310" s="21"/>
      <c r="I310" s="21"/>
      <c r="J310" s="21"/>
      <c r="K310" s="21"/>
      <c r="L310" s="21"/>
      <c r="M310" s="21"/>
      <c r="N310" s="22"/>
      <c r="O310" s="22"/>
      <c r="P310" s="17" t="str">
        <f aca="false">IF($A310="","",SUM($G310:$I310))</f>
        <v/>
      </c>
      <c r="Q310" s="17" t="str">
        <f aca="false">IF($A310="","",SUM($J310:$L310))</f>
        <v/>
      </c>
      <c r="R310" s="17" t="str">
        <f aca="false">IF($A310="","",($M310+$Q310)-$P310)</f>
        <v/>
      </c>
      <c r="S310" s="18" t="str">
        <f aca="false">IF(OR($A310="",$P310=0),"",$R310/$P310)</f>
        <v/>
      </c>
      <c r="T310" s="23"/>
      <c r="U310" s="14" t="str">
        <f aca="false">IF($A310="","",IF($M310&gt;0,"Live","Exited"))</f>
        <v/>
      </c>
      <c r="V310" s="20" t="str">
        <f aca="false">IF($A310="","",IF($A310='Client Report'!$C$4,COUNTIFS($A$6:$A310,'Client Report'!$C$4),""))</f>
        <v/>
      </c>
    </row>
    <row r="311" customFormat="false" ht="15" hidden="false" customHeight="false" outlineLevel="0" collapsed="false">
      <c r="A311" s="11"/>
      <c r="B311" s="11"/>
      <c r="C311" s="14" t="str">
        <f aca="false">IF($B311="","",IFERROR(TRIM(LEFT($B311,FIND(" - ",$B311)-1)),"Others"))</f>
        <v/>
      </c>
      <c r="D311" s="11"/>
      <c r="E311" s="11"/>
      <c r="F311" s="12"/>
      <c r="G311" s="21"/>
      <c r="H311" s="21"/>
      <c r="I311" s="21"/>
      <c r="J311" s="21"/>
      <c r="K311" s="21"/>
      <c r="L311" s="21"/>
      <c r="M311" s="21"/>
      <c r="N311" s="22"/>
      <c r="O311" s="22"/>
      <c r="P311" s="17" t="str">
        <f aca="false">IF($A311="","",SUM($G311:$I311))</f>
        <v/>
      </c>
      <c r="Q311" s="17" t="str">
        <f aca="false">IF($A311="","",SUM($J311:$L311))</f>
        <v/>
      </c>
      <c r="R311" s="17" t="str">
        <f aca="false">IF($A311="","",($M311+$Q311)-$P311)</f>
        <v/>
      </c>
      <c r="S311" s="18" t="str">
        <f aca="false">IF(OR($A311="",$P311=0),"",$R311/$P311)</f>
        <v/>
      </c>
      <c r="T311" s="23"/>
      <c r="U311" s="14" t="str">
        <f aca="false">IF($A311="","",IF($M311&gt;0,"Live","Exited"))</f>
        <v/>
      </c>
      <c r="V311" s="20" t="str">
        <f aca="false">IF($A311="","",IF($A311='Client Report'!$C$4,COUNTIFS($A$6:$A311,'Client Report'!$C$4),""))</f>
        <v/>
      </c>
    </row>
    <row r="312" customFormat="false" ht="15" hidden="false" customHeight="false" outlineLevel="0" collapsed="false">
      <c r="A312" s="11"/>
      <c r="B312" s="11"/>
      <c r="C312" s="14" t="str">
        <f aca="false">IF($B312="","",IFERROR(TRIM(LEFT($B312,FIND(" - ",$B312)-1)),"Others"))</f>
        <v/>
      </c>
      <c r="D312" s="11"/>
      <c r="E312" s="11"/>
      <c r="F312" s="12"/>
      <c r="G312" s="21"/>
      <c r="H312" s="21"/>
      <c r="I312" s="21"/>
      <c r="J312" s="21"/>
      <c r="K312" s="21"/>
      <c r="L312" s="21"/>
      <c r="M312" s="21"/>
      <c r="N312" s="22"/>
      <c r="O312" s="22"/>
      <c r="P312" s="17" t="str">
        <f aca="false">IF($A312="","",SUM($G312:$I312))</f>
        <v/>
      </c>
      <c r="Q312" s="17" t="str">
        <f aca="false">IF($A312="","",SUM($J312:$L312))</f>
        <v/>
      </c>
      <c r="R312" s="17" t="str">
        <f aca="false">IF($A312="","",($M312+$Q312)-$P312)</f>
        <v/>
      </c>
      <c r="S312" s="18" t="str">
        <f aca="false">IF(OR($A312="",$P312=0),"",$R312/$P312)</f>
        <v/>
      </c>
      <c r="T312" s="23"/>
      <c r="U312" s="14" t="str">
        <f aca="false">IF($A312="","",IF($M312&gt;0,"Live","Exited"))</f>
        <v/>
      </c>
      <c r="V312" s="20" t="str">
        <f aca="false">IF($A312="","",IF($A312='Client Report'!$C$4,COUNTIFS($A$6:$A312,'Client Report'!$C$4),""))</f>
        <v/>
      </c>
    </row>
    <row r="313" customFormat="false" ht="15" hidden="false" customHeight="false" outlineLevel="0" collapsed="false">
      <c r="A313" s="11"/>
      <c r="B313" s="11"/>
      <c r="C313" s="14" t="str">
        <f aca="false">IF($B313="","",IFERROR(TRIM(LEFT($B313,FIND(" - ",$B313)-1)),"Others"))</f>
        <v/>
      </c>
      <c r="D313" s="11"/>
      <c r="E313" s="11"/>
      <c r="F313" s="12"/>
      <c r="G313" s="21"/>
      <c r="H313" s="21"/>
      <c r="I313" s="21"/>
      <c r="J313" s="21"/>
      <c r="K313" s="21"/>
      <c r="L313" s="21"/>
      <c r="M313" s="21"/>
      <c r="N313" s="22"/>
      <c r="O313" s="22"/>
      <c r="P313" s="17" t="str">
        <f aca="false">IF($A313="","",SUM($G313:$I313))</f>
        <v/>
      </c>
      <c r="Q313" s="17" t="str">
        <f aca="false">IF($A313="","",SUM($J313:$L313))</f>
        <v/>
      </c>
      <c r="R313" s="17" t="str">
        <f aca="false">IF($A313="","",($M313+$Q313)-$P313)</f>
        <v/>
      </c>
      <c r="S313" s="18" t="str">
        <f aca="false">IF(OR($A313="",$P313=0),"",$R313/$P313)</f>
        <v/>
      </c>
      <c r="T313" s="23"/>
      <c r="U313" s="14" t="str">
        <f aca="false">IF($A313="","",IF($M313&gt;0,"Live","Exited"))</f>
        <v/>
      </c>
      <c r="V313" s="20" t="str">
        <f aca="false">IF($A313="","",IF($A313='Client Report'!$C$4,COUNTIFS($A$6:$A313,'Client Report'!$C$4),""))</f>
        <v/>
      </c>
    </row>
    <row r="314" customFormat="false" ht="15" hidden="false" customHeight="false" outlineLevel="0" collapsed="false">
      <c r="A314" s="11"/>
      <c r="B314" s="11"/>
      <c r="C314" s="14" t="str">
        <f aca="false">IF($B314="","",IFERROR(TRIM(LEFT($B314,FIND(" - ",$B314)-1)),"Others"))</f>
        <v/>
      </c>
      <c r="D314" s="11"/>
      <c r="E314" s="11"/>
      <c r="F314" s="12"/>
      <c r="G314" s="21"/>
      <c r="H314" s="21"/>
      <c r="I314" s="21"/>
      <c r="J314" s="21"/>
      <c r="K314" s="21"/>
      <c r="L314" s="21"/>
      <c r="M314" s="21"/>
      <c r="N314" s="22"/>
      <c r="O314" s="22"/>
      <c r="P314" s="17" t="str">
        <f aca="false">IF($A314="","",SUM($G314:$I314))</f>
        <v/>
      </c>
      <c r="Q314" s="17" t="str">
        <f aca="false">IF($A314="","",SUM($J314:$L314))</f>
        <v/>
      </c>
      <c r="R314" s="17" t="str">
        <f aca="false">IF($A314="","",($M314+$Q314)-$P314)</f>
        <v/>
      </c>
      <c r="S314" s="18" t="str">
        <f aca="false">IF(OR($A314="",$P314=0),"",$R314/$P314)</f>
        <v/>
      </c>
      <c r="T314" s="23"/>
      <c r="U314" s="14" t="str">
        <f aca="false">IF($A314="","",IF($M314&gt;0,"Live","Exited"))</f>
        <v/>
      </c>
      <c r="V314" s="20" t="str">
        <f aca="false">IF($A314="","",IF($A314='Client Report'!$C$4,COUNTIFS($A$6:$A314,'Client Report'!$C$4),""))</f>
        <v/>
      </c>
    </row>
    <row r="315" customFormat="false" ht="15" hidden="false" customHeight="false" outlineLevel="0" collapsed="false">
      <c r="A315" s="11"/>
      <c r="B315" s="11"/>
      <c r="C315" s="14" t="str">
        <f aca="false">IF($B315="","",IFERROR(TRIM(LEFT($B315,FIND(" - ",$B315)-1)),"Others"))</f>
        <v/>
      </c>
      <c r="D315" s="11"/>
      <c r="E315" s="11"/>
      <c r="F315" s="12"/>
      <c r="G315" s="21"/>
      <c r="H315" s="21"/>
      <c r="I315" s="21"/>
      <c r="J315" s="21"/>
      <c r="K315" s="21"/>
      <c r="L315" s="21"/>
      <c r="M315" s="21"/>
      <c r="N315" s="22"/>
      <c r="O315" s="22"/>
      <c r="P315" s="17" t="str">
        <f aca="false">IF($A315="","",SUM($G315:$I315))</f>
        <v/>
      </c>
      <c r="Q315" s="17" t="str">
        <f aca="false">IF($A315="","",SUM($J315:$L315))</f>
        <v/>
      </c>
      <c r="R315" s="17" t="str">
        <f aca="false">IF($A315="","",($M315+$Q315)-$P315)</f>
        <v/>
      </c>
      <c r="S315" s="18" t="str">
        <f aca="false">IF(OR($A315="",$P315=0),"",$R315/$P315)</f>
        <v/>
      </c>
      <c r="T315" s="23"/>
      <c r="U315" s="14" t="str">
        <f aca="false">IF($A315="","",IF($M315&gt;0,"Live","Exited"))</f>
        <v/>
      </c>
      <c r="V315" s="20" t="str">
        <f aca="false">IF($A315="","",IF($A315='Client Report'!$C$4,COUNTIFS($A$6:$A315,'Client Report'!$C$4),""))</f>
        <v/>
      </c>
    </row>
    <row r="316" customFormat="false" ht="15" hidden="false" customHeight="false" outlineLevel="0" collapsed="false">
      <c r="A316" s="11"/>
      <c r="B316" s="11"/>
      <c r="C316" s="14" t="str">
        <f aca="false">IF($B316="","",IFERROR(TRIM(LEFT($B316,FIND(" - ",$B316)-1)),"Others"))</f>
        <v/>
      </c>
      <c r="D316" s="11"/>
      <c r="E316" s="11"/>
      <c r="F316" s="12"/>
      <c r="G316" s="21"/>
      <c r="H316" s="21"/>
      <c r="I316" s="21"/>
      <c r="J316" s="21"/>
      <c r="K316" s="21"/>
      <c r="L316" s="21"/>
      <c r="M316" s="21"/>
      <c r="N316" s="22"/>
      <c r="O316" s="22"/>
      <c r="P316" s="17" t="str">
        <f aca="false">IF($A316="","",SUM($G316:$I316))</f>
        <v/>
      </c>
      <c r="Q316" s="17" t="str">
        <f aca="false">IF($A316="","",SUM($J316:$L316))</f>
        <v/>
      </c>
      <c r="R316" s="17" t="str">
        <f aca="false">IF($A316="","",($M316+$Q316)-$P316)</f>
        <v/>
      </c>
      <c r="S316" s="18" t="str">
        <f aca="false">IF(OR($A316="",$P316=0),"",$R316/$P316)</f>
        <v/>
      </c>
      <c r="T316" s="23"/>
      <c r="U316" s="14" t="str">
        <f aca="false">IF($A316="","",IF($M316&gt;0,"Live","Exited"))</f>
        <v/>
      </c>
      <c r="V316" s="20" t="str">
        <f aca="false">IF($A316="","",IF($A316='Client Report'!$C$4,COUNTIFS($A$6:$A316,'Client Report'!$C$4),""))</f>
        <v/>
      </c>
    </row>
    <row r="317" customFormat="false" ht="15" hidden="false" customHeight="false" outlineLevel="0" collapsed="false">
      <c r="A317" s="11"/>
      <c r="B317" s="11"/>
      <c r="C317" s="14" t="str">
        <f aca="false">IF($B317="","",IFERROR(TRIM(LEFT($B317,FIND(" - ",$B317)-1)),"Others"))</f>
        <v/>
      </c>
      <c r="D317" s="11"/>
      <c r="E317" s="11"/>
      <c r="F317" s="12"/>
      <c r="G317" s="21"/>
      <c r="H317" s="21"/>
      <c r="I317" s="21"/>
      <c r="J317" s="21"/>
      <c r="K317" s="21"/>
      <c r="L317" s="21"/>
      <c r="M317" s="21"/>
      <c r="N317" s="22"/>
      <c r="O317" s="22"/>
      <c r="P317" s="17" t="str">
        <f aca="false">IF($A317="","",SUM($G317:$I317))</f>
        <v/>
      </c>
      <c r="Q317" s="17" t="str">
        <f aca="false">IF($A317="","",SUM($J317:$L317))</f>
        <v/>
      </c>
      <c r="R317" s="17" t="str">
        <f aca="false">IF($A317="","",($M317+$Q317)-$P317)</f>
        <v/>
      </c>
      <c r="S317" s="18" t="str">
        <f aca="false">IF(OR($A317="",$P317=0),"",$R317/$P317)</f>
        <v/>
      </c>
      <c r="T317" s="23"/>
      <c r="U317" s="14" t="str">
        <f aca="false">IF($A317="","",IF($M317&gt;0,"Live","Exited"))</f>
        <v/>
      </c>
      <c r="V317" s="20" t="str">
        <f aca="false">IF($A317="","",IF($A317='Client Report'!$C$4,COUNTIFS($A$6:$A317,'Client Report'!$C$4),""))</f>
        <v/>
      </c>
    </row>
    <row r="318" customFormat="false" ht="15" hidden="false" customHeight="false" outlineLevel="0" collapsed="false">
      <c r="A318" s="11"/>
      <c r="B318" s="11"/>
      <c r="C318" s="14" t="str">
        <f aca="false">IF($B318="","",IFERROR(TRIM(LEFT($B318,FIND(" - ",$B318)-1)),"Others"))</f>
        <v/>
      </c>
      <c r="D318" s="11"/>
      <c r="E318" s="11"/>
      <c r="F318" s="12"/>
      <c r="G318" s="21"/>
      <c r="H318" s="21"/>
      <c r="I318" s="21"/>
      <c r="J318" s="21"/>
      <c r="K318" s="21"/>
      <c r="L318" s="21"/>
      <c r="M318" s="21"/>
      <c r="N318" s="22"/>
      <c r="O318" s="22"/>
      <c r="P318" s="17" t="str">
        <f aca="false">IF($A318="","",SUM($G318:$I318))</f>
        <v/>
      </c>
      <c r="Q318" s="17" t="str">
        <f aca="false">IF($A318="","",SUM($J318:$L318))</f>
        <v/>
      </c>
      <c r="R318" s="17" t="str">
        <f aca="false">IF($A318="","",($M318+$Q318)-$P318)</f>
        <v/>
      </c>
      <c r="S318" s="18" t="str">
        <f aca="false">IF(OR($A318="",$P318=0),"",$R318/$P318)</f>
        <v/>
      </c>
      <c r="T318" s="23"/>
      <c r="U318" s="14" t="str">
        <f aca="false">IF($A318="","",IF($M318&gt;0,"Live","Exited"))</f>
        <v/>
      </c>
      <c r="V318" s="20" t="str">
        <f aca="false">IF($A318="","",IF($A318='Client Report'!$C$4,COUNTIFS($A$6:$A318,'Client Report'!$C$4),""))</f>
        <v/>
      </c>
    </row>
    <row r="319" customFormat="false" ht="15" hidden="false" customHeight="false" outlineLevel="0" collapsed="false">
      <c r="A319" s="11"/>
      <c r="B319" s="11"/>
      <c r="C319" s="14" t="str">
        <f aca="false">IF($B319="","",IFERROR(TRIM(LEFT($B319,FIND(" - ",$B319)-1)),"Others"))</f>
        <v/>
      </c>
      <c r="D319" s="11"/>
      <c r="E319" s="11"/>
      <c r="F319" s="12"/>
      <c r="G319" s="21"/>
      <c r="H319" s="21"/>
      <c r="I319" s="21"/>
      <c r="J319" s="21"/>
      <c r="K319" s="21"/>
      <c r="L319" s="21"/>
      <c r="M319" s="21"/>
      <c r="N319" s="22"/>
      <c r="O319" s="22"/>
      <c r="P319" s="17" t="str">
        <f aca="false">IF($A319="","",SUM($G319:$I319))</f>
        <v/>
      </c>
      <c r="Q319" s="17" t="str">
        <f aca="false">IF($A319="","",SUM($J319:$L319))</f>
        <v/>
      </c>
      <c r="R319" s="17" t="str">
        <f aca="false">IF($A319="","",($M319+$Q319)-$P319)</f>
        <v/>
      </c>
      <c r="S319" s="18" t="str">
        <f aca="false">IF(OR($A319="",$P319=0),"",$R319/$P319)</f>
        <v/>
      </c>
      <c r="T319" s="23"/>
      <c r="U319" s="14" t="str">
        <f aca="false">IF($A319="","",IF($M319&gt;0,"Live","Exited"))</f>
        <v/>
      </c>
      <c r="V319" s="20" t="str">
        <f aca="false">IF($A319="","",IF($A319='Client Report'!$C$4,COUNTIFS($A$6:$A319,'Client Report'!$C$4),""))</f>
        <v/>
      </c>
    </row>
    <row r="320" customFormat="false" ht="15" hidden="false" customHeight="false" outlineLevel="0" collapsed="false">
      <c r="A320" s="11"/>
      <c r="B320" s="11"/>
      <c r="C320" s="14" t="str">
        <f aca="false">IF($B320="","",IFERROR(TRIM(LEFT($B320,FIND(" - ",$B320)-1)),"Others"))</f>
        <v/>
      </c>
      <c r="D320" s="11"/>
      <c r="E320" s="11"/>
      <c r="F320" s="12"/>
      <c r="G320" s="21"/>
      <c r="H320" s="21"/>
      <c r="I320" s="21"/>
      <c r="J320" s="21"/>
      <c r="K320" s="21"/>
      <c r="L320" s="21"/>
      <c r="M320" s="21"/>
      <c r="N320" s="22"/>
      <c r="O320" s="22"/>
      <c r="P320" s="17" t="str">
        <f aca="false">IF($A320="","",SUM($G320:$I320))</f>
        <v/>
      </c>
      <c r="Q320" s="17" t="str">
        <f aca="false">IF($A320="","",SUM($J320:$L320))</f>
        <v/>
      </c>
      <c r="R320" s="17" t="str">
        <f aca="false">IF($A320="","",($M320+$Q320)-$P320)</f>
        <v/>
      </c>
      <c r="S320" s="18" t="str">
        <f aca="false">IF(OR($A320="",$P320=0),"",$R320/$P320)</f>
        <v/>
      </c>
      <c r="T320" s="23"/>
      <c r="U320" s="14" t="str">
        <f aca="false">IF($A320="","",IF($M320&gt;0,"Live","Exited"))</f>
        <v/>
      </c>
      <c r="V320" s="20" t="str">
        <f aca="false">IF($A320="","",IF($A320='Client Report'!$C$4,COUNTIFS($A$6:$A320,'Client Report'!$C$4),""))</f>
        <v/>
      </c>
    </row>
    <row r="321" customFormat="false" ht="15" hidden="false" customHeight="false" outlineLevel="0" collapsed="false">
      <c r="A321" s="11"/>
      <c r="B321" s="11"/>
      <c r="C321" s="14" t="str">
        <f aca="false">IF($B321="","",IFERROR(TRIM(LEFT($B321,FIND(" - ",$B321)-1)),"Others"))</f>
        <v/>
      </c>
      <c r="D321" s="11"/>
      <c r="E321" s="11"/>
      <c r="F321" s="12"/>
      <c r="G321" s="21"/>
      <c r="H321" s="21"/>
      <c r="I321" s="21"/>
      <c r="J321" s="21"/>
      <c r="K321" s="21"/>
      <c r="L321" s="21"/>
      <c r="M321" s="21"/>
      <c r="N321" s="22"/>
      <c r="O321" s="22"/>
      <c r="P321" s="17" t="str">
        <f aca="false">IF($A321="","",SUM($G321:$I321))</f>
        <v/>
      </c>
      <c r="Q321" s="17" t="str">
        <f aca="false">IF($A321="","",SUM($J321:$L321))</f>
        <v/>
      </c>
      <c r="R321" s="17" t="str">
        <f aca="false">IF($A321="","",($M321+$Q321)-$P321)</f>
        <v/>
      </c>
      <c r="S321" s="18" t="str">
        <f aca="false">IF(OR($A321="",$P321=0),"",$R321/$P321)</f>
        <v/>
      </c>
      <c r="T321" s="23"/>
      <c r="U321" s="14" t="str">
        <f aca="false">IF($A321="","",IF($M321&gt;0,"Live","Exited"))</f>
        <v/>
      </c>
      <c r="V321" s="20" t="str">
        <f aca="false">IF($A321="","",IF($A321='Client Report'!$C$4,COUNTIFS($A$6:$A321,'Client Report'!$C$4),""))</f>
        <v/>
      </c>
    </row>
    <row r="322" customFormat="false" ht="15" hidden="false" customHeight="false" outlineLevel="0" collapsed="false">
      <c r="A322" s="11"/>
      <c r="B322" s="11"/>
      <c r="C322" s="14" t="str">
        <f aca="false">IF($B322="","",IFERROR(TRIM(LEFT($B322,FIND(" - ",$B322)-1)),"Others"))</f>
        <v/>
      </c>
      <c r="D322" s="11"/>
      <c r="E322" s="11"/>
      <c r="F322" s="12"/>
      <c r="G322" s="21"/>
      <c r="H322" s="21"/>
      <c r="I322" s="21"/>
      <c r="J322" s="21"/>
      <c r="K322" s="21"/>
      <c r="L322" s="21"/>
      <c r="M322" s="21"/>
      <c r="N322" s="22"/>
      <c r="O322" s="22"/>
      <c r="P322" s="17" t="str">
        <f aca="false">IF($A322="","",SUM($G322:$I322))</f>
        <v/>
      </c>
      <c r="Q322" s="17" t="str">
        <f aca="false">IF($A322="","",SUM($J322:$L322))</f>
        <v/>
      </c>
      <c r="R322" s="17" t="str">
        <f aca="false">IF($A322="","",($M322+$Q322)-$P322)</f>
        <v/>
      </c>
      <c r="S322" s="18" t="str">
        <f aca="false">IF(OR($A322="",$P322=0),"",$R322/$P322)</f>
        <v/>
      </c>
      <c r="T322" s="23"/>
      <c r="U322" s="14" t="str">
        <f aca="false">IF($A322="","",IF($M322&gt;0,"Live","Exited"))</f>
        <v/>
      </c>
      <c r="V322" s="20" t="str">
        <f aca="false">IF($A322="","",IF($A322='Client Report'!$C$4,COUNTIFS($A$6:$A322,'Client Report'!$C$4),""))</f>
        <v/>
      </c>
    </row>
    <row r="323" customFormat="false" ht="15" hidden="false" customHeight="false" outlineLevel="0" collapsed="false">
      <c r="A323" s="11"/>
      <c r="B323" s="11"/>
      <c r="C323" s="14" t="str">
        <f aca="false">IF($B323="","",IFERROR(TRIM(LEFT($B323,FIND(" - ",$B323)-1)),"Others"))</f>
        <v/>
      </c>
      <c r="D323" s="11"/>
      <c r="E323" s="11"/>
      <c r="F323" s="12"/>
      <c r="G323" s="21"/>
      <c r="H323" s="21"/>
      <c r="I323" s="21"/>
      <c r="J323" s="21"/>
      <c r="K323" s="21"/>
      <c r="L323" s="21"/>
      <c r="M323" s="21"/>
      <c r="N323" s="22"/>
      <c r="O323" s="22"/>
      <c r="P323" s="17" t="str">
        <f aca="false">IF($A323="","",SUM($G323:$I323))</f>
        <v/>
      </c>
      <c r="Q323" s="17" t="str">
        <f aca="false">IF($A323="","",SUM($J323:$L323))</f>
        <v/>
      </c>
      <c r="R323" s="17" t="str">
        <f aca="false">IF($A323="","",($M323+$Q323)-$P323)</f>
        <v/>
      </c>
      <c r="S323" s="18" t="str">
        <f aca="false">IF(OR($A323="",$P323=0),"",$R323/$P323)</f>
        <v/>
      </c>
      <c r="T323" s="23"/>
      <c r="U323" s="14" t="str">
        <f aca="false">IF($A323="","",IF($M323&gt;0,"Live","Exited"))</f>
        <v/>
      </c>
      <c r="V323" s="20" t="str">
        <f aca="false">IF($A323="","",IF($A323='Client Report'!$C$4,COUNTIFS($A$6:$A323,'Client Report'!$C$4),""))</f>
        <v/>
      </c>
    </row>
    <row r="324" customFormat="false" ht="15" hidden="false" customHeight="false" outlineLevel="0" collapsed="false">
      <c r="A324" s="11"/>
      <c r="B324" s="11"/>
      <c r="C324" s="14" t="str">
        <f aca="false">IF($B324="","",IFERROR(TRIM(LEFT($B324,FIND(" - ",$B324)-1)),"Others"))</f>
        <v/>
      </c>
      <c r="D324" s="11"/>
      <c r="E324" s="11"/>
      <c r="F324" s="12"/>
      <c r="G324" s="21"/>
      <c r="H324" s="21"/>
      <c r="I324" s="21"/>
      <c r="J324" s="21"/>
      <c r="K324" s="21"/>
      <c r="L324" s="21"/>
      <c r="M324" s="21"/>
      <c r="N324" s="22"/>
      <c r="O324" s="22"/>
      <c r="P324" s="17" t="str">
        <f aca="false">IF($A324="","",SUM($G324:$I324))</f>
        <v/>
      </c>
      <c r="Q324" s="17" t="str">
        <f aca="false">IF($A324="","",SUM($J324:$L324))</f>
        <v/>
      </c>
      <c r="R324" s="17" t="str">
        <f aca="false">IF($A324="","",($M324+$Q324)-$P324)</f>
        <v/>
      </c>
      <c r="S324" s="18" t="str">
        <f aca="false">IF(OR($A324="",$P324=0),"",$R324/$P324)</f>
        <v/>
      </c>
      <c r="T324" s="23"/>
      <c r="U324" s="14" t="str">
        <f aca="false">IF($A324="","",IF($M324&gt;0,"Live","Exited"))</f>
        <v/>
      </c>
      <c r="V324" s="20" t="str">
        <f aca="false">IF($A324="","",IF($A324='Client Report'!$C$4,COUNTIFS($A$6:$A324,'Client Report'!$C$4),""))</f>
        <v/>
      </c>
    </row>
    <row r="325" customFormat="false" ht="15" hidden="false" customHeight="false" outlineLevel="0" collapsed="false">
      <c r="A325" s="11"/>
      <c r="B325" s="11"/>
      <c r="C325" s="14" t="str">
        <f aca="false">IF($B325="","",IFERROR(TRIM(LEFT($B325,FIND(" - ",$B325)-1)),"Others"))</f>
        <v/>
      </c>
      <c r="D325" s="11"/>
      <c r="E325" s="11"/>
      <c r="F325" s="12"/>
      <c r="G325" s="21"/>
      <c r="H325" s="21"/>
      <c r="I325" s="21"/>
      <c r="J325" s="21"/>
      <c r="K325" s="21"/>
      <c r="L325" s="21"/>
      <c r="M325" s="21"/>
      <c r="N325" s="22"/>
      <c r="O325" s="22"/>
      <c r="P325" s="17" t="str">
        <f aca="false">IF($A325="","",SUM($G325:$I325))</f>
        <v/>
      </c>
      <c r="Q325" s="17" t="str">
        <f aca="false">IF($A325="","",SUM($J325:$L325))</f>
        <v/>
      </c>
      <c r="R325" s="17" t="str">
        <f aca="false">IF($A325="","",($M325+$Q325)-$P325)</f>
        <v/>
      </c>
      <c r="S325" s="18" t="str">
        <f aca="false">IF(OR($A325="",$P325=0),"",$R325/$P325)</f>
        <v/>
      </c>
      <c r="T325" s="23"/>
      <c r="U325" s="14" t="str">
        <f aca="false">IF($A325="","",IF($M325&gt;0,"Live","Exited"))</f>
        <v/>
      </c>
      <c r="V325" s="20" t="str">
        <f aca="false">IF($A325="","",IF($A325='Client Report'!$C$4,COUNTIFS($A$6:$A325,'Client Report'!$C$4),""))</f>
        <v/>
      </c>
    </row>
    <row r="326" customFormat="false" ht="15" hidden="false" customHeight="false" outlineLevel="0" collapsed="false">
      <c r="A326" s="11"/>
      <c r="B326" s="11"/>
      <c r="C326" s="14" t="str">
        <f aca="false">IF($B326="","",IFERROR(TRIM(LEFT($B326,FIND(" - ",$B326)-1)),"Others"))</f>
        <v/>
      </c>
      <c r="D326" s="11"/>
      <c r="E326" s="11"/>
      <c r="F326" s="12"/>
      <c r="G326" s="21"/>
      <c r="H326" s="21"/>
      <c r="I326" s="21"/>
      <c r="J326" s="21"/>
      <c r="K326" s="21"/>
      <c r="L326" s="21"/>
      <c r="M326" s="21"/>
      <c r="N326" s="22"/>
      <c r="O326" s="22"/>
      <c r="P326" s="17" t="str">
        <f aca="false">IF($A326="","",SUM($G326:$I326))</f>
        <v/>
      </c>
      <c r="Q326" s="17" t="str">
        <f aca="false">IF($A326="","",SUM($J326:$L326))</f>
        <v/>
      </c>
      <c r="R326" s="17" t="str">
        <f aca="false">IF($A326="","",($M326+$Q326)-$P326)</f>
        <v/>
      </c>
      <c r="S326" s="18" t="str">
        <f aca="false">IF(OR($A326="",$P326=0),"",$R326/$P326)</f>
        <v/>
      </c>
      <c r="T326" s="23"/>
      <c r="U326" s="14" t="str">
        <f aca="false">IF($A326="","",IF($M326&gt;0,"Live","Exited"))</f>
        <v/>
      </c>
      <c r="V326" s="20" t="str">
        <f aca="false">IF($A326="","",IF($A326='Client Report'!$C$4,COUNTIFS($A$6:$A326,'Client Report'!$C$4),""))</f>
        <v/>
      </c>
    </row>
    <row r="327" customFormat="false" ht="15" hidden="false" customHeight="false" outlineLevel="0" collapsed="false">
      <c r="A327" s="11"/>
      <c r="B327" s="11"/>
      <c r="C327" s="14" t="str">
        <f aca="false">IF($B327="","",IFERROR(TRIM(LEFT($B327,FIND(" - ",$B327)-1)),"Others"))</f>
        <v/>
      </c>
      <c r="D327" s="11"/>
      <c r="E327" s="11"/>
      <c r="F327" s="12"/>
      <c r="G327" s="21"/>
      <c r="H327" s="21"/>
      <c r="I327" s="21"/>
      <c r="J327" s="21"/>
      <c r="K327" s="21"/>
      <c r="L327" s="21"/>
      <c r="M327" s="21"/>
      <c r="N327" s="22"/>
      <c r="O327" s="22"/>
      <c r="P327" s="17" t="str">
        <f aca="false">IF($A327="","",SUM($G327:$I327))</f>
        <v/>
      </c>
      <c r="Q327" s="17" t="str">
        <f aca="false">IF($A327="","",SUM($J327:$L327))</f>
        <v/>
      </c>
      <c r="R327" s="17" t="str">
        <f aca="false">IF($A327="","",($M327+$Q327)-$P327)</f>
        <v/>
      </c>
      <c r="S327" s="18" t="str">
        <f aca="false">IF(OR($A327="",$P327=0),"",$R327/$P327)</f>
        <v/>
      </c>
      <c r="T327" s="23"/>
      <c r="U327" s="14" t="str">
        <f aca="false">IF($A327="","",IF($M327&gt;0,"Live","Exited"))</f>
        <v/>
      </c>
      <c r="V327" s="20" t="str">
        <f aca="false">IF($A327="","",IF($A327='Client Report'!$C$4,COUNTIFS($A$6:$A327,'Client Report'!$C$4),""))</f>
        <v/>
      </c>
    </row>
    <row r="328" customFormat="false" ht="15" hidden="false" customHeight="false" outlineLevel="0" collapsed="false">
      <c r="A328" s="11"/>
      <c r="B328" s="11"/>
      <c r="C328" s="14" t="str">
        <f aca="false">IF($B328="","",IFERROR(TRIM(LEFT($B328,FIND(" - ",$B328)-1)),"Others"))</f>
        <v/>
      </c>
      <c r="D328" s="11"/>
      <c r="E328" s="11"/>
      <c r="F328" s="12"/>
      <c r="G328" s="21"/>
      <c r="H328" s="21"/>
      <c r="I328" s="21"/>
      <c r="J328" s="21"/>
      <c r="K328" s="21"/>
      <c r="L328" s="21"/>
      <c r="M328" s="21"/>
      <c r="N328" s="22"/>
      <c r="O328" s="22"/>
      <c r="P328" s="17" t="str">
        <f aca="false">IF($A328="","",SUM($G328:$I328))</f>
        <v/>
      </c>
      <c r="Q328" s="17" t="str">
        <f aca="false">IF($A328="","",SUM($J328:$L328))</f>
        <v/>
      </c>
      <c r="R328" s="17" t="str">
        <f aca="false">IF($A328="","",($M328+$Q328)-$P328)</f>
        <v/>
      </c>
      <c r="S328" s="18" t="str">
        <f aca="false">IF(OR($A328="",$P328=0),"",$R328/$P328)</f>
        <v/>
      </c>
      <c r="T328" s="23"/>
      <c r="U328" s="14" t="str">
        <f aca="false">IF($A328="","",IF($M328&gt;0,"Live","Exited"))</f>
        <v/>
      </c>
      <c r="V328" s="20" t="str">
        <f aca="false">IF($A328="","",IF($A328='Client Report'!$C$4,COUNTIFS($A$6:$A328,'Client Report'!$C$4),""))</f>
        <v/>
      </c>
    </row>
    <row r="329" customFormat="false" ht="15" hidden="false" customHeight="false" outlineLevel="0" collapsed="false">
      <c r="A329" s="11"/>
      <c r="B329" s="11"/>
      <c r="C329" s="14" t="str">
        <f aca="false">IF($B329="","",IFERROR(TRIM(LEFT($B329,FIND(" - ",$B329)-1)),"Others"))</f>
        <v/>
      </c>
      <c r="D329" s="11"/>
      <c r="E329" s="11"/>
      <c r="F329" s="12"/>
      <c r="G329" s="21"/>
      <c r="H329" s="21"/>
      <c r="I329" s="21"/>
      <c r="J329" s="21"/>
      <c r="K329" s="21"/>
      <c r="L329" s="21"/>
      <c r="M329" s="21"/>
      <c r="N329" s="22"/>
      <c r="O329" s="22"/>
      <c r="P329" s="17" t="str">
        <f aca="false">IF($A329="","",SUM($G329:$I329))</f>
        <v/>
      </c>
      <c r="Q329" s="17" t="str">
        <f aca="false">IF($A329="","",SUM($J329:$L329))</f>
        <v/>
      </c>
      <c r="R329" s="17" t="str">
        <f aca="false">IF($A329="","",($M329+$Q329)-$P329)</f>
        <v/>
      </c>
      <c r="S329" s="18" t="str">
        <f aca="false">IF(OR($A329="",$P329=0),"",$R329/$P329)</f>
        <v/>
      </c>
      <c r="T329" s="23"/>
      <c r="U329" s="14" t="str">
        <f aca="false">IF($A329="","",IF($M329&gt;0,"Live","Exited"))</f>
        <v/>
      </c>
      <c r="V329" s="20" t="str">
        <f aca="false">IF($A329="","",IF($A329='Client Report'!$C$4,COUNTIFS($A$6:$A329,'Client Report'!$C$4),""))</f>
        <v/>
      </c>
    </row>
    <row r="330" customFormat="false" ht="15" hidden="false" customHeight="false" outlineLevel="0" collapsed="false">
      <c r="A330" s="11"/>
      <c r="B330" s="11"/>
      <c r="C330" s="14" t="str">
        <f aca="false">IF($B330="","",IFERROR(TRIM(LEFT($B330,FIND(" - ",$B330)-1)),"Others"))</f>
        <v/>
      </c>
      <c r="D330" s="11"/>
      <c r="E330" s="11"/>
      <c r="F330" s="12"/>
      <c r="G330" s="21"/>
      <c r="H330" s="21"/>
      <c r="I330" s="21"/>
      <c r="J330" s="21"/>
      <c r="K330" s="21"/>
      <c r="L330" s="21"/>
      <c r="M330" s="21"/>
      <c r="N330" s="22"/>
      <c r="O330" s="22"/>
      <c r="P330" s="17" t="str">
        <f aca="false">IF($A330="","",SUM($G330:$I330))</f>
        <v/>
      </c>
      <c r="Q330" s="17" t="str">
        <f aca="false">IF($A330="","",SUM($J330:$L330))</f>
        <v/>
      </c>
      <c r="R330" s="17" t="str">
        <f aca="false">IF($A330="","",($M330+$Q330)-$P330)</f>
        <v/>
      </c>
      <c r="S330" s="18" t="str">
        <f aca="false">IF(OR($A330="",$P330=0),"",$R330/$P330)</f>
        <v/>
      </c>
      <c r="T330" s="23"/>
      <c r="U330" s="14" t="str">
        <f aca="false">IF($A330="","",IF($M330&gt;0,"Live","Exited"))</f>
        <v/>
      </c>
      <c r="V330" s="20" t="str">
        <f aca="false">IF($A330="","",IF($A330='Client Report'!$C$4,COUNTIFS($A$6:$A330,'Client Report'!$C$4),""))</f>
        <v/>
      </c>
    </row>
    <row r="331" customFormat="false" ht="15" hidden="false" customHeight="false" outlineLevel="0" collapsed="false">
      <c r="A331" s="11"/>
      <c r="B331" s="11"/>
      <c r="C331" s="14" t="str">
        <f aca="false">IF($B331="","",IFERROR(TRIM(LEFT($B331,FIND(" - ",$B331)-1)),"Others"))</f>
        <v/>
      </c>
      <c r="D331" s="11"/>
      <c r="E331" s="11"/>
      <c r="F331" s="12"/>
      <c r="G331" s="21"/>
      <c r="H331" s="21"/>
      <c r="I331" s="21"/>
      <c r="J331" s="21"/>
      <c r="K331" s="21"/>
      <c r="L331" s="21"/>
      <c r="M331" s="21"/>
      <c r="N331" s="22"/>
      <c r="O331" s="22"/>
      <c r="P331" s="17" t="str">
        <f aca="false">IF($A331="","",SUM($G331:$I331))</f>
        <v/>
      </c>
      <c r="Q331" s="17" t="str">
        <f aca="false">IF($A331="","",SUM($J331:$L331))</f>
        <v/>
      </c>
      <c r="R331" s="17" t="str">
        <f aca="false">IF($A331="","",($M331+$Q331)-$P331)</f>
        <v/>
      </c>
      <c r="S331" s="18" t="str">
        <f aca="false">IF(OR($A331="",$P331=0),"",$R331/$P331)</f>
        <v/>
      </c>
      <c r="T331" s="23"/>
      <c r="U331" s="14" t="str">
        <f aca="false">IF($A331="","",IF($M331&gt;0,"Live","Exited"))</f>
        <v/>
      </c>
      <c r="V331" s="20" t="str">
        <f aca="false">IF($A331="","",IF($A331='Client Report'!$C$4,COUNTIFS($A$6:$A331,'Client Report'!$C$4),""))</f>
        <v/>
      </c>
    </row>
    <row r="332" customFormat="false" ht="15" hidden="false" customHeight="false" outlineLevel="0" collapsed="false">
      <c r="A332" s="11"/>
      <c r="B332" s="11"/>
      <c r="C332" s="14" t="str">
        <f aca="false">IF($B332="","",IFERROR(TRIM(LEFT($B332,FIND(" - ",$B332)-1)),"Others"))</f>
        <v/>
      </c>
      <c r="D332" s="11"/>
      <c r="E332" s="11"/>
      <c r="F332" s="12"/>
      <c r="G332" s="21"/>
      <c r="H332" s="21"/>
      <c r="I332" s="21"/>
      <c r="J332" s="21"/>
      <c r="K332" s="21"/>
      <c r="L332" s="21"/>
      <c r="M332" s="21"/>
      <c r="N332" s="22"/>
      <c r="O332" s="22"/>
      <c r="P332" s="17" t="str">
        <f aca="false">IF($A332="","",SUM($G332:$I332))</f>
        <v/>
      </c>
      <c r="Q332" s="17" t="str">
        <f aca="false">IF($A332="","",SUM($J332:$L332))</f>
        <v/>
      </c>
      <c r="R332" s="17" t="str">
        <f aca="false">IF($A332="","",($M332+$Q332)-$P332)</f>
        <v/>
      </c>
      <c r="S332" s="18" t="str">
        <f aca="false">IF(OR($A332="",$P332=0),"",$R332/$P332)</f>
        <v/>
      </c>
      <c r="T332" s="23"/>
      <c r="U332" s="14" t="str">
        <f aca="false">IF($A332="","",IF($M332&gt;0,"Live","Exited"))</f>
        <v/>
      </c>
      <c r="V332" s="20" t="str">
        <f aca="false">IF($A332="","",IF($A332='Client Report'!$C$4,COUNTIFS($A$6:$A332,'Client Report'!$C$4),""))</f>
        <v/>
      </c>
    </row>
    <row r="333" customFormat="false" ht="15" hidden="false" customHeight="false" outlineLevel="0" collapsed="false">
      <c r="A333" s="11"/>
      <c r="B333" s="11"/>
      <c r="C333" s="14" t="str">
        <f aca="false">IF($B333="","",IFERROR(TRIM(LEFT($B333,FIND(" - ",$B333)-1)),"Others"))</f>
        <v/>
      </c>
      <c r="D333" s="11"/>
      <c r="E333" s="11"/>
      <c r="F333" s="12"/>
      <c r="G333" s="21"/>
      <c r="H333" s="21"/>
      <c r="I333" s="21"/>
      <c r="J333" s="21"/>
      <c r="K333" s="21"/>
      <c r="L333" s="21"/>
      <c r="M333" s="21"/>
      <c r="N333" s="22"/>
      <c r="O333" s="22"/>
      <c r="P333" s="17" t="str">
        <f aca="false">IF($A333="","",SUM($G333:$I333))</f>
        <v/>
      </c>
      <c r="Q333" s="17" t="str">
        <f aca="false">IF($A333="","",SUM($J333:$L333))</f>
        <v/>
      </c>
      <c r="R333" s="17" t="str">
        <f aca="false">IF($A333="","",($M333+$Q333)-$P333)</f>
        <v/>
      </c>
      <c r="S333" s="18" t="str">
        <f aca="false">IF(OR($A333="",$P333=0),"",$R333/$P333)</f>
        <v/>
      </c>
      <c r="T333" s="23"/>
      <c r="U333" s="14" t="str">
        <f aca="false">IF($A333="","",IF($M333&gt;0,"Live","Exited"))</f>
        <v/>
      </c>
      <c r="V333" s="20" t="str">
        <f aca="false">IF($A333="","",IF($A333='Client Report'!$C$4,COUNTIFS($A$6:$A333,'Client Report'!$C$4),""))</f>
        <v/>
      </c>
    </row>
    <row r="334" customFormat="false" ht="15" hidden="false" customHeight="false" outlineLevel="0" collapsed="false">
      <c r="A334" s="11"/>
      <c r="B334" s="11"/>
      <c r="C334" s="14" t="str">
        <f aca="false">IF($B334="","",IFERROR(TRIM(LEFT($B334,FIND(" - ",$B334)-1)),"Others"))</f>
        <v/>
      </c>
      <c r="D334" s="11"/>
      <c r="E334" s="11"/>
      <c r="F334" s="12"/>
      <c r="G334" s="21"/>
      <c r="H334" s="21"/>
      <c r="I334" s="21"/>
      <c r="J334" s="21"/>
      <c r="K334" s="21"/>
      <c r="L334" s="21"/>
      <c r="M334" s="21"/>
      <c r="N334" s="22"/>
      <c r="O334" s="22"/>
      <c r="P334" s="17" t="str">
        <f aca="false">IF($A334="","",SUM($G334:$I334))</f>
        <v/>
      </c>
      <c r="Q334" s="17" t="str">
        <f aca="false">IF($A334="","",SUM($J334:$L334))</f>
        <v/>
      </c>
      <c r="R334" s="17" t="str">
        <f aca="false">IF($A334="","",($M334+$Q334)-$P334)</f>
        <v/>
      </c>
      <c r="S334" s="18" t="str">
        <f aca="false">IF(OR($A334="",$P334=0),"",$R334/$P334)</f>
        <v/>
      </c>
      <c r="T334" s="23"/>
      <c r="U334" s="14" t="str">
        <f aca="false">IF($A334="","",IF($M334&gt;0,"Live","Exited"))</f>
        <v/>
      </c>
      <c r="V334" s="20" t="str">
        <f aca="false">IF($A334="","",IF($A334='Client Report'!$C$4,COUNTIFS($A$6:$A334,'Client Report'!$C$4),""))</f>
        <v/>
      </c>
    </row>
    <row r="335" customFormat="false" ht="15" hidden="false" customHeight="false" outlineLevel="0" collapsed="false">
      <c r="A335" s="11"/>
      <c r="B335" s="11"/>
      <c r="C335" s="14" t="str">
        <f aca="false">IF($B335="","",IFERROR(TRIM(LEFT($B335,FIND(" - ",$B335)-1)),"Others"))</f>
        <v/>
      </c>
      <c r="D335" s="11"/>
      <c r="E335" s="11"/>
      <c r="F335" s="12"/>
      <c r="G335" s="21"/>
      <c r="H335" s="21"/>
      <c r="I335" s="21"/>
      <c r="J335" s="21"/>
      <c r="K335" s="21"/>
      <c r="L335" s="21"/>
      <c r="M335" s="21"/>
      <c r="N335" s="22"/>
      <c r="O335" s="22"/>
      <c r="P335" s="17" t="str">
        <f aca="false">IF($A335="","",SUM($G335:$I335))</f>
        <v/>
      </c>
      <c r="Q335" s="17" t="str">
        <f aca="false">IF($A335="","",SUM($J335:$L335))</f>
        <v/>
      </c>
      <c r="R335" s="17" t="str">
        <f aca="false">IF($A335="","",($M335+$Q335)-$P335)</f>
        <v/>
      </c>
      <c r="S335" s="18" t="str">
        <f aca="false">IF(OR($A335="",$P335=0),"",$R335/$P335)</f>
        <v/>
      </c>
      <c r="T335" s="23"/>
      <c r="U335" s="14" t="str">
        <f aca="false">IF($A335="","",IF($M335&gt;0,"Live","Exited"))</f>
        <v/>
      </c>
      <c r="V335" s="20" t="str">
        <f aca="false">IF($A335="","",IF($A335='Client Report'!$C$4,COUNTIFS($A$6:$A335,'Client Report'!$C$4),""))</f>
        <v/>
      </c>
    </row>
    <row r="336" customFormat="false" ht="15" hidden="false" customHeight="false" outlineLevel="0" collapsed="false">
      <c r="A336" s="11"/>
      <c r="B336" s="11"/>
      <c r="C336" s="14" t="str">
        <f aca="false">IF($B336="","",IFERROR(TRIM(LEFT($B336,FIND(" - ",$B336)-1)),"Others"))</f>
        <v/>
      </c>
      <c r="D336" s="11"/>
      <c r="E336" s="11"/>
      <c r="F336" s="12"/>
      <c r="G336" s="21"/>
      <c r="H336" s="21"/>
      <c r="I336" s="21"/>
      <c r="J336" s="21"/>
      <c r="K336" s="21"/>
      <c r="L336" s="21"/>
      <c r="M336" s="21"/>
      <c r="N336" s="22"/>
      <c r="O336" s="22"/>
      <c r="P336" s="17" t="str">
        <f aca="false">IF($A336="","",SUM($G336:$I336))</f>
        <v/>
      </c>
      <c r="Q336" s="17" t="str">
        <f aca="false">IF($A336="","",SUM($J336:$L336))</f>
        <v/>
      </c>
      <c r="R336" s="17" t="str">
        <f aca="false">IF($A336="","",($M336+$Q336)-$P336)</f>
        <v/>
      </c>
      <c r="S336" s="18" t="str">
        <f aca="false">IF(OR($A336="",$P336=0),"",$R336/$P336)</f>
        <v/>
      </c>
      <c r="T336" s="23"/>
      <c r="U336" s="14" t="str">
        <f aca="false">IF($A336="","",IF($M336&gt;0,"Live","Exited"))</f>
        <v/>
      </c>
      <c r="V336" s="20" t="str">
        <f aca="false">IF($A336="","",IF($A336='Client Report'!$C$4,COUNTIFS($A$6:$A336,'Client Report'!$C$4),""))</f>
        <v/>
      </c>
    </row>
    <row r="337" customFormat="false" ht="15" hidden="false" customHeight="false" outlineLevel="0" collapsed="false">
      <c r="A337" s="11"/>
      <c r="B337" s="11"/>
      <c r="C337" s="14" t="str">
        <f aca="false">IF($B337="","",IFERROR(TRIM(LEFT($B337,FIND(" - ",$B337)-1)),"Others"))</f>
        <v/>
      </c>
      <c r="D337" s="11"/>
      <c r="E337" s="11"/>
      <c r="F337" s="12"/>
      <c r="G337" s="21"/>
      <c r="H337" s="21"/>
      <c r="I337" s="21"/>
      <c r="J337" s="21"/>
      <c r="K337" s="21"/>
      <c r="L337" s="21"/>
      <c r="M337" s="21"/>
      <c r="N337" s="22"/>
      <c r="O337" s="22"/>
      <c r="P337" s="17" t="str">
        <f aca="false">IF($A337="","",SUM($G337:$I337))</f>
        <v/>
      </c>
      <c r="Q337" s="17" t="str">
        <f aca="false">IF($A337="","",SUM($J337:$L337))</f>
        <v/>
      </c>
      <c r="R337" s="17" t="str">
        <f aca="false">IF($A337="","",($M337+$Q337)-$P337)</f>
        <v/>
      </c>
      <c r="S337" s="18" t="str">
        <f aca="false">IF(OR($A337="",$P337=0),"",$R337/$P337)</f>
        <v/>
      </c>
      <c r="T337" s="23"/>
      <c r="U337" s="14" t="str">
        <f aca="false">IF($A337="","",IF($M337&gt;0,"Live","Exited"))</f>
        <v/>
      </c>
      <c r="V337" s="20" t="str">
        <f aca="false">IF($A337="","",IF($A337='Client Report'!$C$4,COUNTIFS($A$6:$A337,'Client Report'!$C$4),""))</f>
        <v/>
      </c>
    </row>
    <row r="338" customFormat="false" ht="15" hidden="false" customHeight="false" outlineLevel="0" collapsed="false">
      <c r="A338" s="11"/>
      <c r="B338" s="11"/>
      <c r="C338" s="14" t="str">
        <f aca="false">IF($B338="","",IFERROR(TRIM(LEFT($B338,FIND(" - ",$B338)-1)),"Others"))</f>
        <v/>
      </c>
      <c r="D338" s="11"/>
      <c r="E338" s="11"/>
      <c r="F338" s="12"/>
      <c r="G338" s="21"/>
      <c r="H338" s="21"/>
      <c r="I338" s="21"/>
      <c r="J338" s="21"/>
      <c r="K338" s="21"/>
      <c r="L338" s="21"/>
      <c r="M338" s="21"/>
      <c r="N338" s="22"/>
      <c r="O338" s="22"/>
      <c r="P338" s="17" t="str">
        <f aca="false">IF($A338="","",SUM($G338:$I338))</f>
        <v/>
      </c>
      <c r="Q338" s="17" t="str">
        <f aca="false">IF($A338="","",SUM($J338:$L338))</f>
        <v/>
      </c>
      <c r="R338" s="17" t="str">
        <f aca="false">IF($A338="","",($M338+$Q338)-$P338)</f>
        <v/>
      </c>
      <c r="S338" s="18" t="str">
        <f aca="false">IF(OR($A338="",$P338=0),"",$R338/$P338)</f>
        <v/>
      </c>
      <c r="T338" s="23"/>
      <c r="U338" s="14" t="str">
        <f aca="false">IF($A338="","",IF($M338&gt;0,"Live","Exited"))</f>
        <v/>
      </c>
      <c r="V338" s="20" t="str">
        <f aca="false">IF($A338="","",IF($A338='Client Report'!$C$4,COUNTIFS($A$6:$A338,'Client Report'!$C$4),""))</f>
        <v/>
      </c>
    </row>
    <row r="339" customFormat="false" ht="15" hidden="false" customHeight="false" outlineLevel="0" collapsed="false">
      <c r="A339" s="11"/>
      <c r="B339" s="11"/>
      <c r="C339" s="14" t="str">
        <f aca="false">IF($B339="","",IFERROR(TRIM(LEFT($B339,FIND(" - ",$B339)-1)),"Others"))</f>
        <v/>
      </c>
      <c r="D339" s="11"/>
      <c r="E339" s="11"/>
      <c r="F339" s="12"/>
      <c r="G339" s="21"/>
      <c r="H339" s="21"/>
      <c r="I339" s="21"/>
      <c r="J339" s="21"/>
      <c r="K339" s="21"/>
      <c r="L339" s="21"/>
      <c r="M339" s="21"/>
      <c r="N339" s="22"/>
      <c r="O339" s="22"/>
      <c r="P339" s="17" t="str">
        <f aca="false">IF($A339="","",SUM($G339:$I339))</f>
        <v/>
      </c>
      <c r="Q339" s="17" t="str">
        <f aca="false">IF($A339="","",SUM($J339:$L339))</f>
        <v/>
      </c>
      <c r="R339" s="17" t="str">
        <f aca="false">IF($A339="","",($M339+$Q339)-$P339)</f>
        <v/>
      </c>
      <c r="S339" s="18" t="str">
        <f aca="false">IF(OR($A339="",$P339=0),"",$R339/$P339)</f>
        <v/>
      </c>
      <c r="T339" s="23"/>
      <c r="U339" s="14" t="str">
        <f aca="false">IF($A339="","",IF($M339&gt;0,"Live","Exited"))</f>
        <v/>
      </c>
      <c r="V339" s="20" t="str">
        <f aca="false">IF($A339="","",IF($A339='Client Report'!$C$4,COUNTIFS($A$6:$A339,'Client Report'!$C$4),""))</f>
        <v/>
      </c>
    </row>
    <row r="340" customFormat="false" ht="15" hidden="false" customHeight="false" outlineLevel="0" collapsed="false">
      <c r="A340" s="11"/>
      <c r="B340" s="11"/>
      <c r="C340" s="14" t="str">
        <f aca="false">IF($B340="","",IFERROR(TRIM(LEFT($B340,FIND(" - ",$B340)-1)),"Others"))</f>
        <v/>
      </c>
      <c r="D340" s="11"/>
      <c r="E340" s="11"/>
      <c r="F340" s="12"/>
      <c r="G340" s="21"/>
      <c r="H340" s="21"/>
      <c r="I340" s="21"/>
      <c r="J340" s="21"/>
      <c r="K340" s="21"/>
      <c r="L340" s="21"/>
      <c r="M340" s="21"/>
      <c r="N340" s="22"/>
      <c r="O340" s="22"/>
      <c r="P340" s="17" t="str">
        <f aca="false">IF($A340="","",SUM($G340:$I340))</f>
        <v/>
      </c>
      <c r="Q340" s="17" t="str">
        <f aca="false">IF($A340="","",SUM($J340:$L340))</f>
        <v/>
      </c>
      <c r="R340" s="17" t="str">
        <f aca="false">IF($A340="","",($M340+$Q340)-$P340)</f>
        <v/>
      </c>
      <c r="S340" s="18" t="str">
        <f aca="false">IF(OR($A340="",$P340=0),"",$R340/$P340)</f>
        <v/>
      </c>
      <c r="T340" s="23"/>
      <c r="U340" s="14" t="str">
        <f aca="false">IF($A340="","",IF($M340&gt;0,"Live","Exited"))</f>
        <v/>
      </c>
      <c r="V340" s="20" t="str">
        <f aca="false">IF($A340="","",IF($A340='Client Report'!$C$4,COUNTIFS($A$6:$A340,'Client Report'!$C$4),""))</f>
        <v/>
      </c>
    </row>
    <row r="341" customFormat="false" ht="15" hidden="false" customHeight="false" outlineLevel="0" collapsed="false">
      <c r="A341" s="11"/>
      <c r="B341" s="11"/>
      <c r="C341" s="14" t="str">
        <f aca="false">IF($B341="","",IFERROR(TRIM(LEFT($B341,FIND(" - ",$B341)-1)),"Others"))</f>
        <v/>
      </c>
      <c r="D341" s="11"/>
      <c r="E341" s="11"/>
      <c r="F341" s="12"/>
      <c r="G341" s="21"/>
      <c r="H341" s="21"/>
      <c r="I341" s="21"/>
      <c r="J341" s="21"/>
      <c r="K341" s="21"/>
      <c r="L341" s="21"/>
      <c r="M341" s="21"/>
      <c r="N341" s="22"/>
      <c r="O341" s="22"/>
      <c r="P341" s="17" t="str">
        <f aca="false">IF($A341="","",SUM($G341:$I341))</f>
        <v/>
      </c>
      <c r="Q341" s="17" t="str">
        <f aca="false">IF($A341="","",SUM($J341:$L341))</f>
        <v/>
      </c>
      <c r="R341" s="17" t="str">
        <f aca="false">IF($A341="","",($M341+$Q341)-$P341)</f>
        <v/>
      </c>
      <c r="S341" s="18" t="str">
        <f aca="false">IF(OR($A341="",$P341=0),"",$R341/$P341)</f>
        <v/>
      </c>
      <c r="T341" s="23"/>
      <c r="U341" s="14" t="str">
        <f aca="false">IF($A341="","",IF($M341&gt;0,"Live","Exited"))</f>
        <v/>
      </c>
      <c r="V341" s="20" t="str">
        <f aca="false">IF($A341="","",IF($A341='Client Report'!$C$4,COUNTIFS($A$6:$A341,'Client Report'!$C$4),""))</f>
        <v/>
      </c>
    </row>
    <row r="342" customFormat="false" ht="15" hidden="false" customHeight="false" outlineLevel="0" collapsed="false">
      <c r="A342" s="11"/>
      <c r="B342" s="11"/>
      <c r="C342" s="14" t="str">
        <f aca="false">IF($B342="","",IFERROR(TRIM(LEFT($B342,FIND(" - ",$B342)-1)),"Others"))</f>
        <v/>
      </c>
      <c r="D342" s="11"/>
      <c r="E342" s="11"/>
      <c r="F342" s="12"/>
      <c r="G342" s="21"/>
      <c r="H342" s="21"/>
      <c r="I342" s="21"/>
      <c r="J342" s="21"/>
      <c r="K342" s="21"/>
      <c r="L342" s="21"/>
      <c r="M342" s="21"/>
      <c r="N342" s="22"/>
      <c r="O342" s="22"/>
      <c r="P342" s="17" t="str">
        <f aca="false">IF($A342="","",SUM($G342:$I342))</f>
        <v/>
      </c>
      <c r="Q342" s="17" t="str">
        <f aca="false">IF($A342="","",SUM($J342:$L342))</f>
        <v/>
      </c>
      <c r="R342" s="17" t="str">
        <f aca="false">IF($A342="","",($M342+$Q342)-$P342)</f>
        <v/>
      </c>
      <c r="S342" s="18" t="str">
        <f aca="false">IF(OR($A342="",$P342=0),"",$R342/$P342)</f>
        <v/>
      </c>
      <c r="T342" s="23"/>
      <c r="U342" s="14" t="str">
        <f aca="false">IF($A342="","",IF($M342&gt;0,"Live","Exited"))</f>
        <v/>
      </c>
      <c r="V342" s="20" t="str">
        <f aca="false">IF($A342="","",IF($A342='Client Report'!$C$4,COUNTIFS($A$6:$A342,'Client Report'!$C$4),""))</f>
        <v/>
      </c>
    </row>
    <row r="343" customFormat="false" ht="15" hidden="false" customHeight="false" outlineLevel="0" collapsed="false">
      <c r="A343" s="11"/>
      <c r="B343" s="11"/>
      <c r="C343" s="14" t="str">
        <f aca="false">IF($B343="","",IFERROR(TRIM(LEFT($B343,FIND(" - ",$B343)-1)),"Others"))</f>
        <v/>
      </c>
      <c r="D343" s="11"/>
      <c r="E343" s="11"/>
      <c r="F343" s="12"/>
      <c r="G343" s="21"/>
      <c r="H343" s="21"/>
      <c r="I343" s="21"/>
      <c r="J343" s="21"/>
      <c r="K343" s="21"/>
      <c r="L343" s="21"/>
      <c r="M343" s="21"/>
      <c r="N343" s="22"/>
      <c r="O343" s="22"/>
      <c r="P343" s="17" t="str">
        <f aca="false">IF($A343="","",SUM($G343:$I343))</f>
        <v/>
      </c>
      <c r="Q343" s="17" t="str">
        <f aca="false">IF($A343="","",SUM($J343:$L343))</f>
        <v/>
      </c>
      <c r="R343" s="17" t="str">
        <f aca="false">IF($A343="","",($M343+$Q343)-$P343)</f>
        <v/>
      </c>
      <c r="S343" s="18" t="str">
        <f aca="false">IF(OR($A343="",$P343=0),"",$R343/$P343)</f>
        <v/>
      </c>
      <c r="T343" s="23"/>
      <c r="U343" s="14" t="str">
        <f aca="false">IF($A343="","",IF($M343&gt;0,"Live","Exited"))</f>
        <v/>
      </c>
      <c r="V343" s="20" t="str">
        <f aca="false">IF($A343="","",IF($A343='Client Report'!$C$4,COUNTIFS($A$6:$A343,'Client Report'!$C$4),""))</f>
        <v/>
      </c>
    </row>
    <row r="344" customFormat="false" ht="15" hidden="false" customHeight="false" outlineLevel="0" collapsed="false">
      <c r="A344" s="11"/>
      <c r="B344" s="11"/>
      <c r="C344" s="14" t="str">
        <f aca="false">IF($B344="","",IFERROR(TRIM(LEFT($B344,FIND(" - ",$B344)-1)),"Others"))</f>
        <v/>
      </c>
      <c r="D344" s="11"/>
      <c r="E344" s="11"/>
      <c r="F344" s="12"/>
      <c r="G344" s="21"/>
      <c r="H344" s="21"/>
      <c r="I344" s="21"/>
      <c r="J344" s="21"/>
      <c r="K344" s="21"/>
      <c r="L344" s="21"/>
      <c r="M344" s="21"/>
      <c r="N344" s="22"/>
      <c r="O344" s="22"/>
      <c r="P344" s="17" t="str">
        <f aca="false">IF($A344="","",SUM($G344:$I344))</f>
        <v/>
      </c>
      <c r="Q344" s="17" t="str">
        <f aca="false">IF($A344="","",SUM($J344:$L344))</f>
        <v/>
      </c>
      <c r="R344" s="17" t="str">
        <f aca="false">IF($A344="","",($M344+$Q344)-$P344)</f>
        <v/>
      </c>
      <c r="S344" s="18" t="str">
        <f aca="false">IF(OR($A344="",$P344=0),"",$R344/$P344)</f>
        <v/>
      </c>
      <c r="T344" s="23"/>
      <c r="U344" s="14" t="str">
        <f aca="false">IF($A344="","",IF($M344&gt;0,"Live","Exited"))</f>
        <v/>
      </c>
      <c r="V344" s="20" t="str">
        <f aca="false">IF($A344="","",IF($A344='Client Report'!$C$4,COUNTIFS($A$6:$A344,'Client Report'!$C$4),""))</f>
        <v/>
      </c>
    </row>
    <row r="345" customFormat="false" ht="15" hidden="false" customHeight="false" outlineLevel="0" collapsed="false">
      <c r="A345" s="11"/>
      <c r="B345" s="11"/>
      <c r="C345" s="14" t="str">
        <f aca="false">IF($B345="","",IFERROR(TRIM(LEFT($B345,FIND(" - ",$B345)-1)),"Others"))</f>
        <v/>
      </c>
      <c r="D345" s="11"/>
      <c r="E345" s="11"/>
      <c r="F345" s="12"/>
      <c r="G345" s="21"/>
      <c r="H345" s="21"/>
      <c r="I345" s="21"/>
      <c r="J345" s="21"/>
      <c r="K345" s="21"/>
      <c r="L345" s="21"/>
      <c r="M345" s="21"/>
      <c r="N345" s="22"/>
      <c r="O345" s="22"/>
      <c r="P345" s="17" t="str">
        <f aca="false">IF($A345="","",SUM($G345:$I345))</f>
        <v/>
      </c>
      <c r="Q345" s="17" t="str">
        <f aca="false">IF($A345="","",SUM($J345:$L345))</f>
        <v/>
      </c>
      <c r="R345" s="17" t="str">
        <f aca="false">IF($A345="","",($M345+$Q345)-$P345)</f>
        <v/>
      </c>
      <c r="S345" s="18" t="str">
        <f aca="false">IF(OR($A345="",$P345=0),"",$R345/$P345)</f>
        <v/>
      </c>
      <c r="T345" s="23"/>
      <c r="U345" s="14" t="str">
        <f aca="false">IF($A345="","",IF($M345&gt;0,"Live","Exited"))</f>
        <v/>
      </c>
      <c r="V345" s="20" t="str">
        <f aca="false">IF($A345="","",IF($A345='Client Report'!$C$4,COUNTIFS($A$6:$A345,'Client Report'!$C$4),""))</f>
        <v/>
      </c>
    </row>
    <row r="346" customFormat="false" ht="15" hidden="false" customHeight="false" outlineLevel="0" collapsed="false">
      <c r="A346" s="11"/>
      <c r="B346" s="11"/>
      <c r="C346" s="14" t="str">
        <f aca="false">IF($B346="","",IFERROR(TRIM(LEFT($B346,FIND(" - ",$B346)-1)),"Others"))</f>
        <v/>
      </c>
      <c r="D346" s="11"/>
      <c r="E346" s="11"/>
      <c r="F346" s="12"/>
      <c r="G346" s="21"/>
      <c r="H346" s="21"/>
      <c r="I346" s="21"/>
      <c r="J346" s="21"/>
      <c r="K346" s="21"/>
      <c r="L346" s="21"/>
      <c r="M346" s="21"/>
      <c r="N346" s="22"/>
      <c r="O346" s="22"/>
      <c r="P346" s="17" t="str">
        <f aca="false">IF($A346="","",SUM($G346:$I346))</f>
        <v/>
      </c>
      <c r="Q346" s="17" t="str">
        <f aca="false">IF($A346="","",SUM($J346:$L346))</f>
        <v/>
      </c>
      <c r="R346" s="17" t="str">
        <f aca="false">IF($A346="","",($M346+$Q346)-$P346)</f>
        <v/>
      </c>
      <c r="S346" s="18" t="str">
        <f aca="false">IF(OR($A346="",$P346=0),"",$R346/$P346)</f>
        <v/>
      </c>
      <c r="T346" s="23"/>
      <c r="U346" s="14" t="str">
        <f aca="false">IF($A346="","",IF($M346&gt;0,"Live","Exited"))</f>
        <v/>
      </c>
      <c r="V346" s="20" t="str">
        <f aca="false">IF($A346="","",IF($A346='Client Report'!$C$4,COUNTIFS($A$6:$A346,'Client Report'!$C$4),""))</f>
        <v/>
      </c>
    </row>
    <row r="347" customFormat="false" ht="15" hidden="false" customHeight="false" outlineLevel="0" collapsed="false">
      <c r="A347" s="11"/>
      <c r="B347" s="11"/>
      <c r="C347" s="14" t="str">
        <f aca="false">IF($B347="","",IFERROR(TRIM(LEFT($B347,FIND(" - ",$B347)-1)),"Others"))</f>
        <v/>
      </c>
      <c r="D347" s="11"/>
      <c r="E347" s="11"/>
      <c r="F347" s="12"/>
      <c r="G347" s="21"/>
      <c r="H347" s="21"/>
      <c r="I347" s="21"/>
      <c r="J347" s="21"/>
      <c r="K347" s="21"/>
      <c r="L347" s="21"/>
      <c r="M347" s="21"/>
      <c r="N347" s="22"/>
      <c r="O347" s="22"/>
      <c r="P347" s="17" t="str">
        <f aca="false">IF($A347="","",SUM($G347:$I347))</f>
        <v/>
      </c>
      <c r="Q347" s="17" t="str">
        <f aca="false">IF($A347="","",SUM($J347:$L347))</f>
        <v/>
      </c>
      <c r="R347" s="17" t="str">
        <f aca="false">IF($A347="","",($M347+$Q347)-$P347)</f>
        <v/>
      </c>
      <c r="S347" s="18" t="str">
        <f aca="false">IF(OR($A347="",$P347=0),"",$R347/$P347)</f>
        <v/>
      </c>
      <c r="T347" s="23"/>
      <c r="U347" s="14" t="str">
        <f aca="false">IF($A347="","",IF($M347&gt;0,"Live","Exited"))</f>
        <v/>
      </c>
      <c r="V347" s="20" t="str">
        <f aca="false">IF($A347="","",IF($A347='Client Report'!$C$4,COUNTIFS($A$6:$A347,'Client Report'!$C$4),""))</f>
        <v/>
      </c>
    </row>
    <row r="348" customFormat="false" ht="15" hidden="false" customHeight="false" outlineLevel="0" collapsed="false">
      <c r="A348" s="11"/>
      <c r="B348" s="11"/>
      <c r="C348" s="14" t="str">
        <f aca="false">IF($B348="","",IFERROR(TRIM(LEFT($B348,FIND(" - ",$B348)-1)),"Others"))</f>
        <v/>
      </c>
      <c r="D348" s="11"/>
      <c r="E348" s="11"/>
      <c r="F348" s="12"/>
      <c r="G348" s="21"/>
      <c r="H348" s="21"/>
      <c r="I348" s="21"/>
      <c r="J348" s="21"/>
      <c r="K348" s="21"/>
      <c r="L348" s="21"/>
      <c r="M348" s="21"/>
      <c r="N348" s="22"/>
      <c r="O348" s="22"/>
      <c r="P348" s="17" t="str">
        <f aca="false">IF($A348="","",SUM($G348:$I348))</f>
        <v/>
      </c>
      <c r="Q348" s="17" t="str">
        <f aca="false">IF($A348="","",SUM($J348:$L348))</f>
        <v/>
      </c>
      <c r="R348" s="17" t="str">
        <f aca="false">IF($A348="","",($M348+$Q348)-$P348)</f>
        <v/>
      </c>
      <c r="S348" s="18" t="str">
        <f aca="false">IF(OR($A348="",$P348=0),"",$R348/$P348)</f>
        <v/>
      </c>
      <c r="T348" s="23"/>
      <c r="U348" s="14" t="str">
        <f aca="false">IF($A348="","",IF($M348&gt;0,"Live","Exited"))</f>
        <v/>
      </c>
      <c r="V348" s="20" t="str">
        <f aca="false">IF($A348="","",IF($A348='Client Report'!$C$4,COUNTIFS($A$6:$A348,'Client Report'!$C$4),""))</f>
        <v/>
      </c>
    </row>
    <row r="349" customFormat="false" ht="15" hidden="false" customHeight="false" outlineLevel="0" collapsed="false">
      <c r="A349" s="11"/>
      <c r="B349" s="11"/>
      <c r="C349" s="14" t="str">
        <f aca="false">IF($B349="","",IFERROR(TRIM(LEFT($B349,FIND(" - ",$B349)-1)),"Others"))</f>
        <v/>
      </c>
      <c r="D349" s="11"/>
      <c r="E349" s="11"/>
      <c r="F349" s="12"/>
      <c r="G349" s="21"/>
      <c r="H349" s="21"/>
      <c r="I349" s="21"/>
      <c r="J349" s="21"/>
      <c r="K349" s="21"/>
      <c r="L349" s="21"/>
      <c r="M349" s="21"/>
      <c r="N349" s="22"/>
      <c r="O349" s="22"/>
      <c r="P349" s="17" t="str">
        <f aca="false">IF($A349="","",SUM($G349:$I349))</f>
        <v/>
      </c>
      <c r="Q349" s="17" t="str">
        <f aca="false">IF($A349="","",SUM($J349:$L349))</f>
        <v/>
      </c>
      <c r="R349" s="17" t="str">
        <f aca="false">IF($A349="","",($M349+$Q349)-$P349)</f>
        <v/>
      </c>
      <c r="S349" s="18" t="str">
        <f aca="false">IF(OR($A349="",$P349=0),"",$R349/$P349)</f>
        <v/>
      </c>
      <c r="T349" s="23"/>
      <c r="U349" s="14" t="str">
        <f aca="false">IF($A349="","",IF($M349&gt;0,"Live","Exited"))</f>
        <v/>
      </c>
      <c r="V349" s="20" t="str">
        <f aca="false">IF($A349="","",IF($A349='Client Report'!$C$4,COUNTIFS($A$6:$A349,'Client Report'!$C$4),""))</f>
        <v/>
      </c>
    </row>
    <row r="350" customFormat="false" ht="15" hidden="false" customHeight="false" outlineLevel="0" collapsed="false">
      <c r="A350" s="11"/>
      <c r="B350" s="11"/>
      <c r="C350" s="14" t="str">
        <f aca="false">IF($B350="","",IFERROR(TRIM(LEFT($B350,FIND(" - ",$B350)-1)),"Others"))</f>
        <v/>
      </c>
      <c r="D350" s="11"/>
      <c r="E350" s="11"/>
      <c r="F350" s="12"/>
      <c r="G350" s="21"/>
      <c r="H350" s="21"/>
      <c r="I350" s="21"/>
      <c r="J350" s="21"/>
      <c r="K350" s="21"/>
      <c r="L350" s="21"/>
      <c r="M350" s="21"/>
      <c r="N350" s="22"/>
      <c r="O350" s="22"/>
      <c r="P350" s="17" t="str">
        <f aca="false">IF($A350="","",SUM($G350:$I350))</f>
        <v/>
      </c>
      <c r="Q350" s="17" t="str">
        <f aca="false">IF($A350="","",SUM($J350:$L350))</f>
        <v/>
      </c>
      <c r="R350" s="17" t="str">
        <f aca="false">IF($A350="","",($M350+$Q350)-$P350)</f>
        <v/>
      </c>
      <c r="S350" s="18" t="str">
        <f aca="false">IF(OR($A350="",$P350=0),"",$R350/$P350)</f>
        <v/>
      </c>
      <c r="T350" s="23"/>
      <c r="U350" s="14" t="str">
        <f aca="false">IF($A350="","",IF($M350&gt;0,"Live","Exited"))</f>
        <v/>
      </c>
      <c r="V350" s="20" t="str">
        <f aca="false">IF($A350="","",IF($A350='Client Report'!$C$4,COUNTIFS($A$6:$A350,'Client Report'!$C$4),""))</f>
        <v/>
      </c>
    </row>
    <row r="351" customFormat="false" ht="15" hidden="false" customHeight="false" outlineLevel="0" collapsed="false">
      <c r="A351" s="11"/>
      <c r="B351" s="11"/>
      <c r="C351" s="14" t="str">
        <f aca="false">IF($B351="","",IFERROR(TRIM(LEFT($B351,FIND(" - ",$B351)-1)),"Others"))</f>
        <v/>
      </c>
      <c r="D351" s="11"/>
      <c r="E351" s="11"/>
      <c r="F351" s="12"/>
      <c r="G351" s="21"/>
      <c r="H351" s="21"/>
      <c r="I351" s="21"/>
      <c r="J351" s="21"/>
      <c r="K351" s="21"/>
      <c r="L351" s="21"/>
      <c r="M351" s="21"/>
      <c r="N351" s="22"/>
      <c r="O351" s="22"/>
      <c r="P351" s="17" t="str">
        <f aca="false">IF($A351="","",SUM($G351:$I351))</f>
        <v/>
      </c>
      <c r="Q351" s="17" t="str">
        <f aca="false">IF($A351="","",SUM($J351:$L351))</f>
        <v/>
      </c>
      <c r="R351" s="17" t="str">
        <f aca="false">IF($A351="","",($M351+$Q351)-$P351)</f>
        <v/>
      </c>
      <c r="S351" s="18" t="str">
        <f aca="false">IF(OR($A351="",$P351=0),"",$R351/$P351)</f>
        <v/>
      </c>
      <c r="T351" s="23"/>
      <c r="U351" s="14" t="str">
        <f aca="false">IF($A351="","",IF($M351&gt;0,"Live","Exited"))</f>
        <v/>
      </c>
      <c r="V351" s="20" t="str">
        <f aca="false">IF($A351="","",IF($A351='Client Report'!$C$4,COUNTIFS($A$6:$A351,'Client Report'!$C$4),""))</f>
        <v/>
      </c>
    </row>
    <row r="352" customFormat="false" ht="15" hidden="false" customHeight="false" outlineLevel="0" collapsed="false">
      <c r="A352" s="11"/>
      <c r="B352" s="11"/>
      <c r="C352" s="14" t="str">
        <f aca="false">IF($B352="","",IFERROR(TRIM(LEFT($B352,FIND(" - ",$B352)-1)),"Others"))</f>
        <v/>
      </c>
      <c r="D352" s="11"/>
      <c r="E352" s="11"/>
      <c r="F352" s="12"/>
      <c r="G352" s="21"/>
      <c r="H352" s="21"/>
      <c r="I352" s="21"/>
      <c r="J352" s="21"/>
      <c r="K352" s="21"/>
      <c r="L352" s="21"/>
      <c r="M352" s="21"/>
      <c r="N352" s="22"/>
      <c r="O352" s="22"/>
      <c r="P352" s="17" t="str">
        <f aca="false">IF($A352="","",SUM($G352:$I352))</f>
        <v/>
      </c>
      <c r="Q352" s="17" t="str">
        <f aca="false">IF($A352="","",SUM($J352:$L352))</f>
        <v/>
      </c>
      <c r="R352" s="17" t="str">
        <f aca="false">IF($A352="","",($M352+$Q352)-$P352)</f>
        <v/>
      </c>
      <c r="S352" s="18" t="str">
        <f aca="false">IF(OR($A352="",$P352=0),"",$R352/$P352)</f>
        <v/>
      </c>
      <c r="T352" s="23"/>
      <c r="U352" s="14" t="str">
        <f aca="false">IF($A352="","",IF($M352&gt;0,"Live","Exited"))</f>
        <v/>
      </c>
      <c r="V352" s="20" t="str">
        <f aca="false">IF($A352="","",IF($A352='Client Report'!$C$4,COUNTIFS($A$6:$A352,'Client Report'!$C$4),""))</f>
        <v/>
      </c>
    </row>
    <row r="353" customFormat="false" ht="15" hidden="false" customHeight="false" outlineLevel="0" collapsed="false">
      <c r="A353" s="11"/>
      <c r="B353" s="11"/>
      <c r="C353" s="14" t="str">
        <f aca="false">IF($B353="","",IFERROR(TRIM(LEFT($B353,FIND(" - ",$B353)-1)),"Others"))</f>
        <v/>
      </c>
      <c r="D353" s="11"/>
      <c r="E353" s="11"/>
      <c r="F353" s="12"/>
      <c r="G353" s="21"/>
      <c r="H353" s="21"/>
      <c r="I353" s="21"/>
      <c r="J353" s="21"/>
      <c r="K353" s="21"/>
      <c r="L353" s="21"/>
      <c r="M353" s="21"/>
      <c r="N353" s="22"/>
      <c r="O353" s="22"/>
      <c r="P353" s="17" t="str">
        <f aca="false">IF($A353="","",SUM($G353:$I353))</f>
        <v/>
      </c>
      <c r="Q353" s="17" t="str">
        <f aca="false">IF($A353="","",SUM($J353:$L353))</f>
        <v/>
      </c>
      <c r="R353" s="17" t="str">
        <f aca="false">IF($A353="","",($M353+$Q353)-$P353)</f>
        <v/>
      </c>
      <c r="S353" s="18" t="str">
        <f aca="false">IF(OR($A353="",$P353=0),"",$R353/$P353)</f>
        <v/>
      </c>
      <c r="T353" s="23"/>
      <c r="U353" s="14" t="str">
        <f aca="false">IF($A353="","",IF($M353&gt;0,"Live","Exited"))</f>
        <v/>
      </c>
      <c r="V353" s="20" t="str">
        <f aca="false">IF($A353="","",IF($A353='Client Report'!$C$4,COUNTIFS($A$6:$A353,'Client Report'!$C$4),""))</f>
        <v/>
      </c>
    </row>
    <row r="354" customFormat="false" ht="15" hidden="false" customHeight="false" outlineLevel="0" collapsed="false">
      <c r="A354" s="11"/>
      <c r="B354" s="11"/>
      <c r="C354" s="14" t="str">
        <f aca="false">IF($B354="","",IFERROR(TRIM(LEFT($B354,FIND(" - ",$B354)-1)),"Others"))</f>
        <v/>
      </c>
      <c r="D354" s="11"/>
      <c r="E354" s="11"/>
      <c r="F354" s="12"/>
      <c r="G354" s="21"/>
      <c r="H354" s="21"/>
      <c r="I354" s="21"/>
      <c r="J354" s="21"/>
      <c r="K354" s="21"/>
      <c r="L354" s="21"/>
      <c r="M354" s="21"/>
      <c r="N354" s="22"/>
      <c r="O354" s="22"/>
      <c r="P354" s="17" t="str">
        <f aca="false">IF($A354="","",SUM($G354:$I354))</f>
        <v/>
      </c>
      <c r="Q354" s="17" t="str">
        <f aca="false">IF($A354="","",SUM($J354:$L354))</f>
        <v/>
      </c>
      <c r="R354" s="17" t="str">
        <f aca="false">IF($A354="","",($M354+$Q354)-$P354)</f>
        <v/>
      </c>
      <c r="S354" s="18" t="str">
        <f aca="false">IF(OR($A354="",$P354=0),"",$R354/$P354)</f>
        <v/>
      </c>
      <c r="T354" s="23"/>
      <c r="U354" s="14" t="str">
        <f aca="false">IF($A354="","",IF($M354&gt;0,"Live","Exited"))</f>
        <v/>
      </c>
      <c r="V354" s="20" t="str">
        <f aca="false">IF($A354="","",IF($A354='Client Report'!$C$4,COUNTIFS($A$6:$A354,'Client Report'!$C$4),""))</f>
        <v/>
      </c>
    </row>
    <row r="355" customFormat="false" ht="15" hidden="false" customHeight="false" outlineLevel="0" collapsed="false">
      <c r="A355" s="11"/>
      <c r="B355" s="11"/>
      <c r="C355" s="14" t="str">
        <f aca="false">IF($B355="","",IFERROR(TRIM(LEFT($B355,FIND(" - ",$B355)-1)),"Others"))</f>
        <v/>
      </c>
      <c r="D355" s="11"/>
      <c r="E355" s="11"/>
      <c r="F355" s="12"/>
      <c r="G355" s="21"/>
      <c r="H355" s="21"/>
      <c r="I355" s="21"/>
      <c r="J355" s="21"/>
      <c r="K355" s="21"/>
      <c r="L355" s="21"/>
      <c r="M355" s="21"/>
      <c r="N355" s="22"/>
      <c r="O355" s="22"/>
      <c r="P355" s="17" t="str">
        <f aca="false">IF($A355="","",SUM($G355:$I355))</f>
        <v/>
      </c>
      <c r="Q355" s="17" t="str">
        <f aca="false">IF($A355="","",SUM($J355:$L355))</f>
        <v/>
      </c>
      <c r="R355" s="17" t="str">
        <f aca="false">IF($A355="","",($M355+$Q355)-$P355)</f>
        <v/>
      </c>
      <c r="S355" s="18" t="str">
        <f aca="false">IF(OR($A355="",$P355=0),"",$R355/$P355)</f>
        <v/>
      </c>
      <c r="T355" s="23"/>
      <c r="U355" s="14" t="str">
        <f aca="false">IF($A355="","",IF($M355&gt;0,"Live","Exited"))</f>
        <v/>
      </c>
      <c r="V355" s="20" t="str">
        <f aca="false">IF($A355="","",IF($A355='Client Report'!$C$4,COUNTIFS($A$6:$A355,'Client Report'!$C$4),""))</f>
        <v/>
      </c>
    </row>
    <row r="356" customFormat="false" ht="15" hidden="false" customHeight="false" outlineLevel="0" collapsed="false">
      <c r="A356" s="11"/>
      <c r="B356" s="11"/>
      <c r="C356" s="14" t="str">
        <f aca="false">IF($B356="","",IFERROR(TRIM(LEFT($B356,FIND(" - ",$B356)-1)),"Others"))</f>
        <v/>
      </c>
      <c r="D356" s="11"/>
      <c r="E356" s="11"/>
      <c r="F356" s="12"/>
      <c r="G356" s="21"/>
      <c r="H356" s="21"/>
      <c r="I356" s="21"/>
      <c r="J356" s="21"/>
      <c r="K356" s="21"/>
      <c r="L356" s="21"/>
      <c r="M356" s="21"/>
      <c r="N356" s="22"/>
      <c r="O356" s="22"/>
      <c r="P356" s="17" t="str">
        <f aca="false">IF($A356="","",SUM($G356:$I356))</f>
        <v/>
      </c>
      <c r="Q356" s="17" t="str">
        <f aca="false">IF($A356="","",SUM($J356:$L356))</f>
        <v/>
      </c>
      <c r="R356" s="17" t="str">
        <f aca="false">IF($A356="","",($M356+$Q356)-$P356)</f>
        <v/>
      </c>
      <c r="S356" s="18" t="str">
        <f aca="false">IF(OR($A356="",$P356=0),"",$R356/$P356)</f>
        <v/>
      </c>
      <c r="T356" s="23"/>
      <c r="U356" s="14" t="str">
        <f aca="false">IF($A356="","",IF($M356&gt;0,"Live","Exited"))</f>
        <v/>
      </c>
      <c r="V356" s="20" t="str">
        <f aca="false">IF($A356="","",IF($A356='Client Report'!$C$4,COUNTIFS($A$6:$A356,'Client Report'!$C$4),""))</f>
        <v/>
      </c>
    </row>
    <row r="357" customFormat="false" ht="15" hidden="false" customHeight="false" outlineLevel="0" collapsed="false">
      <c r="A357" s="11"/>
      <c r="B357" s="11"/>
      <c r="C357" s="14" t="str">
        <f aca="false">IF($B357="","",IFERROR(TRIM(LEFT($B357,FIND(" - ",$B357)-1)),"Others"))</f>
        <v/>
      </c>
      <c r="D357" s="11"/>
      <c r="E357" s="11"/>
      <c r="F357" s="12"/>
      <c r="G357" s="21"/>
      <c r="H357" s="21"/>
      <c r="I357" s="21"/>
      <c r="J357" s="21"/>
      <c r="K357" s="21"/>
      <c r="L357" s="21"/>
      <c r="M357" s="21"/>
      <c r="N357" s="22"/>
      <c r="O357" s="22"/>
      <c r="P357" s="17" t="str">
        <f aca="false">IF($A357="","",SUM($G357:$I357))</f>
        <v/>
      </c>
      <c r="Q357" s="17" t="str">
        <f aca="false">IF($A357="","",SUM($J357:$L357))</f>
        <v/>
      </c>
      <c r="R357" s="17" t="str">
        <f aca="false">IF($A357="","",($M357+$Q357)-$P357)</f>
        <v/>
      </c>
      <c r="S357" s="18" t="str">
        <f aca="false">IF(OR($A357="",$P357=0),"",$R357/$P357)</f>
        <v/>
      </c>
      <c r="T357" s="23"/>
      <c r="U357" s="14" t="str">
        <f aca="false">IF($A357="","",IF($M357&gt;0,"Live","Exited"))</f>
        <v/>
      </c>
      <c r="V357" s="20" t="str">
        <f aca="false">IF($A357="","",IF($A357='Client Report'!$C$4,COUNTIFS($A$6:$A357,'Client Report'!$C$4),""))</f>
        <v/>
      </c>
    </row>
    <row r="358" customFormat="false" ht="15" hidden="false" customHeight="false" outlineLevel="0" collapsed="false">
      <c r="A358" s="11"/>
      <c r="B358" s="11"/>
      <c r="C358" s="14" t="str">
        <f aca="false">IF($B358="","",IFERROR(TRIM(LEFT($B358,FIND(" - ",$B358)-1)),"Others"))</f>
        <v/>
      </c>
      <c r="D358" s="11"/>
      <c r="E358" s="11"/>
      <c r="F358" s="12"/>
      <c r="G358" s="21"/>
      <c r="H358" s="21"/>
      <c r="I358" s="21"/>
      <c r="J358" s="21"/>
      <c r="K358" s="21"/>
      <c r="L358" s="21"/>
      <c r="M358" s="21"/>
      <c r="N358" s="22"/>
      <c r="O358" s="22"/>
      <c r="P358" s="17" t="str">
        <f aca="false">IF($A358="","",SUM($G358:$I358))</f>
        <v/>
      </c>
      <c r="Q358" s="17" t="str">
        <f aca="false">IF($A358="","",SUM($J358:$L358))</f>
        <v/>
      </c>
      <c r="R358" s="17" t="str">
        <f aca="false">IF($A358="","",($M358+$Q358)-$P358)</f>
        <v/>
      </c>
      <c r="S358" s="18" t="str">
        <f aca="false">IF(OR($A358="",$P358=0),"",$R358/$P358)</f>
        <v/>
      </c>
      <c r="T358" s="23"/>
      <c r="U358" s="14" t="str">
        <f aca="false">IF($A358="","",IF($M358&gt;0,"Live","Exited"))</f>
        <v/>
      </c>
      <c r="V358" s="20" t="str">
        <f aca="false">IF($A358="","",IF($A358='Client Report'!$C$4,COUNTIFS($A$6:$A358,'Client Report'!$C$4),""))</f>
        <v/>
      </c>
    </row>
    <row r="359" customFormat="false" ht="15" hidden="false" customHeight="false" outlineLevel="0" collapsed="false">
      <c r="A359" s="11"/>
      <c r="B359" s="11"/>
      <c r="C359" s="14" t="str">
        <f aca="false">IF($B359="","",IFERROR(TRIM(LEFT($B359,FIND(" - ",$B359)-1)),"Others"))</f>
        <v/>
      </c>
      <c r="D359" s="11"/>
      <c r="E359" s="11"/>
      <c r="F359" s="12"/>
      <c r="G359" s="21"/>
      <c r="H359" s="21"/>
      <c r="I359" s="21"/>
      <c r="J359" s="21"/>
      <c r="K359" s="21"/>
      <c r="L359" s="21"/>
      <c r="M359" s="21"/>
      <c r="N359" s="22"/>
      <c r="O359" s="22"/>
      <c r="P359" s="17" t="str">
        <f aca="false">IF($A359="","",SUM($G359:$I359))</f>
        <v/>
      </c>
      <c r="Q359" s="17" t="str">
        <f aca="false">IF($A359="","",SUM($J359:$L359))</f>
        <v/>
      </c>
      <c r="R359" s="17" t="str">
        <f aca="false">IF($A359="","",($M359+$Q359)-$P359)</f>
        <v/>
      </c>
      <c r="S359" s="18" t="str">
        <f aca="false">IF(OR($A359="",$P359=0),"",$R359/$P359)</f>
        <v/>
      </c>
      <c r="T359" s="23"/>
      <c r="U359" s="14" t="str">
        <f aca="false">IF($A359="","",IF($M359&gt;0,"Live","Exited"))</f>
        <v/>
      </c>
      <c r="V359" s="20" t="str">
        <f aca="false">IF($A359="","",IF($A359='Client Report'!$C$4,COUNTIFS($A$6:$A359,'Client Report'!$C$4),""))</f>
        <v/>
      </c>
    </row>
    <row r="360" customFormat="false" ht="15" hidden="false" customHeight="false" outlineLevel="0" collapsed="false">
      <c r="A360" s="11"/>
      <c r="B360" s="11"/>
      <c r="C360" s="14" t="str">
        <f aca="false">IF($B360="","",IFERROR(TRIM(LEFT($B360,FIND(" - ",$B360)-1)),"Others"))</f>
        <v/>
      </c>
      <c r="D360" s="11"/>
      <c r="E360" s="11"/>
      <c r="F360" s="12"/>
      <c r="G360" s="21"/>
      <c r="H360" s="21"/>
      <c r="I360" s="21"/>
      <c r="J360" s="21"/>
      <c r="K360" s="21"/>
      <c r="L360" s="21"/>
      <c r="M360" s="21"/>
      <c r="N360" s="22"/>
      <c r="O360" s="22"/>
      <c r="P360" s="17" t="str">
        <f aca="false">IF($A360="","",SUM($G360:$I360))</f>
        <v/>
      </c>
      <c r="Q360" s="17" t="str">
        <f aca="false">IF($A360="","",SUM($J360:$L360))</f>
        <v/>
      </c>
      <c r="R360" s="17" t="str">
        <f aca="false">IF($A360="","",($M360+$Q360)-$P360)</f>
        <v/>
      </c>
      <c r="S360" s="18" t="str">
        <f aca="false">IF(OR($A360="",$P360=0),"",$R360/$P360)</f>
        <v/>
      </c>
      <c r="T360" s="23"/>
      <c r="U360" s="14" t="str">
        <f aca="false">IF($A360="","",IF($M360&gt;0,"Live","Exited"))</f>
        <v/>
      </c>
      <c r="V360" s="20" t="str">
        <f aca="false">IF($A360="","",IF($A360='Client Report'!$C$4,COUNTIFS($A$6:$A360,'Client Report'!$C$4),""))</f>
        <v/>
      </c>
    </row>
    <row r="361" customFormat="false" ht="15" hidden="false" customHeight="false" outlineLevel="0" collapsed="false">
      <c r="A361" s="11"/>
      <c r="B361" s="11"/>
      <c r="C361" s="14" t="str">
        <f aca="false">IF($B361="","",IFERROR(TRIM(LEFT($B361,FIND(" - ",$B361)-1)),"Others"))</f>
        <v/>
      </c>
      <c r="D361" s="11"/>
      <c r="E361" s="11"/>
      <c r="F361" s="12"/>
      <c r="G361" s="21"/>
      <c r="H361" s="21"/>
      <c r="I361" s="21"/>
      <c r="J361" s="21"/>
      <c r="K361" s="21"/>
      <c r="L361" s="21"/>
      <c r="M361" s="21"/>
      <c r="N361" s="22"/>
      <c r="O361" s="22"/>
      <c r="P361" s="17" t="str">
        <f aca="false">IF($A361="","",SUM($G361:$I361))</f>
        <v/>
      </c>
      <c r="Q361" s="17" t="str">
        <f aca="false">IF($A361="","",SUM($J361:$L361))</f>
        <v/>
      </c>
      <c r="R361" s="17" t="str">
        <f aca="false">IF($A361="","",($M361+$Q361)-$P361)</f>
        <v/>
      </c>
      <c r="S361" s="18" t="str">
        <f aca="false">IF(OR($A361="",$P361=0),"",$R361/$P361)</f>
        <v/>
      </c>
      <c r="T361" s="23"/>
      <c r="U361" s="14" t="str">
        <f aca="false">IF($A361="","",IF($M361&gt;0,"Live","Exited"))</f>
        <v/>
      </c>
      <c r="V361" s="20" t="str">
        <f aca="false">IF($A361="","",IF($A361='Client Report'!$C$4,COUNTIFS($A$6:$A361,'Client Report'!$C$4),""))</f>
        <v/>
      </c>
    </row>
    <row r="362" customFormat="false" ht="15" hidden="false" customHeight="false" outlineLevel="0" collapsed="false">
      <c r="A362" s="11"/>
      <c r="B362" s="11"/>
      <c r="C362" s="14" t="str">
        <f aca="false">IF($B362="","",IFERROR(TRIM(LEFT($B362,FIND(" - ",$B362)-1)),"Others"))</f>
        <v/>
      </c>
      <c r="D362" s="11"/>
      <c r="E362" s="11"/>
      <c r="F362" s="12"/>
      <c r="G362" s="21"/>
      <c r="H362" s="21"/>
      <c r="I362" s="21"/>
      <c r="J362" s="21"/>
      <c r="K362" s="21"/>
      <c r="L362" s="21"/>
      <c r="M362" s="21"/>
      <c r="N362" s="22"/>
      <c r="O362" s="22"/>
      <c r="P362" s="17" t="str">
        <f aca="false">IF($A362="","",SUM($G362:$I362))</f>
        <v/>
      </c>
      <c r="Q362" s="17" t="str">
        <f aca="false">IF($A362="","",SUM($J362:$L362))</f>
        <v/>
      </c>
      <c r="R362" s="17" t="str">
        <f aca="false">IF($A362="","",($M362+$Q362)-$P362)</f>
        <v/>
      </c>
      <c r="S362" s="18" t="str">
        <f aca="false">IF(OR($A362="",$P362=0),"",$R362/$P362)</f>
        <v/>
      </c>
      <c r="T362" s="23"/>
      <c r="U362" s="14" t="str">
        <f aca="false">IF($A362="","",IF($M362&gt;0,"Live","Exited"))</f>
        <v/>
      </c>
      <c r="V362" s="20" t="str">
        <f aca="false">IF($A362="","",IF($A362='Client Report'!$C$4,COUNTIFS($A$6:$A362,'Client Report'!$C$4),""))</f>
        <v/>
      </c>
    </row>
    <row r="363" customFormat="false" ht="15" hidden="false" customHeight="false" outlineLevel="0" collapsed="false">
      <c r="A363" s="11"/>
      <c r="B363" s="11"/>
      <c r="C363" s="14" t="str">
        <f aca="false">IF($B363="","",IFERROR(TRIM(LEFT($B363,FIND(" - ",$B363)-1)),"Others"))</f>
        <v/>
      </c>
      <c r="D363" s="11"/>
      <c r="E363" s="11"/>
      <c r="F363" s="12"/>
      <c r="G363" s="21"/>
      <c r="H363" s="21"/>
      <c r="I363" s="21"/>
      <c r="J363" s="21"/>
      <c r="K363" s="21"/>
      <c r="L363" s="21"/>
      <c r="M363" s="21"/>
      <c r="N363" s="22"/>
      <c r="O363" s="22"/>
      <c r="P363" s="17" t="str">
        <f aca="false">IF($A363="","",SUM($G363:$I363))</f>
        <v/>
      </c>
      <c r="Q363" s="17" t="str">
        <f aca="false">IF($A363="","",SUM($J363:$L363))</f>
        <v/>
      </c>
      <c r="R363" s="17" t="str">
        <f aca="false">IF($A363="","",($M363+$Q363)-$P363)</f>
        <v/>
      </c>
      <c r="S363" s="18" t="str">
        <f aca="false">IF(OR($A363="",$P363=0),"",$R363/$P363)</f>
        <v/>
      </c>
      <c r="T363" s="23"/>
      <c r="U363" s="14" t="str">
        <f aca="false">IF($A363="","",IF($M363&gt;0,"Live","Exited"))</f>
        <v/>
      </c>
      <c r="V363" s="20" t="str">
        <f aca="false">IF($A363="","",IF($A363='Client Report'!$C$4,COUNTIFS($A$6:$A363,'Client Report'!$C$4),""))</f>
        <v/>
      </c>
    </row>
    <row r="364" customFormat="false" ht="15" hidden="false" customHeight="false" outlineLevel="0" collapsed="false">
      <c r="A364" s="11"/>
      <c r="B364" s="11"/>
      <c r="C364" s="14" t="str">
        <f aca="false">IF($B364="","",IFERROR(TRIM(LEFT($B364,FIND(" - ",$B364)-1)),"Others"))</f>
        <v/>
      </c>
      <c r="D364" s="11"/>
      <c r="E364" s="11"/>
      <c r="F364" s="12"/>
      <c r="G364" s="21"/>
      <c r="H364" s="21"/>
      <c r="I364" s="21"/>
      <c r="J364" s="21"/>
      <c r="K364" s="21"/>
      <c r="L364" s="21"/>
      <c r="M364" s="21"/>
      <c r="N364" s="22"/>
      <c r="O364" s="22"/>
      <c r="P364" s="17" t="str">
        <f aca="false">IF($A364="","",SUM($G364:$I364))</f>
        <v/>
      </c>
      <c r="Q364" s="17" t="str">
        <f aca="false">IF($A364="","",SUM($J364:$L364))</f>
        <v/>
      </c>
      <c r="R364" s="17" t="str">
        <f aca="false">IF($A364="","",($M364+$Q364)-$P364)</f>
        <v/>
      </c>
      <c r="S364" s="18" t="str">
        <f aca="false">IF(OR($A364="",$P364=0),"",$R364/$P364)</f>
        <v/>
      </c>
      <c r="T364" s="23"/>
      <c r="U364" s="14" t="str">
        <f aca="false">IF($A364="","",IF($M364&gt;0,"Live","Exited"))</f>
        <v/>
      </c>
      <c r="V364" s="20" t="str">
        <f aca="false">IF($A364="","",IF($A364='Client Report'!$C$4,COUNTIFS($A$6:$A364,'Client Report'!$C$4),""))</f>
        <v/>
      </c>
    </row>
    <row r="365" customFormat="false" ht="15" hidden="false" customHeight="false" outlineLevel="0" collapsed="false">
      <c r="A365" s="11"/>
      <c r="B365" s="11"/>
      <c r="C365" s="14" t="str">
        <f aca="false">IF($B365="","",IFERROR(TRIM(LEFT($B365,FIND(" - ",$B365)-1)),"Others"))</f>
        <v/>
      </c>
      <c r="D365" s="11"/>
      <c r="E365" s="11"/>
      <c r="F365" s="12"/>
      <c r="G365" s="21"/>
      <c r="H365" s="21"/>
      <c r="I365" s="21"/>
      <c r="J365" s="21"/>
      <c r="K365" s="21"/>
      <c r="L365" s="21"/>
      <c r="M365" s="21"/>
      <c r="N365" s="22"/>
      <c r="O365" s="22"/>
      <c r="P365" s="17" t="str">
        <f aca="false">IF($A365="","",SUM($G365:$I365))</f>
        <v/>
      </c>
      <c r="Q365" s="17" t="str">
        <f aca="false">IF($A365="","",SUM($J365:$L365))</f>
        <v/>
      </c>
      <c r="R365" s="17" t="str">
        <f aca="false">IF($A365="","",($M365+$Q365)-$P365)</f>
        <v/>
      </c>
      <c r="S365" s="18" t="str">
        <f aca="false">IF(OR($A365="",$P365=0),"",$R365/$P365)</f>
        <v/>
      </c>
      <c r="T365" s="23"/>
      <c r="U365" s="14" t="str">
        <f aca="false">IF($A365="","",IF($M365&gt;0,"Live","Exited"))</f>
        <v/>
      </c>
      <c r="V365" s="20" t="str">
        <f aca="false">IF($A365="","",IF($A365='Client Report'!$C$4,COUNTIFS($A$6:$A365,'Client Report'!$C$4),""))</f>
        <v/>
      </c>
    </row>
    <row r="366" customFormat="false" ht="15" hidden="false" customHeight="false" outlineLevel="0" collapsed="false">
      <c r="A366" s="11"/>
      <c r="B366" s="11"/>
      <c r="C366" s="14" t="str">
        <f aca="false">IF($B366="","",IFERROR(TRIM(LEFT($B366,FIND(" - ",$B366)-1)),"Others"))</f>
        <v/>
      </c>
      <c r="D366" s="11"/>
      <c r="E366" s="11"/>
      <c r="F366" s="12"/>
      <c r="G366" s="21"/>
      <c r="H366" s="21"/>
      <c r="I366" s="21"/>
      <c r="J366" s="21"/>
      <c r="K366" s="21"/>
      <c r="L366" s="21"/>
      <c r="M366" s="21"/>
      <c r="N366" s="22"/>
      <c r="O366" s="22"/>
      <c r="P366" s="17" t="str">
        <f aca="false">IF($A366="","",SUM($G366:$I366))</f>
        <v/>
      </c>
      <c r="Q366" s="17" t="str">
        <f aca="false">IF($A366="","",SUM($J366:$L366))</f>
        <v/>
      </c>
      <c r="R366" s="17" t="str">
        <f aca="false">IF($A366="","",($M366+$Q366)-$P366)</f>
        <v/>
      </c>
      <c r="S366" s="18" t="str">
        <f aca="false">IF(OR($A366="",$P366=0),"",$R366/$P366)</f>
        <v/>
      </c>
      <c r="T366" s="23"/>
      <c r="U366" s="14" t="str">
        <f aca="false">IF($A366="","",IF($M366&gt;0,"Live","Exited"))</f>
        <v/>
      </c>
      <c r="V366" s="20" t="str">
        <f aca="false">IF($A366="","",IF($A366='Client Report'!$C$4,COUNTIFS($A$6:$A366,'Client Report'!$C$4),""))</f>
        <v/>
      </c>
    </row>
    <row r="367" customFormat="false" ht="15" hidden="false" customHeight="false" outlineLevel="0" collapsed="false">
      <c r="A367" s="11"/>
      <c r="B367" s="11"/>
      <c r="C367" s="14" t="str">
        <f aca="false">IF($B367="","",IFERROR(TRIM(LEFT($B367,FIND(" - ",$B367)-1)),"Others"))</f>
        <v/>
      </c>
      <c r="D367" s="11"/>
      <c r="E367" s="11"/>
      <c r="F367" s="12"/>
      <c r="G367" s="21"/>
      <c r="H367" s="21"/>
      <c r="I367" s="21"/>
      <c r="J367" s="21"/>
      <c r="K367" s="21"/>
      <c r="L367" s="21"/>
      <c r="M367" s="21"/>
      <c r="N367" s="22"/>
      <c r="O367" s="22"/>
      <c r="P367" s="17" t="str">
        <f aca="false">IF($A367="","",SUM($G367:$I367))</f>
        <v/>
      </c>
      <c r="Q367" s="17" t="str">
        <f aca="false">IF($A367="","",SUM($J367:$L367))</f>
        <v/>
      </c>
      <c r="R367" s="17" t="str">
        <f aca="false">IF($A367="","",($M367+$Q367)-$P367)</f>
        <v/>
      </c>
      <c r="S367" s="18" t="str">
        <f aca="false">IF(OR($A367="",$P367=0),"",$R367/$P367)</f>
        <v/>
      </c>
      <c r="T367" s="23"/>
      <c r="U367" s="14" t="str">
        <f aca="false">IF($A367="","",IF($M367&gt;0,"Live","Exited"))</f>
        <v/>
      </c>
      <c r="V367" s="20" t="str">
        <f aca="false">IF($A367="","",IF($A367='Client Report'!$C$4,COUNTIFS($A$6:$A367,'Client Report'!$C$4),""))</f>
        <v/>
      </c>
    </row>
    <row r="368" customFormat="false" ht="15" hidden="false" customHeight="false" outlineLevel="0" collapsed="false">
      <c r="A368" s="11"/>
      <c r="B368" s="11"/>
      <c r="C368" s="14" t="str">
        <f aca="false">IF($B368="","",IFERROR(TRIM(LEFT($B368,FIND(" - ",$B368)-1)),"Others"))</f>
        <v/>
      </c>
      <c r="D368" s="11"/>
      <c r="E368" s="11"/>
      <c r="F368" s="12"/>
      <c r="G368" s="21"/>
      <c r="H368" s="21"/>
      <c r="I368" s="21"/>
      <c r="J368" s="21"/>
      <c r="K368" s="21"/>
      <c r="L368" s="21"/>
      <c r="M368" s="21"/>
      <c r="N368" s="22"/>
      <c r="O368" s="22"/>
      <c r="P368" s="17" t="str">
        <f aca="false">IF($A368="","",SUM($G368:$I368))</f>
        <v/>
      </c>
      <c r="Q368" s="17" t="str">
        <f aca="false">IF($A368="","",SUM($J368:$L368))</f>
        <v/>
      </c>
      <c r="R368" s="17" t="str">
        <f aca="false">IF($A368="","",($M368+$Q368)-$P368)</f>
        <v/>
      </c>
      <c r="S368" s="18" t="str">
        <f aca="false">IF(OR($A368="",$P368=0),"",$R368/$P368)</f>
        <v/>
      </c>
      <c r="T368" s="23"/>
      <c r="U368" s="14" t="str">
        <f aca="false">IF($A368="","",IF($M368&gt;0,"Live","Exited"))</f>
        <v/>
      </c>
      <c r="V368" s="20" t="str">
        <f aca="false">IF($A368="","",IF($A368='Client Report'!$C$4,COUNTIFS($A$6:$A368,'Client Report'!$C$4),""))</f>
        <v/>
      </c>
    </row>
    <row r="369" customFormat="false" ht="15" hidden="false" customHeight="false" outlineLevel="0" collapsed="false">
      <c r="A369" s="11"/>
      <c r="B369" s="11"/>
      <c r="C369" s="14" t="str">
        <f aca="false">IF($B369="","",IFERROR(TRIM(LEFT($B369,FIND(" - ",$B369)-1)),"Others"))</f>
        <v/>
      </c>
      <c r="D369" s="11"/>
      <c r="E369" s="11"/>
      <c r="F369" s="12"/>
      <c r="G369" s="21"/>
      <c r="H369" s="21"/>
      <c r="I369" s="21"/>
      <c r="J369" s="21"/>
      <c r="K369" s="21"/>
      <c r="L369" s="21"/>
      <c r="M369" s="21"/>
      <c r="N369" s="22"/>
      <c r="O369" s="22"/>
      <c r="P369" s="17" t="str">
        <f aca="false">IF($A369="","",SUM($G369:$I369))</f>
        <v/>
      </c>
      <c r="Q369" s="17" t="str">
        <f aca="false">IF($A369="","",SUM($J369:$L369))</f>
        <v/>
      </c>
      <c r="R369" s="17" t="str">
        <f aca="false">IF($A369="","",($M369+$Q369)-$P369)</f>
        <v/>
      </c>
      <c r="S369" s="18" t="str">
        <f aca="false">IF(OR($A369="",$P369=0),"",$R369/$P369)</f>
        <v/>
      </c>
      <c r="T369" s="23"/>
      <c r="U369" s="14" t="str">
        <f aca="false">IF($A369="","",IF($M369&gt;0,"Live","Exited"))</f>
        <v/>
      </c>
      <c r="V369" s="20" t="str">
        <f aca="false">IF($A369="","",IF($A369='Client Report'!$C$4,COUNTIFS($A$6:$A369,'Client Report'!$C$4),""))</f>
        <v/>
      </c>
    </row>
    <row r="370" customFormat="false" ht="15" hidden="false" customHeight="false" outlineLevel="0" collapsed="false">
      <c r="A370" s="11"/>
      <c r="B370" s="11"/>
      <c r="C370" s="14" t="str">
        <f aca="false">IF($B370="","",IFERROR(TRIM(LEFT($B370,FIND(" - ",$B370)-1)),"Others"))</f>
        <v/>
      </c>
      <c r="D370" s="11"/>
      <c r="E370" s="11"/>
      <c r="F370" s="12"/>
      <c r="G370" s="21"/>
      <c r="H370" s="21"/>
      <c r="I370" s="21"/>
      <c r="J370" s="21"/>
      <c r="K370" s="21"/>
      <c r="L370" s="21"/>
      <c r="M370" s="21"/>
      <c r="N370" s="22"/>
      <c r="O370" s="22"/>
      <c r="P370" s="17" t="str">
        <f aca="false">IF($A370="","",SUM($G370:$I370))</f>
        <v/>
      </c>
      <c r="Q370" s="17" t="str">
        <f aca="false">IF($A370="","",SUM($J370:$L370))</f>
        <v/>
      </c>
      <c r="R370" s="17" t="str">
        <f aca="false">IF($A370="","",($M370+$Q370)-$P370)</f>
        <v/>
      </c>
      <c r="S370" s="18" t="str">
        <f aca="false">IF(OR($A370="",$P370=0),"",$R370/$P370)</f>
        <v/>
      </c>
      <c r="T370" s="23"/>
      <c r="U370" s="14" t="str">
        <f aca="false">IF($A370="","",IF($M370&gt;0,"Live","Exited"))</f>
        <v/>
      </c>
      <c r="V370" s="20" t="str">
        <f aca="false">IF($A370="","",IF($A370='Client Report'!$C$4,COUNTIFS($A$6:$A370,'Client Report'!$C$4),""))</f>
        <v/>
      </c>
    </row>
    <row r="371" customFormat="false" ht="15" hidden="false" customHeight="false" outlineLevel="0" collapsed="false">
      <c r="A371" s="11"/>
      <c r="B371" s="11"/>
      <c r="C371" s="14" t="str">
        <f aca="false">IF($B371="","",IFERROR(TRIM(LEFT($B371,FIND(" - ",$B371)-1)),"Others"))</f>
        <v/>
      </c>
      <c r="D371" s="11"/>
      <c r="E371" s="11"/>
      <c r="F371" s="12"/>
      <c r="G371" s="21"/>
      <c r="H371" s="21"/>
      <c r="I371" s="21"/>
      <c r="J371" s="21"/>
      <c r="K371" s="21"/>
      <c r="L371" s="21"/>
      <c r="M371" s="21"/>
      <c r="N371" s="22"/>
      <c r="O371" s="22"/>
      <c r="P371" s="17" t="str">
        <f aca="false">IF($A371="","",SUM($G371:$I371))</f>
        <v/>
      </c>
      <c r="Q371" s="17" t="str">
        <f aca="false">IF($A371="","",SUM($J371:$L371))</f>
        <v/>
      </c>
      <c r="R371" s="17" t="str">
        <f aca="false">IF($A371="","",($M371+$Q371)-$P371)</f>
        <v/>
      </c>
      <c r="S371" s="18" t="str">
        <f aca="false">IF(OR($A371="",$P371=0),"",$R371/$P371)</f>
        <v/>
      </c>
      <c r="T371" s="23"/>
      <c r="U371" s="14" t="str">
        <f aca="false">IF($A371="","",IF($M371&gt;0,"Live","Exited"))</f>
        <v/>
      </c>
      <c r="V371" s="20" t="str">
        <f aca="false">IF($A371="","",IF($A371='Client Report'!$C$4,COUNTIFS($A$6:$A371,'Client Report'!$C$4),""))</f>
        <v/>
      </c>
    </row>
    <row r="372" customFormat="false" ht="15" hidden="false" customHeight="false" outlineLevel="0" collapsed="false">
      <c r="A372" s="11"/>
      <c r="B372" s="11"/>
      <c r="C372" s="14" t="str">
        <f aca="false">IF($B372="","",IFERROR(TRIM(LEFT($B372,FIND(" - ",$B372)-1)),"Others"))</f>
        <v/>
      </c>
      <c r="D372" s="11"/>
      <c r="E372" s="11"/>
      <c r="F372" s="12"/>
      <c r="G372" s="21"/>
      <c r="H372" s="21"/>
      <c r="I372" s="21"/>
      <c r="J372" s="21"/>
      <c r="K372" s="21"/>
      <c r="L372" s="21"/>
      <c r="M372" s="21"/>
      <c r="N372" s="22"/>
      <c r="O372" s="22"/>
      <c r="P372" s="17" t="str">
        <f aca="false">IF($A372="","",SUM($G372:$I372))</f>
        <v/>
      </c>
      <c r="Q372" s="17" t="str">
        <f aca="false">IF($A372="","",SUM($J372:$L372))</f>
        <v/>
      </c>
      <c r="R372" s="17" t="str">
        <f aca="false">IF($A372="","",($M372+$Q372)-$P372)</f>
        <v/>
      </c>
      <c r="S372" s="18" t="str">
        <f aca="false">IF(OR($A372="",$P372=0),"",$R372/$P372)</f>
        <v/>
      </c>
      <c r="T372" s="23"/>
      <c r="U372" s="14" t="str">
        <f aca="false">IF($A372="","",IF($M372&gt;0,"Live","Exited"))</f>
        <v/>
      </c>
      <c r="V372" s="20" t="str">
        <f aca="false">IF($A372="","",IF($A372='Client Report'!$C$4,COUNTIFS($A$6:$A372,'Client Report'!$C$4),""))</f>
        <v/>
      </c>
    </row>
    <row r="373" customFormat="false" ht="15" hidden="false" customHeight="false" outlineLevel="0" collapsed="false">
      <c r="A373" s="11"/>
      <c r="B373" s="11"/>
      <c r="C373" s="14" t="str">
        <f aca="false">IF($B373="","",IFERROR(TRIM(LEFT($B373,FIND(" - ",$B373)-1)),"Others"))</f>
        <v/>
      </c>
      <c r="D373" s="11"/>
      <c r="E373" s="11"/>
      <c r="F373" s="12"/>
      <c r="G373" s="21"/>
      <c r="H373" s="21"/>
      <c r="I373" s="21"/>
      <c r="J373" s="21"/>
      <c r="K373" s="21"/>
      <c r="L373" s="21"/>
      <c r="M373" s="21"/>
      <c r="N373" s="22"/>
      <c r="O373" s="22"/>
      <c r="P373" s="17" t="str">
        <f aca="false">IF($A373="","",SUM($G373:$I373))</f>
        <v/>
      </c>
      <c r="Q373" s="17" t="str">
        <f aca="false">IF($A373="","",SUM($J373:$L373))</f>
        <v/>
      </c>
      <c r="R373" s="17" t="str">
        <f aca="false">IF($A373="","",($M373+$Q373)-$P373)</f>
        <v/>
      </c>
      <c r="S373" s="18" t="str">
        <f aca="false">IF(OR($A373="",$P373=0),"",$R373/$P373)</f>
        <v/>
      </c>
      <c r="T373" s="23"/>
      <c r="U373" s="14" t="str">
        <f aca="false">IF($A373="","",IF($M373&gt;0,"Live","Exited"))</f>
        <v/>
      </c>
      <c r="V373" s="20" t="str">
        <f aca="false">IF($A373="","",IF($A373='Client Report'!$C$4,COUNTIFS($A$6:$A373,'Client Report'!$C$4),""))</f>
        <v/>
      </c>
    </row>
    <row r="374" customFormat="false" ht="15" hidden="false" customHeight="false" outlineLevel="0" collapsed="false">
      <c r="A374" s="11"/>
      <c r="B374" s="11"/>
      <c r="C374" s="14" t="str">
        <f aca="false">IF($B374="","",IFERROR(TRIM(LEFT($B374,FIND(" - ",$B374)-1)),"Others"))</f>
        <v/>
      </c>
      <c r="D374" s="11"/>
      <c r="E374" s="11"/>
      <c r="F374" s="12"/>
      <c r="G374" s="21"/>
      <c r="H374" s="21"/>
      <c r="I374" s="21"/>
      <c r="J374" s="21"/>
      <c r="K374" s="21"/>
      <c r="L374" s="21"/>
      <c r="M374" s="21"/>
      <c r="N374" s="22"/>
      <c r="O374" s="22"/>
      <c r="P374" s="17" t="str">
        <f aca="false">IF($A374="","",SUM($G374:$I374))</f>
        <v/>
      </c>
      <c r="Q374" s="17" t="str">
        <f aca="false">IF($A374="","",SUM($J374:$L374))</f>
        <v/>
      </c>
      <c r="R374" s="17" t="str">
        <f aca="false">IF($A374="","",($M374+$Q374)-$P374)</f>
        <v/>
      </c>
      <c r="S374" s="18" t="str">
        <f aca="false">IF(OR($A374="",$P374=0),"",$R374/$P374)</f>
        <v/>
      </c>
      <c r="T374" s="23"/>
      <c r="U374" s="14" t="str">
        <f aca="false">IF($A374="","",IF($M374&gt;0,"Live","Exited"))</f>
        <v/>
      </c>
      <c r="V374" s="20" t="str">
        <f aca="false">IF($A374="","",IF($A374='Client Report'!$C$4,COUNTIFS($A$6:$A374,'Client Report'!$C$4),""))</f>
        <v/>
      </c>
    </row>
    <row r="375" customFormat="false" ht="15" hidden="false" customHeight="false" outlineLevel="0" collapsed="false">
      <c r="A375" s="11"/>
      <c r="B375" s="11"/>
      <c r="C375" s="14" t="str">
        <f aca="false">IF($B375="","",IFERROR(TRIM(LEFT($B375,FIND(" - ",$B375)-1)),"Others"))</f>
        <v/>
      </c>
      <c r="D375" s="11"/>
      <c r="E375" s="11"/>
      <c r="F375" s="12"/>
      <c r="G375" s="21"/>
      <c r="H375" s="21"/>
      <c r="I375" s="21"/>
      <c r="J375" s="21"/>
      <c r="K375" s="21"/>
      <c r="L375" s="21"/>
      <c r="M375" s="21"/>
      <c r="N375" s="22"/>
      <c r="O375" s="22"/>
      <c r="P375" s="17" t="str">
        <f aca="false">IF($A375="","",SUM($G375:$I375))</f>
        <v/>
      </c>
      <c r="Q375" s="17" t="str">
        <f aca="false">IF($A375="","",SUM($J375:$L375))</f>
        <v/>
      </c>
      <c r="R375" s="17" t="str">
        <f aca="false">IF($A375="","",($M375+$Q375)-$P375)</f>
        <v/>
      </c>
      <c r="S375" s="18" t="str">
        <f aca="false">IF(OR($A375="",$P375=0),"",$R375/$P375)</f>
        <v/>
      </c>
      <c r="T375" s="23"/>
      <c r="U375" s="14" t="str">
        <f aca="false">IF($A375="","",IF($M375&gt;0,"Live","Exited"))</f>
        <v/>
      </c>
      <c r="V375" s="20" t="str">
        <f aca="false">IF($A375="","",IF($A375='Client Report'!$C$4,COUNTIFS($A$6:$A375,'Client Report'!$C$4),""))</f>
        <v/>
      </c>
    </row>
    <row r="376" customFormat="false" ht="15" hidden="false" customHeight="false" outlineLevel="0" collapsed="false">
      <c r="A376" s="11"/>
      <c r="B376" s="11"/>
      <c r="C376" s="14" t="str">
        <f aca="false">IF($B376="","",IFERROR(TRIM(LEFT($B376,FIND(" - ",$B376)-1)),"Others"))</f>
        <v/>
      </c>
      <c r="D376" s="11"/>
      <c r="E376" s="11"/>
      <c r="F376" s="12"/>
      <c r="G376" s="21"/>
      <c r="H376" s="21"/>
      <c r="I376" s="21"/>
      <c r="J376" s="21"/>
      <c r="K376" s="21"/>
      <c r="L376" s="21"/>
      <c r="M376" s="21"/>
      <c r="N376" s="22"/>
      <c r="O376" s="22"/>
      <c r="P376" s="17" t="str">
        <f aca="false">IF($A376="","",SUM($G376:$I376))</f>
        <v/>
      </c>
      <c r="Q376" s="17" t="str">
        <f aca="false">IF($A376="","",SUM($J376:$L376))</f>
        <v/>
      </c>
      <c r="R376" s="17" t="str">
        <f aca="false">IF($A376="","",($M376+$Q376)-$P376)</f>
        <v/>
      </c>
      <c r="S376" s="18" t="str">
        <f aca="false">IF(OR($A376="",$P376=0),"",$R376/$P376)</f>
        <v/>
      </c>
      <c r="T376" s="23"/>
      <c r="U376" s="14" t="str">
        <f aca="false">IF($A376="","",IF($M376&gt;0,"Live","Exited"))</f>
        <v/>
      </c>
      <c r="V376" s="20" t="str">
        <f aca="false">IF($A376="","",IF($A376='Client Report'!$C$4,COUNTIFS($A$6:$A376,'Client Report'!$C$4),""))</f>
        <v/>
      </c>
    </row>
    <row r="377" customFormat="false" ht="15" hidden="false" customHeight="false" outlineLevel="0" collapsed="false">
      <c r="A377" s="11"/>
      <c r="B377" s="11"/>
      <c r="C377" s="14" t="str">
        <f aca="false">IF($B377="","",IFERROR(TRIM(LEFT($B377,FIND(" - ",$B377)-1)),"Others"))</f>
        <v/>
      </c>
      <c r="D377" s="11"/>
      <c r="E377" s="11"/>
      <c r="F377" s="12"/>
      <c r="G377" s="21"/>
      <c r="H377" s="21"/>
      <c r="I377" s="21"/>
      <c r="J377" s="21"/>
      <c r="K377" s="21"/>
      <c r="L377" s="21"/>
      <c r="M377" s="21"/>
      <c r="N377" s="22"/>
      <c r="O377" s="22"/>
      <c r="P377" s="17" t="str">
        <f aca="false">IF($A377="","",SUM($G377:$I377))</f>
        <v/>
      </c>
      <c r="Q377" s="17" t="str">
        <f aca="false">IF($A377="","",SUM($J377:$L377))</f>
        <v/>
      </c>
      <c r="R377" s="17" t="str">
        <f aca="false">IF($A377="","",($M377+$Q377)-$P377)</f>
        <v/>
      </c>
      <c r="S377" s="18" t="str">
        <f aca="false">IF(OR($A377="",$P377=0),"",$R377/$P377)</f>
        <v/>
      </c>
      <c r="T377" s="23"/>
      <c r="U377" s="14" t="str">
        <f aca="false">IF($A377="","",IF($M377&gt;0,"Live","Exited"))</f>
        <v/>
      </c>
      <c r="V377" s="20" t="str">
        <f aca="false">IF($A377="","",IF($A377='Client Report'!$C$4,COUNTIFS($A$6:$A377,'Client Report'!$C$4),""))</f>
        <v/>
      </c>
    </row>
    <row r="378" customFormat="false" ht="15" hidden="false" customHeight="false" outlineLevel="0" collapsed="false">
      <c r="A378" s="11"/>
      <c r="B378" s="11"/>
      <c r="C378" s="14" t="str">
        <f aca="false">IF($B378="","",IFERROR(TRIM(LEFT($B378,FIND(" - ",$B378)-1)),"Others"))</f>
        <v/>
      </c>
      <c r="D378" s="11"/>
      <c r="E378" s="11"/>
      <c r="F378" s="12"/>
      <c r="G378" s="21"/>
      <c r="H378" s="21"/>
      <c r="I378" s="21"/>
      <c r="J378" s="21"/>
      <c r="K378" s="21"/>
      <c r="L378" s="21"/>
      <c r="M378" s="21"/>
      <c r="N378" s="22"/>
      <c r="O378" s="22"/>
      <c r="P378" s="17" t="str">
        <f aca="false">IF($A378="","",SUM($G378:$I378))</f>
        <v/>
      </c>
      <c r="Q378" s="17" t="str">
        <f aca="false">IF($A378="","",SUM($J378:$L378))</f>
        <v/>
      </c>
      <c r="R378" s="17" t="str">
        <f aca="false">IF($A378="","",($M378+$Q378)-$P378)</f>
        <v/>
      </c>
      <c r="S378" s="18" t="str">
        <f aca="false">IF(OR($A378="",$P378=0),"",$R378/$P378)</f>
        <v/>
      </c>
      <c r="T378" s="23"/>
      <c r="U378" s="14" t="str">
        <f aca="false">IF($A378="","",IF($M378&gt;0,"Live","Exited"))</f>
        <v/>
      </c>
      <c r="V378" s="20" t="str">
        <f aca="false">IF($A378="","",IF($A378='Client Report'!$C$4,COUNTIFS($A$6:$A378,'Client Report'!$C$4),""))</f>
        <v/>
      </c>
    </row>
    <row r="379" customFormat="false" ht="15" hidden="false" customHeight="false" outlineLevel="0" collapsed="false">
      <c r="A379" s="11"/>
      <c r="B379" s="11"/>
      <c r="C379" s="14" t="str">
        <f aca="false">IF($B379="","",IFERROR(TRIM(LEFT($B379,FIND(" - ",$B379)-1)),"Others"))</f>
        <v/>
      </c>
      <c r="D379" s="11"/>
      <c r="E379" s="11"/>
      <c r="F379" s="12"/>
      <c r="G379" s="21"/>
      <c r="H379" s="21"/>
      <c r="I379" s="21"/>
      <c r="J379" s="21"/>
      <c r="K379" s="21"/>
      <c r="L379" s="21"/>
      <c r="M379" s="21"/>
      <c r="N379" s="22"/>
      <c r="O379" s="22"/>
      <c r="P379" s="17" t="str">
        <f aca="false">IF($A379="","",SUM($G379:$I379))</f>
        <v/>
      </c>
      <c r="Q379" s="17" t="str">
        <f aca="false">IF($A379="","",SUM($J379:$L379))</f>
        <v/>
      </c>
      <c r="R379" s="17" t="str">
        <f aca="false">IF($A379="","",($M379+$Q379)-$P379)</f>
        <v/>
      </c>
      <c r="S379" s="18" t="str">
        <f aca="false">IF(OR($A379="",$P379=0),"",$R379/$P379)</f>
        <v/>
      </c>
      <c r="T379" s="23"/>
      <c r="U379" s="14" t="str">
        <f aca="false">IF($A379="","",IF($M379&gt;0,"Live","Exited"))</f>
        <v/>
      </c>
      <c r="V379" s="20" t="str">
        <f aca="false">IF($A379="","",IF($A379='Client Report'!$C$4,COUNTIFS($A$6:$A379,'Client Report'!$C$4),""))</f>
        <v/>
      </c>
    </row>
    <row r="380" customFormat="false" ht="15" hidden="false" customHeight="false" outlineLevel="0" collapsed="false">
      <c r="A380" s="11"/>
      <c r="B380" s="11"/>
      <c r="C380" s="14" t="str">
        <f aca="false">IF($B380="","",IFERROR(TRIM(LEFT($B380,FIND(" - ",$B380)-1)),"Others"))</f>
        <v/>
      </c>
      <c r="D380" s="11"/>
      <c r="E380" s="11"/>
      <c r="F380" s="12"/>
      <c r="G380" s="21"/>
      <c r="H380" s="21"/>
      <c r="I380" s="21"/>
      <c r="J380" s="21"/>
      <c r="K380" s="21"/>
      <c r="L380" s="21"/>
      <c r="M380" s="21"/>
      <c r="N380" s="22"/>
      <c r="O380" s="22"/>
      <c r="P380" s="17" t="str">
        <f aca="false">IF($A380="","",SUM($G380:$I380))</f>
        <v/>
      </c>
      <c r="Q380" s="17" t="str">
        <f aca="false">IF($A380="","",SUM($J380:$L380))</f>
        <v/>
      </c>
      <c r="R380" s="17" t="str">
        <f aca="false">IF($A380="","",($M380+$Q380)-$P380)</f>
        <v/>
      </c>
      <c r="S380" s="18" t="str">
        <f aca="false">IF(OR($A380="",$P380=0),"",$R380/$P380)</f>
        <v/>
      </c>
      <c r="T380" s="23"/>
      <c r="U380" s="14" t="str">
        <f aca="false">IF($A380="","",IF($M380&gt;0,"Live","Exited"))</f>
        <v/>
      </c>
      <c r="V380" s="20" t="str">
        <f aca="false">IF($A380="","",IF($A380='Client Report'!$C$4,COUNTIFS($A$6:$A380,'Client Report'!$C$4),""))</f>
        <v/>
      </c>
    </row>
    <row r="381" customFormat="false" ht="15" hidden="false" customHeight="false" outlineLevel="0" collapsed="false">
      <c r="A381" s="11"/>
      <c r="B381" s="11"/>
      <c r="C381" s="14" t="str">
        <f aca="false">IF($B381="","",IFERROR(TRIM(LEFT($B381,FIND(" - ",$B381)-1)),"Others"))</f>
        <v/>
      </c>
      <c r="D381" s="11"/>
      <c r="E381" s="11"/>
      <c r="F381" s="12"/>
      <c r="G381" s="21"/>
      <c r="H381" s="21"/>
      <c r="I381" s="21"/>
      <c r="J381" s="21"/>
      <c r="K381" s="21"/>
      <c r="L381" s="21"/>
      <c r="M381" s="21"/>
      <c r="N381" s="22"/>
      <c r="O381" s="22"/>
      <c r="P381" s="17" t="str">
        <f aca="false">IF($A381="","",SUM($G381:$I381))</f>
        <v/>
      </c>
      <c r="Q381" s="17" t="str">
        <f aca="false">IF($A381="","",SUM($J381:$L381))</f>
        <v/>
      </c>
      <c r="R381" s="17" t="str">
        <f aca="false">IF($A381="","",($M381+$Q381)-$P381)</f>
        <v/>
      </c>
      <c r="S381" s="18" t="str">
        <f aca="false">IF(OR($A381="",$P381=0),"",$R381/$P381)</f>
        <v/>
      </c>
      <c r="T381" s="23"/>
      <c r="U381" s="14" t="str">
        <f aca="false">IF($A381="","",IF($M381&gt;0,"Live","Exited"))</f>
        <v/>
      </c>
      <c r="V381" s="20" t="str">
        <f aca="false">IF($A381="","",IF($A381='Client Report'!$C$4,COUNTIFS($A$6:$A381,'Client Report'!$C$4),""))</f>
        <v/>
      </c>
    </row>
    <row r="382" customFormat="false" ht="15" hidden="false" customHeight="false" outlineLevel="0" collapsed="false">
      <c r="A382" s="11"/>
      <c r="B382" s="11"/>
      <c r="C382" s="14" t="str">
        <f aca="false">IF($B382="","",IFERROR(TRIM(LEFT($B382,FIND(" - ",$B382)-1)),"Others"))</f>
        <v/>
      </c>
      <c r="D382" s="11"/>
      <c r="E382" s="11"/>
      <c r="F382" s="12"/>
      <c r="G382" s="21"/>
      <c r="H382" s="21"/>
      <c r="I382" s="21"/>
      <c r="J382" s="21"/>
      <c r="K382" s="21"/>
      <c r="L382" s="21"/>
      <c r="M382" s="21"/>
      <c r="N382" s="22"/>
      <c r="O382" s="22"/>
      <c r="P382" s="17" t="str">
        <f aca="false">IF($A382="","",SUM($G382:$I382))</f>
        <v/>
      </c>
      <c r="Q382" s="17" t="str">
        <f aca="false">IF($A382="","",SUM($J382:$L382))</f>
        <v/>
      </c>
      <c r="R382" s="17" t="str">
        <f aca="false">IF($A382="","",($M382+$Q382)-$P382)</f>
        <v/>
      </c>
      <c r="S382" s="18" t="str">
        <f aca="false">IF(OR($A382="",$P382=0),"",$R382/$P382)</f>
        <v/>
      </c>
      <c r="T382" s="23"/>
      <c r="U382" s="14" t="str">
        <f aca="false">IF($A382="","",IF($M382&gt;0,"Live","Exited"))</f>
        <v/>
      </c>
      <c r="V382" s="20" t="str">
        <f aca="false">IF($A382="","",IF($A382='Client Report'!$C$4,COUNTIFS($A$6:$A382,'Client Report'!$C$4),""))</f>
        <v/>
      </c>
    </row>
    <row r="383" customFormat="false" ht="15" hidden="false" customHeight="false" outlineLevel="0" collapsed="false">
      <c r="A383" s="11"/>
      <c r="B383" s="11"/>
      <c r="C383" s="14" t="str">
        <f aca="false">IF($B383="","",IFERROR(TRIM(LEFT($B383,FIND(" - ",$B383)-1)),"Others"))</f>
        <v/>
      </c>
      <c r="D383" s="11"/>
      <c r="E383" s="11"/>
      <c r="F383" s="12"/>
      <c r="G383" s="21"/>
      <c r="H383" s="21"/>
      <c r="I383" s="21"/>
      <c r="J383" s="21"/>
      <c r="K383" s="21"/>
      <c r="L383" s="21"/>
      <c r="M383" s="21"/>
      <c r="N383" s="22"/>
      <c r="O383" s="22"/>
      <c r="P383" s="17" t="str">
        <f aca="false">IF($A383="","",SUM($G383:$I383))</f>
        <v/>
      </c>
      <c r="Q383" s="17" t="str">
        <f aca="false">IF($A383="","",SUM($J383:$L383))</f>
        <v/>
      </c>
      <c r="R383" s="17" t="str">
        <f aca="false">IF($A383="","",($M383+$Q383)-$P383)</f>
        <v/>
      </c>
      <c r="S383" s="18" t="str">
        <f aca="false">IF(OR($A383="",$P383=0),"",$R383/$P383)</f>
        <v/>
      </c>
      <c r="T383" s="23"/>
      <c r="U383" s="14" t="str">
        <f aca="false">IF($A383="","",IF($M383&gt;0,"Live","Exited"))</f>
        <v/>
      </c>
      <c r="V383" s="20" t="str">
        <f aca="false">IF($A383="","",IF($A383='Client Report'!$C$4,COUNTIFS($A$6:$A383,'Client Report'!$C$4),""))</f>
        <v/>
      </c>
    </row>
    <row r="384" customFormat="false" ht="15" hidden="false" customHeight="false" outlineLevel="0" collapsed="false">
      <c r="A384" s="11"/>
      <c r="B384" s="11"/>
      <c r="C384" s="14" t="str">
        <f aca="false">IF($B384="","",IFERROR(TRIM(LEFT($B384,FIND(" - ",$B384)-1)),"Others"))</f>
        <v/>
      </c>
      <c r="D384" s="11"/>
      <c r="E384" s="11"/>
      <c r="F384" s="12"/>
      <c r="G384" s="21"/>
      <c r="H384" s="21"/>
      <c r="I384" s="21"/>
      <c r="J384" s="21"/>
      <c r="K384" s="21"/>
      <c r="L384" s="21"/>
      <c r="M384" s="21"/>
      <c r="N384" s="22"/>
      <c r="O384" s="22"/>
      <c r="P384" s="17" t="str">
        <f aca="false">IF($A384="","",SUM($G384:$I384))</f>
        <v/>
      </c>
      <c r="Q384" s="17" t="str">
        <f aca="false">IF($A384="","",SUM($J384:$L384))</f>
        <v/>
      </c>
      <c r="R384" s="17" t="str">
        <f aca="false">IF($A384="","",($M384+$Q384)-$P384)</f>
        <v/>
      </c>
      <c r="S384" s="18" t="str">
        <f aca="false">IF(OR($A384="",$P384=0),"",$R384/$P384)</f>
        <v/>
      </c>
      <c r="T384" s="23"/>
      <c r="U384" s="14" t="str">
        <f aca="false">IF($A384="","",IF($M384&gt;0,"Live","Exited"))</f>
        <v/>
      </c>
      <c r="V384" s="20" t="str">
        <f aca="false">IF($A384="","",IF($A384='Client Report'!$C$4,COUNTIFS($A$6:$A384,'Client Report'!$C$4),""))</f>
        <v/>
      </c>
    </row>
    <row r="385" customFormat="false" ht="15" hidden="false" customHeight="false" outlineLevel="0" collapsed="false">
      <c r="A385" s="11"/>
      <c r="B385" s="11"/>
      <c r="C385" s="14" t="str">
        <f aca="false">IF($B385="","",IFERROR(TRIM(LEFT($B385,FIND(" - ",$B385)-1)),"Others"))</f>
        <v/>
      </c>
      <c r="D385" s="11"/>
      <c r="E385" s="11"/>
      <c r="F385" s="12"/>
      <c r="G385" s="21"/>
      <c r="H385" s="21"/>
      <c r="I385" s="21"/>
      <c r="J385" s="21"/>
      <c r="K385" s="21"/>
      <c r="L385" s="21"/>
      <c r="M385" s="21"/>
      <c r="N385" s="22"/>
      <c r="O385" s="22"/>
      <c r="P385" s="17" t="str">
        <f aca="false">IF($A385="","",SUM($G385:$I385))</f>
        <v/>
      </c>
      <c r="Q385" s="17" t="str">
        <f aca="false">IF($A385="","",SUM($J385:$L385))</f>
        <v/>
      </c>
      <c r="R385" s="17" t="str">
        <f aca="false">IF($A385="","",($M385+$Q385)-$P385)</f>
        <v/>
      </c>
      <c r="S385" s="18" t="str">
        <f aca="false">IF(OR($A385="",$P385=0),"",$R385/$P385)</f>
        <v/>
      </c>
      <c r="T385" s="23"/>
      <c r="U385" s="14" t="str">
        <f aca="false">IF($A385="","",IF($M385&gt;0,"Live","Exited"))</f>
        <v/>
      </c>
      <c r="V385" s="20" t="str">
        <f aca="false">IF($A385="","",IF($A385='Client Report'!$C$4,COUNTIFS($A$6:$A385,'Client Report'!$C$4),""))</f>
        <v/>
      </c>
    </row>
    <row r="386" customFormat="false" ht="15" hidden="false" customHeight="false" outlineLevel="0" collapsed="false">
      <c r="A386" s="11"/>
      <c r="B386" s="11"/>
      <c r="C386" s="14" t="str">
        <f aca="false">IF($B386="","",IFERROR(TRIM(LEFT($B386,FIND(" - ",$B386)-1)),"Others"))</f>
        <v/>
      </c>
      <c r="D386" s="11"/>
      <c r="E386" s="11"/>
      <c r="F386" s="12"/>
      <c r="G386" s="21"/>
      <c r="H386" s="21"/>
      <c r="I386" s="21"/>
      <c r="J386" s="21"/>
      <c r="K386" s="21"/>
      <c r="L386" s="21"/>
      <c r="M386" s="21"/>
      <c r="N386" s="22"/>
      <c r="O386" s="22"/>
      <c r="P386" s="17" t="str">
        <f aca="false">IF($A386="","",SUM($G386:$I386))</f>
        <v/>
      </c>
      <c r="Q386" s="17" t="str">
        <f aca="false">IF($A386="","",SUM($J386:$L386))</f>
        <v/>
      </c>
      <c r="R386" s="17" t="str">
        <f aca="false">IF($A386="","",($M386+$Q386)-$P386)</f>
        <v/>
      </c>
      <c r="S386" s="18" t="str">
        <f aca="false">IF(OR($A386="",$P386=0),"",$R386/$P386)</f>
        <v/>
      </c>
      <c r="T386" s="23"/>
      <c r="U386" s="14" t="str">
        <f aca="false">IF($A386="","",IF($M386&gt;0,"Live","Exited"))</f>
        <v/>
      </c>
      <c r="V386" s="20" t="str">
        <f aca="false">IF($A386="","",IF($A386='Client Report'!$C$4,COUNTIFS($A$6:$A386,'Client Report'!$C$4),""))</f>
        <v/>
      </c>
    </row>
    <row r="387" customFormat="false" ht="15" hidden="false" customHeight="false" outlineLevel="0" collapsed="false">
      <c r="A387" s="11"/>
      <c r="B387" s="11"/>
      <c r="C387" s="14" t="str">
        <f aca="false">IF($B387="","",IFERROR(TRIM(LEFT($B387,FIND(" - ",$B387)-1)),"Others"))</f>
        <v/>
      </c>
      <c r="D387" s="11"/>
      <c r="E387" s="11"/>
      <c r="F387" s="12"/>
      <c r="G387" s="21"/>
      <c r="H387" s="21"/>
      <c r="I387" s="21"/>
      <c r="J387" s="21"/>
      <c r="K387" s="21"/>
      <c r="L387" s="21"/>
      <c r="M387" s="21"/>
      <c r="N387" s="22"/>
      <c r="O387" s="22"/>
      <c r="P387" s="17" t="str">
        <f aca="false">IF($A387="","",SUM($G387:$I387))</f>
        <v/>
      </c>
      <c r="Q387" s="17" t="str">
        <f aca="false">IF($A387="","",SUM($J387:$L387))</f>
        <v/>
      </c>
      <c r="R387" s="17" t="str">
        <f aca="false">IF($A387="","",($M387+$Q387)-$P387)</f>
        <v/>
      </c>
      <c r="S387" s="18" t="str">
        <f aca="false">IF(OR($A387="",$P387=0),"",$R387/$P387)</f>
        <v/>
      </c>
      <c r="T387" s="23"/>
      <c r="U387" s="14" t="str">
        <f aca="false">IF($A387="","",IF($M387&gt;0,"Live","Exited"))</f>
        <v/>
      </c>
      <c r="V387" s="20" t="str">
        <f aca="false">IF($A387="","",IF($A387='Client Report'!$C$4,COUNTIFS($A$6:$A387,'Client Report'!$C$4),""))</f>
        <v/>
      </c>
    </row>
    <row r="388" customFormat="false" ht="15" hidden="false" customHeight="false" outlineLevel="0" collapsed="false">
      <c r="A388" s="11"/>
      <c r="B388" s="11"/>
      <c r="C388" s="14" t="str">
        <f aca="false">IF($B388="","",IFERROR(TRIM(LEFT($B388,FIND(" - ",$B388)-1)),"Others"))</f>
        <v/>
      </c>
      <c r="D388" s="11"/>
      <c r="E388" s="11"/>
      <c r="F388" s="12"/>
      <c r="G388" s="21"/>
      <c r="H388" s="21"/>
      <c r="I388" s="21"/>
      <c r="J388" s="21"/>
      <c r="K388" s="21"/>
      <c r="L388" s="21"/>
      <c r="M388" s="21"/>
      <c r="N388" s="22"/>
      <c r="O388" s="22"/>
      <c r="P388" s="17" t="str">
        <f aca="false">IF($A388="","",SUM($G388:$I388))</f>
        <v/>
      </c>
      <c r="Q388" s="17" t="str">
        <f aca="false">IF($A388="","",SUM($J388:$L388))</f>
        <v/>
      </c>
      <c r="R388" s="17" t="str">
        <f aca="false">IF($A388="","",($M388+$Q388)-$P388)</f>
        <v/>
      </c>
      <c r="S388" s="18" t="str">
        <f aca="false">IF(OR($A388="",$P388=0),"",$R388/$P388)</f>
        <v/>
      </c>
      <c r="T388" s="23"/>
      <c r="U388" s="14" t="str">
        <f aca="false">IF($A388="","",IF($M388&gt;0,"Live","Exited"))</f>
        <v/>
      </c>
      <c r="V388" s="20" t="str">
        <f aca="false">IF($A388="","",IF($A388='Client Report'!$C$4,COUNTIFS($A$6:$A388,'Client Report'!$C$4),""))</f>
        <v/>
      </c>
    </row>
    <row r="389" customFormat="false" ht="15" hidden="false" customHeight="false" outlineLevel="0" collapsed="false">
      <c r="A389" s="11"/>
      <c r="B389" s="11"/>
      <c r="C389" s="14" t="str">
        <f aca="false">IF($B389="","",IFERROR(TRIM(LEFT($B389,FIND(" - ",$B389)-1)),"Others"))</f>
        <v/>
      </c>
      <c r="D389" s="11"/>
      <c r="E389" s="11"/>
      <c r="F389" s="12"/>
      <c r="G389" s="21"/>
      <c r="H389" s="21"/>
      <c r="I389" s="21"/>
      <c r="J389" s="21"/>
      <c r="K389" s="21"/>
      <c r="L389" s="21"/>
      <c r="M389" s="21"/>
      <c r="N389" s="22"/>
      <c r="O389" s="22"/>
      <c r="P389" s="17" t="str">
        <f aca="false">IF($A389="","",SUM($G389:$I389))</f>
        <v/>
      </c>
      <c r="Q389" s="17" t="str">
        <f aca="false">IF($A389="","",SUM($J389:$L389))</f>
        <v/>
      </c>
      <c r="R389" s="17" t="str">
        <f aca="false">IF($A389="","",($M389+$Q389)-$P389)</f>
        <v/>
      </c>
      <c r="S389" s="18" t="str">
        <f aca="false">IF(OR($A389="",$P389=0),"",$R389/$P389)</f>
        <v/>
      </c>
      <c r="T389" s="23"/>
      <c r="U389" s="14" t="str">
        <f aca="false">IF($A389="","",IF($M389&gt;0,"Live","Exited"))</f>
        <v/>
      </c>
      <c r="V389" s="20" t="str">
        <f aca="false">IF($A389="","",IF($A389='Client Report'!$C$4,COUNTIFS($A$6:$A389,'Client Report'!$C$4),""))</f>
        <v/>
      </c>
    </row>
    <row r="390" customFormat="false" ht="15" hidden="false" customHeight="false" outlineLevel="0" collapsed="false">
      <c r="A390" s="11"/>
      <c r="B390" s="11"/>
      <c r="C390" s="14" t="str">
        <f aca="false">IF($B390="","",IFERROR(TRIM(LEFT($B390,FIND(" - ",$B390)-1)),"Others"))</f>
        <v/>
      </c>
      <c r="D390" s="11"/>
      <c r="E390" s="11"/>
      <c r="F390" s="12"/>
      <c r="G390" s="21"/>
      <c r="H390" s="21"/>
      <c r="I390" s="21"/>
      <c r="J390" s="21"/>
      <c r="K390" s="21"/>
      <c r="L390" s="21"/>
      <c r="M390" s="21"/>
      <c r="N390" s="22"/>
      <c r="O390" s="22"/>
      <c r="P390" s="17" t="str">
        <f aca="false">IF($A390="","",SUM($G390:$I390))</f>
        <v/>
      </c>
      <c r="Q390" s="17" t="str">
        <f aca="false">IF($A390="","",SUM($J390:$L390))</f>
        <v/>
      </c>
      <c r="R390" s="17" t="str">
        <f aca="false">IF($A390="","",($M390+$Q390)-$P390)</f>
        <v/>
      </c>
      <c r="S390" s="18" t="str">
        <f aca="false">IF(OR($A390="",$P390=0),"",$R390/$P390)</f>
        <v/>
      </c>
      <c r="T390" s="23"/>
      <c r="U390" s="14" t="str">
        <f aca="false">IF($A390="","",IF($M390&gt;0,"Live","Exited"))</f>
        <v/>
      </c>
      <c r="V390" s="20" t="str">
        <f aca="false">IF($A390="","",IF($A390='Client Report'!$C$4,COUNTIFS($A$6:$A390,'Client Report'!$C$4),""))</f>
        <v/>
      </c>
    </row>
    <row r="391" customFormat="false" ht="15" hidden="false" customHeight="false" outlineLevel="0" collapsed="false">
      <c r="A391" s="11"/>
      <c r="B391" s="11"/>
      <c r="C391" s="14" t="str">
        <f aca="false">IF($B391="","",IFERROR(TRIM(LEFT($B391,FIND(" - ",$B391)-1)),"Others"))</f>
        <v/>
      </c>
      <c r="D391" s="11"/>
      <c r="E391" s="11"/>
      <c r="F391" s="12"/>
      <c r="G391" s="21"/>
      <c r="H391" s="21"/>
      <c r="I391" s="21"/>
      <c r="J391" s="21"/>
      <c r="K391" s="21"/>
      <c r="L391" s="21"/>
      <c r="M391" s="21"/>
      <c r="N391" s="22"/>
      <c r="O391" s="22"/>
      <c r="P391" s="17" t="str">
        <f aca="false">IF($A391="","",SUM($G391:$I391))</f>
        <v/>
      </c>
      <c r="Q391" s="17" t="str">
        <f aca="false">IF($A391="","",SUM($J391:$L391))</f>
        <v/>
      </c>
      <c r="R391" s="17" t="str">
        <f aca="false">IF($A391="","",($M391+$Q391)-$P391)</f>
        <v/>
      </c>
      <c r="S391" s="18" t="str">
        <f aca="false">IF(OR($A391="",$P391=0),"",$R391/$P391)</f>
        <v/>
      </c>
      <c r="T391" s="23"/>
      <c r="U391" s="14" t="str">
        <f aca="false">IF($A391="","",IF($M391&gt;0,"Live","Exited"))</f>
        <v/>
      </c>
      <c r="V391" s="20" t="str">
        <f aca="false">IF($A391="","",IF($A391='Client Report'!$C$4,COUNTIFS($A$6:$A391,'Client Report'!$C$4),""))</f>
        <v/>
      </c>
    </row>
    <row r="392" customFormat="false" ht="15" hidden="false" customHeight="false" outlineLevel="0" collapsed="false">
      <c r="A392" s="11"/>
      <c r="B392" s="11"/>
      <c r="C392" s="14" t="str">
        <f aca="false">IF($B392="","",IFERROR(TRIM(LEFT($B392,FIND(" - ",$B392)-1)),"Others"))</f>
        <v/>
      </c>
      <c r="D392" s="11"/>
      <c r="E392" s="11"/>
      <c r="F392" s="12"/>
      <c r="G392" s="21"/>
      <c r="H392" s="21"/>
      <c r="I392" s="21"/>
      <c r="J392" s="21"/>
      <c r="K392" s="21"/>
      <c r="L392" s="21"/>
      <c r="M392" s="21"/>
      <c r="N392" s="22"/>
      <c r="O392" s="22"/>
      <c r="P392" s="17" t="str">
        <f aca="false">IF($A392="","",SUM($G392:$I392))</f>
        <v/>
      </c>
      <c r="Q392" s="17" t="str">
        <f aca="false">IF($A392="","",SUM($J392:$L392))</f>
        <v/>
      </c>
      <c r="R392" s="17" t="str">
        <f aca="false">IF($A392="","",($M392+$Q392)-$P392)</f>
        <v/>
      </c>
      <c r="S392" s="18" t="str">
        <f aca="false">IF(OR($A392="",$P392=0),"",$R392/$P392)</f>
        <v/>
      </c>
      <c r="T392" s="23"/>
      <c r="U392" s="14" t="str">
        <f aca="false">IF($A392="","",IF($M392&gt;0,"Live","Exited"))</f>
        <v/>
      </c>
      <c r="V392" s="20" t="str">
        <f aca="false">IF($A392="","",IF($A392='Client Report'!$C$4,COUNTIFS($A$6:$A392,'Client Report'!$C$4),""))</f>
        <v/>
      </c>
    </row>
    <row r="393" customFormat="false" ht="15" hidden="false" customHeight="false" outlineLevel="0" collapsed="false">
      <c r="A393" s="11"/>
      <c r="B393" s="11"/>
      <c r="C393" s="14" t="str">
        <f aca="false">IF($B393="","",IFERROR(TRIM(LEFT($B393,FIND(" - ",$B393)-1)),"Others"))</f>
        <v/>
      </c>
      <c r="D393" s="11"/>
      <c r="E393" s="11"/>
      <c r="F393" s="12"/>
      <c r="G393" s="21"/>
      <c r="H393" s="21"/>
      <c r="I393" s="21"/>
      <c r="J393" s="21"/>
      <c r="K393" s="21"/>
      <c r="L393" s="21"/>
      <c r="M393" s="21"/>
      <c r="N393" s="22"/>
      <c r="O393" s="22"/>
      <c r="P393" s="17" t="str">
        <f aca="false">IF($A393="","",SUM($G393:$I393))</f>
        <v/>
      </c>
      <c r="Q393" s="17" t="str">
        <f aca="false">IF($A393="","",SUM($J393:$L393))</f>
        <v/>
      </c>
      <c r="R393" s="17" t="str">
        <f aca="false">IF($A393="","",($M393+$Q393)-$P393)</f>
        <v/>
      </c>
      <c r="S393" s="18" t="str">
        <f aca="false">IF(OR($A393="",$P393=0),"",$R393/$P393)</f>
        <v/>
      </c>
      <c r="T393" s="23"/>
      <c r="U393" s="14" t="str">
        <f aca="false">IF($A393="","",IF($M393&gt;0,"Live","Exited"))</f>
        <v/>
      </c>
      <c r="V393" s="20" t="str">
        <f aca="false">IF($A393="","",IF($A393='Client Report'!$C$4,COUNTIFS($A$6:$A393,'Client Report'!$C$4),""))</f>
        <v/>
      </c>
    </row>
    <row r="394" customFormat="false" ht="15" hidden="false" customHeight="false" outlineLevel="0" collapsed="false">
      <c r="A394" s="11"/>
      <c r="B394" s="11"/>
      <c r="C394" s="14" t="str">
        <f aca="false">IF($B394="","",IFERROR(TRIM(LEFT($B394,FIND(" - ",$B394)-1)),"Others"))</f>
        <v/>
      </c>
      <c r="D394" s="11"/>
      <c r="E394" s="11"/>
      <c r="F394" s="12"/>
      <c r="G394" s="21"/>
      <c r="H394" s="21"/>
      <c r="I394" s="21"/>
      <c r="J394" s="21"/>
      <c r="K394" s="21"/>
      <c r="L394" s="21"/>
      <c r="M394" s="21"/>
      <c r="N394" s="22"/>
      <c r="O394" s="22"/>
      <c r="P394" s="17" t="str">
        <f aca="false">IF($A394="","",SUM($G394:$I394))</f>
        <v/>
      </c>
      <c r="Q394" s="17" t="str">
        <f aca="false">IF($A394="","",SUM($J394:$L394))</f>
        <v/>
      </c>
      <c r="R394" s="17" t="str">
        <f aca="false">IF($A394="","",($M394+$Q394)-$P394)</f>
        <v/>
      </c>
      <c r="S394" s="18" t="str">
        <f aca="false">IF(OR($A394="",$P394=0),"",$R394/$P394)</f>
        <v/>
      </c>
      <c r="T394" s="23"/>
      <c r="U394" s="14" t="str">
        <f aca="false">IF($A394="","",IF($M394&gt;0,"Live","Exited"))</f>
        <v/>
      </c>
      <c r="V394" s="20" t="str">
        <f aca="false">IF($A394="","",IF($A394='Client Report'!$C$4,COUNTIFS($A$6:$A394,'Client Report'!$C$4),""))</f>
        <v/>
      </c>
    </row>
    <row r="395" customFormat="false" ht="15" hidden="false" customHeight="false" outlineLevel="0" collapsed="false">
      <c r="A395" s="11"/>
      <c r="B395" s="11"/>
      <c r="C395" s="14" t="str">
        <f aca="false">IF($B395="","",IFERROR(TRIM(LEFT($B395,FIND(" - ",$B395)-1)),"Others"))</f>
        <v/>
      </c>
      <c r="D395" s="11"/>
      <c r="E395" s="11"/>
      <c r="F395" s="12"/>
      <c r="G395" s="21"/>
      <c r="H395" s="21"/>
      <c r="I395" s="21"/>
      <c r="J395" s="21"/>
      <c r="K395" s="21"/>
      <c r="L395" s="21"/>
      <c r="M395" s="21"/>
      <c r="N395" s="22"/>
      <c r="O395" s="22"/>
      <c r="P395" s="17" t="str">
        <f aca="false">IF($A395="","",SUM($G395:$I395))</f>
        <v/>
      </c>
      <c r="Q395" s="17" t="str">
        <f aca="false">IF($A395="","",SUM($J395:$L395))</f>
        <v/>
      </c>
      <c r="R395" s="17" t="str">
        <f aca="false">IF($A395="","",($M395+$Q395)-$P395)</f>
        <v/>
      </c>
      <c r="S395" s="18" t="str">
        <f aca="false">IF(OR($A395="",$P395=0),"",$R395/$P395)</f>
        <v/>
      </c>
      <c r="T395" s="23"/>
      <c r="U395" s="14" t="str">
        <f aca="false">IF($A395="","",IF($M395&gt;0,"Live","Exited"))</f>
        <v/>
      </c>
      <c r="V395" s="20" t="str">
        <f aca="false">IF($A395="","",IF($A395='Client Report'!$C$4,COUNTIFS($A$6:$A395,'Client Report'!$C$4),""))</f>
        <v/>
      </c>
    </row>
    <row r="396" customFormat="false" ht="15" hidden="false" customHeight="false" outlineLevel="0" collapsed="false">
      <c r="A396" s="11"/>
      <c r="B396" s="11"/>
      <c r="C396" s="14" t="str">
        <f aca="false">IF($B396="","",IFERROR(TRIM(LEFT($B396,FIND(" - ",$B396)-1)),"Others"))</f>
        <v/>
      </c>
      <c r="D396" s="11"/>
      <c r="E396" s="11"/>
      <c r="F396" s="12"/>
      <c r="G396" s="21"/>
      <c r="H396" s="21"/>
      <c r="I396" s="21"/>
      <c r="J396" s="21"/>
      <c r="K396" s="21"/>
      <c r="L396" s="21"/>
      <c r="M396" s="21"/>
      <c r="N396" s="22"/>
      <c r="O396" s="22"/>
      <c r="P396" s="17" t="str">
        <f aca="false">IF($A396="","",SUM($G396:$I396))</f>
        <v/>
      </c>
      <c r="Q396" s="17" t="str">
        <f aca="false">IF($A396="","",SUM($J396:$L396))</f>
        <v/>
      </c>
      <c r="R396" s="17" t="str">
        <f aca="false">IF($A396="","",($M396+$Q396)-$P396)</f>
        <v/>
      </c>
      <c r="S396" s="18" t="str">
        <f aca="false">IF(OR($A396="",$P396=0),"",$R396/$P396)</f>
        <v/>
      </c>
      <c r="T396" s="23"/>
      <c r="U396" s="14" t="str">
        <f aca="false">IF($A396="","",IF($M396&gt;0,"Live","Exited"))</f>
        <v/>
      </c>
      <c r="V396" s="20" t="str">
        <f aca="false">IF($A396="","",IF($A396='Client Report'!$C$4,COUNTIFS($A$6:$A396,'Client Report'!$C$4),""))</f>
        <v/>
      </c>
    </row>
    <row r="397" customFormat="false" ht="15" hidden="false" customHeight="false" outlineLevel="0" collapsed="false">
      <c r="A397" s="11"/>
      <c r="B397" s="11"/>
      <c r="C397" s="14" t="str">
        <f aca="false">IF($B397="","",IFERROR(TRIM(LEFT($B397,FIND(" - ",$B397)-1)),"Others"))</f>
        <v/>
      </c>
      <c r="D397" s="11"/>
      <c r="E397" s="11"/>
      <c r="F397" s="12"/>
      <c r="G397" s="21"/>
      <c r="H397" s="21"/>
      <c r="I397" s="21"/>
      <c r="J397" s="21"/>
      <c r="K397" s="21"/>
      <c r="L397" s="21"/>
      <c r="M397" s="21"/>
      <c r="N397" s="22"/>
      <c r="O397" s="22"/>
      <c r="P397" s="17" t="str">
        <f aca="false">IF($A397="","",SUM($G397:$I397))</f>
        <v/>
      </c>
      <c r="Q397" s="17" t="str">
        <f aca="false">IF($A397="","",SUM($J397:$L397))</f>
        <v/>
      </c>
      <c r="R397" s="17" t="str">
        <f aca="false">IF($A397="","",($M397+$Q397)-$P397)</f>
        <v/>
      </c>
      <c r="S397" s="18" t="str">
        <f aca="false">IF(OR($A397="",$P397=0),"",$R397/$P397)</f>
        <v/>
      </c>
      <c r="T397" s="23"/>
      <c r="U397" s="14" t="str">
        <f aca="false">IF($A397="","",IF($M397&gt;0,"Live","Exited"))</f>
        <v/>
      </c>
      <c r="V397" s="20" t="str">
        <f aca="false">IF($A397="","",IF($A397='Client Report'!$C$4,COUNTIFS($A$6:$A397,'Client Report'!$C$4),""))</f>
        <v/>
      </c>
    </row>
    <row r="398" customFormat="false" ht="15" hidden="false" customHeight="false" outlineLevel="0" collapsed="false">
      <c r="A398" s="11"/>
      <c r="B398" s="11"/>
      <c r="C398" s="14" t="str">
        <f aca="false">IF($B398="","",IFERROR(TRIM(LEFT($B398,FIND(" - ",$B398)-1)),"Others"))</f>
        <v/>
      </c>
      <c r="D398" s="11"/>
      <c r="E398" s="11"/>
      <c r="F398" s="12"/>
      <c r="G398" s="21"/>
      <c r="H398" s="21"/>
      <c r="I398" s="21"/>
      <c r="J398" s="21"/>
      <c r="K398" s="21"/>
      <c r="L398" s="21"/>
      <c r="M398" s="21"/>
      <c r="N398" s="22"/>
      <c r="O398" s="22"/>
      <c r="P398" s="17" t="str">
        <f aca="false">IF($A398="","",SUM($G398:$I398))</f>
        <v/>
      </c>
      <c r="Q398" s="17" t="str">
        <f aca="false">IF($A398="","",SUM($J398:$L398))</f>
        <v/>
      </c>
      <c r="R398" s="17" t="str">
        <f aca="false">IF($A398="","",($M398+$Q398)-$P398)</f>
        <v/>
      </c>
      <c r="S398" s="18" t="str">
        <f aca="false">IF(OR($A398="",$P398=0),"",$R398/$P398)</f>
        <v/>
      </c>
      <c r="T398" s="23"/>
      <c r="U398" s="14" t="str">
        <f aca="false">IF($A398="","",IF($M398&gt;0,"Live","Exited"))</f>
        <v/>
      </c>
      <c r="V398" s="20" t="str">
        <f aca="false">IF($A398="","",IF($A398='Client Report'!$C$4,COUNTIFS($A$6:$A398,'Client Report'!$C$4),""))</f>
        <v/>
      </c>
    </row>
    <row r="399" customFormat="false" ht="15" hidden="false" customHeight="false" outlineLevel="0" collapsed="false">
      <c r="A399" s="11"/>
      <c r="B399" s="11"/>
      <c r="C399" s="14" t="str">
        <f aca="false">IF($B399="","",IFERROR(TRIM(LEFT($B399,FIND(" - ",$B399)-1)),"Others"))</f>
        <v/>
      </c>
      <c r="D399" s="11"/>
      <c r="E399" s="11"/>
      <c r="F399" s="12"/>
      <c r="G399" s="21"/>
      <c r="H399" s="21"/>
      <c r="I399" s="21"/>
      <c r="J399" s="21"/>
      <c r="K399" s="21"/>
      <c r="L399" s="21"/>
      <c r="M399" s="21"/>
      <c r="N399" s="22"/>
      <c r="O399" s="22"/>
      <c r="P399" s="17" t="str">
        <f aca="false">IF($A399="","",SUM($G399:$I399))</f>
        <v/>
      </c>
      <c r="Q399" s="17" t="str">
        <f aca="false">IF($A399="","",SUM($J399:$L399))</f>
        <v/>
      </c>
      <c r="R399" s="17" t="str">
        <f aca="false">IF($A399="","",($M399+$Q399)-$P399)</f>
        <v/>
      </c>
      <c r="S399" s="18" t="str">
        <f aca="false">IF(OR($A399="",$P399=0),"",$R399/$P399)</f>
        <v/>
      </c>
      <c r="T399" s="23"/>
      <c r="U399" s="14" t="str">
        <f aca="false">IF($A399="","",IF($M399&gt;0,"Live","Exited"))</f>
        <v/>
      </c>
      <c r="V399" s="20" t="str">
        <f aca="false">IF($A399="","",IF($A399='Client Report'!$C$4,COUNTIFS($A$6:$A399,'Client Report'!$C$4),""))</f>
        <v/>
      </c>
    </row>
    <row r="400" customFormat="false" ht="15" hidden="false" customHeight="false" outlineLevel="0" collapsed="false">
      <c r="A400" s="11"/>
      <c r="B400" s="11"/>
      <c r="C400" s="14" t="str">
        <f aca="false">IF($B400="","",IFERROR(TRIM(LEFT($B400,FIND(" - ",$B400)-1)),"Others"))</f>
        <v/>
      </c>
      <c r="D400" s="11"/>
      <c r="E400" s="11"/>
      <c r="F400" s="12"/>
      <c r="G400" s="21"/>
      <c r="H400" s="21"/>
      <c r="I400" s="21"/>
      <c r="J400" s="21"/>
      <c r="K400" s="21"/>
      <c r="L400" s="21"/>
      <c r="M400" s="21"/>
      <c r="N400" s="22"/>
      <c r="O400" s="22"/>
      <c r="P400" s="17" t="str">
        <f aca="false">IF($A400="","",SUM($G400:$I400))</f>
        <v/>
      </c>
      <c r="Q400" s="17" t="str">
        <f aca="false">IF($A400="","",SUM($J400:$L400))</f>
        <v/>
      </c>
      <c r="R400" s="17" t="str">
        <f aca="false">IF($A400="","",($M400+$Q400)-$P400)</f>
        <v/>
      </c>
      <c r="S400" s="18" t="str">
        <f aca="false">IF(OR($A400="",$P400=0),"",$R400/$P400)</f>
        <v/>
      </c>
      <c r="T400" s="23"/>
      <c r="U400" s="14" t="str">
        <f aca="false">IF($A400="","",IF($M400&gt;0,"Live","Exited"))</f>
        <v/>
      </c>
      <c r="V400" s="20" t="str">
        <f aca="false">IF($A400="","",IF($A400='Client Report'!$C$4,COUNTIFS($A$6:$A400,'Client Report'!$C$4),""))</f>
        <v/>
      </c>
    </row>
    <row r="401" customFormat="false" ht="15" hidden="false" customHeight="false" outlineLevel="0" collapsed="false">
      <c r="A401" s="11"/>
      <c r="B401" s="11"/>
      <c r="C401" s="14" t="str">
        <f aca="false">IF($B401="","",IFERROR(TRIM(LEFT($B401,FIND(" - ",$B401)-1)),"Others"))</f>
        <v/>
      </c>
      <c r="D401" s="11"/>
      <c r="E401" s="11"/>
      <c r="F401" s="12"/>
      <c r="G401" s="21"/>
      <c r="H401" s="21"/>
      <c r="I401" s="21"/>
      <c r="J401" s="21"/>
      <c r="K401" s="21"/>
      <c r="L401" s="21"/>
      <c r="M401" s="21"/>
      <c r="N401" s="22"/>
      <c r="O401" s="22"/>
      <c r="P401" s="17" t="str">
        <f aca="false">IF($A401="","",SUM($G401:$I401))</f>
        <v/>
      </c>
      <c r="Q401" s="17" t="str">
        <f aca="false">IF($A401="","",SUM($J401:$L401))</f>
        <v/>
      </c>
      <c r="R401" s="17" t="str">
        <f aca="false">IF($A401="","",($M401+$Q401)-$P401)</f>
        <v/>
      </c>
      <c r="S401" s="18" t="str">
        <f aca="false">IF(OR($A401="",$P401=0),"",$R401/$P401)</f>
        <v/>
      </c>
      <c r="T401" s="23"/>
      <c r="U401" s="14" t="str">
        <f aca="false">IF($A401="","",IF($M401&gt;0,"Live","Exited"))</f>
        <v/>
      </c>
      <c r="V401" s="20" t="str">
        <f aca="false">IF($A401="","",IF($A401='Client Report'!$C$4,COUNTIFS($A$6:$A401,'Client Report'!$C$4),""))</f>
        <v/>
      </c>
    </row>
    <row r="402" customFormat="false" ht="15" hidden="false" customHeight="false" outlineLevel="0" collapsed="false">
      <c r="A402" s="11"/>
      <c r="B402" s="11"/>
      <c r="C402" s="14" t="str">
        <f aca="false">IF($B402="","",IFERROR(TRIM(LEFT($B402,FIND(" - ",$B402)-1)),"Others"))</f>
        <v/>
      </c>
      <c r="D402" s="11"/>
      <c r="E402" s="11"/>
      <c r="F402" s="12"/>
      <c r="G402" s="21"/>
      <c r="H402" s="21"/>
      <c r="I402" s="21"/>
      <c r="J402" s="21"/>
      <c r="K402" s="21"/>
      <c r="L402" s="21"/>
      <c r="M402" s="21"/>
      <c r="N402" s="22"/>
      <c r="O402" s="22"/>
      <c r="P402" s="17" t="str">
        <f aca="false">IF($A402="","",SUM($G402:$I402))</f>
        <v/>
      </c>
      <c r="Q402" s="17" t="str">
        <f aca="false">IF($A402="","",SUM($J402:$L402))</f>
        <v/>
      </c>
      <c r="R402" s="17" t="str">
        <f aca="false">IF($A402="","",($M402+$Q402)-$P402)</f>
        <v/>
      </c>
      <c r="S402" s="18" t="str">
        <f aca="false">IF(OR($A402="",$P402=0),"",$R402/$P402)</f>
        <v/>
      </c>
      <c r="T402" s="23"/>
      <c r="U402" s="14" t="str">
        <f aca="false">IF($A402="","",IF($M402&gt;0,"Live","Exited"))</f>
        <v/>
      </c>
      <c r="V402" s="20" t="str">
        <f aca="false">IF($A402="","",IF($A402='Client Report'!$C$4,COUNTIFS($A$6:$A402,'Client Report'!$C$4),""))</f>
        <v/>
      </c>
    </row>
    <row r="403" customFormat="false" ht="15" hidden="false" customHeight="false" outlineLevel="0" collapsed="false">
      <c r="A403" s="11"/>
      <c r="B403" s="11"/>
      <c r="C403" s="14" t="str">
        <f aca="false">IF($B403="","",IFERROR(TRIM(LEFT($B403,FIND(" - ",$B403)-1)),"Others"))</f>
        <v/>
      </c>
      <c r="D403" s="11"/>
      <c r="E403" s="11"/>
      <c r="F403" s="12"/>
      <c r="G403" s="21"/>
      <c r="H403" s="21"/>
      <c r="I403" s="21"/>
      <c r="J403" s="21"/>
      <c r="K403" s="21"/>
      <c r="L403" s="21"/>
      <c r="M403" s="21"/>
      <c r="N403" s="22"/>
      <c r="O403" s="22"/>
      <c r="P403" s="17" t="str">
        <f aca="false">IF($A403="","",SUM($G403:$I403))</f>
        <v/>
      </c>
      <c r="Q403" s="17" t="str">
        <f aca="false">IF($A403="","",SUM($J403:$L403))</f>
        <v/>
      </c>
      <c r="R403" s="17" t="str">
        <f aca="false">IF($A403="","",($M403+$Q403)-$P403)</f>
        <v/>
      </c>
      <c r="S403" s="18" t="str">
        <f aca="false">IF(OR($A403="",$P403=0),"",$R403/$P403)</f>
        <v/>
      </c>
      <c r="T403" s="23"/>
      <c r="U403" s="14" t="str">
        <f aca="false">IF($A403="","",IF($M403&gt;0,"Live","Exited"))</f>
        <v/>
      </c>
      <c r="V403" s="20" t="str">
        <f aca="false">IF($A403="","",IF($A403='Client Report'!$C$4,COUNTIFS($A$6:$A403,'Client Report'!$C$4),""))</f>
        <v/>
      </c>
    </row>
    <row r="404" customFormat="false" ht="15" hidden="false" customHeight="false" outlineLevel="0" collapsed="false">
      <c r="A404" s="11"/>
      <c r="B404" s="11"/>
      <c r="C404" s="14" t="str">
        <f aca="false">IF($B404="","",IFERROR(TRIM(LEFT($B404,FIND(" - ",$B404)-1)),"Others"))</f>
        <v/>
      </c>
      <c r="D404" s="11"/>
      <c r="E404" s="11"/>
      <c r="F404" s="12"/>
      <c r="G404" s="21"/>
      <c r="H404" s="21"/>
      <c r="I404" s="21"/>
      <c r="J404" s="21"/>
      <c r="K404" s="21"/>
      <c r="L404" s="21"/>
      <c r="M404" s="21"/>
      <c r="N404" s="22"/>
      <c r="O404" s="22"/>
      <c r="P404" s="17" t="str">
        <f aca="false">IF($A404="","",SUM($G404:$I404))</f>
        <v/>
      </c>
      <c r="Q404" s="17" t="str">
        <f aca="false">IF($A404="","",SUM($J404:$L404))</f>
        <v/>
      </c>
      <c r="R404" s="17" t="str">
        <f aca="false">IF($A404="","",($M404+$Q404)-$P404)</f>
        <v/>
      </c>
      <c r="S404" s="18" t="str">
        <f aca="false">IF(OR($A404="",$P404=0),"",$R404/$P404)</f>
        <v/>
      </c>
      <c r="T404" s="23"/>
      <c r="U404" s="14" t="str">
        <f aca="false">IF($A404="","",IF($M404&gt;0,"Live","Exited"))</f>
        <v/>
      </c>
      <c r="V404" s="20" t="str">
        <f aca="false">IF($A404="","",IF($A404='Client Report'!$C$4,COUNTIFS($A$6:$A404,'Client Report'!$C$4),""))</f>
        <v/>
      </c>
    </row>
    <row r="405" customFormat="false" ht="15" hidden="false" customHeight="false" outlineLevel="0" collapsed="false">
      <c r="A405" s="11"/>
      <c r="B405" s="11"/>
      <c r="C405" s="14" t="str">
        <f aca="false">IF($B405="","",IFERROR(TRIM(LEFT($B405,FIND(" - ",$B405)-1)),"Others"))</f>
        <v/>
      </c>
      <c r="D405" s="11"/>
      <c r="E405" s="11"/>
      <c r="F405" s="12"/>
      <c r="G405" s="21"/>
      <c r="H405" s="21"/>
      <c r="I405" s="21"/>
      <c r="J405" s="21"/>
      <c r="K405" s="21"/>
      <c r="L405" s="21"/>
      <c r="M405" s="21"/>
      <c r="N405" s="22"/>
      <c r="O405" s="22"/>
      <c r="P405" s="17" t="str">
        <f aca="false">IF($A405="","",SUM($G405:$I405))</f>
        <v/>
      </c>
      <c r="Q405" s="17" t="str">
        <f aca="false">IF($A405="","",SUM($J405:$L405))</f>
        <v/>
      </c>
      <c r="R405" s="17" t="str">
        <f aca="false">IF($A405="","",($M405+$Q405)-$P405)</f>
        <v/>
      </c>
      <c r="S405" s="18" t="str">
        <f aca="false">IF(OR($A405="",$P405=0),"",$R405/$P405)</f>
        <v/>
      </c>
      <c r="T405" s="23"/>
      <c r="U405" s="14" t="str">
        <f aca="false">IF($A405="","",IF($M405&gt;0,"Live","Exited"))</f>
        <v/>
      </c>
      <c r="V405" s="20" t="str">
        <f aca="false">IF($A405="","",IF($A405='Client Report'!$C$4,COUNTIFS($A$6:$A405,'Client Report'!$C$4),""))</f>
        <v/>
      </c>
    </row>
    <row r="406" customFormat="false" ht="15" hidden="false" customHeight="false" outlineLevel="0" collapsed="false">
      <c r="A406" s="11"/>
      <c r="B406" s="11"/>
      <c r="C406" s="14" t="str">
        <f aca="false">IF($B406="","",IFERROR(TRIM(LEFT($B406,FIND(" - ",$B406)-1)),"Others"))</f>
        <v/>
      </c>
      <c r="D406" s="11"/>
      <c r="E406" s="11"/>
      <c r="F406" s="12"/>
      <c r="G406" s="21"/>
      <c r="H406" s="21"/>
      <c r="I406" s="21"/>
      <c r="J406" s="21"/>
      <c r="K406" s="21"/>
      <c r="L406" s="21"/>
      <c r="M406" s="21"/>
      <c r="N406" s="22"/>
      <c r="O406" s="22"/>
      <c r="P406" s="17" t="str">
        <f aca="false">IF($A406="","",SUM($G406:$I406))</f>
        <v/>
      </c>
      <c r="Q406" s="17" t="str">
        <f aca="false">IF($A406="","",SUM($J406:$L406))</f>
        <v/>
      </c>
      <c r="R406" s="17" t="str">
        <f aca="false">IF($A406="","",($M406+$Q406)-$P406)</f>
        <v/>
      </c>
      <c r="S406" s="18" t="str">
        <f aca="false">IF(OR($A406="",$P406=0),"",$R406/$P406)</f>
        <v/>
      </c>
      <c r="T406" s="23"/>
      <c r="U406" s="14" t="str">
        <f aca="false">IF($A406="","",IF($M406&gt;0,"Live","Exited"))</f>
        <v/>
      </c>
      <c r="V406" s="20" t="str">
        <f aca="false">IF($A406="","",IF($A406='Client Report'!$C$4,COUNTIFS($A$6:$A406,'Client Report'!$C$4),""))</f>
        <v/>
      </c>
    </row>
    <row r="407" customFormat="false" ht="15" hidden="false" customHeight="false" outlineLevel="0" collapsed="false">
      <c r="A407" s="11"/>
      <c r="B407" s="11"/>
      <c r="C407" s="14" t="str">
        <f aca="false">IF($B407="","",IFERROR(TRIM(LEFT($B407,FIND(" - ",$B407)-1)),"Others"))</f>
        <v/>
      </c>
      <c r="D407" s="11"/>
      <c r="E407" s="11"/>
      <c r="F407" s="12"/>
      <c r="G407" s="21"/>
      <c r="H407" s="21"/>
      <c r="I407" s="21"/>
      <c r="J407" s="21"/>
      <c r="K407" s="21"/>
      <c r="L407" s="21"/>
      <c r="M407" s="21"/>
      <c r="N407" s="22"/>
      <c r="O407" s="22"/>
      <c r="P407" s="17" t="str">
        <f aca="false">IF($A407="","",SUM($G407:$I407))</f>
        <v/>
      </c>
      <c r="Q407" s="17" t="str">
        <f aca="false">IF($A407="","",SUM($J407:$L407))</f>
        <v/>
      </c>
      <c r="R407" s="17" t="str">
        <f aca="false">IF($A407="","",($M407+$Q407)-$P407)</f>
        <v/>
      </c>
      <c r="S407" s="18" t="str">
        <f aca="false">IF(OR($A407="",$P407=0),"",$R407/$P407)</f>
        <v/>
      </c>
      <c r="T407" s="23"/>
      <c r="U407" s="14" t="str">
        <f aca="false">IF($A407="","",IF($M407&gt;0,"Live","Exited"))</f>
        <v/>
      </c>
      <c r="V407" s="20" t="str">
        <f aca="false">IF($A407="","",IF($A407='Client Report'!$C$4,COUNTIFS($A$6:$A407,'Client Report'!$C$4),""))</f>
        <v/>
      </c>
    </row>
    <row r="408" customFormat="false" ht="15" hidden="false" customHeight="false" outlineLevel="0" collapsed="false">
      <c r="A408" s="11"/>
      <c r="B408" s="11"/>
      <c r="C408" s="14" t="str">
        <f aca="false">IF($B408="","",IFERROR(TRIM(LEFT($B408,FIND(" - ",$B408)-1)),"Others"))</f>
        <v/>
      </c>
      <c r="D408" s="11"/>
      <c r="E408" s="11"/>
      <c r="F408" s="12"/>
      <c r="G408" s="21"/>
      <c r="H408" s="21"/>
      <c r="I408" s="21"/>
      <c r="J408" s="21"/>
      <c r="K408" s="21"/>
      <c r="L408" s="21"/>
      <c r="M408" s="21"/>
      <c r="N408" s="22"/>
      <c r="O408" s="22"/>
      <c r="P408" s="17" t="str">
        <f aca="false">IF($A408="","",SUM($G408:$I408))</f>
        <v/>
      </c>
      <c r="Q408" s="17" t="str">
        <f aca="false">IF($A408="","",SUM($J408:$L408))</f>
        <v/>
      </c>
      <c r="R408" s="17" t="str">
        <f aca="false">IF($A408="","",($M408+$Q408)-$P408)</f>
        <v/>
      </c>
      <c r="S408" s="18" t="str">
        <f aca="false">IF(OR($A408="",$P408=0),"",$R408/$P408)</f>
        <v/>
      </c>
      <c r="T408" s="23"/>
      <c r="U408" s="14" t="str">
        <f aca="false">IF($A408="","",IF($M408&gt;0,"Live","Exited"))</f>
        <v/>
      </c>
      <c r="V408" s="20" t="str">
        <f aca="false">IF($A408="","",IF($A408='Client Report'!$C$4,COUNTIFS($A$6:$A408,'Client Report'!$C$4),""))</f>
        <v/>
      </c>
    </row>
    <row r="409" customFormat="false" ht="15" hidden="false" customHeight="false" outlineLevel="0" collapsed="false">
      <c r="A409" s="11"/>
      <c r="B409" s="11"/>
      <c r="C409" s="14" t="str">
        <f aca="false">IF($B409="","",IFERROR(TRIM(LEFT($B409,FIND(" - ",$B409)-1)),"Others"))</f>
        <v/>
      </c>
      <c r="D409" s="11"/>
      <c r="E409" s="11"/>
      <c r="F409" s="12"/>
      <c r="G409" s="21"/>
      <c r="H409" s="21"/>
      <c r="I409" s="21"/>
      <c r="J409" s="21"/>
      <c r="K409" s="21"/>
      <c r="L409" s="21"/>
      <c r="M409" s="21"/>
      <c r="N409" s="22"/>
      <c r="O409" s="22"/>
      <c r="P409" s="17" t="str">
        <f aca="false">IF($A409="","",SUM($G409:$I409))</f>
        <v/>
      </c>
      <c r="Q409" s="17" t="str">
        <f aca="false">IF($A409="","",SUM($J409:$L409))</f>
        <v/>
      </c>
      <c r="R409" s="17" t="str">
        <f aca="false">IF($A409="","",($M409+$Q409)-$P409)</f>
        <v/>
      </c>
      <c r="S409" s="18" t="str">
        <f aca="false">IF(OR($A409="",$P409=0),"",$R409/$P409)</f>
        <v/>
      </c>
      <c r="T409" s="23"/>
      <c r="U409" s="14" t="str">
        <f aca="false">IF($A409="","",IF($M409&gt;0,"Live","Exited"))</f>
        <v/>
      </c>
      <c r="V409" s="20" t="str">
        <f aca="false">IF($A409="","",IF($A409='Client Report'!$C$4,COUNTIFS($A$6:$A409,'Client Report'!$C$4),""))</f>
        <v/>
      </c>
    </row>
    <row r="410" customFormat="false" ht="15" hidden="false" customHeight="false" outlineLevel="0" collapsed="false">
      <c r="A410" s="11"/>
      <c r="B410" s="11"/>
      <c r="C410" s="14" t="str">
        <f aca="false">IF($B410="","",IFERROR(TRIM(LEFT($B410,FIND(" - ",$B410)-1)),"Others"))</f>
        <v/>
      </c>
      <c r="D410" s="11"/>
      <c r="E410" s="11"/>
      <c r="F410" s="12"/>
      <c r="G410" s="21"/>
      <c r="H410" s="21"/>
      <c r="I410" s="21"/>
      <c r="J410" s="21"/>
      <c r="K410" s="21"/>
      <c r="L410" s="21"/>
      <c r="M410" s="21"/>
      <c r="N410" s="22"/>
      <c r="O410" s="22"/>
      <c r="P410" s="17" t="str">
        <f aca="false">IF($A410="","",SUM($G410:$I410))</f>
        <v/>
      </c>
      <c r="Q410" s="17" t="str">
        <f aca="false">IF($A410="","",SUM($J410:$L410))</f>
        <v/>
      </c>
      <c r="R410" s="17" t="str">
        <f aca="false">IF($A410="","",($M410+$Q410)-$P410)</f>
        <v/>
      </c>
      <c r="S410" s="18" t="str">
        <f aca="false">IF(OR($A410="",$P410=0),"",$R410/$P410)</f>
        <v/>
      </c>
      <c r="T410" s="23"/>
      <c r="U410" s="14" t="str">
        <f aca="false">IF($A410="","",IF($M410&gt;0,"Live","Exited"))</f>
        <v/>
      </c>
      <c r="V410" s="20" t="str">
        <f aca="false">IF($A410="","",IF($A410='Client Report'!$C$4,COUNTIFS($A$6:$A410,'Client Report'!$C$4),""))</f>
        <v/>
      </c>
    </row>
    <row r="411" customFormat="false" ht="15" hidden="false" customHeight="false" outlineLevel="0" collapsed="false">
      <c r="A411" s="11"/>
      <c r="B411" s="11"/>
      <c r="C411" s="14" t="str">
        <f aca="false">IF($B411="","",IFERROR(TRIM(LEFT($B411,FIND(" - ",$B411)-1)),"Others"))</f>
        <v/>
      </c>
      <c r="D411" s="11"/>
      <c r="E411" s="11"/>
      <c r="F411" s="12"/>
      <c r="G411" s="21"/>
      <c r="H411" s="21"/>
      <c r="I411" s="21"/>
      <c r="J411" s="21"/>
      <c r="K411" s="21"/>
      <c r="L411" s="21"/>
      <c r="M411" s="21"/>
      <c r="N411" s="22"/>
      <c r="O411" s="22"/>
      <c r="P411" s="17" t="str">
        <f aca="false">IF($A411="","",SUM($G411:$I411))</f>
        <v/>
      </c>
      <c r="Q411" s="17" t="str">
        <f aca="false">IF($A411="","",SUM($J411:$L411))</f>
        <v/>
      </c>
      <c r="R411" s="17" t="str">
        <f aca="false">IF($A411="","",($M411+$Q411)-$P411)</f>
        <v/>
      </c>
      <c r="S411" s="18" t="str">
        <f aca="false">IF(OR($A411="",$P411=0),"",$R411/$P411)</f>
        <v/>
      </c>
      <c r="T411" s="23"/>
      <c r="U411" s="14" t="str">
        <f aca="false">IF($A411="","",IF($M411&gt;0,"Live","Exited"))</f>
        <v/>
      </c>
      <c r="V411" s="20" t="str">
        <f aca="false">IF($A411="","",IF($A411='Client Report'!$C$4,COUNTIFS($A$6:$A411,'Client Report'!$C$4),""))</f>
        <v/>
      </c>
    </row>
    <row r="412" customFormat="false" ht="15" hidden="false" customHeight="false" outlineLevel="0" collapsed="false">
      <c r="A412" s="11"/>
      <c r="B412" s="11"/>
      <c r="C412" s="14" t="str">
        <f aca="false">IF($B412="","",IFERROR(TRIM(LEFT($B412,FIND(" - ",$B412)-1)),"Others"))</f>
        <v/>
      </c>
      <c r="D412" s="11"/>
      <c r="E412" s="11"/>
      <c r="F412" s="12"/>
      <c r="G412" s="21"/>
      <c r="H412" s="21"/>
      <c r="I412" s="21"/>
      <c r="J412" s="21"/>
      <c r="K412" s="21"/>
      <c r="L412" s="21"/>
      <c r="M412" s="21"/>
      <c r="N412" s="22"/>
      <c r="O412" s="22"/>
      <c r="P412" s="17" t="str">
        <f aca="false">IF($A412="","",SUM($G412:$I412))</f>
        <v/>
      </c>
      <c r="Q412" s="17" t="str">
        <f aca="false">IF($A412="","",SUM($J412:$L412))</f>
        <v/>
      </c>
      <c r="R412" s="17" t="str">
        <f aca="false">IF($A412="","",($M412+$Q412)-$P412)</f>
        <v/>
      </c>
      <c r="S412" s="18" t="str">
        <f aca="false">IF(OR($A412="",$P412=0),"",$R412/$P412)</f>
        <v/>
      </c>
      <c r="T412" s="23"/>
      <c r="U412" s="14" t="str">
        <f aca="false">IF($A412="","",IF($M412&gt;0,"Live","Exited"))</f>
        <v/>
      </c>
      <c r="V412" s="20" t="str">
        <f aca="false">IF($A412="","",IF($A412='Client Report'!$C$4,COUNTIFS($A$6:$A412,'Client Report'!$C$4),""))</f>
        <v/>
      </c>
    </row>
    <row r="413" customFormat="false" ht="15" hidden="false" customHeight="false" outlineLevel="0" collapsed="false">
      <c r="A413" s="11"/>
      <c r="B413" s="11"/>
      <c r="C413" s="14" t="str">
        <f aca="false">IF($B413="","",IFERROR(TRIM(LEFT($B413,FIND(" - ",$B413)-1)),"Others"))</f>
        <v/>
      </c>
      <c r="D413" s="11"/>
      <c r="E413" s="11"/>
      <c r="F413" s="12"/>
      <c r="G413" s="21"/>
      <c r="H413" s="21"/>
      <c r="I413" s="21"/>
      <c r="J413" s="21"/>
      <c r="K413" s="21"/>
      <c r="L413" s="21"/>
      <c r="M413" s="21"/>
      <c r="N413" s="22"/>
      <c r="O413" s="22"/>
      <c r="P413" s="17" t="str">
        <f aca="false">IF($A413="","",SUM($G413:$I413))</f>
        <v/>
      </c>
      <c r="Q413" s="17" t="str">
        <f aca="false">IF($A413="","",SUM($J413:$L413))</f>
        <v/>
      </c>
      <c r="R413" s="17" t="str">
        <f aca="false">IF($A413="","",($M413+$Q413)-$P413)</f>
        <v/>
      </c>
      <c r="S413" s="18" t="str">
        <f aca="false">IF(OR($A413="",$P413=0),"",$R413/$P413)</f>
        <v/>
      </c>
      <c r="T413" s="23"/>
      <c r="U413" s="14" t="str">
        <f aca="false">IF($A413="","",IF($M413&gt;0,"Live","Exited"))</f>
        <v/>
      </c>
      <c r="V413" s="20" t="str">
        <f aca="false">IF($A413="","",IF($A413='Client Report'!$C$4,COUNTIFS($A$6:$A413,'Client Report'!$C$4),""))</f>
        <v/>
      </c>
    </row>
    <row r="414" customFormat="false" ht="15" hidden="false" customHeight="false" outlineLevel="0" collapsed="false">
      <c r="A414" s="11"/>
      <c r="B414" s="11"/>
      <c r="C414" s="14" t="str">
        <f aca="false">IF($B414="","",IFERROR(TRIM(LEFT($B414,FIND(" - ",$B414)-1)),"Others"))</f>
        <v/>
      </c>
      <c r="D414" s="11"/>
      <c r="E414" s="11"/>
      <c r="F414" s="12"/>
      <c r="G414" s="21"/>
      <c r="H414" s="21"/>
      <c r="I414" s="21"/>
      <c r="J414" s="21"/>
      <c r="K414" s="21"/>
      <c r="L414" s="21"/>
      <c r="M414" s="21"/>
      <c r="N414" s="22"/>
      <c r="O414" s="22"/>
      <c r="P414" s="17" t="str">
        <f aca="false">IF($A414="","",SUM($G414:$I414))</f>
        <v/>
      </c>
      <c r="Q414" s="17" t="str">
        <f aca="false">IF($A414="","",SUM($J414:$L414))</f>
        <v/>
      </c>
      <c r="R414" s="17" t="str">
        <f aca="false">IF($A414="","",($M414+$Q414)-$P414)</f>
        <v/>
      </c>
      <c r="S414" s="18" t="str">
        <f aca="false">IF(OR($A414="",$P414=0),"",$R414/$P414)</f>
        <v/>
      </c>
      <c r="T414" s="23"/>
      <c r="U414" s="14" t="str">
        <f aca="false">IF($A414="","",IF($M414&gt;0,"Live","Exited"))</f>
        <v/>
      </c>
      <c r="V414" s="20" t="str">
        <f aca="false">IF($A414="","",IF($A414='Client Report'!$C$4,COUNTIFS($A$6:$A414,'Client Report'!$C$4),""))</f>
        <v/>
      </c>
    </row>
    <row r="415" customFormat="false" ht="15" hidden="false" customHeight="false" outlineLevel="0" collapsed="false">
      <c r="A415" s="11"/>
      <c r="B415" s="11"/>
      <c r="C415" s="14" t="str">
        <f aca="false">IF($B415="","",IFERROR(TRIM(LEFT($B415,FIND(" - ",$B415)-1)),"Others"))</f>
        <v/>
      </c>
      <c r="D415" s="11"/>
      <c r="E415" s="11"/>
      <c r="F415" s="12"/>
      <c r="G415" s="21"/>
      <c r="H415" s="21"/>
      <c r="I415" s="21"/>
      <c r="J415" s="21"/>
      <c r="K415" s="21"/>
      <c r="L415" s="21"/>
      <c r="M415" s="21"/>
      <c r="N415" s="22"/>
      <c r="O415" s="22"/>
      <c r="P415" s="17" t="str">
        <f aca="false">IF($A415="","",SUM($G415:$I415))</f>
        <v/>
      </c>
      <c r="Q415" s="17" t="str">
        <f aca="false">IF($A415="","",SUM($J415:$L415))</f>
        <v/>
      </c>
      <c r="R415" s="17" t="str">
        <f aca="false">IF($A415="","",($M415+$Q415)-$P415)</f>
        <v/>
      </c>
      <c r="S415" s="18" t="str">
        <f aca="false">IF(OR($A415="",$P415=0),"",$R415/$P415)</f>
        <v/>
      </c>
      <c r="T415" s="23"/>
      <c r="U415" s="14" t="str">
        <f aca="false">IF($A415="","",IF($M415&gt;0,"Live","Exited"))</f>
        <v/>
      </c>
      <c r="V415" s="20" t="str">
        <f aca="false">IF($A415="","",IF($A415='Client Report'!$C$4,COUNTIFS($A$6:$A415,'Client Report'!$C$4),""))</f>
        <v/>
      </c>
    </row>
    <row r="416" customFormat="false" ht="15" hidden="false" customHeight="false" outlineLevel="0" collapsed="false">
      <c r="A416" s="11"/>
      <c r="B416" s="11"/>
      <c r="C416" s="14" t="str">
        <f aca="false">IF($B416="","",IFERROR(TRIM(LEFT($B416,FIND(" - ",$B416)-1)),"Others"))</f>
        <v/>
      </c>
      <c r="D416" s="11"/>
      <c r="E416" s="11"/>
      <c r="F416" s="12"/>
      <c r="G416" s="21"/>
      <c r="H416" s="21"/>
      <c r="I416" s="21"/>
      <c r="J416" s="21"/>
      <c r="K416" s="21"/>
      <c r="L416" s="21"/>
      <c r="M416" s="21"/>
      <c r="N416" s="22"/>
      <c r="O416" s="22"/>
      <c r="P416" s="17" t="str">
        <f aca="false">IF($A416="","",SUM($G416:$I416))</f>
        <v/>
      </c>
      <c r="Q416" s="17" t="str">
        <f aca="false">IF($A416="","",SUM($J416:$L416))</f>
        <v/>
      </c>
      <c r="R416" s="17" t="str">
        <f aca="false">IF($A416="","",($M416+$Q416)-$P416)</f>
        <v/>
      </c>
      <c r="S416" s="18" t="str">
        <f aca="false">IF(OR($A416="",$P416=0),"",$R416/$P416)</f>
        <v/>
      </c>
      <c r="T416" s="23"/>
      <c r="U416" s="14" t="str">
        <f aca="false">IF($A416="","",IF($M416&gt;0,"Live","Exited"))</f>
        <v/>
      </c>
      <c r="V416" s="20" t="str">
        <f aca="false">IF($A416="","",IF($A416='Client Report'!$C$4,COUNTIFS($A$6:$A416,'Client Report'!$C$4),""))</f>
        <v/>
      </c>
    </row>
    <row r="417" customFormat="false" ht="15" hidden="false" customHeight="false" outlineLevel="0" collapsed="false">
      <c r="A417" s="11"/>
      <c r="B417" s="11"/>
      <c r="C417" s="14" t="str">
        <f aca="false">IF($B417="","",IFERROR(TRIM(LEFT($B417,FIND(" - ",$B417)-1)),"Others"))</f>
        <v/>
      </c>
      <c r="D417" s="11"/>
      <c r="E417" s="11"/>
      <c r="F417" s="12"/>
      <c r="G417" s="21"/>
      <c r="H417" s="21"/>
      <c r="I417" s="21"/>
      <c r="J417" s="21"/>
      <c r="K417" s="21"/>
      <c r="L417" s="21"/>
      <c r="M417" s="21"/>
      <c r="N417" s="22"/>
      <c r="O417" s="22"/>
      <c r="P417" s="17" t="str">
        <f aca="false">IF($A417="","",SUM($G417:$I417))</f>
        <v/>
      </c>
      <c r="Q417" s="17" t="str">
        <f aca="false">IF($A417="","",SUM($J417:$L417))</f>
        <v/>
      </c>
      <c r="R417" s="17" t="str">
        <f aca="false">IF($A417="","",($M417+$Q417)-$P417)</f>
        <v/>
      </c>
      <c r="S417" s="18" t="str">
        <f aca="false">IF(OR($A417="",$P417=0),"",$R417/$P417)</f>
        <v/>
      </c>
      <c r="T417" s="23"/>
      <c r="U417" s="14" t="str">
        <f aca="false">IF($A417="","",IF($M417&gt;0,"Live","Exited"))</f>
        <v/>
      </c>
      <c r="V417" s="20" t="str">
        <f aca="false">IF($A417="","",IF($A417='Client Report'!$C$4,COUNTIFS($A$6:$A417,'Client Report'!$C$4),""))</f>
        <v/>
      </c>
    </row>
    <row r="418" customFormat="false" ht="15" hidden="false" customHeight="false" outlineLevel="0" collapsed="false">
      <c r="A418" s="11"/>
      <c r="B418" s="11"/>
      <c r="C418" s="14" t="str">
        <f aca="false">IF($B418="","",IFERROR(TRIM(LEFT($B418,FIND(" - ",$B418)-1)),"Others"))</f>
        <v/>
      </c>
      <c r="D418" s="11"/>
      <c r="E418" s="11"/>
      <c r="F418" s="12"/>
      <c r="G418" s="21"/>
      <c r="H418" s="21"/>
      <c r="I418" s="21"/>
      <c r="J418" s="21"/>
      <c r="K418" s="21"/>
      <c r="L418" s="21"/>
      <c r="M418" s="21"/>
      <c r="N418" s="22"/>
      <c r="O418" s="22"/>
      <c r="P418" s="17" t="str">
        <f aca="false">IF($A418="","",SUM($G418:$I418))</f>
        <v/>
      </c>
      <c r="Q418" s="17" t="str">
        <f aca="false">IF($A418="","",SUM($J418:$L418))</f>
        <v/>
      </c>
      <c r="R418" s="17" t="str">
        <f aca="false">IF($A418="","",($M418+$Q418)-$P418)</f>
        <v/>
      </c>
      <c r="S418" s="18" t="str">
        <f aca="false">IF(OR($A418="",$P418=0),"",$R418/$P418)</f>
        <v/>
      </c>
      <c r="T418" s="23"/>
      <c r="U418" s="14" t="str">
        <f aca="false">IF($A418="","",IF($M418&gt;0,"Live","Exited"))</f>
        <v/>
      </c>
      <c r="V418" s="20" t="str">
        <f aca="false">IF($A418="","",IF($A418='Client Report'!$C$4,COUNTIFS($A$6:$A418,'Client Report'!$C$4),""))</f>
        <v/>
      </c>
    </row>
    <row r="419" customFormat="false" ht="15" hidden="false" customHeight="false" outlineLevel="0" collapsed="false">
      <c r="A419" s="11"/>
      <c r="B419" s="11"/>
      <c r="C419" s="14" t="str">
        <f aca="false">IF($B419="","",IFERROR(TRIM(LEFT($B419,FIND(" - ",$B419)-1)),"Others"))</f>
        <v/>
      </c>
      <c r="D419" s="11"/>
      <c r="E419" s="11"/>
      <c r="F419" s="12"/>
      <c r="G419" s="21"/>
      <c r="H419" s="21"/>
      <c r="I419" s="21"/>
      <c r="J419" s="21"/>
      <c r="K419" s="21"/>
      <c r="L419" s="21"/>
      <c r="M419" s="21"/>
      <c r="N419" s="22"/>
      <c r="O419" s="22"/>
      <c r="P419" s="17" t="str">
        <f aca="false">IF($A419="","",SUM($G419:$I419))</f>
        <v/>
      </c>
      <c r="Q419" s="17" t="str">
        <f aca="false">IF($A419="","",SUM($J419:$L419))</f>
        <v/>
      </c>
      <c r="R419" s="17" t="str">
        <f aca="false">IF($A419="","",($M419+$Q419)-$P419)</f>
        <v/>
      </c>
      <c r="S419" s="18" t="str">
        <f aca="false">IF(OR($A419="",$P419=0),"",$R419/$P419)</f>
        <v/>
      </c>
      <c r="T419" s="23"/>
      <c r="U419" s="14" t="str">
        <f aca="false">IF($A419="","",IF($M419&gt;0,"Live","Exited"))</f>
        <v/>
      </c>
      <c r="V419" s="20" t="str">
        <f aca="false">IF($A419="","",IF($A419='Client Report'!$C$4,COUNTIFS($A$6:$A419,'Client Report'!$C$4),""))</f>
        <v/>
      </c>
    </row>
    <row r="420" customFormat="false" ht="15" hidden="false" customHeight="false" outlineLevel="0" collapsed="false">
      <c r="A420" s="11"/>
      <c r="B420" s="11"/>
      <c r="C420" s="14" t="str">
        <f aca="false">IF($B420="","",IFERROR(TRIM(LEFT($B420,FIND(" - ",$B420)-1)),"Others"))</f>
        <v/>
      </c>
      <c r="D420" s="11"/>
      <c r="E420" s="11"/>
      <c r="F420" s="12"/>
      <c r="G420" s="21"/>
      <c r="H420" s="21"/>
      <c r="I420" s="21"/>
      <c r="J420" s="21"/>
      <c r="K420" s="21"/>
      <c r="L420" s="21"/>
      <c r="M420" s="21"/>
      <c r="N420" s="22"/>
      <c r="O420" s="22"/>
      <c r="P420" s="17" t="str">
        <f aca="false">IF($A420="","",SUM($G420:$I420))</f>
        <v/>
      </c>
      <c r="Q420" s="17" t="str">
        <f aca="false">IF($A420="","",SUM($J420:$L420))</f>
        <v/>
      </c>
      <c r="R420" s="17" t="str">
        <f aca="false">IF($A420="","",($M420+$Q420)-$P420)</f>
        <v/>
      </c>
      <c r="S420" s="18" t="str">
        <f aca="false">IF(OR($A420="",$P420=0),"",$R420/$P420)</f>
        <v/>
      </c>
      <c r="T420" s="23"/>
      <c r="U420" s="14" t="str">
        <f aca="false">IF($A420="","",IF($M420&gt;0,"Live","Exited"))</f>
        <v/>
      </c>
      <c r="V420" s="20" t="str">
        <f aca="false">IF($A420="","",IF($A420='Client Report'!$C$4,COUNTIFS($A$6:$A420,'Client Report'!$C$4),""))</f>
        <v/>
      </c>
    </row>
    <row r="421" customFormat="false" ht="15" hidden="false" customHeight="false" outlineLevel="0" collapsed="false">
      <c r="A421" s="11"/>
      <c r="B421" s="11"/>
      <c r="C421" s="14" t="str">
        <f aca="false">IF($B421="","",IFERROR(TRIM(LEFT($B421,FIND(" - ",$B421)-1)),"Others"))</f>
        <v/>
      </c>
      <c r="D421" s="11"/>
      <c r="E421" s="11"/>
      <c r="F421" s="12"/>
      <c r="G421" s="21"/>
      <c r="H421" s="21"/>
      <c r="I421" s="21"/>
      <c r="J421" s="21"/>
      <c r="K421" s="21"/>
      <c r="L421" s="21"/>
      <c r="M421" s="21"/>
      <c r="N421" s="22"/>
      <c r="O421" s="22"/>
      <c r="P421" s="17" t="str">
        <f aca="false">IF($A421="","",SUM($G421:$I421))</f>
        <v/>
      </c>
      <c r="Q421" s="17" t="str">
        <f aca="false">IF($A421="","",SUM($J421:$L421))</f>
        <v/>
      </c>
      <c r="R421" s="17" t="str">
        <f aca="false">IF($A421="","",($M421+$Q421)-$P421)</f>
        <v/>
      </c>
      <c r="S421" s="18" t="str">
        <f aca="false">IF(OR($A421="",$P421=0),"",$R421/$P421)</f>
        <v/>
      </c>
      <c r="T421" s="23"/>
      <c r="U421" s="14" t="str">
        <f aca="false">IF($A421="","",IF($M421&gt;0,"Live","Exited"))</f>
        <v/>
      </c>
      <c r="V421" s="20" t="str">
        <f aca="false">IF($A421="","",IF($A421='Client Report'!$C$4,COUNTIFS($A$6:$A421,'Client Report'!$C$4),""))</f>
        <v/>
      </c>
    </row>
    <row r="422" customFormat="false" ht="15" hidden="false" customHeight="false" outlineLevel="0" collapsed="false">
      <c r="A422" s="11"/>
      <c r="B422" s="11"/>
      <c r="C422" s="14" t="str">
        <f aca="false">IF($B422="","",IFERROR(TRIM(LEFT($B422,FIND(" - ",$B422)-1)),"Others"))</f>
        <v/>
      </c>
      <c r="D422" s="11"/>
      <c r="E422" s="11"/>
      <c r="F422" s="12"/>
      <c r="G422" s="21"/>
      <c r="H422" s="21"/>
      <c r="I422" s="21"/>
      <c r="J422" s="21"/>
      <c r="K422" s="21"/>
      <c r="L422" s="21"/>
      <c r="M422" s="21"/>
      <c r="N422" s="22"/>
      <c r="O422" s="22"/>
      <c r="P422" s="17" t="str">
        <f aca="false">IF($A422="","",SUM($G422:$I422))</f>
        <v/>
      </c>
      <c r="Q422" s="17" t="str">
        <f aca="false">IF($A422="","",SUM($J422:$L422))</f>
        <v/>
      </c>
      <c r="R422" s="17" t="str">
        <f aca="false">IF($A422="","",($M422+$Q422)-$P422)</f>
        <v/>
      </c>
      <c r="S422" s="18" t="str">
        <f aca="false">IF(OR($A422="",$P422=0),"",$R422/$P422)</f>
        <v/>
      </c>
      <c r="T422" s="23"/>
      <c r="U422" s="14" t="str">
        <f aca="false">IF($A422="","",IF($M422&gt;0,"Live","Exited"))</f>
        <v/>
      </c>
      <c r="V422" s="20" t="str">
        <f aca="false">IF($A422="","",IF($A422='Client Report'!$C$4,COUNTIFS($A$6:$A422,'Client Report'!$C$4),""))</f>
        <v/>
      </c>
    </row>
    <row r="423" customFormat="false" ht="15" hidden="false" customHeight="false" outlineLevel="0" collapsed="false">
      <c r="A423" s="11"/>
      <c r="B423" s="11"/>
      <c r="C423" s="14" t="str">
        <f aca="false">IF($B423="","",IFERROR(TRIM(LEFT($B423,FIND(" - ",$B423)-1)),"Others"))</f>
        <v/>
      </c>
      <c r="D423" s="11"/>
      <c r="E423" s="11"/>
      <c r="F423" s="12"/>
      <c r="G423" s="21"/>
      <c r="H423" s="21"/>
      <c r="I423" s="21"/>
      <c r="J423" s="21"/>
      <c r="K423" s="21"/>
      <c r="L423" s="21"/>
      <c r="M423" s="21"/>
      <c r="N423" s="22"/>
      <c r="O423" s="22"/>
      <c r="P423" s="17" t="str">
        <f aca="false">IF($A423="","",SUM($G423:$I423))</f>
        <v/>
      </c>
      <c r="Q423" s="17" t="str">
        <f aca="false">IF($A423="","",SUM($J423:$L423))</f>
        <v/>
      </c>
      <c r="R423" s="17" t="str">
        <f aca="false">IF($A423="","",($M423+$Q423)-$P423)</f>
        <v/>
      </c>
      <c r="S423" s="18" t="str">
        <f aca="false">IF(OR($A423="",$P423=0),"",$R423/$P423)</f>
        <v/>
      </c>
      <c r="T423" s="23"/>
      <c r="U423" s="14" t="str">
        <f aca="false">IF($A423="","",IF($M423&gt;0,"Live","Exited"))</f>
        <v/>
      </c>
      <c r="V423" s="20" t="str">
        <f aca="false">IF($A423="","",IF($A423='Client Report'!$C$4,COUNTIFS($A$6:$A423,'Client Report'!$C$4),""))</f>
        <v/>
      </c>
    </row>
    <row r="424" customFormat="false" ht="15" hidden="false" customHeight="false" outlineLevel="0" collapsed="false">
      <c r="A424" s="11"/>
      <c r="B424" s="11"/>
      <c r="C424" s="14" t="str">
        <f aca="false">IF($B424="","",IFERROR(TRIM(LEFT($B424,FIND(" - ",$B424)-1)),"Others"))</f>
        <v/>
      </c>
      <c r="D424" s="11"/>
      <c r="E424" s="11"/>
      <c r="F424" s="12"/>
      <c r="G424" s="21"/>
      <c r="H424" s="21"/>
      <c r="I424" s="21"/>
      <c r="J424" s="21"/>
      <c r="K424" s="21"/>
      <c r="L424" s="21"/>
      <c r="M424" s="21"/>
      <c r="N424" s="22"/>
      <c r="O424" s="22"/>
      <c r="P424" s="17" t="str">
        <f aca="false">IF($A424="","",SUM($G424:$I424))</f>
        <v/>
      </c>
      <c r="Q424" s="17" t="str">
        <f aca="false">IF($A424="","",SUM($J424:$L424))</f>
        <v/>
      </c>
      <c r="R424" s="17" t="str">
        <f aca="false">IF($A424="","",($M424+$Q424)-$P424)</f>
        <v/>
      </c>
      <c r="S424" s="18" t="str">
        <f aca="false">IF(OR($A424="",$P424=0),"",$R424/$P424)</f>
        <v/>
      </c>
      <c r="T424" s="23"/>
      <c r="U424" s="14" t="str">
        <f aca="false">IF($A424="","",IF($M424&gt;0,"Live","Exited"))</f>
        <v/>
      </c>
      <c r="V424" s="20" t="str">
        <f aca="false">IF($A424="","",IF($A424='Client Report'!$C$4,COUNTIFS($A$6:$A424,'Client Report'!$C$4),""))</f>
        <v/>
      </c>
    </row>
    <row r="425" customFormat="false" ht="15" hidden="false" customHeight="false" outlineLevel="0" collapsed="false">
      <c r="A425" s="11"/>
      <c r="B425" s="11"/>
      <c r="C425" s="14" t="str">
        <f aca="false">IF($B425="","",IFERROR(TRIM(LEFT($B425,FIND(" - ",$B425)-1)),"Others"))</f>
        <v/>
      </c>
      <c r="D425" s="11"/>
      <c r="E425" s="11"/>
      <c r="F425" s="12"/>
      <c r="G425" s="21"/>
      <c r="H425" s="21"/>
      <c r="I425" s="21"/>
      <c r="J425" s="21"/>
      <c r="K425" s="21"/>
      <c r="L425" s="21"/>
      <c r="M425" s="21"/>
      <c r="N425" s="22"/>
      <c r="O425" s="22"/>
      <c r="P425" s="17" t="str">
        <f aca="false">IF($A425="","",SUM($G425:$I425))</f>
        <v/>
      </c>
      <c r="Q425" s="17" t="str">
        <f aca="false">IF($A425="","",SUM($J425:$L425))</f>
        <v/>
      </c>
      <c r="R425" s="17" t="str">
        <f aca="false">IF($A425="","",($M425+$Q425)-$P425)</f>
        <v/>
      </c>
      <c r="S425" s="18" t="str">
        <f aca="false">IF(OR($A425="",$P425=0),"",$R425/$P425)</f>
        <v/>
      </c>
      <c r="T425" s="23"/>
      <c r="U425" s="14" t="str">
        <f aca="false">IF($A425="","",IF($M425&gt;0,"Live","Exited"))</f>
        <v/>
      </c>
      <c r="V425" s="20" t="str">
        <f aca="false">IF($A425="","",IF($A425='Client Report'!$C$4,COUNTIFS($A$6:$A425,'Client Report'!$C$4),""))</f>
        <v/>
      </c>
    </row>
    <row r="426" customFormat="false" ht="15" hidden="false" customHeight="false" outlineLevel="0" collapsed="false">
      <c r="A426" s="11"/>
      <c r="B426" s="11"/>
      <c r="C426" s="14" t="str">
        <f aca="false">IF($B426="","",IFERROR(TRIM(LEFT($B426,FIND(" - ",$B426)-1)),"Others"))</f>
        <v/>
      </c>
      <c r="D426" s="11"/>
      <c r="E426" s="11"/>
      <c r="F426" s="12"/>
      <c r="G426" s="21"/>
      <c r="H426" s="21"/>
      <c r="I426" s="21"/>
      <c r="J426" s="21"/>
      <c r="K426" s="21"/>
      <c r="L426" s="21"/>
      <c r="M426" s="21"/>
      <c r="N426" s="22"/>
      <c r="O426" s="22"/>
      <c r="P426" s="17" t="str">
        <f aca="false">IF($A426="","",SUM($G426:$I426))</f>
        <v/>
      </c>
      <c r="Q426" s="17" t="str">
        <f aca="false">IF($A426="","",SUM($J426:$L426))</f>
        <v/>
      </c>
      <c r="R426" s="17" t="str">
        <f aca="false">IF($A426="","",($M426+$Q426)-$P426)</f>
        <v/>
      </c>
      <c r="S426" s="18" t="str">
        <f aca="false">IF(OR($A426="",$P426=0),"",$R426/$P426)</f>
        <v/>
      </c>
      <c r="T426" s="23"/>
      <c r="U426" s="14" t="str">
        <f aca="false">IF($A426="","",IF($M426&gt;0,"Live","Exited"))</f>
        <v/>
      </c>
      <c r="V426" s="20" t="str">
        <f aca="false">IF($A426="","",IF($A426='Client Report'!$C$4,COUNTIFS($A$6:$A426,'Client Report'!$C$4),""))</f>
        <v/>
      </c>
    </row>
    <row r="427" customFormat="false" ht="15" hidden="false" customHeight="false" outlineLevel="0" collapsed="false">
      <c r="A427" s="11"/>
      <c r="B427" s="11"/>
      <c r="C427" s="14" t="str">
        <f aca="false">IF($B427="","",IFERROR(TRIM(LEFT($B427,FIND(" - ",$B427)-1)),"Others"))</f>
        <v/>
      </c>
      <c r="D427" s="11"/>
      <c r="E427" s="11"/>
      <c r="F427" s="12"/>
      <c r="G427" s="21"/>
      <c r="H427" s="21"/>
      <c r="I427" s="21"/>
      <c r="J427" s="21"/>
      <c r="K427" s="21"/>
      <c r="L427" s="21"/>
      <c r="M427" s="21"/>
      <c r="N427" s="22"/>
      <c r="O427" s="22"/>
      <c r="P427" s="17" t="str">
        <f aca="false">IF($A427="","",SUM($G427:$I427))</f>
        <v/>
      </c>
      <c r="Q427" s="17" t="str">
        <f aca="false">IF($A427="","",SUM($J427:$L427))</f>
        <v/>
      </c>
      <c r="R427" s="17" t="str">
        <f aca="false">IF($A427="","",($M427+$Q427)-$P427)</f>
        <v/>
      </c>
      <c r="S427" s="18" t="str">
        <f aca="false">IF(OR($A427="",$P427=0),"",$R427/$P427)</f>
        <v/>
      </c>
      <c r="T427" s="23"/>
      <c r="U427" s="14" t="str">
        <f aca="false">IF($A427="","",IF($M427&gt;0,"Live","Exited"))</f>
        <v/>
      </c>
      <c r="V427" s="20" t="str">
        <f aca="false">IF($A427="","",IF($A427='Client Report'!$C$4,COUNTIFS($A$6:$A427,'Client Report'!$C$4),""))</f>
        <v/>
      </c>
    </row>
    <row r="428" customFormat="false" ht="15" hidden="false" customHeight="false" outlineLevel="0" collapsed="false">
      <c r="A428" s="11"/>
      <c r="B428" s="11"/>
      <c r="C428" s="14" t="str">
        <f aca="false">IF($B428="","",IFERROR(TRIM(LEFT($B428,FIND(" - ",$B428)-1)),"Others"))</f>
        <v/>
      </c>
      <c r="D428" s="11"/>
      <c r="E428" s="11"/>
      <c r="F428" s="12"/>
      <c r="G428" s="21"/>
      <c r="H428" s="21"/>
      <c r="I428" s="21"/>
      <c r="J428" s="21"/>
      <c r="K428" s="21"/>
      <c r="L428" s="21"/>
      <c r="M428" s="21"/>
      <c r="N428" s="22"/>
      <c r="O428" s="22"/>
      <c r="P428" s="17" t="str">
        <f aca="false">IF($A428="","",SUM($G428:$I428))</f>
        <v/>
      </c>
      <c r="Q428" s="17" t="str">
        <f aca="false">IF($A428="","",SUM($J428:$L428))</f>
        <v/>
      </c>
      <c r="R428" s="17" t="str">
        <f aca="false">IF($A428="","",($M428+$Q428)-$P428)</f>
        <v/>
      </c>
      <c r="S428" s="18" t="str">
        <f aca="false">IF(OR($A428="",$P428=0),"",$R428/$P428)</f>
        <v/>
      </c>
      <c r="T428" s="23"/>
      <c r="U428" s="14" t="str">
        <f aca="false">IF($A428="","",IF($M428&gt;0,"Live","Exited"))</f>
        <v/>
      </c>
      <c r="V428" s="20" t="str">
        <f aca="false">IF($A428="","",IF($A428='Client Report'!$C$4,COUNTIFS($A$6:$A428,'Client Report'!$C$4),""))</f>
        <v/>
      </c>
    </row>
    <row r="429" customFormat="false" ht="15" hidden="false" customHeight="false" outlineLevel="0" collapsed="false">
      <c r="A429" s="11"/>
      <c r="B429" s="11"/>
      <c r="C429" s="14" t="str">
        <f aca="false">IF($B429="","",IFERROR(TRIM(LEFT($B429,FIND(" - ",$B429)-1)),"Others"))</f>
        <v/>
      </c>
      <c r="D429" s="11"/>
      <c r="E429" s="11"/>
      <c r="F429" s="12"/>
      <c r="G429" s="21"/>
      <c r="H429" s="21"/>
      <c r="I429" s="21"/>
      <c r="J429" s="21"/>
      <c r="K429" s="21"/>
      <c r="L429" s="21"/>
      <c r="M429" s="21"/>
      <c r="N429" s="22"/>
      <c r="O429" s="22"/>
      <c r="P429" s="17" t="str">
        <f aca="false">IF($A429="","",SUM($G429:$I429))</f>
        <v/>
      </c>
      <c r="Q429" s="17" t="str">
        <f aca="false">IF($A429="","",SUM($J429:$L429))</f>
        <v/>
      </c>
      <c r="R429" s="17" t="str">
        <f aca="false">IF($A429="","",($M429+$Q429)-$P429)</f>
        <v/>
      </c>
      <c r="S429" s="18" t="str">
        <f aca="false">IF(OR($A429="",$P429=0),"",$R429/$P429)</f>
        <v/>
      </c>
      <c r="T429" s="23"/>
      <c r="U429" s="14" t="str">
        <f aca="false">IF($A429="","",IF($M429&gt;0,"Live","Exited"))</f>
        <v/>
      </c>
      <c r="V429" s="20" t="str">
        <f aca="false">IF($A429="","",IF($A429='Client Report'!$C$4,COUNTIFS($A$6:$A429,'Client Report'!$C$4),""))</f>
        <v/>
      </c>
    </row>
    <row r="430" customFormat="false" ht="15" hidden="false" customHeight="false" outlineLevel="0" collapsed="false">
      <c r="A430" s="11"/>
      <c r="B430" s="11"/>
      <c r="C430" s="14" t="str">
        <f aca="false">IF($B430="","",IFERROR(TRIM(LEFT($B430,FIND(" - ",$B430)-1)),"Others"))</f>
        <v/>
      </c>
      <c r="D430" s="11"/>
      <c r="E430" s="11"/>
      <c r="F430" s="12"/>
      <c r="G430" s="21"/>
      <c r="H430" s="21"/>
      <c r="I430" s="21"/>
      <c r="J430" s="21"/>
      <c r="K430" s="21"/>
      <c r="L430" s="21"/>
      <c r="M430" s="21"/>
      <c r="N430" s="22"/>
      <c r="O430" s="22"/>
      <c r="P430" s="17" t="str">
        <f aca="false">IF($A430="","",SUM($G430:$I430))</f>
        <v/>
      </c>
      <c r="Q430" s="17" t="str">
        <f aca="false">IF($A430="","",SUM($J430:$L430))</f>
        <v/>
      </c>
      <c r="R430" s="17" t="str">
        <f aca="false">IF($A430="","",($M430+$Q430)-$P430)</f>
        <v/>
      </c>
      <c r="S430" s="18" t="str">
        <f aca="false">IF(OR($A430="",$P430=0),"",$R430/$P430)</f>
        <v/>
      </c>
      <c r="T430" s="23"/>
      <c r="U430" s="14" t="str">
        <f aca="false">IF($A430="","",IF($M430&gt;0,"Live","Exited"))</f>
        <v/>
      </c>
      <c r="V430" s="20" t="str">
        <f aca="false">IF($A430="","",IF($A430='Client Report'!$C$4,COUNTIFS($A$6:$A430,'Client Report'!$C$4),""))</f>
        <v/>
      </c>
    </row>
    <row r="431" customFormat="false" ht="15" hidden="false" customHeight="false" outlineLevel="0" collapsed="false">
      <c r="A431" s="11"/>
      <c r="B431" s="11"/>
      <c r="C431" s="14" t="str">
        <f aca="false">IF($B431="","",IFERROR(TRIM(LEFT($B431,FIND(" - ",$B431)-1)),"Others"))</f>
        <v/>
      </c>
      <c r="D431" s="11"/>
      <c r="E431" s="11"/>
      <c r="F431" s="12"/>
      <c r="G431" s="21"/>
      <c r="H431" s="21"/>
      <c r="I431" s="21"/>
      <c r="J431" s="21"/>
      <c r="K431" s="21"/>
      <c r="L431" s="21"/>
      <c r="M431" s="21"/>
      <c r="N431" s="22"/>
      <c r="O431" s="22"/>
      <c r="P431" s="17" t="str">
        <f aca="false">IF($A431="","",SUM($G431:$I431))</f>
        <v/>
      </c>
      <c r="Q431" s="17" t="str">
        <f aca="false">IF($A431="","",SUM($J431:$L431))</f>
        <v/>
      </c>
      <c r="R431" s="17" t="str">
        <f aca="false">IF($A431="","",($M431+$Q431)-$P431)</f>
        <v/>
      </c>
      <c r="S431" s="18" t="str">
        <f aca="false">IF(OR($A431="",$P431=0),"",$R431/$P431)</f>
        <v/>
      </c>
      <c r="T431" s="23"/>
      <c r="U431" s="14" t="str">
        <f aca="false">IF($A431="","",IF($M431&gt;0,"Live","Exited"))</f>
        <v/>
      </c>
      <c r="V431" s="20" t="str">
        <f aca="false">IF($A431="","",IF($A431='Client Report'!$C$4,COUNTIFS($A$6:$A431,'Client Report'!$C$4),""))</f>
        <v/>
      </c>
    </row>
    <row r="432" customFormat="false" ht="15" hidden="false" customHeight="false" outlineLevel="0" collapsed="false">
      <c r="A432" s="11"/>
      <c r="B432" s="11"/>
      <c r="C432" s="14" t="str">
        <f aca="false">IF($B432="","",IFERROR(TRIM(LEFT($B432,FIND(" - ",$B432)-1)),"Others"))</f>
        <v/>
      </c>
      <c r="D432" s="11"/>
      <c r="E432" s="11"/>
      <c r="F432" s="12"/>
      <c r="G432" s="21"/>
      <c r="H432" s="21"/>
      <c r="I432" s="21"/>
      <c r="J432" s="21"/>
      <c r="K432" s="21"/>
      <c r="L432" s="21"/>
      <c r="M432" s="21"/>
      <c r="N432" s="22"/>
      <c r="O432" s="22"/>
      <c r="P432" s="17" t="str">
        <f aca="false">IF($A432="","",SUM($G432:$I432))</f>
        <v/>
      </c>
      <c r="Q432" s="17" t="str">
        <f aca="false">IF($A432="","",SUM($J432:$L432))</f>
        <v/>
      </c>
      <c r="R432" s="17" t="str">
        <f aca="false">IF($A432="","",($M432+$Q432)-$P432)</f>
        <v/>
      </c>
      <c r="S432" s="18" t="str">
        <f aca="false">IF(OR($A432="",$P432=0),"",$R432/$P432)</f>
        <v/>
      </c>
      <c r="T432" s="23"/>
      <c r="U432" s="14" t="str">
        <f aca="false">IF($A432="","",IF($M432&gt;0,"Live","Exited"))</f>
        <v/>
      </c>
      <c r="V432" s="20" t="str">
        <f aca="false">IF($A432="","",IF($A432='Client Report'!$C$4,COUNTIFS($A$6:$A432,'Client Report'!$C$4),""))</f>
        <v/>
      </c>
    </row>
    <row r="433" customFormat="false" ht="15" hidden="false" customHeight="false" outlineLevel="0" collapsed="false">
      <c r="A433" s="11"/>
      <c r="B433" s="11"/>
      <c r="C433" s="14" t="str">
        <f aca="false">IF($B433="","",IFERROR(TRIM(LEFT($B433,FIND(" - ",$B433)-1)),"Others"))</f>
        <v/>
      </c>
      <c r="D433" s="11"/>
      <c r="E433" s="11"/>
      <c r="F433" s="12"/>
      <c r="G433" s="21"/>
      <c r="H433" s="21"/>
      <c r="I433" s="21"/>
      <c r="J433" s="21"/>
      <c r="K433" s="21"/>
      <c r="L433" s="21"/>
      <c r="M433" s="21"/>
      <c r="N433" s="22"/>
      <c r="O433" s="22"/>
      <c r="P433" s="17" t="str">
        <f aca="false">IF($A433="","",SUM($G433:$I433))</f>
        <v/>
      </c>
      <c r="Q433" s="17" t="str">
        <f aca="false">IF($A433="","",SUM($J433:$L433))</f>
        <v/>
      </c>
      <c r="R433" s="17" t="str">
        <f aca="false">IF($A433="","",($M433+$Q433)-$P433)</f>
        <v/>
      </c>
      <c r="S433" s="18" t="str">
        <f aca="false">IF(OR($A433="",$P433=0),"",$R433/$P433)</f>
        <v/>
      </c>
      <c r="T433" s="23"/>
      <c r="U433" s="14" t="str">
        <f aca="false">IF($A433="","",IF($M433&gt;0,"Live","Exited"))</f>
        <v/>
      </c>
      <c r="V433" s="20" t="str">
        <f aca="false">IF($A433="","",IF($A433='Client Report'!$C$4,COUNTIFS($A$6:$A433,'Client Report'!$C$4),""))</f>
        <v/>
      </c>
    </row>
    <row r="434" customFormat="false" ht="15" hidden="false" customHeight="false" outlineLevel="0" collapsed="false">
      <c r="A434" s="11"/>
      <c r="B434" s="11"/>
      <c r="C434" s="14" t="str">
        <f aca="false">IF($B434="","",IFERROR(TRIM(LEFT($B434,FIND(" - ",$B434)-1)),"Others"))</f>
        <v/>
      </c>
      <c r="D434" s="11"/>
      <c r="E434" s="11"/>
      <c r="F434" s="12"/>
      <c r="G434" s="21"/>
      <c r="H434" s="21"/>
      <c r="I434" s="21"/>
      <c r="J434" s="21"/>
      <c r="K434" s="21"/>
      <c r="L434" s="21"/>
      <c r="M434" s="21"/>
      <c r="N434" s="22"/>
      <c r="O434" s="22"/>
      <c r="P434" s="17" t="str">
        <f aca="false">IF($A434="","",SUM($G434:$I434))</f>
        <v/>
      </c>
      <c r="Q434" s="17" t="str">
        <f aca="false">IF($A434="","",SUM($J434:$L434))</f>
        <v/>
      </c>
      <c r="R434" s="17" t="str">
        <f aca="false">IF($A434="","",($M434+$Q434)-$P434)</f>
        <v/>
      </c>
      <c r="S434" s="18" t="str">
        <f aca="false">IF(OR($A434="",$P434=0),"",$R434/$P434)</f>
        <v/>
      </c>
      <c r="T434" s="23"/>
      <c r="U434" s="14" t="str">
        <f aca="false">IF($A434="","",IF($M434&gt;0,"Live","Exited"))</f>
        <v/>
      </c>
      <c r="V434" s="20" t="str">
        <f aca="false">IF($A434="","",IF($A434='Client Report'!$C$4,COUNTIFS($A$6:$A434,'Client Report'!$C$4),""))</f>
        <v/>
      </c>
    </row>
    <row r="435" customFormat="false" ht="15" hidden="false" customHeight="false" outlineLevel="0" collapsed="false">
      <c r="A435" s="11"/>
      <c r="B435" s="11"/>
      <c r="C435" s="14" t="str">
        <f aca="false">IF($B435="","",IFERROR(TRIM(LEFT($B435,FIND(" - ",$B435)-1)),"Others"))</f>
        <v/>
      </c>
      <c r="D435" s="11"/>
      <c r="E435" s="11"/>
      <c r="F435" s="12"/>
      <c r="G435" s="21"/>
      <c r="H435" s="21"/>
      <c r="I435" s="21"/>
      <c r="J435" s="21"/>
      <c r="K435" s="21"/>
      <c r="L435" s="21"/>
      <c r="M435" s="21"/>
      <c r="N435" s="22"/>
      <c r="O435" s="22"/>
      <c r="P435" s="17" t="str">
        <f aca="false">IF($A435="","",SUM($G435:$I435))</f>
        <v/>
      </c>
      <c r="Q435" s="17" t="str">
        <f aca="false">IF($A435="","",SUM($J435:$L435))</f>
        <v/>
      </c>
      <c r="R435" s="17" t="str">
        <f aca="false">IF($A435="","",($M435+$Q435)-$P435)</f>
        <v/>
      </c>
      <c r="S435" s="18" t="str">
        <f aca="false">IF(OR($A435="",$P435=0),"",$R435/$P435)</f>
        <v/>
      </c>
      <c r="T435" s="23"/>
      <c r="U435" s="14" t="str">
        <f aca="false">IF($A435="","",IF($M435&gt;0,"Live","Exited"))</f>
        <v/>
      </c>
      <c r="V435" s="20" t="str">
        <f aca="false">IF($A435="","",IF($A435='Client Report'!$C$4,COUNTIFS($A$6:$A435,'Client Report'!$C$4),""))</f>
        <v/>
      </c>
    </row>
    <row r="436" customFormat="false" ht="15" hidden="false" customHeight="false" outlineLevel="0" collapsed="false">
      <c r="A436" s="11"/>
      <c r="B436" s="11"/>
      <c r="C436" s="14" t="str">
        <f aca="false">IF($B436="","",IFERROR(TRIM(LEFT($B436,FIND(" - ",$B436)-1)),"Others"))</f>
        <v/>
      </c>
      <c r="D436" s="11"/>
      <c r="E436" s="11"/>
      <c r="F436" s="12"/>
      <c r="G436" s="21"/>
      <c r="H436" s="21"/>
      <c r="I436" s="21"/>
      <c r="J436" s="21"/>
      <c r="K436" s="21"/>
      <c r="L436" s="21"/>
      <c r="M436" s="21"/>
      <c r="N436" s="22"/>
      <c r="O436" s="22"/>
      <c r="P436" s="17" t="str">
        <f aca="false">IF($A436="","",SUM($G436:$I436))</f>
        <v/>
      </c>
      <c r="Q436" s="17" t="str">
        <f aca="false">IF($A436="","",SUM($J436:$L436))</f>
        <v/>
      </c>
      <c r="R436" s="17" t="str">
        <f aca="false">IF($A436="","",($M436+$Q436)-$P436)</f>
        <v/>
      </c>
      <c r="S436" s="18" t="str">
        <f aca="false">IF(OR($A436="",$P436=0),"",$R436/$P436)</f>
        <v/>
      </c>
      <c r="T436" s="23"/>
      <c r="U436" s="14" t="str">
        <f aca="false">IF($A436="","",IF($M436&gt;0,"Live","Exited"))</f>
        <v/>
      </c>
      <c r="V436" s="20" t="str">
        <f aca="false">IF($A436="","",IF($A436='Client Report'!$C$4,COUNTIFS($A$6:$A436,'Client Report'!$C$4),""))</f>
        <v/>
      </c>
    </row>
    <row r="437" customFormat="false" ht="15" hidden="false" customHeight="false" outlineLevel="0" collapsed="false">
      <c r="A437" s="11"/>
      <c r="B437" s="11"/>
      <c r="C437" s="14" t="str">
        <f aca="false">IF($B437="","",IFERROR(TRIM(LEFT($B437,FIND(" - ",$B437)-1)),"Others"))</f>
        <v/>
      </c>
      <c r="D437" s="11"/>
      <c r="E437" s="11"/>
      <c r="F437" s="12"/>
      <c r="G437" s="21"/>
      <c r="H437" s="21"/>
      <c r="I437" s="21"/>
      <c r="J437" s="21"/>
      <c r="K437" s="21"/>
      <c r="L437" s="21"/>
      <c r="M437" s="21"/>
      <c r="N437" s="22"/>
      <c r="O437" s="22"/>
      <c r="P437" s="17" t="str">
        <f aca="false">IF($A437="","",SUM($G437:$I437))</f>
        <v/>
      </c>
      <c r="Q437" s="17" t="str">
        <f aca="false">IF($A437="","",SUM($J437:$L437))</f>
        <v/>
      </c>
      <c r="R437" s="17" t="str">
        <f aca="false">IF($A437="","",($M437+$Q437)-$P437)</f>
        <v/>
      </c>
      <c r="S437" s="18" t="str">
        <f aca="false">IF(OR($A437="",$P437=0),"",$R437/$P437)</f>
        <v/>
      </c>
      <c r="T437" s="23"/>
      <c r="U437" s="14" t="str">
        <f aca="false">IF($A437="","",IF($M437&gt;0,"Live","Exited"))</f>
        <v/>
      </c>
      <c r="V437" s="20" t="str">
        <f aca="false">IF($A437="","",IF($A437='Client Report'!$C$4,COUNTIFS($A$6:$A437,'Client Report'!$C$4),""))</f>
        <v/>
      </c>
    </row>
    <row r="438" customFormat="false" ht="15" hidden="false" customHeight="false" outlineLevel="0" collapsed="false">
      <c r="A438" s="11"/>
      <c r="B438" s="11"/>
      <c r="C438" s="14" t="str">
        <f aca="false">IF($B438="","",IFERROR(TRIM(LEFT($B438,FIND(" - ",$B438)-1)),"Others"))</f>
        <v/>
      </c>
      <c r="D438" s="11"/>
      <c r="E438" s="11"/>
      <c r="F438" s="12"/>
      <c r="G438" s="21"/>
      <c r="H438" s="21"/>
      <c r="I438" s="21"/>
      <c r="J438" s="21"/>
      <c r="K438" s="21"/>
      <c r="L438" s="21"/>
      <c r="M438" s="21"/>
      <c r="N438" s="22"/>
      <c r="O438" s="22"/>
      <c r="P438" s="17" t="str">
        <f aca="false">IF($A438="","",SUM($G438:$I438))</f>
        <v/>
      </c>
      <c r="Q438" s="17" t="str">
        <f aca="false">IF($A438="","",SUM($J438:$L438))</f>
        <v/>
      </c>
      <c r="R438" s="17" t="str">
        <f aca="false">IF($A438="","",($M438+$Q438)-$P438)</f>
        <v/>
      </c>
      <c r="S438" s="18" t="str">
        <f aca="false">IF(OR($A438="",$P438=0),"",$R438/$P438)</f>
        <v/>
      </c>
      <c r="T438" s="23"/>
      <c r="U438" s="14" t="str">
        <f aca="false">IF($A438="","",IF($M438&gt;0,"Live","Exited"))</f>
        <v/>
      </c>
      <c r="V438" s="20" t="str">
        <f aca="false">IF($A438="","",IF($A438='Client Report'!$C$4,COUNTIFS($A$6:$A438,'Client Report'!$C$4),""))</f>
        <v/>
      </c>
    </row>
    <row r="439" customFormat="false" ht="15" hidden="false" customHeight="false" outlineLevel="0" collapsed="false">
      <c r="A439" s="11"/>
      <c r="B439" s="11"/>
      <c r="C439" s="14" t="str">
        <f aca="false">IF($B439="","",IFERROR(TRIM(LEFT($B439,FIND(" - ",$B439)-1)),"Others"))</f>
        <v/>
      </c>
      <c r="D439" s="11"/>
      <c r="E439" s="11"/>
      <c r="F439" s="12"/>
      <c r="G439" s="21"/>
      <c r="H439" s="21"/>
      <c r="I439" s="21"/>
      <c r="J439" s="21"/>
      <c r="K439" s="21"/>
      <c r="L439" s="21"/>
      <c r="M439" s="21"/>
      <c r="N439" s="22"/>
      <c r="O439" s="22"/>
      <c r="P439" s="17" t="str">
        <f aca="false">IF($A439="","",SUM($G439:$I439))</f>
        <v/>
      </c>
      <c r="Q439" s="17" t="str">
        <f aca="false">IF($A439="","",SUM($J439:$L439))</f>
        <v/>
      </c>
      <c r="R439" s="17" t="str">
        <f aca="false">IF($A439="","",($M439+$Q439)-$P439)</f>
        <v/>
      </c>
      <c r="S439" s="18" t="str">
        <f aca="false">IF(OR($A439="",$P439=0),"",$R439/$P439)</f>
        <v/>
      </c>
      <c r="T439" s="23"/>
      <c r="U439" s="14" t="str">
        <f aca="false">IF($A439="","",IF($M439&gt;0,"Live","Exited"))</f>
        <v/>
      </c>
      <c r="V439" s="20" t="str">
        <f aca="false">IF($A439="","",IF($A439='Client Report'!$C$4,COUNTIFS($A$6:$A439,'Client Report'!$C$4),""))</f>
        <v/>
      </c>
    </row>
    <row r="440" customFormat="false" ht="15" hidden="false" customHeight="false" outlineLevel="0" collapsed="false">
      <c r="A440" s="11"/>
      <c r="B440" s="11"/>
      <c r="C440" s="14" t="str">
        <f aca="false">IF($B440="","",IFERROR(TRIM(LEFT($B440,FIND(" - ",$B440)-1)),"Others"))</f>
        <v/>
      </c>
      <c r="D440" s="11"/>
      <c r="E440" s="11"/>
      <c r="F440" s="12"/>
      <c r="G440" s="21"/>
      <c r="H440" s="21"/>
      <c r="I440" s="21"/>
      <c r="J440" s="21"/>
      <c r="K440" s="21"/>
      <c r="L440" s="21"/>
      <c r="M440" s="21"/>
      <c r="N440" s="22"/>
      <c r="O440" s="22"/>
      <c r="P440" s="17" t="str">
        <f aca="false">IF($A440="","",SUM($G440:$I440))</f>
        <v/>
      </c>
      <c r="Q440" s="17" t="str">
        <f aca="false">IF($A440="","",SUM($J440:$L440))</f>
        <v/>
      </c>
      <c r="R440" s="17" t="str">
        <f aca="false">IF($A440="","",($M440+$Q440)-$P440)</f>
        <v/>
      </c>
      <c r="S440" s="18" t="str">
        <f aca="false">IF(OR($A440="",$P440=0),"",$R440/$P440)</f>
        <v/>
      </c>
      <c r="T440" s="23"/>
      <c r="U440" s="14" t="str">
        <f aca="false">IF($A440="","",IF($M440&gt;0,"Live","Exited"))</f>
        <v/>
      </c>
      <c r="V440" s="20" t="str">
        <f aca="false">IF($A440="","",IF($A440='Client Report'!$C$4,COUNTIFS($A$6:$A440,'Client Report'!$C$4),""))</f>
        <v/>
      </c>
    </row>
    <row r="441" customFormat="false" ht="15" hidden="false" customHeight="false" outlineLevel="0" collapsed="false">
      <c r="A441" s="11"/>
      <c r="B441" s="11"/>
      <c r="C441" s="14" t="str">
        <f aca="false">IF($B441="","",IFERROR(TRIM(LEFT($B441,FIND(" - ",$B441)-1)),"Others"))</f>
        <v/>
      </c>
      <c r="D441" s="11"/>
      <c r="E441" s="11"/>
      <c r="F441" s="12"/>
      <c r="G441" s="21"/>
      <c r="H441" s="21"/>
      <c r="I441" s="21"/>
      <c r="J441" s="21"/>
      <c r="K441" s="21"/>
      <c r="L441" s="21"/>
      <c r="M441" s="21"/>
      <c r="N441" s="22"/>
      <c r="O441" s="22"/>
      <c r="P441" s="17" t="str">
        <f aca="false">IF($A441="","",SUM($G441:$I441))</f>
        <v/>
      </c>
      <c r="Q441" s="17" t="str">
        <f aca="false">IF($A441="","",SUM($J441:$L441))</f>
        <v/>
      </c>
      <c r="R441" s="17" t="str">
        <f aca="false">IF($A441="","",($M441+$Q441)-$P441)</f>
        <v/>
      </c>
      <c r="S441" s="18" t="str">
        <f aca="false">IF(OR($A441="",$P441=0),"",$R441/$P441)</f>
        <v/>
      </c>
      <c r="T441" s="23"/>
      <c r="U441" s="14" t="str">
        <f aca="false">IF($A441="","",IF($M441&gt;0,"Live","Exited"))</f>
        <v/>
      </c>
      <c r="V441" s="20" t="str">
        <f aca="false">IF($A441="","",IF($A441='Client Report'!$C$4,COUNTIFS($A$6:$A441,'Client Report'!$C$4),""))</f>
        <v/>
      </c>
    </row>
    <row r="442" customFormat="false" ht="15" hidden="false" customHeight="false" outlineLevel="0" collapsed="false">
      <c r="A442" s="11"/>
      <c r="B442" s="11"/>
      <c r="C442" s="14" t="str">
        <f aca="false">IF($B442="","",IFERROR(TRIM(LEFT($B442,FIND(" - ",$B442)-1)),"Others"))</f>
        <v/>
      </c>
      <c r="D442" s="11"/>
      <c r="E442" s="11"/>
      <c r="F442" s="12"/>
      <c r="G442" s="21"/>
      <c r="H442" s="21"/>
      <c r="I442" s="21"/>
      <c r="J442" s="21"/>
      <c r="K442" s="21"/>
      <c r="L442" s="21"/>
      <c r="M442" s="21"/>
      <c r="N442" s="22"/>
      <c r="O442" s="22"/>
      <c r="P442" s="17" t="str">
        <f aca="false">IF($A442="","",SUM($G442:$I442))</f>
        <v/>
      </c>
      <c r="Q442" s="17" t="str">
        <f aca="false">IF($A442="","",SUM($J442:$L442))</f>
        <v/>
      </c>
      <c r="R442" s="17" t="str">
        <f aca="false">IF($A442="","",($M442+$Q442)-$P442)</f>
        <v/>
      </c>
      <c r="S442" s="18" t="str">
        <f aca="false">IF(OR($A442="",$P442=0),"",$R442/$P442)</f>
        <v/>
      </c>
      <c r="T442" s="23"/>
      <c r="U442" s="14" t="str">
        <f aca="false">IF($A442="","",IF($M442&gt;0,"Live","Exited"))</f>
        <v/>
      </c>
      <c r="V442" s="20" t="str">
        <f aca="false">IF($A442="","",IF($A442='Client Report'!$C$4,COUNTIFS($A$6:$A442,'Client Report'!$C$4),""))</f>
        <v/>
      </c>
    </row>
    <row r="443" customFormat="false" ht="15" hidden="false" customHeight="false" outlineLevel="0" collapsed="false">
      <c r="A443" s="11"/>
      <c r="B443" s="11"/>
      <c r="C443" s="14" t="str">
        <f aca="false">IF($B443="","",IFERROR(TRIM(LEFT($B443,FIND(" - ",$B443)-1)),"Others"))</f>
        <v/>
      </c>
      <c r="D443" s="11"/>
      <c r="E443" s="11"/>
      <c r="F443" s="12"/>
      <c r="G443" s="21"/>
      <c r="H443" s="21"/>
      <c r="I443" s="21"/>
      <c r="J443" s="21"/>
      <c r="K443" s="21"/>
      <c r="L443" s="21"/>
      <c r="M443" s="21"/>
      <c r="N443" s="22"/>
      <c r="O443" s="22"/>
      <c r="P443" s="17" t="str">
        <f aca="false">IF($A443="","",SUM($G443:$I443))</f>
        <v/>
      </c>
      <c r="Q443" s="17" t="str">
        <f aca="false">IF($A443="","",SUM($J443:$L443))</f>
        <v/>
      </c>
      <c r="R443" s="17" t="str">
        <f aca="false">IF($A443="","",($M443+$Q443)-$P443)</f>
        <v/>
      </c>
      <c r="S443" s="18" t="str">
        <f aca="false">IF(OR($A443="",$P443=0),"",$R443/$P443)</f>
        <v/>
      </c>
      <c r="T443" s="23"/>
      <c r="U443" s="14" t="str">
        <f aca="false">IF($A443="","",IF($M443&gt;0,"Live","Exited"))</f>
        <v/>
      </c>
      <c r="V443" s="20" t="str">
        <f aca="false">IF($A443="","",IF($A443='Client Report'!$C$4,COUNTIFS($A$6:$A443,'Client Report'!$C$4),""))</f>
        <v/>
      </c>
    </row>
    <row r="444" customFormat="false" ht="15" hidden="false" customHeight="false" outlineLevel="0" collapsed="false">
      <c r="A444" s="11"/>
      <c r="B444" s="11"/>
      <c r="C444" s="14" t="str">
        <f aca="false">IF($B444="","",IFERROR(TRIM(LEFT($B444,FIND(" - ",$B444)-1)),"Others"))</f>
        <v/>
      </c>
      <c r="D444" s="11"/>
      <c r="E444" s="11"/>
      <c r="F444" s="12"/>
      <c r="G444" s="21"/>
      <c r="H444" s="21"/>
      <c r="I444" s="21"/>
      <c r="J444" s="21"/>
      <c r="K444" s="21"/>
      <c r="L444" s="21"/>
      <c r="M444" s="21"/>
      <c r="N444" s="22"/>
      <c r="O444" s="22"/>
      <c r="P444" s="17" t="str">
        <f aca="false">IF($A444="","",SUM($G444:$I444))</f>
        <v/>
      </c>
      <c r="Q444" s="17" t="str">
        <f aca="false">IF($A444="","",SUM($J444:$L444))</f>
        <v/>
      </c>
      <c r="R444" s="17" t="str">
        <f aca="false">IF($A444="","",($M444+$Q444)-$P444)</f>
        <v/>
      </c>
      <c r="S444" s="18" t="str">
        <f aca="false">IF(OR($A444="",$P444=0),"",$R444/$P444)</f>
        <v/>
      </c>
      <c r="T444" s="23"/>
      <c r="U444" s="14" t="str">
        <f aca="false">IF($A444="","",IF($M444&gt;0,"Live","Exited"))</f>
        <v/>
      </c>
      <c r="V444" s="20" t="str">
        <f aca="false">IF($A444="","",IF($A444='Client Report'!$C$4,COUNTIFS($A$6:$A444,'Client Report'!$C$4),""))</f>
        <v/>
      </c>
    </row>
    <row r="445" customFormat="false" ht="15" hidden="false" customHeight="false" outlineLevel="0" collapsed="false">
      <c r="A445" s="11"/>
      <c r="B445" s="11"/>
      <c r="C445" s="14" t="str">
        <f aca="false">IF($B445="","",IFERROR(TRIM(LEFT($B445,FIND(" - ",$B445)-1)),"Others"))</f>
        <v/>
      </c>
      <c r="D445" s="11"/>
      <c r="E445" s="11"/>
      <c r="F445" s="12"/>
      <c r="G445" s="21"/>
      <c r="H445" s="21"/>
      <c r="I445" s="21"/>
      <c r="J445" s="21"/>
      <c r="K445" s="21"/>
      <c r="L445" s="21"/>
      <c r="M445" s="21"/>
      <c r="N445" s="22"/>
      <c r="O445" s="22"/>
      <c r="P445" s="17" t="str">
        <f aca="false">IF($A445="","",SUM($G445:$I445))</f>
        <v/>
      </c>
      <c r="Q445" s="17" t="str">
        <f aca="false">IF($A445="","",SUM($J445:$L445))</f>
        <v/>
      </c>
      <c r="R445" s="17" t="str">
        <f aca="false">IF($A445="","",($M445+$Q445)-$P445)</f>
        <v/>
      </c>
      <c r="S445" s="18" t="str">
        <f aca="false">IF(OR($A445="",$P445=0),"",$R445/$P445)</f>
        <v/>
      </c>
      <c r="T445" s="23"/>
      <c r="U445" s="14" t="str">
        <f aca="false">IF($A445="","",IF($M445&gt;0,"Live","Exited"))</f>
        <v/>
      </c>
      <c r="V445" s="20" t="str">
        <f aca="false">IF($A445="","",IF($A445='Client Report'!$C$4,COUNTIFS($A$6:$A445,'Client Report'!$C$4),""))</f>
        <v/>
      </c>
    </row>
    <row r="446" customFormat="false" ht="15" hidden="false" customHeight="false" outlineLevel="0" collapsed="false">
      <c r="A446" s="11"/>
      <c r="B446" s="11"/>
      <c r="C446" s="14" t="str">
        <f aca="false">IF($B446="","",IFERROR(TRIM(LEFT($B446,FIND(" - ",$B446)-1)),"Others"))</f>
        <v/>
      </c>
      <c r="D446" s="11"/>
      <c r="E446" s="11"/>
      <c r="F446" s="12"/>
      <c r="G446" s="21"/>
      <c r="H446" s="21"/>
      <c r="I446" s="21"/>
      <c r="J446" s="21"/>
      <c r="K446" s="21"/>
      <c r="L446" s="21"/>
      <c r="M446" s="21"/>
      <c r="N446" s="22"/>
      <c r="O446" s="22"/>
      <c r="P446" s="17" t="str">
        <f aca="false">IF($A446="","",SUM($G446:$I446))</f>
        <v/>
      </c>
      <c r="Q446" s="17" t="str">
        <f aca="false">IF($A446="","",SUM($J446:$L446))</f>
        <v/>
      </c>
      <c r="R446" s="17" t="str">
        <f aca="false">IF($A446="","",($M446+$Q446)-$P446)</f>
        <v/>
      </c>
      <c r="S446" s="18" t="str">
        <f aca="false">IF(OR($A446="",$P446=0),"",$R446/$P446)</f>
        <v/>
      </c>
      <c r="T446" s="23"/>
      <c r="U446" s="14" t="str">
        <f aca="false">IF($A446="","",IF($M446&gt;0,"Live","Exited"))</f>
        <v/>
      </c>
      <c r="V446" s="20" t="str">
        <f aca="false">IF($A446="","",IF($A446='Client Report'!$C$4,COUNTIFS($A$6:$A446,'Client Report'!$C$4),""))</f>
        <v/>
      </c>
    </row>
    <row r="447" customFormat="false" ht="15" hidden="false" customHeight="false" outlineLevel="0" collapsed="false">
      <c r="A447" s="11"/>
      <c r="B447" s="11"/>
      <c r="C447" s="14" t="str">
        <f aca="false">IF($B447="","",IFERROR(TRIM(LEFT($B447,FIND(" - ",$B447)-1)),"Others"))</f>
        <v/>
      </c>
      <c r="D447" s="11"/>
      <c r="E447" s="11"/>
      <c r="F447" s="12"/>
      <c r="G447" s="21"/>
      <c r="H447" s="21"/>
      <c r="I447" s="21"/>
      <c r="J447" s="21"/>
      <c r="K447" s="21"/>
      <c r="L447" s="21"/>
      <c r="M447" s="21"/>
      <c r="N447" s="22"/>
      <c r="O447" s="22"/>
      <c r="P447" s="17" t="str">
        <f aca="false">IF($A447="","",SUM($G447:$I447))</f>
        <v/>
      </c>
      <c r="Q447" s="17" t="str">
        <f aca="false">IF($A447="","",SUM($J447:$L447))</f>
        <v/>
      </c>
      <c r="R447" s="17" t="str">
        <f aca="false">IF($A447="","",($M447+$Q447)-$P447)</f>
        <v/>
      </c>
      <c r="S447" s="18" t="str">
        <f aca="false">IF(OR($A447="",$P447=0),"",$R447/$P447)</f>
        <v/>
      </c>
      <c r="T447" s="23"/>
      <c r="U447" s="14" t="str">
        <f aca="false">IF($A447="","",IF($M447&gt;0,"Live","Exited"))</f>
        <v/>
      </c>
      <c r="V447" s="20" t="str">
        <f aca="false">IF($A447="","",IF($A447='Client Report'!$C$4,COUNTIFS($A$6:$A447,'Client Report'!$C$4),""))</f>
        <v/>
      </c>
    </row>
    <row r="448" customFormat="false" ht="15" hidden="false" customHeight="false" outlineLevel="0" collapsed="false">
      <c r="A448" s="11"/>
      <c r="B448" s="11"/>
      <c r="C448" s="14" t="str">
        <f aca="false">IF($B448="","",IFERROR(TRIM(LEFT($B448,FIND(" - ",$B448)-1)),"Others"))</f>
        <v/>
      </c>
      <c r="D448" s="11"/>
      <c r="E448" s="11"/>
      <c r="F448" s="12"/>
      <c r="G448" s="21"/>
      <c r="H448" s="21"/>
      <c r="I448" s="21"/>
      <c r="J448" s="21"/>
      <c r="K448" s="21"/>
      <c r="L448" s="21"/>
      <c r="M448" s="21"/>
      <c r="N448" s="22"/>
      <c r="O448" s="22"/>
      <c r="P448" s="17" t="str">
        <f aca="false">IF($A448="","",SUM($G448:$I448))</f>
        <v/>
      </c>
      <c r="Q448" s="17" t="str">
        <f aca="false">IF($A448="","",SUM($J448:$L448))</f>
        <v/>
      </c>
      <c r="R448" s="17" t="str">
        <f aca="false">IF($A448="","",($M448+$Q448)-$P448)</f>
        <v/>
      </c>
      <c r="S448" s="18" t="str">
        <f aca="false">IF(OR($A448="",$P448=0),"",$R448/$P448)</f>
        <v/>
      </c>
      <c r="T448" s="23"/>
      <c r="U448" s="14" t="str">
        <f aca="false">IF($A448="","",IF($M448&gt;0,"Live","Exited"))</f>
        <v/>
      </c>
      <c r="V448" s="20" t="str">
        <f aca="false">IF($A448="","",IF($A448='Client Report'!$C$4,COUNTIFS($A$6:$A448,'Client Report'!$C$4),""))</f>
        <v/>
      </c>
    </row>
    <row r="449" customFormat="false" ht="15" hidden="false" customHeight="false" outlineLevel="0" collapsed="false">
      <c r="A449" s="11"/>
      <c r="B449" s="11"/>
      <c r="C449" s="14" t="str">
        <f aca="false">IF($B449="","",IFERROR(TRIM(LEFT($B449,FIND(" - ",$B449)-1)),"Others"))</f>
        <v/>
      </c>
      <c r="D449" s="11"/>
      <c r="E449" s="11"/>
      <c r="F449" s="12"/>
      <c r="G449" s="21"/>
      <c r="H449" s="21"/>
      <c r="I449" s="21"/>
      <c r="J449" s="21"/>
      <c r="K449" s="21"/>
      <c r="L449" s="21"/>
      <c r="M449" s="21"/>
      <c r="N449" s="22"/>
      <c r="O449" s="22"/>
      <c r="P449" s="17" t="str">
        <f aca="false">IF($A449="","",SUM($G449:$I449))</f>
        <v/>
      </c>
      <c r="Q449" s="17" t="str">
        <f aca="false">IF($A449="","",SUM($J449:$L449))</f>
        <v/>
      </c>
      <c r="R449" s="17" t="str">
        <f aca="false">IF($A449="","",($M449+$Q449)-$P449)</f>
        <v/>
      </c>
      <c r="S449" s="18" t="str">
        <f aca="false">IF(OR($A449="",$P449=0),"",$R449/$P449)</f>
        <v/>
      </c>
      <c r="T449" s="23"/>
      <c r="U449" s="14" t="str">
        <f aca="false">IF($A449="","",IF($M449&gt;0,"Live","Exited"))</f>
        <v/>
      </c>
      <c r="V449" s="20" t="str">
        <f aca="false">IF($A449="","",IF($A449='Client Report'!$C$4,COUNTIFS($A$6:$A449,'Client Report'!$C$4),""))</f>
        <v/>
      </c>
    </row>
    <row r="450" customFormat="false" ht="15" hidden="false" customHeight="false" outlineLevel="0" collapsed="false">
      <c r="A450" s="11"/>
      <c r="B450" s="11"/>
      <c r="C450" s="14" t="str">
        <f aca="false">IF($B450="","",IFERROR(TRIM(LEFT($B450,FIND(" - ",$B450)-1)),"Others"))</f>
        <v/>
      </c>
      <c r="D450" s="11"/>
      <c r="E450" s="11"/>
      <c r="F450" s="12"/>
      <c r="G450" s="21"/>
      <c r="H450" s="21"/>
      <c r="I450" s="21"/>
      <c r="J450" s="21"/>
      <c r="K450" s="21"/>
      <c r="L450" s="21"/>
      <c r="M450" s="21"/>
      <c r="N450" s="22"/>
      <c r="O450" s="22"/>
      <c r="P450" s="17" t="str">
        <f aca="false">IF($A450="","",SUM($G450:$I450))</f>
        <v/>
      </c>
      <c r="Q450" s="17" t="str">
        <f aca="false">IF($A450="","",SUM($J450:$L450))</f>
        <v/>
      </c>
      <c r="R450" s="17" t="str">
        <f aca="false">IF($A450="","",($M450+$Q450)-$P450)</f>
        <v/>
      </c>
      <c r="S450" s="18" t="str">
        <f aca="false">IF(OR($A450="",$P450=0),"",$R450/$P450)</f>
        <v/>
      </c>
      <c r="T450" s="23"/>
      <c r="U450" s="14" t="str">
        <f aca="false">IF($A450="","",IF($M450&gt;0,"Live","Exited"))</f>
        <v/>
      </c>
      <c r="V450" s="20" t="str">
        <f aca="false">IF($A450="","",IF($A450='Client Report'!$C$4,COUNTIFS($A$6:$A450,'Client Report'!$C$4),""))</f>
        <v/>
      </c>
    </row>
    <row r="451" customFormat="false" ht="15" hidden="false" customHeight="false" outlineLevel="0" collapsed="false">
      <c r="A451" s="11"/>
      <c r="B451" s="11"/>
      <c r="C451" s="14" t="str">
        <f aca="false">IF($B451="","",IFERROR(TRIM(LEFT($B451,FIND(" - ",$B451)-1)),"Others"))</f>
        <v/>
      </c>
      <c r="D451" s="11"/>
      <c r="E451" s="11"/>
      <c r="F451" s="12"/>
      <c r="G451" s="21"/>
      <c r="H451" s="21"/>
      <c r="I451" s="21"/>
      <c r="J451" s="21"/>
      <c r="K451" s="21"/>
      <c r="L451" s="21"/>
      <c r="M451" s="21"/>
      <c r="N451" s="22"/>
      <c r="O451" s="22"/>
      <c r="P451" s="17" t="str">
        <f aca="false">IF($A451="","",SUM($G451:$I451))</f>
        <v/>
      </c>
      <c r="Q451" s="17" t="str">
        <f aca="false">IF($A451="","",SUM($J451:$L451))</f>
        <v/>
      </c>
      <c r="R451" s="17" t="str">
        <f aca="false">IF($A451="","",($M451+$Q451)-$P451)</f>
        <v/>
      </c>
      <c r="S451" s="18" t="str">
        <f aca="false">IF(OR($A451="",$P451=0),"",$R451/$P451)</f>
        <v/>
      </c>
      <c r="T451" s="23"/>
      <c r="U451" s="14" t="str">
        <f aca="false">IF($A451="","",IF($M451&gt;0,"Live","Exited"))</f>
        <v/>
      </c>
      <c r="V451" s="20" t="str">
        <f aca="false">IF($A451="","",IF($A451='Client Report'!$C$4,COUNTIFS($A$6:$A451,'Client Report'!$C$4),""))</f>
        <v/>
      </c>
    </row>
    <row r="452" customFormat="false" ht="15" hidden="false" customHeight="false" outlineLevel="0" collapsed="false">
      <c r="A452" s="11"/>
      <c r="B452" s="11"/>
      <c r="C452" s="14" t="str">
        <f aca="false">IF($B452="","",IFERROR(TRIM(LEFT($B452,FIND(" - ",$B452)-1)),"Others"))</f>
        <v/>
      </c>
      <c r="D452" s="11"/>
      <c r="E452" s="11"/>
      <c r="F452" s="12"/>
      <c r="G452" s="21"/>
      <c r="H452" s="21"/>
      <c r="I452" s="21"/>
      <c r="J452" s="21"/>
      <c r="K452" s="21"/>
      <c r="L452" s="21"/>
      <c r="M452" s="21"/>
      <c r="N452" s="22"/>
      <c r="O452" s="22"/>
      <c r="P452" s="17" t="str">
        <f aca="false">IF($A452="","",SUM($G452:$I452))</f>
        <v/>
      </c>
      <c r="Q452" s="17" t="str">
        <f aca="false">IF($A452="","",SUM($J452:$L452))</f>
        <v/>
      </c>
      <c r="R452" s="17" t="str">
        <f aca="false">IF($A452="","",($M452+$Q452)-$P452)</f>
        <v/>
      </c>
      <c r="S452" s="18" t="str">
        <f aca="false">IF(OR($A452="",$P452=0),"",$R452/$P452)</f>
        <v/>
      </c>
      <c r="T452" s="23"/>
      <c r="U452" s="14" t="str">
        <f aca="false">IF($A452="","",IF($M452&gt;0,"Live","Exited"))</f>
        <v/>
      </c>
      <c r="V452" s="20" t="str">
        <f aca="false">IF($A452="","",IF($A452='Client Report'!$C$4,COUNTIFS($A$6:$A452,'Client Report'!$C$4),""))</f>
        <v/>
      </c>
    </row>
    <row r="453" customFormat="false" ht="15" hidden="false" customHeight="false" outlineLevel="0" collapsed="false">
      <c r="A453" s="11"/>
      <c r="B453" s="11"/>
      <c r="C453" s="14" t="str">
        <f aca="false">IF($B453="","",IFERROR(TRIM(LEFT($B453,FIND(" - ",$B453)-1)),"Others"))</f>
        <v/>
      </c>
      <c r="D453" s="11"/>
      <c r="E453" s="11"/>
      <c r="F453" s="12"/>
      <c r="G453" s="21"/>
      <c r="H453" s="21"/>
      <c r="I453" s="21"/>
      <c r="J453" s="21"/>
      <c r="K453" s="21"/>
      <c r="L453" s="21"/>
      <c r="M453" s="21"/>
      <c r="N453" s="22"/>
      <c r="O453" s="22"/>
      <c r="P453" s="17" t="str">
        <f aca="false">IF($A453="","",SUM($G453:$I453))</f>
        <v/>
      </c>
      <c r="Q453" s="17" t="str">
        <f aca="false">IF($A453="","",SUM($J453:$L453))</f>
        <v/>
      </c>
      <c r="R453" s="17" t="str">
        <f aca="false">IF($A453="","",($M453+$Q453)-$P453)</f>
        <v/>
      </c>
      <c r="S453" s="18" t="str">
        <f aca="false">IF(OR($A453="",$P453=0),"",$R453/$P453)</f>
        <v/>
      </c>
      <c r="T453" s="23"/>
      <c r="U453" s="14" t="str">
        <f aca="false">IF($A453="","",IF($M453&gt;0,"Live","Exited"))</f>
        <v/>
      </c>
      <c r="V453" s="20" t="str">
        <f aca="false">IF($A453="","",IF($A453='Client Report'!$C$4,COUNTIFS($A$6:$A453,'Client Report'!$C$4),""))</f>
        <v/>
      </c>
    </row>
    <row r="454" customFormat="false" ht="15" hidden="false" customHeight="false" outlineLevel="0" collapsed="false">
      <c r="A454" s="11"/>
      <c r="B454" s="11"/>
      <c r="C454" s="14" t="str">
        <f aca="false">IF($B454="","",IFERROR(TRIM(LEFT($B454,FIND(" - ",$B454)-1)),"Others"))</f>
        <v/>
      </c>
      <c r="D454" s="11"/>
      <c r="E454" s="11"/>
      <c r="F454" s="12"/>
      <c r="G454" s="21"/>
      <c r="H454" s="21"/>
      <c r="I454" s="21"/>
      <c r="J454" s="21"/>
      <c r="K454" s="21"/>
      <c r="L454" s="21"/>
      <c r="M454" s="21"/>
      <c r="N454" s="22"/>
      <c r="O454" s="22"/>
      <c r="P454" s="17" t="str">
        <f aca="false">IF($A454="","",SUM($G454:$I454))</f>
        <v/>
      </c>
      <c r="Q454" s="17" t="str">
        <f aca="false">IF($A454="","",SUM($J454:$L454))</f>
        <v/>
      </c>
      <c r="R454" s="17" t="str">
        <f aca="false">IF($A454="","",($M454+$Q454)-$P454)</f>
        <v/>
      </c>
      <c r="S454" s="18" t="str">
        <f aca="false">IF(OR($A454="",$P454=0),"",$R454/$P454)</f>
        <v/>
      </c>
      <c r="T454" s="23"/>
      <c r="U454" s="14" t="str">
        <f aca="false">IF($A454="","",IF($M454&gt;0,"Live","Exited"))</f>
        <v/>
      </c>
      <c r="V454" s="20" t="str">
        <f aca="false">IF($A454="","",IF($A454='Client Report'!$C$4,COUNTIFS($A$6:$A454,'Client Report'!$C$4),""))</f>
        <v/>
      </c>
    </row>
    <row r="455" customFormat="false" ht="15" hidden="false" customHeight="false" outlineLevel="0" collapsed="false">
      <c r="A455" s="11"/>
      <c r="B455" s="11"/>
      <c r="C455" s="14" t="str">
        <f aca="false">IF($B455="","",IFERROR(TRIM(LEFT($B455,FIND(" - ",$B455)-1)),"Others"))</f>
        <v/>
      </c>
      <c r="D455" s="11"/>
      <c r="E455" s="11"/>
      <c r="F455" s="12"/>
      <c r="G455" s="21"/>
      <c r="H455" s="21"/>
      <c r="I455" s="21"/>
      <c r="J455" s="21"/>
      <c r="K455" s="21"/>
      <c r="L455" s="21"/>
      <c r="M455" s="21"/>
      <c r="N455" s="22"/>
      <c r="O455" s="22"/>
      <c r="P455" s="17" t="str">
        <f aca="false">IF($A455="","",SUM($G455:$I455))</f>
        <v/>
      </c>
      <c r="Q455" s="17" t="str">
        <f aca="false">IF($A455="","",SUM($J455:$L455))</f>
        <v/>
      </c>
      <c r="R455" s="17" t="str">
        <f aca="false">IF($A455="","",($M455+$Q455)-$P455)</f>
        <v/>
      </c>
      <c r="S455" s="18" t="str">
        <f aca="false">IF(OR($A455="",$P455=0),"",$R455/$P455)</f>
        <v/>
      </c>
      <c r="T455" s="23"/>
      <c r="U455" s="14" t="str">
        <f aca="false">IF($A455="","",IF($M455&gt;0,"Live","Exited"))</f>
        <v/>
      </c>
      <c r="V455" s="20" t="str">
        <f aca="false">IF($A455="","",IF($A455='Client Report'!$C$4,COUNTIFS($A$6:$A455,'Client Report'!$C$4),""))</f>
        <v/>
      </c>
    </row>
    <row r="456" customFormat="false" ht="15" hidden="false" customHeight="false" outlineLevel="0" collapsed="false">
      <c r="A456" s="11"/>
      <c r="B456" s="11"/>
      <c r="C456" s="14" t="str">
        <f aca="false">IF($B456="","",IFERROR(TRIM(LEFT($B456,FIND(" - ",$B456)-1)),"Others"))</f>
        <v/>
      </c>
      <c r="D456" s="11"/>
      <c r="E456" s="11"/>
      <c r="F456" s="12"/>
      <c r="G456" s="21"/>
      <c r="H456" s="21"/>
      <c r="I456" s="21"/>
      <c r="J456" s="21"/>
      <c r="K456" s="21"/>
      <c r="L456" s="21"/>
      <c r="M456" s="21"/>
      <c r="N456" s="22"/>
      <c r="O456" s="22"/>
      <c r="P456" s="17" t="str">
        <f aca="false">IF($A456="","",SUM($G456:$I456))</f>
        <v/>
      </c>
      <c r="Q456" s="17" t="str">
        <f aca="false">IF($A456="","",SUM($J456:$L456))</f>
        <v/>
      </c>
      <c r="R456" s="17" t="str">
        <f aca="false">IF($A456="","",($M456+$Q456)-$P456)</f>
        <v/>
      </c>
      <c r="S456" s="18" t="str">
        <f aca="false">IF(OR($A456="",$P456=0),"",$R456/$P456)</f>
        <v/>
      </c>
      <c r="T456" s="23"/>
      <c r="U456" s="14" t="str">
        <f aca="false">IF($A456="","",IF($M456&gt;0,"Live","Exited"))</f>
        <v/>
      </c>
      <c r="V456" s="20" t="str">
        <f aca="false">IF($A456="","",IF($A456='Client Report'!$C$4,COUNTIFS($A$6:$A456,'Client Report'!$C$4),""))</f>
        <v/>
      </c>
    </row>
    <row r="457" customFormat="false" ht="15" hidden="false" customHeight="false" outlineLevel="0" collapsed="false">
      <c r="A457" s="11"/>
      <c r="B457" s="11"/>
      <c r="C457" s="14" t="str">
        <f aca="false">IF($B457="","",IFERROR(TRIM(LEFT($B457,FIND(" - ",$B457)-1)),"Others"))</f>
        <v/>
      </c>
      <c r="D457" s="11"/>
      <c r="E457" s="11"/>
      <c r="F457" s="12"/>
      <c r="G457" s="21"/>
      <c r="H457" s="21"/>
      <c r="I457" s="21"/>
      <c r="J457" s="21"/>
      <c r="K457" s="21"/>
      <c r="L457" s="21"/>
      <c r="M457" s="21"/>
      <c r="N457" s="22"/>
      <c r="O457" s="22"/>
      <c r="P457" s="17" t="str">
        <f aca="false">IF($A457="","",SUM($G457:$I457))</f>
        <v/>
      </c>
      <c r="Q457" s="17" t="str">
        <f aca="false">IF($A457="","",SUM($J457:$L457))</f>
        <v/>
      </c>
      <c r="R457" s="17" t="str">
        <f aca="false">IF($A457="","",($M457+$Q457)-$P457)</f>
        <v/>
      </c>
      <c r="S457" s="18" t="str">
        <f aca="false">IF(OR($A457="",$P457=0),"",$R457/$P457)</f>
        <v/>
      </c>
      <c r="T457" s="23"/>
      <c r="U457" s="14" t="str">
        <f aca="false">IF($A457="","",IF($M457&gt;0,"Live","Exited"))</f>
        <v/>
      </c>
      <c r="V457" s="20" t="str">
        <f aca="false">IF($A457="","",IF($A457='Client Report'!$C$4,COUNTIFS($A$6:$A457,'Client Report'!$C$4),""))</f>
        <v/>
      </c>
    </row>
    <row r="458" customFormat="false" ht="15" hidden="false" customHeight="false" outlineLevel="0" collapsed="false">
      <c r="A458" s="11"/>
      <c r="B458" s="11"/>
      <c r="C458" s="14" t="str">
        <f aca="false">IF($B458="","",IFERROR(TRIM(LEFT($B458,FIND(" - ",$B458)-1)),"Others"))</f>
        <v/>
      </c>
      <c r="D458" s="11"/>
      <c r="E458" s="11"/>
      <c r="F458" s="12"/>
      <c r="G458" s="21"/>
      <c r="H458" s="21"/>
      <c r="I458" s="21"/>
      <c r="J458" s="21"/>
      <c r="K458" s="21"/>
      <c r="L458" s="21"/>
      <c r="M458" s="21"/>
      <c r="N458" s="22"/>
      <c r="O458" s="22"/>
      <c r="P458" s="17" t="str">
        <f aca="false">IF($A458="","",SUM($G458:$I458))</f>
        <v/>
      </c>
      <c r="Q458" s="17" t="str">
        <f aca="false">IF($A458="","",SUM($J458:$L458))</f>
        <v/>
      </c>
      <c r="R458" s="17" t="str">
        <f aca="false">IF($A458="","",($M458+$Q458)-$P458)</f>
        <v/>
      </c>
      <c r="S458" s="18" t="str">
        <f aca="false">IF(OR($A458="",$P458=0),"",$R458/$P458)</f>
        <v/>
      </c>
      <c r="T458" s="23"/>
      <c r="U458" s="14" t="str">
        <f aca="false">IF($A458="","",IF($M458&gt;0,"Live","Exited"))</f>
        <v/>
      </c>
      <c r="V458" s="20" t="str">
        <f aca="false">IF($A458="","",IF($A458='Client Report'!$C$4,COUNTIFS($A$6:$A458,'Client Report'!$C$4),""))</f>
        <v/>
      </c>
    </row>
    <row r="459" customFormat="false" ht="15" hidden="false" customHeight="false" outlineLevel="0" collapsed="false">
      <c r="A459" s="11"/>
      <c r="B459" s="11"/>
      <c r="C459" s="14" t="str">
        <f aca="false">IF($B459="","",IFERROR(TRIM(LEFT($B459,FIND(" - ",$B459)-1)),"Others"))</f>
        <v/>
      </c>
      <c r="D459" s="11"/>
      <c r="E459" s="11"/>
      <c r="F459" s="12"/>
      <c r="G459" s="21"/>
      <c r="H459" s="21"/>
      <c r="I459" s="21"/>
      <c r="J459" s="21"/>
      <c r="K459" s="21"/>
      <c r="L459" s="21"/>
      <c r="M459" s="21"/>
      <c r="N459" s="22"/>
      <c r="O459" s="22"/>
      <c r="P459" s="17" t="str">
        <f aca="false">IF($A459="","",SUM($G459:$I459))</f>
        <v/>
      </c>
      <c r="Q459" s="17" t="str">
        <f aca="false">IF($A459="","",SUM($J459:$L459))</f>
        <v/>
      </c>
      <c r="R459" s="17" t="str">
        <f aca="false">IF($A459="","",($M459+$Q459)-$P459)</f>
        <v/>
      </c>
      <c r="S459" s="18" t="str">
        <f aca="false">IF(OR($A459="",$P459=0),"",$R459/$P459)</f>
        <v/>
      </c>
      <c r="T459" s="23"/>
      <c r="U459" s="14" t="str">
        <f aca="false">IF($A459="","",IF($M459&gt;0,"Live","Exited"))</f>
        <v/>
      </c>
      <c r="V459" s="20" t="str">
        <f aca="false">IF($A459="","",IF($A459='Client Report'!$C$4,COUNTIFS($A$6:$A459,'Client Report'!$C$4),""))</f>
        <v/>
      </c>
    </row>
    <row r="460" customFormat="false" ht="15" hidden="false" customHeight="false" outlineLevel="0" collapsed="false">
      <c r="A460" s="11"/>
      <c r="B460" s="11"/>
      <c r="C460" s="14" t="str">
        <f aca="false">IF($B460="","",IFERROR(TRIM(LEFT($B460,FIND(" - ",$B460)-1)),"Others"))</f>
        <v/>
      </c>
      <c r="D460" s="11"/>
      <c r="E460" s="11"/>
      <c r="F460" s="12"/>
      <c r="G460" s="21"/>
      <c r="H460" s="21"/>
      <c r="I460" s="21"/>
      <c r="J460" s="21"/>
      <c r="K460" s="21"/>
      <c r="L460" s="21"/>
      <c r="M460" s="21"/>
      <c r="N460" s="22"/>
      <c r="O460" s="22"/>
      <c r="P460" s="17" t="str">
        <f aca="false">IF($A460="","",SUM($G460:$I460))</f>
        <v/>
      </c>
      <c r="Q460" s="17" t="str">
        <f aca="false">IF($A460="","",SUM($J460:$L460))</f>
        <v/>
      </c>
      <c r="R460" s="17" t="str">
        <f aca="false">IF($A460="","",($M460+$Q460)-$P460)</f>
        <v/>
      </c>
      <c r="S460" s="18" t="str">
        <f aca="false">IF(OR($A460="",$P460=0),"",$R460/$P460)</f>
        <v/>
      </c>
      <c r="T460" s="23"/>
      <c r="U460" s="14" t="str">
        <f aca="false">IF($A460="","",IF($M460&gt;0,"Live","Exited"))</f>
        <v/>
      </c>
      <c r="V460" s="20" t="str">
        <f aca="false">IF($A460="","",IF($A460='Client Report'!$C$4,COUNTIFS($A$6:$A460,'Client Report'!$C$4),""))</f>
        <v/>
      </c>
    </row>
    <row r="461" customFormat="false" ht="15" hidden="false" customHeight="false" outlineLevel="0" collapsed="false">
      <c r="A461" s="11"/>
      <c r="B461" s="11"/>
      <c r="C461" s="14" t="str">
        <f aca="false">IF($B461="","",IFERROR(TRIM(LEFT($B461,FIND(" - ",$B461)-1)),"Others"))</f>
        <v/>
      </c>
      <c r="D461" s="11"/>
      <c r="E461" s="11"/>
      <c r="F461" s="12"/>
      <c r="G461" s="21"/>
      <c r="H461" s="21"/>
      <c r="I461" s="21"/>
      <c r="J461" s="21"/>
      <c r="K461" s="21"/>
      <c r="L461" s="21"/>
      <c r="M461" s="21"/>
      <c r="N461" s="22"/>
      <c r="O461" s="22"/>
      <c r="P461" s="17" t="str">
        <f aca="false">IF($A461="","",SUM($G461:$I461))</f>
        <v/>
      </c>
      <c r="Q461" s="17" t="str">
        <f aca="false">IF($A461="","",SUM($J461:$L461))</f>
        <v/>
      </c>
      <c r="R461" s="17" t="str">
        <f aca="false">IF($A461="","",($M461+$Q461)-$P461)</f>
        <v/>
      </c>
      <c r="S461" s="18" t="str">
        <f aca="false">IF(OR($A461="",$P461=0),"",$R461/$P461)</f>
        <v/>
      </c>
      <c r="T461" s="23"/>
      <c r="U461" s="14" t="str">
        <f aca="false">IF($A461="","",IF($M461&gt;0,"Live","Exited"))</f>
        <v/>
      </c>
      <c r="V461" s="20" t="str">
        <f aca="false">IF($A461="","",IF($A461='Client Report'!$C$4,COUNTIFS($A$6:$A461,'Client Report'!$C$4),""))</f>
        <v/>
      </c>
    </row>
    <row r="462" customFormat="false" ht="15" hidden="false" customHeight="false" outlineLevel="0" collapsed="false">
      <c r="A462" s="11"/>
      <c r="B462" s="11"/>
      <c r="C462" s="14" t="str">
        <f aca="false">IF($B462="","",IFERROR(TRIM(LEFT($B462,FIND(" - ",$B462)-1)),"Others"))</f>
        <v/>
      </c>
      <c r="D462" s="11"/>
      <c r="E462" s="11"/>
      <c r="F462" s="12"/>
      <c r="G462" s="21"/>
      <c r="H462" s="21"/>
      <c r="I462" s="21"/>
      <c r="J462" s="21"/>
      <c r="K462" s="21"/>
      <c r="L462" s="21"/>
      <c r="M462" s="21"/>
      <c r="N462" s="22"/>
      <c r="O462" s="22"/>
      <c r="P462" s="17" t="str">
        <f aca="false">IF($A462="","",SUM($G462:$I462))</f>
        <v/>
      </c>
      <c r="Q462" s="17" t="str">
        <f aca="false">IF($A462="","",SUM($J462:$L462))</f>
        <v/>
      </c>
      <c r="R462" s="17" t="str">
        <f aca="false">IF($A462="","",($M462+$Q462)-$P462)</f>
        <v/>
      </c>
      <c r="S462" s="18" t="str">
        <f aca="false">IF(OR($A462="",$P462=0),"",$R462/$P462)</f>
        <v/>
      </c>
      <c r="T462" s="23"/>
      <c r="U462" s="14" t="str">
        <f aca="false">IF($A462="","",IF($M462&gt;0,"Live","Exited"))</f>
        <v/>
      </c>
      <c r="V462" s="20" t="str">
        <f aca="false">IF($A462="","",IF($A462='Client Report'!$C$4,COUNTIFS($A$6:$A462,'Client Report'!$C$4),""))</f>
        <v/>
      </c>
    </row>
    <row r="463" customFormat="false" ht="15" hidden="false" customHeight="false" outlineLevel="0" collapsed="false">
      <c r="A463" s="11"/>
      <c r="B463" s="11"/>
      <c r="C463" s="14" t="str">
        <f aca="false">IF($B463="","",IFERROR(TRIM(LEFT($B463,FIND(" - ",$B463)-1)),"Others"))</f>
        <v/>
      </c>
      <c r="D463" s="11"/>
      <c r="E463" s="11"/>
      <c r="F463" s="12"/>
      <c r="G463" s="21"/>
      <c r="H463" s="21"/>
      <c r="I463" s="21"/>
      <c r="J463" s="21"/>
      <c r="K463" s="21"/>
      <c r="L463" s="21"/>
      <c r="M463" s="21"/>
      <c r="N463" s="22"/>
      <c r="O463" s="22"/>
      <c r="P463" s="17" t="str">
        <f aca="false">IF($A463="","",SUM($G463:$I463))</f>
        <v/>
      </c>
      <c r="Q463" s="17" t="str">
        <f aca="false">IF($A463="","",SUM($J463:$L463))</f>
        <v/>
      </c>
      <c r="R463" s="17" t="str">
        <f aca="false">IF($A463="","",($M463+$Q463)-$P463)</f>
        <v/>
      </c>
      <c r="S463" s="18" t="str">
        <f aca="false">IF(OR($A463="",$P463=0),"",$R463/$P463)</f>
        <v/>
      </c>
      <c r="T463" s="23"/>
      <c r="U463" s="14" t="str">
        <f aca="false">IF($A463="","",IF($M463&gt;0,"Live","Exited"))</f>
        <v/>
      </c>
      <c r="V463" s="20" t="str">
        <f aca="false">IF($A463="","",IF($A463='Client Report'!$C$4,COUNTIFS($A$6:$A463,'Client Report'!$C$4),""))</f>
        <v/>
      </c>
    </row>
    <row r="464" customFormat="false" ht="15" hidden="false" customHeight="false" outlineLevel="0" collapsed="false">
      <c r="A464" s="11"/>
      <c r="B464" s="11"/>
      <c r="C464" s="14" t="str">
        <f aca="false">IF($B464="","",IFERROR(TRIM(LEFT($B464,FIND(" - ",$B464)-1)),"Others"))</f>
        <v/>
      </c>
      <c r="D464" s="11"/>
      <c r="E464" s="11"/>
      <c r="F464" s="12"/>
      <c r="G464" s="21"/>
      <c r="H464" s="21"/>
      <c r="I464" s="21"/>
      <c r="J464" s="21"/>
      <c r="K464" s="21"/>
      <c r="L464" s="21"/>
      <c r="M464" s="21"/>
      <c r="N464" s="22"/>
      <c r="O464" s="22"/>
      <c r="P464" s="17" t="str">
        <f aca="false">IF($A464="","",SUM($G464:$I464))</f>
        <v/>
      </c>
      <c r="Q464" s="17" t="str">
        <f aca="false">IF($A464="","",SUM($J464:$L464))</f>
        <v/>
      </c>
      <c r="R464" s="17" t="str">
        <f aca="false">IF($A464="","",($M464+$Q464)-$P464)</f>
        <v/>
      </c>
      <c r="S464" s="18" t="str">
        <f aca="false">IF(OR($A464="",$P464=0),"",$R464/$P464)</f>
        <v/>
      </c>
      <c r="T464" s="23"/>
      <c r="U464" s="14" t="str">
        <f aca="false">IF($A464="","",IF($M464&gt;0,"Live","Exited"))</f>
        <v/>
      </c>
      <c r="V464" s="20" t="str">
        <f aca="false">IF($A464="","",IF($A464='Client Report'!$C$4,COUNTIFS($A$6:$A464,'Client Report'!$C$4),""))</f>
        <v/>
      </c>
    </row>
    <row r="465" customFormat="false" ht="15" hidden="false" customHeight="false" outlineLevel="0" collapsed="false">
      <c r="A465" s="11"/>
      <c r="B465" s="11"/>
      <c r="C465" s="14" t="str">
        <f aca="false">IF($B465="","",IFERROR(TRIM(LEFT($B465,FIND(" - ",$B465)-1)),"Others"))</f>
        <v/>
      </c>
      <c r="D465" s="11"/>
      <c r="E465" s="11"/>
      <c r="F465" s="12"/>
      <c r="G465" s="21"/>
      <c r="H465" s="21"/>
      <c r="I465" s="21"/>
      <c r="J465" s="21"/>
      <c r="K465" s="21"/>
      <c r="L465" s="21"/>
      <c r="M465" s="21"/>
      <c r="N465" s="22"/>
      <c r="O465" s="22"/>
      <c r="P465" s="17" t="str">
        <f aca="false">IF($A465="","",SUM($G465:$I465))</f>
        <v/>
      </c>
      <c r="Q465" s="17" t="str">
        <f aca="false">IF($A465="","",SUM($J465:$L465))</f>
        <v/>
      </c>
      <c r="R465" s="17" t="str">
        <f aca="false">IF($A465="","",($M465+$Q465)-$P465)</f>
        <v/>
      </c>
      <c r="S465" s="18" t="str">
        <f aca="false">IF(OR($A465="",$P465=0),"",$R465/$P465)</f>
        <v/>
      </c>
      <c r="T465" s="23"/>
      <c r="U465" s="14" t="str">
        <f aca="false">IF($A465="","",IF($M465&gt;0,"Live","Exited"))</f>
        <v/>
      </c>
      <c r="V465" s="20" t="str">
        <f aca="false">IF($A465="","",IF($A465='Client Report'!$C$4,COUNTIFS($A$6:$A465,'Client Report'!$C$4),""))</f>
        <v/>
      </c>
    </row>
    <row r="466" customFormat="false" ht="15" hidden="false" customHeight="false" outlineLevel="0" collapsed="false">
      <c r="A466" s="11"/>
      <c r="B466" s="11"/>
      <c r="C466" s="14" t="str">
        <f aca="false">IF($B466="","",IFERROR(TRIM(LEFT($B466,FIND(" - ",$B466)-1)),"Others"))</f>
        <v/>
      </c>
      <c r="D466" s="11"/>
      <c r="E466" s="11"/>
      <c r="F466" s="12"/>
      <c r="G466" s="21"/>
      <c r="H466" s="21"/>
      <c r="I466" s="21"/>
      <c r="J466" s="21"/>
      <c r="K466" s="21"/>
      <c r="L466" s="21"/>
      <c r="M466" s="21"/>
      <c r="N466" s="22"/>
      <c r="O466" s="22"/>
      <c r="P466" s="17" t="str">
        <f aca="false">IF($A466="","",SUM($G466:$I466))</f>
        <v/>
      </c>
      <c r="Q466" s="17" t="str">
        <f aca="false">IF($A466="","",SUM($J466:$L466))</f>
        <v/>
      </c>
      <c r="R466" s="17" t="str">
        <f aca="false">IF($A466="","",($M466+$Q466)-$P466)</f>
        <v/>
      </c>
      <c r="S466" s="18" t="str">
        <f aca="false">IF(OR($A466="",$P466=0),"",$R466/$P466)</f>
        <v/>
      </c>
      <c r="T466" s="23"/>
      <c r="U466" s="14" t="str">
        <f aca="false">IF($A466="","",IF($M466&gt;0,"Live","Exited"))</f>
        <v/>
      </c>
      <c r="V466" s="20" t="str">
        <f aca="false">IF($A466="","",IF($A466='Client Report'!$C$4,COUNTIFS($A$6:$A466,'Client Report'!$C$4),""))</f>
        <v/>
      </c>
    </row>
    <row r="467" customFormat="false" ht="15" hidden="false" customHeight="false" outlineLevel="0" collapsed="false">
      <c r="A467" s="11"/>
      <c r="B467" s="11"/>
      <c r="C467" s="14" t="str">
        <f aca="false">IF($B467="","",IFERROR(TRIM(LEFT($B467,FIND(" - ",$B467)-1)),"Others"))</f>
        <v/>
      </c>
      <c r="D467" s="11"/>
      <c r="E467" s="11"/>
      <c r="F467" s="12"/>
      <c r="G467" s="21"/>
      <c r="H467" s="21"/>
      <c r="I467" s="21"/>
      <c r="J467" s="21"/>
      <c r="K467" s="21"/>
      <c r="L467" s="21"/>
      <c r="M467" s="21"/>
      <c r="N467" s="22"/>
      <c r="O467" s="22"/>
      <c r="P467" s="17" t="str">
        <f aca="false">IF($A467="","",SUM($G467:$I467))</f>
        <v/>
      </c>
      <c r="Q467" s="17" t="str">
        <f aca="false">IF($A467="","",SUM($J467:$L467))</f>
        <v/>
      </c>
      <c r="R467" s="17" t="str">
        <f aca="false">IF($A467="","",($M467+$Q467)-$P467)</f>
        <v/>
      </c>
      <c r="S467" s="18" t="str">
        <f aca="false">IF(OR($A467="",$P467=0),"",$R467/$P467)</f>
        <v/>
      </c>
      <c r="T467" s="23"/>
      <c r="U467" s="14" t="str">
        <f aca="false">IF($A467="","",IF($M467&gt;0,"Live","Exited"))</f>
        <v/>
      </c>
      <c r="V467" s="20" t="str">
        <f aca="false">IF($A467="","",IF($A467='Client Report'!$C$4,COUNTIFS($A$6:$A467,'Client Report'!$C$4),""))</f>
        <v/>
      </c>
    </row>
    <row r="468" customFormat="false" ht="15" hidden="false" customHeight="false" outlineLevel="0" collapsed="false">
      <c r="A468" s="11"/>
      <c r="B468" s="11"/>
      <c r="C468" s="14" t="str">
        <f aca="false">IF($B468="","",IFERROR(TRIM(LEFT($B468,FIND(" - ",$B468)-1)),"Others"))</f>
        <v/>
      </c>
      <c r="D468" s="11"/>
      <c r="E468" s="11"/>
      <c r="F468" s="12"/>
      <c r="G468" s="21"/>
      <c r="H468" s="21"/>
      <c r="I468" s="21"/>
      <c r="J468" s="21"/>
      <c r="K468" s="21"/>
      <c r="L468" s="21"/>
      <c r="M468" s="21"/>
      <c r="N468" s="22"/>
      <c r="O468" s="22"/>
      <c r="P468" s="17" t="str">
        <f aca="false">IF($A468="","",SUM($G468:$I468))</f>
        <v/>
      </c>
      <c r="Q468" s="17" t="str">
        <f aca="false">IF($A468="","",SUM($J468:$L468))</f>
        <v/>
      </c>
      <c r="R468" s="17" t="str">
        <f aca="false">IF($A468="","",($M468+$Q468)-$P468)</f>
        <v/>
      </c>
      <c r="S468" s="18" t="str">
        <f aca="false">IF(OR($A468="",$P468=0),"",$R468/$P468)</f>
        <v/>
      </c>
      <c r="T468" s="23"/>
      <c r="U468" s="14" t="str">
        <f aca="false">IF($A468="","",IF($M468&gt;0,"Live","Exited"))</f>
        <v/>
      </c>
      <c r="V468" s="20" t="str">
        <f aca="false">IF($A468="","",IF($A468='Client Report'!$C$4,COUNTIFS($A$6:$A468,'Client Report'!$C$4),""))</f>
        <v/>
      </c>
    </row>
    <row r="469" customFormat="false" ht="15" hidden="false" customHeight="false" outlineLevel="0" collapsed="false">
      <c r="A469" s="11"/>
      <c r="B469" s="11"/>
      <c r="C469" s="14" t="str">
        <f aca="false">IF($B469="","",IFERROR(TRIM(LEFT($B469,FIND(" - ",$B469)-1)),"Others"))</f>
        <v/>
      </c>
      <c r="D469" s="11"/>
      <c r="E469" s="11"/>
      <c r="F469" s="12"/>
      <c r="G469" s="21"/>
      <c r="H469" s="21"/>
      <c r="I469" s="21"/>
      <c r="J469" s="21"/>
      <c r="K469" s="21"/>
      <c r="L469" s="21"/>
      <c r="M469" s="21"/>
      <c r="N469" s="22"/>
      <c r="O469" s="22"/>
      <c r="P469" s="17" t="str">
        <f aca="false">IF($A469="","",SUM($G469:$I469))</f>
        <v/>
      </c>
      <c r="Q469" s="17" t="str">
        <f aca="false">IF($A469="","",SUM($J469:$L469))</f>
        <v/>
      </c>
      <c r="R469" s="17" t="str">
        <f aca="false">IF($A469="","",($M469+$Q469)-$P469)</f>
        <v/>
      </c>
      <c r="S469" s="18" t="str">
        <f aca="false">IF(OR($A469="",$P469=0),"",$R469/$P469)</f>
        <v/>
      </c>
      <c r="T469" s="23"/>
      <c r="U469" s="14" t="str">
        <f aca="false">IF($A469="","",IF($M469&gt;0,"Live","Exited"))</f>
        <v/>
      </c>
      <c r="V469" s="20" t="str">
        <f aca="false">IF($A469="","",IF($A469='Client Report'!$C$4,COUNTIFS($A$6:$A469,'Client Report'!$C$4),""))</f>
        <v/>
      </c>
    </row>
    <row r="470" customFormat="false" ht="15" hidden="false" customHeight="false" outlineLevel="0" collapsed="false">
      <c r="A470" s="11"/>
      <c r="B470" s="11"/>
      <c r="C470" s="14" t="str">
        <f aca="false">IF($B470="","",IFERROR(TRIM(LEFT($B470,FIND(" - ",$B470)-1)),"Others"))</f>
        <v/>
      </c>
      <c r="D470" s="11"/>
      <c r="E470" s="11"/>
      <c r="F470" s="12"/>
      <c r="G470" s="21"/>
      <c r="H470" s="21"/>
      <c r="I470" s="21"/>
      <c r="J470" s="21"/>
      <c r="K470" s="21"/>
      <c r="L470" s="21"/>
      <c r="M470" s="21"/>
      <c r="N470" s="22"/>
      <c r="O470" s="22"/>
      <c r="P470" s="17" t="str">
        <f aca="false">IF($A470="","",SUM($G470:$I470))</f>
        <v/>
      </c>
      <c r="Q470" s="17" t="str">
        <f aca="false">IF($A470="","",SUM($J470:$L470))</f>
        <v/>
      </c>
      <c r="R470" s="17" t="str">
        <f aca="false">IF($A470="","",($M470+$Q470)-$P470)</f>
        <v/>
      </c>
      <c r="S470" s="18" t="str">
        <f aca="false">IF(OR($A470="",$P470=0),"",$R470/$P470)</f>
        <v/>
      </c>
      <c r="T470" s="23"/>
      <c r="U470" s="14" t="str">
        <f aca="false">IF($A470="","",IF($M470&gt;0,"Live","Exited"))</f>
        <v/>
      </c>
      <c r="V470" s="20" t="str">
        <f aca="false">IF($A470="","",IF($A470='Client Report'!$C$4,COUNTIFS($A$6:$A470,'Client Report'!$C$4),""))</f>
        <v/>
      </c>
    </row>
    <row r="471" customFormat="false" ht="15" hidden="false" customHeight="false" outlineLevel="0" collapsed="false">
      <c r="A471" s="11"/>
      <c r="B471" s="11"/>
      <c r="C471" s="14" t="str">
        <f aca="false">IF($B471="","",IFERROR(TRIM(LEFT($B471,FIND(" - ",$B471)-1)),"Others"))</f>
        <v/>
      </c>
      <c r="D471" s="11"/>
      <c r="E471" s="11"/>
      <c r="F471" s="12"/>
      <c r="G471" s="21"/>
      <c r="H471" s="21"/>
      <c r="I471" s="21"/>
      <c r="J471" s="21"/>
      <c r="K471" s="21"/>
      <c r="L471" s="21"/>
      <c r="M471" s="21"/>
      <c r="N471" s="22"/>
      <c r="O471" s="22"/>
      <c r="P471" s="17" t="str">
        <f aca="false">IF($A471="","",SUM($G471:$I471))</f>
        <v/>
      </c>
      <c r="Q471" s="17" t="str">
        <f aca="false">IF($A471="","",SUM($J471:$L471))</f>
        <v/>
      </c>
      <c r="R471" s="17" t="str">
        <f aca="false">IF($A471="","",($M471+$Q471)-$P471)</f>
        <v/>
      </c>
      <c r="S471" s="18" t="str">
        <f aca="false">IF(OR($A471="",$P471=0),"",$R471/$P471)</f>
        <v/>
      </c>
      <c r="T471" s="23"/>
      <c r="U471" s="14" t="str">
        <f aca="false">IF($A471="","",IF($M471&gt;0,"Live","Exited"))</f>
        <v/>
      </c>
      <c r="V471" s="20" t="str">
        <f aca="false">IF($A471="","",IF($A471='Client Report'!$C$4,COUNTIFS($A$6:$A471,'Client Report'!$C$4),""))</f>
        <v/>
      </c>
    </row>
    <row r="472" customFormat="false" ht="15" hidden="false" customHeight="false" outlineLevel="0" collapsed="false">
      <c r="A472" s="11"/>
      <c r="B472" s="11"/>
      <c r="C472" s="14" t="str">
        <f aca="false">IF($B472="","",IFERROR(TRIM(LEFT($B472,FIND(" - ",$B472)-1)),"Others"))</f>
        <v/>
      </c>
      <c r="D472" s="11"/>
      <c r="E472" s="11"/>
      <c r="F472" s="12"/>
      <c r="G472" s="21"/>
      <c r="H472" s="21"/>
      <c r="I472" s="21"/>
      <c r="J472" s="21"/>
      <c r="K472" s="21"/>
      <c r="L472" s="21"/>
      <c r="M472" s="21"/>
      <c r="N472" s="22"/>
      <c r="O472" s="22"/>
      <c r="P472" s="17" t="str">
        <f aca="false">IF($A472="","",SUM($G472:$I472))</f>
        <v/>
      </c>
      <c r="Q472" s="17" t="str">
        <f aca="false">IF($A472="","",SUM($J472:$L472))</f>
        <v/>
      </c>
      <c r="R472" s="17" t="str">
        <f aca="false">IF($A472="","",($M472+$Q472)-$P472)</f>
        <v/>
      </c>
      <c r="S472" s="18" t="str">
        <f aca="false">IF(OR($A472="",$P472=0),"",$R472/$P472)</f>
        <v/>
      </c>
      <c r="T472" s="23"/>
      <c r="U472" s="14" t="str">
        <f aca="false">IF($A472="","",IF($M472&gt;0,"Live","Exited"))</f>
        <v/>
      </c>
      <c r="V472" s="20" t="str">
        <f aca="false">IF($A472="","",IF($A472='Client Report'!$C$4,COUNTIFS($A$6:$A472,'Client Report'!$C$4),""))</f>
        <v/>
      </c>
    </row>
    <row r="473" customFormat="false" ht="15" hidden="false" customHeight="false" outlineLevel="0" collapsed="false">
      <c r="A473" s="11"/>
      <c r="B473" s="11"/>
      <c r="C473" s="14" t="str">
        <f aca="false">IF($B473="","",IFERROR(TRIM(LEFT($B473,FIND(" - ",$B473)-1)),"Others"))</f>
        <v/>
      </c>
      <c r="D473" s="11"/>
      <c r="E473" s="11"/>
      <c r="F473" s="12"/>
      <c r="G473" s="21"/>
      <c r="H473" s="21"/>
      <c r="I473" s="21"/>
      <c r="J473" s="21"/>
      <c r="K473" s="21"/>
      <c r="L473" s="21"/>
      <c r="M473" s="21"/>
      <c r="N473" s="22"/>
      <c r="O473" s="22"/>
      <c r="P473" s="17" t="str">
        <f aca="false">IF($A473="","",SUM($G473:$I473))</f>
        <v/>
      </c>
      <c r="Q473" s="17" t="str">
        <f aca="false">IF($A473="","",SUM($J473:$L473))</f>
        <v/>
      </c>
      <c r="R473" s="17" t="str">
        <f aca="false">IF($A473="","",($M473+$Q473)-$P473)</f>
        <v/>
      </c>
      <c r="S473" s="18" t="str">
        <f aca="false">IF(OR($A473="",$P473=0),"",$R473/$P473)</f>
        <v/>
      </c>
      <c r="T473" s="23"/>
      <c r="U473" s="14" t="str">
        <f aca="false">IF($A473="","",IF($M473&gt;0,"Live","Exited"))</f>
        <v/>
      </c>
      <c r="V473" s="20" t="str">
        <f aca="false">IF($A473="","",IF($A473='Client Report'!$C$4,COUNTIFS($A$6:$A473,'Client Report'!$C$4),""))</f>
        <v/>
      </c>
    </row>
    <row r="474" customFormat="false" ht="15" hidden="false" customHeight="false" outlineLevel="0" collapsed="false">
      <c r="A474" s="11"/>
      <c r="B474" s="11"/>
      <c r="C474" s="14" t="str">
        <f aca="false">IF($B474="","",IFERROR(TRIM(LEFT($B474,FIND(" - ",$B474)-1)),"Others"))</f>
        <v/>
      </c>
      <c r="D474" s="11"/>
      <c r="E474" s="11"/>
      <c r="F474" s="12"/>
      <c r="G474" s="21"/>
      <c r="H474" s="21"/>
      <c r="I474" s="21"/>
      <c r="J474" s="21"/>
      <c r="K474" s="21"/>
      <c r="L474" s="21"/>
      <c r="M474" s="21"/>
      <c r="N474" s="22"/>
      <c r="O474" s="22"/>
      <c r="P474" s="17" t="str">
        <f aca="false">IF($A474="","",SUM($G474:$I474))</f>
        <v/>
      </c>
      <c r="Q474" s="17" t="str">
        <f aca="false">IF($A474="","",SUM($J474:$L474))</f>
        <v/>
      </c>
      <c r="R474" s="17" t="str">
        <f aca="false">IF($A474="","",($M474+$Q474)-$P474)</f>
        <v/>
      </c>
      <c r="S474" s="18" t="str">
        <f aca="false">IF(OR($A474="",$P474=0),"",$R474/$P474)</f>
        <v/>
      </c>
      <c r="T474" s="23"/>
      <c r="U474" s="14" t="str">
        <f aca="false">IF($A474="","",IF($M474&gt;0,"Live","Exited"))</f>
        <v/>
      </c>
      <c r="V474" s="20" t="str">
        <f aca="false">IF($A474="","",IF($A474='Client Report'!$C$4,COUNTIFS($A$6:$A474,'Client Report'!$C$4),""))</f>
        <v/>
      </c>
    </row>
    <row r="475" customFormat="false" ht="15" hidden="false" customHeight="false" outlineLevel="0" collapsed="false">
      <c r="A475" s="11"/>
      <c r="B475" s="11"/>
      <c r="C475" s="14" t="str">
        <f aca="false">IF($B475="","",IFERROR(TRIM(LEFT($B475,FIND(" - ",$B475)-1)),"Others"))</f>
        <v/>
      </c>
      <c r="D475" s="11"/>
      <c r="E475" s="11"/>
      <c r="F475" s="12"/>
      <c r="G475" s="21"/>
      <c r="H475" s="21"/>
      <c r="I475" s="21"/>
      <c r="J475" s="21"/>
      <c r="K475" s="21"/>
      <c r="L475" s="21"/>
      <c r="M475" s="21"/>
      <c r="N475" s="22"/>
      <c r="O475" s="22"/>
      <c r="P475" s="17" t="str">
        <f aca="false">IF($A475="","",SUM($G475:$I475))</f>
        <v/>
      </c>
      <c r="Q475" s="17" t="str">
        <f aca="false">IF($A475="","",SUM($J475:$L475))</f>
        <v/>
      </c>
      <c r="R475" s="17" t="str">
        <f aca="false">IF($A475="","",($M475+$Q475)-$P475)</f>
        <v/>
      </c>
      <c r="S475" s="18" t="str">
        <f aca="false">IF(OR($A475="",$P475=0),"",$R475/$P475)</f>
        <v/>
      </c>
      <c r="T475" s="23"/>
      <c r="U475" s="14" t="str">
        <f aca="false">IF($A475="","",IF($M475&gt;0,"Live","Exited"))</f>
        <v/>
      </c>
      <c r="V475" s="20" t="str">
        <f aca="false">IF($A475="","",IF($A475='Client Report'!$C$4,COUNTIFS($A$6:$A475,'Client Report'!$C$4),""))</f>
        <v/>
      </c>
    </row>
    <row r="476" customFormat="false" ht="15" hidden="false" customHeight="false" outlineLevel="0" collapsed="false">
      <c r="A476" s="11"/>
      <c r="B476" s="11"/>
      <c r="C476" s="14" t="str">
        <f aca="false">IF($B476="","",IFERROR(TRIM(LEFT($B476,FIND(" - ",$B476)-1)),"Others"))</f>
        <v/>
      </c>
      <c r="D476" s="11"/>
      <c r="E476" s="11"/>
      <c r="F476" s="12"/>
      <c r="G476" s="21"/>
      <c r="H476" s="21"/>
      <c r="I476" s="21"/>
      <c r="J476" s="21"/>
      <c r="K476" s="21"/>
      <c r="L476" s="21"/>
      <c r="M476" s="21"/>
      <c r="N476" s="22"/>
      <c r="O476" s="22"/>
      <c r="P476" s="17" t="str">
        <f aca="false">IF($A476="","",SUM($G476:$I476))</f>
        <v/>
      </c>
      <c r="Q476" s="17" t="str">
        <f aca="false">IF($A476="","",SUM($J476:$L476))</f>
        <v/>
      </c>
      <c r="R476" s="17" t="str">
        <f aca="false">IF($A476="","",($M476+$Q476)-$P476)</f>
        <v/>
      </c>
      <c r="S476" s="18" t="str">
        <f aca="false">IF(OR($A476="",$P476=0),"",$R476/$P476)</f>
        <v/>
      </c>
      <c r="T476" s="23"/>
      <c r="U476" s="14" t="str">
        <f aca="false">IF($A476="","",IF($M476&gt;0,"Live","Exited"))</f>
        <v/>
      </c>
      <c r="V476" s="20" t="str">
        <f aca="false">IF($A476="","",IF($A476='Client Report'!$C$4,COUNTIFS($A$6:$A476,'Client Report'!$C$4),""))</f>
        <v/>
      </c>
    </row>
    <row r="477" customFormat="false" ht="15" hidden="false" customHeight="false" outlineLevel="0" collapsed="false">
      <c r="A477" s="11"/>
      <c r="B477" s="11"/>
      <c r="C477" s="14" t="str">
        <f aca="false">IF($B477="","",IFERROR(TRIM(LEFT($B477,FIND(" - ",$B477)-1)),"Others"))</f>
        <v/>
      </c>
      <c r="D477" s="11"/>
      <c r="E477" s="11"/>
      <c r="F477" s="12"/>
      <c r="G477" s="21"/>
      <c r="H477" s="21"/>
      <c r="I477" s="21"/>
      <c r="J477" s="21"/>
      <c r="K477" s="21"/>
      <c r="L477" s="21"/>
      <c r="M477" s="21"/>
      <c r="N477" s="22"/>
      <c r="O477" s="22"/>
      <c r="P477" s="17" t="str">
        <f aca="false">IF($A477="","",SUM($G477:$I477))</f>
        <v/>
      </c>
      <c r="Q477" s="17" t="str">
        <f aca="false">IF($A477="","",SUM($J477:$L477))</f>
        <v/>
      </c>
      <c r="R477" s="17" t="str">
        <f aca="false">IF($A477="","",($M477+$Q477)-$P477)</f>
        <v/>
      </c>
      <c r="S477" s="18" t="str">
        <f aca="false">IF(OR($A477="",$P477=0),"",$R477/$P477)</f>
        <v/>
      </c>
      <c r="T477" s="23"/>
      <c r="U477" s="14" t="str">
        <f aca="false">IF($A477="","",IF($M477&gt;0,"Live","Exited"))</f>
        <v/>
      </c>
      <c r="V477" s="20" t="str">
        <f aca="false">IF($A477="","",IF($A477='Client Report'!$C$4,COUNTIFS($A$6:$A477,'Client Report'!$C$4),""))</f>
        <v/>
      </c>
    </row>
    <row r="478" customFormat="false" ht="15" hidden="false" customHeight="false" outlineLevel="0" collapsed="false">
      <c r="A478" s="11"/>
      <c r="B478" s="11"/>
      <c r="C478" s="14" t="str">
        <f aca="false">IF($B478="","",IFERROR(TRIM(LEFT($B478,FIND(" - ",$B478)-1)),"Others"))</f>
        <v/>
      </c>
      <c r="D478" s="11"/>
      <c r="E478" s="11"/>
      <c r="F478" s="12"/>
      <c r="G478" s="21"/>
      <c r="H478" s="21"/>
      <c r="I478" s="21"/>
      <c r="J478" s="21"/>
      <c r="K478" s="21"/>
      <c r="L478" s="21"/>
      <c r="M478" s="21"/>
      <c r="N478" s="22"/>
      <c r="O478" s="22"/>
      <c r="P478" s="17" t="str">
        <f aca="false">IF($A478="","",SUM($G478:$I478))</f>
        <v/>
      </c>
      <c r="Q478" s="17" t="str">
        <f aca="false">IF($A478="","",SUM($J478:$L478))</f>
        <v/>
      </c>
      <c r="R478" s="17" t="str">
        <f aca="false">IF($A478="","",($M478+$Q478)-$P478)</f>
        <v/>
      </c>
      <c r="S478" s="18" t="str">
        <f aca="false">IF(OR($A478="",$P478=0),"",$R478/$P478)</f>
        <v/>
      </c>
      <c r="T478" s="23"/>
      <c r="U478" s="14" t="str">
        <f aca="false">IF($A478="","",IF($M478&gt;0,"Live","Exited"))</f>
        <v/>
      </c>
      <c r="V478" s="20" t="str">
        <f aca="false">IF($A478="","",IF($A478='Client Report'!$C$4,COUNTIFS($A$6:$A478,'Client Report'!$C$4),""))</f>
        <v/>
      </c>
    </row>
    <row r="479" customFormat="false" ht="15" hidden="false" customHeight="false" outlineLevel="0" collapsed="false">
      <c r="A479" s="11"/>
      <c r="B479" s="11"/>
      <c r="C479" s="14" t="str">
        <f aca="false">IF($B479="","",IFERROR(TRIM(LEFT($B479,FIND(" - ",$B479)-1)),"Others"))</f>
        <v/>
      </c>
      <c r="D479" s="11"/>
      <c r="E479" s="11"/>
      <c r="F479" s="12"/>
      <c r="G479" s="21"/>
      <c r="H479" s="21"/>
      <c r="I479" s="21"/>
      <c r="J479" s="21"/>
      <c r="K479" s="21"/>
      <c r="L479" s="21"/>
      <c r="M479" s="21"/>
      <c r="N479" s="22"/>
      <c r="O479" s="22"/>
      <c r="P479" s="17" t="str">
        <f aca="false">IF($A479="","",SUM($G479:$I479))</f>
        <v/>
      </c>
      <c r="Q479" s="17" t="str">
        <f aca="false">IF($A479="","",SUM($J479:$L479))</f>
        <v/>
      </c>
      <c r="R479" s="17" t="str">
        <f aca="false">IF($A479="","",($M479+$Q479)-$P479)</f>
        <v/>
      </c>
      <c r="S479" s="18" t="str">
        <f aca="false">IF(OR($A479="",$P479=0),"",$R479/$P479)</f>
        <v/>
      </c>
      <c r="T479" s="23"/>
      <c r="U479" s="14" t="str">
        <f aca="false">IF($A479="","",IF($M479&gt;0,"Live","Exited"))</f>
        <v/>
      </c>
      <c r="V479" s="20" t="str">
        <f aca="false">IF($A479="","",IF($A479='Client Report'!$C$4,COUNTIFS($A$6:$A479,'Client Report'!$C$4),""))</f>
        <v/>
      </c>
    </row>
    <row r="480" customFormat="false" ht="15" hidden="false" customHeight="false" outlineLevel="0" collapsed="false">
      <c r="A480" s="11"/>
      <c r="B480" s="11"/>
      <c r="C480" s="14" t="str">
        <f aca="false">IF($B480="","",IFERROR(TRIM(LEFT($B480,FIND(" - ",$B480)-1)),"Others"))</f>
        <v/>
      </c>
      <c r="D480" s="11"/>
      <c r="E480" s="11"/>
      <c r="F480" s="12"/>
      <c r="G480" s="21"/>
      <c r="H480" s="21"/>
      <c r="I480" s="21"/>
      <c r="J480" s="21"/>
      <c r="K480" s="21"/>
      <c r="L480" s="21"/>
      <c r="M480" s="21"/>
      <c r="N480" s="22"/>
      <c r="O480" s="22"/>
      <c r="P480" s="17" t="str">
        <f aca="false">IF($A480="","",SUM($G480:$I480))</f>
        <v/>
      </c>
      <c r="Q480" s="17" t="str">
        <f aca="false">IF($A480="","",SUM($J480:$L480))</f>
        <v/>
      </c>
      <c r="R480" s="17" t="str">
        <f aca="false">IF($A480="","",($M480+$Q480)-$P480)</f>
        <v/>
      </c>
      <c r="S480" s="18" t="str">
        <f aca="false">IF(OR($A480="",$P480=0),"",$R480/$P480)</f>
        <v/>
      </c>
      <c r="T480" s="23"/>
      <c r="U480" s="14" t="str">
        <f aca="false">IF($A480="","",IF($M480&gt;0,"Live","Exited"))</f>
        <v/>
      </c>
      <c r="V480" s="20" t="str">
        <f aca="false">IF($A480="","",IF($A480='Client Report'!$C$4,COUNTIFS($A$6:$A480,'Client Report'!$C$4),""))</f>
        <v/>
      </c>
    </row>
    <row r="481" customFormat="false" ht="15" hidden="false" customHeight="false" outlineLevel="0" collapsed="false">
      <c r="A481" s="11"/>
      <c r="B481" s="11"/>
      <c r="C481" s="14" t="str">
        <f aca="false">IF($B481="","",IFERROR(TRIM(LEFT($B481,FIND(" - ",$B481)-1)),"Others"))</f>
        <v/>
      </c>
      <c r="D481" s="11"/>
      <c r="E481" s="11"/>
      <c r="F481" s="12"/>
      <c r="G481" s="21"/>
      <c r="H481" s="21"/>
      <c r="I481" s="21"/>
      <c r="J481" s="21"/>
      <c r="K481" s="21"/>
      <c r="L481" s="21"/>
      <c r="M481" s="21"/>
      <c r="N481" s="22"/>
      <c r="O481" s="22"/>
      <c r="P481" s="17" t="str">
        <f aca="false">IF($A481="","",SUM($G481:$I481))</f>
        <v/>
      </c>
      <c r="Q481" s="17" t="str">
        <f aca="false">IF($A481="","",SUM($J481:$L481))</f>
        <v/>
      </c>
      <c r="R481" s="17" t="str">
        <f aca="false">IF($A481="","",($M481+$Q481)-$P481)</f>
        <v/>
      </c>
      <c r="S481" s="18" t="str">
        <f aca="false">IF(OR($A481="",$P481=0),"",$R481/$P481)</f>
        <v/>
      </c>
      <c r="T481" s="23"/>
      <c r="U481" s="14" t="str">
        <f aca="false">IF($A481="","",IF($M481&gt;0,"Live","Exited"))</f>
        <v/>
      </c>
      <c r="V481" s="20" t="str">
        <f aca="false">IF($A481="","",IF($A481='Client Report'!$C$4,COUNTIFS($A$6:$A481,'Client Report'!$C$4),""))</f>
        <v/>
      </c>
    </row>
    <row r="482" customFormat="false" ht="15" hidden="false" customHeight="false" outlineLevel="0" collapsed="false">
      <c r="A482" s="11"/>
      <c r="B482" s="11"/>
      <c r="C482" s="14" t="str">
        <f aca="false">IF($B482="","",IFERROR(TRIM(LEFT($B482,FIND(" - ",$B482)-1)),"Others"))</f>
        <v/>
      </c>
      <c r="D482" s="11"/>
      <c r="E482" s="11"/>
      <c r="F482" s="12"/>
      <c r="G482" s="21"/>
      <c r="H482" s="21"/>
      <c r="I482" s="21"/>
      <c r="J482" s="21"/>
      <c r="K482" s="21"/>
      <c r="L482" s="21"/>
      <c r="M482" s="21"/>
      <c r="N482" s="22"/>
      <c r="O482" s="22"/>
      <c r="P482" s="17" t="str">
        <f aca="false">IF($A482="","",SUM($G482:$I482))</f>
        <v/>
      </c>
      <c r="Q482" s="17" t="str">
        <f aca="false">IF($A482="","",SUM($J482:$L482))</f>
        <v/>
      </c>
      <c r="R482" s="17" t="str">
        <f aca="false">IF($A482="","",($M482+$Q482)-$P482)</f>
        <v/>
      </c>
      <c r="S482" s="18" t="str">
        <f aca="false">IF(OR($A482="",$P482=0),"",$R482/$P482)</f>
        <v/>
      </c>
      <c r="T482" s="23"/>
      <c r="U482" s="14" t="str">
        <f aca="false">IF($A482="","",IF($M482&gt;0,"Live","Exited"))</f>
        <v/>
      </c>
      <c r="V482" s="20" t="str">
        <f aca="false">IF($A482="","",IF($A482='Client Report'!$C$4,COUNTIFS($A$6:$A482,'Client Report'!$C$4),""))</f>
        <v/>
      </c>
    </row>
    <row r="483" customFormat="false" ht="15" hidden="false" customHeight="false" outlineLevel="0" collapsed="false">
      <c r="A483" s="11"/>
      <c r="B483" s="11"/>
      <c r="C483" s="14" t="str">
        <f aca="false">IF($B483="","",IFERROR(TRIM(LEFT($B483,FIND(" - ",$B483)-1)),"Others"))</f>
        <v/>
      </c>
      <c r="D483" s="11"/>
      <c r="E483" s="11"/>
      <c r="F483" s="12"/>
      <c r="G483" s="21"/>
      <c r="H483" s="21"/>
      <c r="I483" s="21"/>
      <c r="J483" s="21"/>
      <c r="K483" s="21"/>
      <c r="L483" s="21"/>
      <c r="M483" s="21"/>
      <c r="N483" s="22"/>
      <c r="O483" s="22"/>
      <c r="P483" s="17" t="str">
        <f aca="false">IF($A483="","",SUM($G483:$I483))</f>
        <v/>
      </c>
      <c r="Q483" s="17" t="str">
        <f aca="false">IF($A483="","",SUM($J483:$L483))</f>
        <v/>
      </c>
      <c r="R483" s="17" t="str">
        <f aca="false">IF($A483="","",($M483+$Q483)-$P483)</f>
        <v/>
      </c>
      <c r="S483" s="18" t="str">
        <f aca="false">IF(OR($A483="",$P483=0),"",$R483/$P483)</f>
        <v/>
      </c>
      <c r="T483" s="23"/>
      <c r="U483" s="14" t="str">
        <f aca="false">IF($A483="","",IF($M483&gt;0,"Live","Exited"))</f>
        <v/>
      </c>
      <c r="V483" s="20" t="str">
        <f aca="false">IF($A483="","",IF($A483='Client Report'!$C$4,COUNTIFS($A$6:$A483,'Client Report'!$C$4),""))</f>
        <v/>
      </c>
    </row>
    <row r="484" customFormat="false" ht="15" hidden="false" customHeight="false" outlineLevel="0" collapsed="false">
      <c r="A484" s="11"/>
      <c r="B484" s="11"/>
      <c r="C484" s="14" t="str">
        <f aca="false">IF($B484="","",IFERROR(TRIM(LEFT($B484,FIND(" - ",$B484)-1)),"Others"))</f>
        <v/>
      </c>
      <c r="D484" s="11"/>
      <c r="E484" s="11"/>
      <c r="F484" s="12"/>
      <c r="G484" s="21"/>
      <c r="H484" s="21"/>
      <c r="I484" s="21"/>
      <c r="J484" s="21"/>
      <c r="K484" s="21"/>
      <c r="L484" s="21"/>
      <c r="M484" s="21"/>
      <c r="N484" s="22"/>
      <c r="O484" s="22"/>
      <c r="P484" s="17" t="str">
        <f aca="false">IF($A484="","",SUM($G484:$I484))</f>
        <v/>
      </c>
      <c r="Q484" s="17" t="str">
        <f aca="false">IF($A484="","",SUM($J484:$L484))</f>
        <v/>
      </c>
      <c r="R484" s="17" t="str">
        <f aca="false">IF($A484="","",($M484+$Q484)-$P484)</f>
        <v/>
      </c>
      <c r="S484" s="18" t="str">
        <f aca="false">IF(OR($A484="",$P484=0),"",$R484/$P484)</f>
        <v/>
      </c>
      <c r="T484" s="23"/>
      <c r="U484" s="14" t="str">
        <f aca="false">IF($A484="","",IF($M484&gt;0,"Live","Exited"))</f>
        <v/>
      </c>
      <c r="V484" s="20" t="str">
        <f aca="false">IF($A484="","",IF($A484='Client Report'!$C$4,COUNTIFS($A$6:$A484,'Client Report'!$C$4),""))</f>
        <v/>
      </c>
    </row>
    <row r="485" customFormat="false" ht="15" hidden="false" customHeight="false" outlineLevel="0" collapsed="false">
      <c r="A485" s="11"/>
      <c r="B485" s="11"/>
      <c r="C485" s="14" t="str">
        <f aca="false">IF($B485="","",IFERROR(TRIM(LEFT($B485,FIND(" - ",$B485)-1)),"Others"))</f>
        <v/>
      </c>
      <c r="D485" s="11"/>
      <c r="E485" s="11"/>
      <c r="F485" s="12"/>
      <c r="G485" s="21"/>
      <c r="H485" s="21"/>
      <c r="I485" s="21"/>
      <c r="J485" s="21"/>
      <c r="K485" s="21"/>
      <c r="L485" s="21"/>
      <c r="M485" s="21"/>
      <c r="N485" s="22"/>
      <c r="O485" s="22"/>
      <c r="P485" s="17" t="str">
        <f aca="false">IF($A485="","",SUM($G485:$I485))</f>
        <v/>
      </c>
      <c r="Q485" s="17" t="str">
        <f aca="false">IF($A485="","",SUM($J485:$L485))</f>
        <v/>
      </c>
      <c r="R485" s="17" t="str">
        <f aca="false">IF($A485="","",($M485+$Q485)-$P485)</f>
        <v/>
      </c>
      <c r="S485" s="18" t="str">
        <f aca="false">IF(OR($A485="",$P485=0),"",$R485/$P485)</f>
        <v/>
      </c>
      <c r="T485" s="23"/>
      <c r="U485" s="14" t="str">
        <f aca="false">IF($A485="","",IF($M485&gt;0,"Live","Exited"))</f>
        <v/>
      </c>
      <c r="V485" s="20" t="str">
        <f aca="false">IF($A485="","",IF($A485='Client Report'!$C$4,COUNTIFS($A$6:$A485,'Client Report'!$C$4),""))</f>
        <v/>
      </c>
    </row>
    <row r="486" customFormat="false" ht="15" hidden="false" customHeight="false" outlineLevel="0" collapsed="false">
      <c r="A486" s="11"/>
      <c r="B486" s="11"/>
      <c r="C486" s="14" t="str">
        <f aca="false">IF($B486="","",IFERROR(TRIM(LEFT($B486,FIND(" - ",$B486)-1)),"Others"))</f>
        <v/>
      </c>
      <c r="D486" s="11"/>
      <c r="E486" s="11"/>
      <c r="F486" s="12"/>
      <c r="G486" s="21"/>
      <c r="H486" s="21"/>
      <c r="I486" s="21"/>
      <c r="J486" s="21"/>
      <c r="K486" s="21"/>
      <c r="L486" s="21"/>
      <c r="M486" s="21"/>
      <c r="N486" s="22"/>
      <c r="O486" s="22"/>
      <c r="P486" s="17" t="str">
        <f aca="false">IF($A486="","",SUM($G486:$I486))</f>
        <v/>
      </c>
      <c r="Q486" s="17" t="str">
        <f aca="false">IF($A486="","",SUM($J486:$L486))</f>
        <v/>
      </c>
      <c r="R486" s="17" t="str">
        <f aca="false">IF($A486="","",($M486+$Q486)-$P486)</f>
        <v/>
      </c>
      <c r="S486" s="18" t="str">
        <f aca="false">IF(OR($A486="",$P486=0),"",$R486/$P486)</f>
        <v/>
      </c>
      <c r="T486" s="23"/>
      <c r="U486" s="14" t="str">
        <f aca="false">IF($A486="","",IF($M486&gt;0,"Live","Exited"))</f>
        <v/>
      </c>
      <c r="V486" s="20" t="str">
        <f aca="false">IF($A486="","",IF($A486='Client Report'!$C$4,COUNTIFS($A$6:$A486,'Client Report'!$C$4),""))</f>
        <v/>
      </c>
    </row>
    <row r="487" customFormat="false" ht="15" hidden="false" customHeight="false" outlineLevel="0" collapsed="false">
      <c r="A487" s="11"/>
      <c r="B487" s="11"/>
      <c r="C487" s="14" t="str">
        <f aca="false">IF($B487="","",IFERROR(TRIM(LEFT($B487,FIND(" - ",$B487)-1)),"Others"))</f>
        <v/>
      </c>
      <c r="D487" s="11"/>
      <c r="E487" s="11"/>
      <c r="F487" s="12"/>
      <c r="G487" s="21"/>
      <c r="H487" s="21"/>
      <c r="I487" s="21"/>
      <c r="J487" s="21"/>
      <c r="K487" s="21"/>
      <c r="L487" s="21"/>
      <c r="M487" s="21"/>
      <c r="N487" s="22"/>
      <c r="O487" s="22"/>
      <c r="P487" s="17" t="str">
        <f aca="false">IF($A487="","",SUM($G487:$I487))</f>
        <v/>
      </c>
      <c r="Q487" s="17" t="str">
        <f aca="false">IF($A487="","",SUM($J487:$L487))</f>
        <v/>
      </c>
      <c r="R487" s="17" t="str">
        <f aca="false">IF($A487="","",($M487+$Q487)-$P487)</f>
        <v/>
      </c>
      <c r="S487" s="18" t="str">
        <f aca="false">IF(OR($A487="",$P487=0),"",$R487/$P487)</f>
        <v/>
      </c>
      <c r="T487" s="23"/>
      <c r="U487" s="14" t="str">
        <f aca="false">IF($A487="","",IF($M487&gt;0,"Live","Exited"))</f>
        <v/>
      </c>
      <c r="V487" s="20" t="str">
        <f aca="false">IF($A487="","",IF($A487='Client Report'!$C$4,COUNTIFS($A$6:$A487,'Client Report'!$C$4),""))</f>
        <v/>
      </c>
    </row>
    <row r="488" customFormat="false" ht="15" hidden="false" customHeight="false" outlineLevel="0" collapsed="false">
      <c r="A488" s="11"/>
      <c r="B488" s="11"/>
      <c r="C488" s="14" t="str">
        <f aca="false">IF($B488="","",IFERROR(TRIM(LEFT($B488,FIND(" - ",$B488)-1)),"Others"))</f>
        <v/>
      </c>
      <c r="D488" s="11"/>
      <c r="E488" s="11"/>
      <c r="F488" s="12"/>
      <c r="G488" s="21"/>
      <c r="H488" s="21"/>
      <c r="I488" s="21"/>
      <c r="J488" s="21"/>
      <c r="K488" s="21"/>
      <c r="L488" s="21"/>
      <c r="M488" s="21"/>
      <c r="N488" s="22"/>
      <c r="O488" s="22"/>
      <c r="P488" s="17" t="str">
        <f aca="false">IF($A488="","",SUM($G488:$I488))</f>
        <v/>
      </c>
      <c r="Q488" s="17" t="str">
        <f aca="false">IF($A488="","",SUM($J488:$L488))</f>
        <v/>
      </c>
      <c r="R488" s="17" t="str">
        <f aca="false">IF($A488="","",($M488+$Q488)-$P488)</f>
        <v/>
      </c>
      <c r="S488" s="18" t="str">
        <f aca="false">IF(OR($A488="",$P488=0),"",$R488/$P488)</f>
        <v/>
      </c>
      <c r="T488" s="23"/>
      <c r="U488" s="14" t="str">
        <f aca="false">IF($A488="","",IF($M488&gt;0,"Live","Exited"))</f>
        <v/>
      </c>
      <c r="V488" s="20" t="str">
        <f aca="false">IF($A488="","",IF($A488='Client Report'!$C$4,COUNTIFS($A$6:$A488,'Client Report'!$C$4),""))</f>
        <v/>
      </c>
    </row>
    <row r="489" customFormat="false" ht="15" hidden="false" customHeight="false" outlineLevel="0" collapsed="false">
      <c r="A489" s="11"/>
      <c r="B489" s="11"/>
      <c r="C489" s="14" t="str">
        <f aca="false">IF($B489="","",IFERROR(TRIM(LEFT($B489,FIND(" - ",$B489)-1)),"Others"))</f>
        <v/>
      </c>
      <c r="D489" s="11"/>
      <c r="E489" s="11"/>
      <c r="F489" s="12"/>
      <c r="G489" s="21"/>
      <c r="H489" s="21"/>
      <c r="I489" s="21"/>
      <c r="J489" s="21"/>
      <c r="K489" s="21"/>
      <c r="L489" s="21"/>
      <c r="M489" s="21"/>
      <c r="N489" s="22"/>
      <c r="O489" s="22"/>
      <c r="P489" s="17" t="str">
        <f aca="false">IF($A489="","",SUM($G489:$I489))</f>
        <v/>
      </c>
      <c r="Q489" s="17" t="str">
        <f aca="false">IF($A489="","",SUM($J489:$L489))</f>
        <v/>
      </c>
      <c r="R489" s="17" t="str">
        <f aca="false">IF($A489="","",($M489+$Q489)-$P489)</f>
        <v/>
      </c>
      <c r="S489" s="18" t="str">
        <f aca="false">IF(OR($A489="",$P489=0),"",$R489/$P489)</f>
        <v/>
      </c>
      <c r="T489" s="23"/>
      <c r="U489" s="14" t="str">
        <f aca="false">IF($A489="","",IF($M489&gt;0,"Live","Exited"))</f>
        <v/>
      </c>
      <c r="V489" s="20" t="str">
        <f aca="false">IF($A489="","",IF($A489='Client Report'!$C$4,COUNTIFS($A$6:$A489,'Client Report'!$C$4),""))</f>
        <v/>
      </c>
    </row>
    <row r="490" customFormat="false" ht="15" hidden="false" customHeight="false" outlineLevel="0" collapsed="false">
      <c r="A490" s="11"/>
      <c r="B490" s="11"/>
      <c r="C490" s="14" t="str">
        <f aca="false">IF($B490="","",IFERROR(TRIM(LEFT($B490,FIND(" - ",$B490)-1)),"Others"))</f>
        <v/>
      </c>
      <c r="D490" s="11"/>
      <c r="E490" s="11"/>
      <c r="F490" s="12"/>
      <c r="G490" s="21"/>
      <c r="H490" s="21"/>
      <c r="I490" s="21"/>
      <c r="J490" s="21"/>
      <c r="K490" s="21"/>
      <c r="L490" s="21"/>
      <c r="M490" s="21"/>
      <c r="N490" s="22"/>
      <c r="O490" s="22"/>
      <c r="P490" s="17" t="str">
        <f aca="false">IF($A490="","",SUM($G490:$I490))</f>
        <v/>
      </c>
      <c r="Q490" s="17" t="str">
        <f aca="false">IF($A490="","",SUM($J490:$L490))</f>
        <v/>
      </c>
      <c r="R490" s="17" t="str">
        <f aca="false">IF($A490="","",($M490+$Q490)-$P490)</f>
        <v/>
      </c>
      <c r="S490" s="18" t="str">
        <f aca="false">IF(OR($A490="",$P490=0),"",$R490/$P490)</f>
        <v/>
      </c>
      <c r="T490" s="23"/>
      <c r="U490" s="14" t="str">
        <f aca="false">IF($A490="","",IF($M490&gt;0,"Live","Exited"))</f>
        <v/>
      </c>
      <c r="V490" s="20" t="str">
        <f aca="false">IF($A490="","",IF($A490='Client Report'!$C$4,COUNTIFS($A$6:$A490,'Client Report'!$C$4),""))</f>
        <v/>
      </c>
    </row>
    <row r="491" customFormat="false" ht="15" hidden="false" customHeight="false" outlineLevel="0" collapsed="false">
      <c r="A491" s="11"/>
      <c r="B491" s="11"/>
      <c r="C491" s="14" t="str">
        <f aca="false">IF($B491="","",IFERROR(TRIM(LEFT($B491,FIND(" - ",$B491)-1)),"Others"))</f>
        <v/>
      </c>
      <c r="D491" s="11"/>
      <c r="E491" s="11"/>
      <c r="F491" s="12"/>
      <c r="G491" s="21"/>
      <c r="H491" s="21"/>
      <c r="I491" s="21"/>
      <c r="J491" s="21"/>
      <c r="K491" s="21"/>
      <c r="L491" s="21"/>
      <c r="M491" s="21"/>
      <c r="N491" s="22"/>
      <c r="O491" s="22"/>
      <c r="P491" s="17" t="str">
        <f aca="false">IF($A491="","",SUM($G491:$I491))</f>
        <v/>
      </c>
      <c r="Q491" s="17" t="str">
        <f aca="false">IF($A491="","",SUM($J491:$L491))</f>
        <v/>
      </c>
      <c r="R491" s="17" t="str">
        <f aca="false">IF($A491="","",($M491+$Q491)-$P491)</f>
        <v/>
      </c>
      <c r="S491" s="18" t="str">
        <f aca="false">IF(OR($A491="",$P491=0),"",$R491/$P491)</f>
        <v/>
      </c>
      <c r="T491" s="23"/>
      <c r="U491" s="14" t="str">
        <f aca="false">IF($A491="","",IF($M491&gt;0,"Live","Exited"))</f>
        <v/>
      </c>
      <c r="V491" s="20" t="str">
        <f aca="false">IF($A491="","",IF($A491='Client Report'!$C$4,COUNTIFS($A$6:$A491,'Client Report'!$C$4),""))</f>
        <v/>
      </c>
    </row>
    <row r="492" customFormat="false" ht="15" hidden="false" customHeight="false" outlineLevel="0" collapsed="false">
      <c r="A492" s="11"/>
      <c r="B492" s="11"/>
      <c r="C492" s="14" t="str">
        <f aca="false">IF($B492="","",IFERROR(TRIM(LEFT($B492,FIND(" - ",$B492)-1)),"Others"))</f>
        <v/>
      </c>
      <c r="D492" s="11"/>
      <c r="E492" s="11"/>
      <c r="F492" s="12"/>
      <c r="G492" s="21"/>
      <c r="H492" s="21"/>
      <c r="I492" s="21"/>
      <c r="J492" s="21"/>
      <c r="K492" s="21"/>
      <c r="L492" s="21"/>
      <c r="M492" s="21"/>
      <c r="N492" s="22"/>
      <c r="O492" s="22"/>
      <c r="P492" s="17" t="str">
        <f aca="false">IF($A492="","",SUM($G492:$I492))</f>
        <v/>
      </c>
      <c r="Q492" s="17" t="str">
        <f aca="false">IF($A492="","",SUM($J492:$L492))</f>
        <v/>
      </c>
      <c r="R492" s="17" t="str">
        <f aca="false">IF($A492="","",($M492+$Q492)-$P492)</f>
        <v/>
      </c>
      <c r="S492" s="18" t="str">
        <f aca="false">IF(OR($A492="",$P492=0),"",$R492/$P492)</f>
        <v/>
      </c>
      <c r="T492" s="23"/>
      <c r="U492" s="14" t="str">
        <f aca="false">IF($A492="","",IF($M492&gt;0,"Live","Exited"))</f>
        <v/>
      </c>
      <c r="V492" s="20" t="str">
        <f aca="false">IF($A492="","",IF($A492='Client Report'!$C$4,COUNTIFS($A$6:$A492,'Client Report'!$C$4),""))</f>
        <v/>
      </c>
    </row>
    <row r="493" customFormat="false" ht="15" hidden="false" customHeight="false" outlineLevel="0" collapsed="false">
      <c r="A493" s="11"/>
      <c r="B493" s="11"/>
      <c r="C493" s="14" t="str">
        <f aca="false">IF($B493="","",IFERROR(TRIM(LEFT($B493,FIND(" - ",$B493)-1)),"Others"))</f>
        <v/>
      </c>
      <c r="D493" s="11"/>
      <c r="E493" s="11"/>
      <c r="F493" s="12"/>
      <c r="G493" s="21"/>
      <c r="H493" s="21"/>
      <c r="I493" s="21"/>
      <c r="J493" s="21"/>
      <c r="K493" s="21"/>
      <c r="L493" s="21"/>
      <c r="M493" s="21"/>
      <c r="N493" s="22"/>
      <c r="O493" s="22"/>
      <c r="P493" s="17" t="str">
        <f aca="false">IF($A493="","",SUM($G493:$I493))</f>
        <v/>
      </c>
      <c r="Q493" s="17" t="str">
        <f aca="false">IF($A493="","",SUM($J493:$L493))</f>
        <v/>
      </c>
      <c r="R493" s="17" t="str">
        <f aca="false">IF($A493="","",($M493+$Q493)-$P493)</f>
        <v/>
      </c>
      <c r="S493" s="18" t="str">
        <f aca="false">IF(OR($A493="",$P493=0),"",$R493/$P493)</f>
        <v/>
      </c>
      <c r="T493" s="23"/>
      <c r="U493" s="14" t="str">
        <f aca="false">IF($A493="","",IF($M493&gt;0,"Live","Exited"))</f>
        <v/>
      </c>
      <c r="V493" s="20" t="str">
        <f aca="false">IF($A493="","",IF($A493='Client Report'!$C$4,COUNTIFS($A$6:$A493,'Client Report'!$C$4),""))</f>
        <v/>
      </c>
    </row>
    <row r="494" customFormat="false" ht="15" hidden="false" customHeight="false" outlineLevel="0" collapsed="false">
      <c r="A494" s="11"/>
      <c r="B494" s="11"/>
      <c r="C494" s="14" t="str">
        <f aca="false">IF($B494="","",IFERROR(TRIM(LEFT($B494,FIND(" - ",$B494)-1)),"Others"))</f>
        <v/>
      </c>
      <c r="D494" s="11"/>
      <c r="E494" s="11"/>
      <c r="F494" s="12"/>
      <c r="G494" s="21"/>
      <c r="H494" s="21"/>
      <c r="I494" s="21"/>
      <c r="J494" s="21"/>
      <c r="K494" s="21"/>
      <c r="L494" s="21"/>
      <c r="M494" s="21"/>
      <c r="N494" s="22"/>
      <c r="O494" s="22"/>
      <c r="P494" s="17" t="str">
        <f aca="false">IF($A494="","",SUM($G494:$I494))</f>
        <v/>
      </c>
      <c r="Q494" s="17" t="str">
        <f aca="false">IF($A494="","",SUM($J494:$L494))</f>
        <v/>
      </c>
      <c r="R494" s="17" t="str">
        <f aca="false">IF($A494="","",($M494+$Q494)-$P494)</f>
        <v/>
      </c>
      <c r="S494" s="18" t="str">
        <f aca="false">IF(OR($A494="",$P494=0),"",$R494/$P494)</f>
        <v/>
      </c>
      <c r="T494" s="23"/>
      <c r="U494" s="14" t="str">
        <f aca="false">IF($A494="","",IF($M494&gt;0,"Live","Exited"))</f>
        <v/>
      </c>
      <c r="V494" s="20" t="str">
        <f aca="false">IF($A494="","",IF($A494='Client Report'!$C$4,COUNTIFS($A$6:$A494,'Client Report'!$C$4),""))</f>
        <v/>
      </c>
    </row>
    <row r="495" customFormat="false" ht="15" hidden="false" customHeight="false" outlineLevel="0" collapsed="false">
      <c r="A495" s="11"/>
      <c r="B495" s="11"/>
      <c r="C495" s="14" t="str">
        <f aca="false">IF($B495="","",IFERROR(TRIM(LEFT($B495,FIND(" - ",$B495)-1)),"Others"))</f>
        <v/>
      </c>
      <c r="D495" s="11"/>
      <c r="E495" s="11"/>
      <c r="F495" s="12"/>
      <c r="G495" s="21"/>
      <c r="H495" s="21"/>
      <c r="I495" s="21"/>
      <c r="J495" s="21"/>
      <c r="K495" s="21"/>
      <c r="L495" s="21"/>
      <c r="M495" s="21"/>
      <c r="N495" s="22"/>
      <c r="O495" s="22"/>
      <c r="P495" s="17" t="str">
        <f aca="false">IF($A495="","",SUM($G495:$I495))</f>
        <v/>
      </c>
      <c r="Q495" s="17" t="str">
        <f aca="false">IF($A495="","",SUM($J495:$L495))</f>
        <v/>
      </c>
      <c r="R495" s="17" t="str">
        <f aca="false">IF($A495="","",($M495+$Q495)-$P495)</f>
        <v/>
      </c>
      <c r="S495" s="18" t="str">
        <f aca="false">IF(OR($A495="",$P495=0),"",$R495/$P495)</f>
        <v/>
      </c>
      <c r="T495" s="23"/>
      <c r="U495" s="14" t="str">
        <f aca="false">IF($A495="","",IF($M495&gt;0,"Live","Exited"))</f>
        <v/>
      </c>
      <c r="V495" s="20" t="str">
        <f aca="false">IF($A495="","",IF($A495='Client Report'!$C$4,COUNTIFS($A$6:$A495,'Client Report'!$C$4),""))</f>
        <v/>
      </c>
    </row>
    <row r="496" customFormat="false" ht="15" hidden="false" customHeight="false" outlineLevel="0" collapsed="false">
      <c r="A496" s="11"/>
      <c r="B496" s="11"/>
      <c r="C496" s="14" t="str">
        <f aca="false">IF($B496="","",IFERROR(TRIM(LEFT($B496,FIND(" - ",$B496)-1)),"Others"))</f>
        <v/>
      </c>
      <c r="D496" s="11"/>
      <c r="E496" s="11"/>
      <c r="F496" s="12"/>
      <c r="G496" s="21"/>
      <c r="H496" s="21"/>
      <c r="I496" s="21"/>
      <c r="J496" s="21"/>
      <c r="K496" s="21"/>
      <c r="L496" s="21"/>
      <c r="M496" s="21"/>
      <c r="N496" s="22"/>
      <c r="O496" s="22"/>
      <c r="P496" s="17" t="str">
        <f aca="false">IF($A496="","",SUM($G496:$I496))</f>
        <v/>
      </c>
      <c r="Q496" s="17" t="str">
        <f aca="false">IF($A496="","",SUM($J496:$L496))</f>
        <v/>
      </c>
      <c r="R496" s="17" t="str">
        <f aca="false">IF($A496="","",($M496+$Q496)-$P496)</f>
        <v/>
      </c>
      <c r="S496" s="18" t="str">
        <f aca="false">IF(OR($A496="",$P496=0),"",$R496/$P496)</f>
        <v/>
      </c>
      <c r="T496" s="23"/>
      <c r="U496" s="14" t="str">
        <f aca="false">IF($A496="","",IF($M496&gt;0,"Live","Exited"))</f>
        <v/>
      </c>
      <c r="V496" s="20" t="str">
        <f aca="false">IF($A496="","",IF($A496='Client Report'!$C$4,COUNTIFS($A$6:$A496,'Client Report'!$C$4),""))</f>
        <v/>
      </c>
    </row>
    <row r="497" customFormat="false" ht="15" hidden="false" customHeight="false" outlineLevel="0" collapsed="false">
      <c r="A497" s="11"/>
      <c r="B497" s="11"/>
      <c r="C497" s="14" t="str">
        <f aca="false">IF($B497="","",IFERROR(TRIM(LEFT($B497,FIND(" - ",$B497)-1)),"Others"))</f>
        <v/>
      </c>
      <c r="D497" s="11"/>
      <c r="E497" s="11"/>
      <c r="F497" s="12"/>
      <c r="G497" s="21"/>
      <c r="H497" s="21"/>
      <c r="I497" s="21"/>
      <c r="J497" s="21"/>
      <c r="K497" s="21"/>
      <c r="L497" s="21"/>
      <c r="M497" s="21"/>
      <c r="N497" s="22"/>
      <c r="O497" s="22"/>
      <c r="P497" s="17" t="str">
        <f aca="false">IF($A497="","",SUM($G497:$I497))</f>
        <v/>
      </c>
      <c r="Q497" s="17" t="str">
        <f aca="false">IF($A497="","",SUM($J497:$L497))</f>
        <v/>
      </c>
      <c r="R497" s="17" t="str">
        <f aca="false">IF($A497="","",($M497+$Q497)-$P497)</f>
        <v/>
      </c>
      <c r="S497" s="18" t="str">
        <f aca="false">IF(OR($A497="",$P497=0),"",$R497/$P497)</f>
        <v/>
      </c>
      <c r="T497" s="23"/>
      <c r="U497" s="14" t="str">
        <f aca="false">IF($A497="","",IF($M497&gt;0,"Live","Exited"))</f>
        <v/>
      </c>
      <c r="V497" s="20" t="str">
        <f aca="false">IF($A497="","",IF($A497='Client Report'!$C$4,COUNTIFS($A$6:$A497,'Client Report'!$C$4),""))</f>
        <v/>
      </c>
    </row>
    <row r="498" customFormat="false" ht="15" hidden="false" customHeight="false" outlineLevel="0" collapsed="false">
      <c r="A498" s="11"/>
      <c r="B498" s="11"/>
      <c r="C498" s="14" t="str">
        <f aca="false">IF($B498="","",IFERROR(TRIM(LEFT($B498,FIND(" - ",$B498)-1)),"Others"))</f>
        <v/>
      </c>
      <c r="D498" s="11"/>
      <c r="E498" s="11"/>
      <c r="F498" s="12"/>
      <c r="G498" s="21"/>
      <c r="H498" s="21"/>
      <c r="I498" s="21"/>
      <c r="J498" s="21"/>
      <c r="K498" s="21"/>
      <c r="L498" s="21"/>
      <c r="M498" s="21"/>
      <c r="N498" s="22"/>
      <c r="O498" s="22"/>
      <c r="P498" s="17" t="str">
        <f aca="false">IF($A498="","",SUM($G498:$I498))</f>
        <v/>
      </c>
      <c r="Q498" s="17" t="str">
        <f aca="false">IF($A498="","",SUM($J498:$L498))</f>
        <v/>
      </c>
      <c r="R498" s="17" t="str">
        <f aca="false">IF($A498="","",($M498+$Q498)-$P498)</f>
        <v/>
      </c>
      <c r="S498" s="18" t="str">
        <f aca="false">IF(OR($A498="",$P498=0),"",$R498/$P498)</f>
        <v/>
      </c>
      <c r="T498" s="23"/>
      <c r="U498" s="14" t="str">
        <f aca="false">IF($A498="","",IF($M498&gt;0,"Live","Exited"))</f>
        <v/>
      </c>
      <c r="V498" s="20" t="str">
        <f aca="false">IF($A498="","",IF($A498='Client Report'!$C$4,COUNTIFS($A$6:$A498,'Client Report'!$C$4),""))</f>
        <v/>
      </c>
    </row>
    <row r="499" customFormat="false" ht="15" hidden="false" customHeight="false" outlineLevel="0" collapsed="false">
      <c r="A499" s="11"/>
      <c r="B499" s="11"/>
      <c r="C499" s="14" t="str">
        <f aca="false">IF($B499="","",IFERROR(TRIM(LEFT($B499,FIND(" - ",$B499)-1)),"Others"))</f>
        <v/>
      </c>
      <c r="D499" s="11"/>
      <c r="E499" s="11"/>
      <c r="F499" s="12"/>
      <c r="G499" s="21"/>
      <c r="H499" s="21"/>
      <c r="I499" s="21"/>
      <c r="J499" s="21"/>
      <c r="K499" s="21"/>
      <c r="L499" s="21"/>
      <c r="M499" s="21"/>
      <c r="N499" s="22"/>
      <c r="O499" s="22"/>
      <c r="P499" s="17" t="str">
        <f aca="false">IF($A499="","",SUM($G499:$I499))</f>
        <v/>
      </c>
      <c r="Q499" s="17" t="str">
        <f aca="false">IF($A499="","",SUM($J499:$L499))</f>
        <v/>
      </c>
      <c r="R499" s="17" t="str">
        <f aca="false">IF($A499="","",($M499+$Q499)-$P499)</f>
        <v/>
      </c>
      <c r="S499" s="18" t="str">
        <f aca="false">IF(OR($A499="",$P499=0),"",$R499/$P499)</f>
        <v/>
      </c>
      <c r="T499" s="23"/>
      <c r="U499" s="14" t="str">
        <f aca="false">IF($A499="","",IF($M499&gt;0,"Live","Exited"))</f>
        <v/>
      </c>
      <c r="V499" s="20" t="str">
        <f aca="false">IF($A499="","",IF($A499='Client Report'!$C$4,COUNTIFS($A$6:$A499,'Client Report'!$C$4),""))</f>
        <v/>
      </c>
    </row>
    <row r="500" customFormat="false" ht="15" hidden="false" customHeight="false" outlineLevel="0" collapsed="false">
      <c r="A500" s="11"/>
      <c r="B500" s="11"/>
      <c r="C500" s="14" t="str">
        <f aca="false">IF($B500="","",IFERROR(TRIM(LEFT($B500,FIND(" - ",$B500)-1)),"Others"))</f>
        <v/>
      </c>
      <c r="D500" s="11"/>
      <c r="E500" s="11"/>
      <c r="F500" s="12"/>
      <c r="G500" s="21"/>
      <c r="H500" s="21"/>
      <c r="I500" s="21"/>
      <c r="J500" s="21"/>
      <c r="K500" s="21"/>
      <c r="L500" s="21"/>
      <c r="M500" s="21"/>
      <c r="N500" s="22"/>
      <c r="O500" s="22"/>
      <c r="P500" s="17" t="str">
        <f aca="false">IF($A500="","",SUM($G500:$I500))</f>
        <v/>
      </c>
      <c r="Q500" s="17" t="str">
        <f aca="false">IF($A500="","",SUM($J500:$L500))</f>
        <v/>
      </c>
      <c r="R500" s="17" t="str">
        <f aca="false">IF($A500="","",($M500+$Q500)-$P500)</f>
        <v/>
      </c>
      <c r="S500" s="18" t="str">
        <f aca="false">IF(OR($A500="",$P500=0),"",$R500/$P500)</f>
        <v/>
      </c>
      <c r="T500" s="23"/>
      <c r="U500" s="14" t="str">
        <f aca="false">IF($A500="","",IF($M500&gt;0,"Live","Exited"))</f>
        <v/>
      </c>
      <c r="V500" s="20" t="str">
        <f aca="false">IF($A500="","",IF($A500='Client Report'!$C$4,COUNTIFS($A$6:$A500,'Client Report'!$C$4),""))</f>
        <v/>
      </c>
    </row>
    <row r="501" customFormat="false" ht="15" hidden="false" customHeight="false" outlineLevel="0" collapsed="false">
      <c r="A501" s="11"/>
      <c r="B501" s="11"/>
      <c r="C501" s="14" t="str">
        <f aca="false">IF($B501="","",IFERROR(TRIM(LEFT($B501,FIND(" - ",$B501)-1)),"Others"))</f>
        <v/>
      </c>
      <c r="D501" s="11"/>
      <c r="E501" s="11"/>
      <c r="F501" s="12"/>
      <c r="G501" s="21"/>
      <c r="H501" s="21"/>
      <c r="I501" s="21"/>
      <c r="J501" s="21"/>
      <c r="K501" s="21"/>
      <c r="L501" s="21"/>
      <c r="M501" s="21"/>
      <c r="N501" s="22"/>
      <c r="O501" s="22"/>
      <c r="P501" s="17" t="str">
        <f aca="false">IF($A501="","",SUM($G501:$I501))</f>
        <v/>
      </c>
      <c r="Q501" s="17" t="str">
        <f aca="false">IF($A501="","",SUM($J501:$L501))</f>
        <v/>
      </c>
      <c r="R501" s="17" t="str">
        <f aca="false">IF($A501="","",($M501+$Q501)-$P501)</f>
        <v/>
      </c>
      <c r="S501" s="18" t="str">
        <f aca="false">IF(OR($A501="",$P501=0),"",$R501/$P501)</f>
        <v/>
      </c>
      <c r="T501" s="23"/>
      <c r="U501" s="14" t="str">
        <f aca="false">IF($A501="","",IF($M501&gt;0,"Live","Exited"))</f>
        <v/>
      </c>
      <c r="V501" s="20" t="str">
        <f aca="false">IF($A501="","",IF($A501='Client Report'!$C$4,COUNTIFS($A$6:$A501,'Client Report'!$C$4),""))</f>
        <v/>
      </c>
    </row>
    <row r="502" customFormat="false" ht="15" hidden="false" customHeight="false" outlineLevel="0" collapsed="false">
      <c r="A502" s="11"/>
      <c r="B502" s="11"/>
      <c r="C502" s="14" t="str">
        <f aca="false">IF($B502="","",IFERROR(TRIM(LEFT($B502,FIND(" - ",$B502)-1)),"Others"))</f>
        <v/>
      </c>
      <c r="D502" s="11"/>
      <c r="E502" s="11"/>
      <c r="F502" s="12"/>
      <c r="G502" s="21"/>
      <c r="H502" s="21"/>
      <c r="I502" s="21"/>
      <c r="J502" s="21"/>
      <c r="K502" s="21"/>
      <c r="L502" s="21"/>
      <c r="M502" s="21"/>
      <c r="N502" s="22"/>
      <c r="O502" s="22"/>
      <c r="P502" s="17" t="str">
        <f aca="false">IF($A502="","",SUM($G502:$I502))</f>
        <v/>
      </c>
      <c r="Q502" s="17" t="str">
        <f aca="false">IF($A502="","",SUM($J502:$L502))</f>
        <v/>
      </c>
      <c r="R502" s="17" t="str">
        <f aca="false">IF($A502="","",($M502+$Q502)-$P502)</f>
        <v/>
      </c>
      <c r="S502" s="18" t="str">
        <f aca="false">IF(OR($A502="",$P502=0),"",$R502/$P502)</f>
        <v/>
      </c>
      <c r="T502" s="23"/>
      <c r="U502" s="14" t="str">
        <f aca="false">IF($A502="","",IF($M502&gt;0,"Live","Exited"))</f>
        <v/>
      </c>
      <c r="V502" s="20" t="str">
        <f aca="false">IF($A502="","",IF($A502='Client Report'!$C$4,COUNTIFS($A$6:$A502,'Client Report'!$C$4),""))</f>
        <v/>
      </c>
    </row>
    <row r="503" customFormat="false" ht="15" hidden="false" customHeight="false" outlineLevel="0" collapsed="false">
      <c r="A503" s="11"/>
      <c r="B503" s="11"/>
      <c r="C503" s="14" t="str">
        <f aca="false">IF($B503="","",IFERROR(TRIM(LEFT($B503,FIND(" - ",$B503)-1)),"Others"))</f>
        <v/>
      </c>
      <c r="D503" s="11"/>
      <c r="E503" s="11"/>
      <c r="F503" s="12"/>
      <c r="G503" s="21"/>
      <c r="H503" s="21"/>
      <c r="I503" s="21"/>
      <c r="J503" s="21"/>
      <c r="K503" s="21"/>
      <c r="L503" s="21"/>
      <c r="M503" s="21"/>
      <c r="N503" s="22"/>
      <c r="O503" s="22"/>
      <c r="P503" s="17" t="str">
        <f aca="false">IF($A503="","",SUM($G503:$I503))</f>
        <v/>
      </c>
      <c r="Q503" s="17" t="str">
        <f aca="false">IF($A503="","",SUM($J503:$L503))</f>
        <v/>
      </c>
      <c r="R503" s="17" t="str">
        <f aca="false">IF($A503="","",($M503+$Q503)-$P503)</f>
        <v/>
      </c>
      <c r="S503" s="18" t="str">
        <f aca="false">IF(OR($A503="",$P503=0),"",$R503/$P503)</f>
        <v/>
      </c>
      <c r="T503" s="23"/>
      <c r="U503" s="14" t="str">
        <f aca="false">IF($A503="","",IF($M503&gt;0,"Live","Exited"))</f>
        <v/>
      </c>
      <c r="V503" s="20" t="str">
        <f aca="false">IF($A503="","",IF($A503='Client Report'!$C$4,COUNTIFS($A$6:$A503,'Client Report'!$C$4),""))</f>
        <v/>
      </c>
    </row>
    <row r="504" customFormat="false" ht="15" hidden="false" customHeight="false" outlineLevel="0" collapsed="false">
      <c r="A504" s="11"/>
      <c r="B504" s="11"/>
      <c r="C504" s="14" t="str">
        <f aca="false">IF($B504="","",IFERROR(TRIM(LEFT($B504,FIND(" - ",$B504)-1)),"Others"))</f>
        <v/>
      </c>
      <c r="D504" s="11"/>
      <c r="E504" s="11"/>
      <c r="F504" s="12"/>
      <c r="G504" s="21"/>
      <c r="H504" s="21"/>
      <c r="I504" s="21"/>
      <c r="J504" s="21"/>
      <c r="K504" s="21"/>
      <c r="L504" s="21"/>
      <c r="M504" s="21"/>
      <c r="N504" s="22"/>
      <c r="O504" s="22"/>
      <c r="P504" s="17" t="str">
        <f aca="false">IF($A504="","",SUM($G504:$I504))</f>
        <v/>
      </c>
      <c r="Q504" s="17" t="str">
        <f aca="false">IF($A504="","",SUM($J504:$L504))</f>
        <v/>
      </c>
      <c r="R504" s="17" t="str">
        <f aca="false">IF($A504="","",($M504+$Q504)-$P504)</f>
        <v/>
      </c>
      <c r="S504" s="18" t="str">
        <f aca="false">IF(OR($A504="",$P504=0),"",$R504/$P504)</f>
        <v/>
      </c>
      <c r="T504" s="23"/>
      <c r="U504" s="14" t="str">
        <f aca="false">IF($A504="","",IF($M504&gt;0,"Live","Exited"))</f>
        <v/>
      </c>
      <c r="V504" s="20" t="str">
        <f aca="false">IF($A504="","",IF($A504='Client Report'!$C$4,COUNTIFS($A$6:$A504,'Client Report'!$C$4),""))</f>
        <v/>
      </c>
    </row>
    <row r="505" customFormat="false" ht="15" hidden="false" customHeight="false" outlineLevel="0" collapsed="false">
      <c r="A505" s="11"/>
      <c r="B505" s="11"/>
      <c r="C505" s="14" t="str">
        <f aca="false">IF($B505="","",IFERROR(TRIM(LEFT($B505,FIND(" - ",$B505)-1)),"Others"))</f>
        <v/>
      </c>
      <c r="D505" s="11"/>
      <c r="E505" s="11"/>
      <c r="F505" s="12"/>
      <c r="G505" s="21"/>
      <c r="H505" s="21"/>
      <c r="I505" s="21"/>
      <c r="J505" s="21"/>
      <c r="K505" s="21"/>
      <c r="L505" s="21"/>
      <c r="M505" s="21"/>
      <c r="N505" s="22"/>
      <c r="O505" s="22"/>
      <c r="P505" s="17" t="str">
        <f aca="false">IF($A505="","",SUM($G505:$I505))</f>
        <v/>
      </c>
      <c r="Q505" s="17" t="str">
        <f aca="false">IF($A505="","",SUM($J505:$L505))</f>
        <v/>
      </c>
      <c r="R505" s="17" t="str">
        <f aca="false">IF($A505="","",($M505+$Q505)-$P505)</f>
        <v/>
      </c>
      <c r="S505" s="18" t="str">
        <f aca="false">IF(OR($A505="",$P505=0),"",$R505/$P505)</f>
        <v/>
      </c>
      <c r="T505" s="23"/>
      <c r="U505" s="14" t="str">
        <f aca="false">IF($A505="","",IF($M505&gt;0,"Live","Exited"))</f>
        <v/>
      </c>
      <c r="V505" s="20" t="str">
        <f aca="false">IF($A505="","",IF($A505='Client Report'!$C$4,COUNTIFS($A$6:$A505,'Client Report'!$C$4),""))</f>
        <v/>
      </c>
    </row>
    <row r="506" customFormat="false" ht="15" hidden="false" customHeight="false" outlineLevel="0" collapsed="false">
      <c r="A506" s="11"/>
      <c r="B506" s="11"/>
      <c r="C506" s="14" t="str">
        <f aca="false">IF($B506="","",IFERROR(TRIM(LEFT($B506,FIND(" - ",$B506)-1)),"Others"))</f>
        <v/>
      </c>
      <c r="D506" s="11"/>
      <c r="E506" s="11"/>
      <c r="F506" s="12"/>
      <c r="G506" s="21"/>
      <c r="H506" s="21"/>
      <c r="I506" s="21"/>
      <c r="J506" s="21"/>
      <c r="K506" s="21"/>
      <c r="L506" s="21"/>
      <c r="M506" s="21"/>
      <c r="N506" s="22"/>
      <c r="O506" s="22"/>
      <c r="P506" s="17" t="str">
        <f aca="false">IF($A506="","",SUM($G506:$I506))</f>
        <v/>
      </c>
      <c r="Q506" s="17" t="str">
        <f aca="false">IF($A506="","",SUM($J506:$L506))</f>
        <v/>
      </c>
      <c r="R506" s="17" t="str">
        <f aca="false">IF($A506="","",($M506+$Q506)-$P506)</f>
        <v/>
      </c>
      <c r="S506" s="18" t="str">
        <f aca="false">IF(OR($A506="",$P506=0),"",$R506/$P506)</f>
        <v/>
      </c>
      <c r="T506" s="23"/>
      <c r="U506" s="14" t="str">
        <f aca="false">IF($A506="","",IF($M506&gt;0,"Live","Exited"))</f>
        <v/>
      </c>
      <c r="V506" s="20" t="str">
        <f aca="false">IF($A506="","",IF($A506='Client Report'!$C$4,COUNTIFS($A$6:$A506,'Client Report'!$C$4),""))</f>
        <v/>
      </c>
    </row>
    <row r="507" customFormat="false" ht="15" hidden="false" customHeight="false" outlineLevel="0" collapsed="false">
      <c r="A507" s="11"/>
      <c r="B507" s="11"/>
      <c r="C507" s="14" t="str">
        <f aca="false">IF($B507="","",IFERROR(TRIM(LEFT($B507,FIND(" - ",$B507)-1)),"Others"))</f>
        <v/>
      </c>
      <c r="D507" s="11"/>
      <c r="E507" s="11"/>
      <c r="F507" s="12"/>
      <c r="G507" s="21"/>
      <c r="H507" s="21"/>
      <c r="I507" s="21"/>
      <c r="J507" s="21"/>
      <c r="K507" s="21"/>
      <c r="L507" s="21"/>
      <c r="M507" s="21"/>
      <c r="N507" s="22"/>
      <c r="O507" s="22"/>
      <c r="P507" s="17" t="str">
        <f aca="false">IF($A507="","",SUM($G507:$I507))</f>
        <v/>
      </c>
      <c r="Q507" s="17" t="str">
        <f aca="false">IF($A507="","",SUM($J507:$L507))</f>
        <v/>
      </c>
      <c r="R507" s="17" t="str">
        <f aca="false">IF($A507="","",($M507+$Q507)-$P507)</f>
        <v/>
      </c>
      <c r="S507" s="18" t="str">
        <f aca="false">IF(OR($A507="",$P507=0),"",$R507/$P507)</f>
        <v/>
      </c>
      <c r="T507" s="23"/>
      <c r="U507" s="14" t="str">
        <f aca="false">IF($A507="","",IF($M507&gt;0,"Live","Exited"))</f>
        <v/>
      </c>
      <c r="V507" s="20" t="str">
        <f aca="false">IF($A507="","",IF($A507='Client Report'!$C$4,COUNTIFS($A$6:$A507,'Client Report'!$C$4),""))</f>
        <v/>
      </c>
    </row>
    <row r="508" customFormat="false" ht="15" hidden="false" customHeight="false" outlineLevel="0" collapsed="false">
      <c r="A508" s="11"/>
      <c r="B508" s="11"/>
      <c r="C508" s="14" t="str">
        <f aca="false">IF($B508="","",IFERROR(TRIM(LEFT($B508,FIND(" - ",$B508)-1)),"Others"))</f>
        <v/>
      </c>
      <c r="D508" s="11"/>
      <c r="E508" s="11"/>
      <c r="F508" s="12"/>
      <c r="G508" s="21"/>
      <c r="H508" s="21"/>
      <c r="I508" s="21"/>
      <c r="J508" s="21"/>
      <c r="K508" s="21"/>
      <c r="L508" s="21"/>
      <c r="M508" s="21"/>
      <c r="N508" s="22"/>
      <c r="O508" s="22"/>
      <c r="P508" s="17" t="str">
        <f aca="false">IF($A508="","",SUM($G508:$I508))</f>
        <v/>
      </c>
      <c r="Q508" s="17" t="str">
        <f aca="false">IF($A508="","",SUM($J508:$L508))</f>
        <v/>
      </c>
      <c r="R508" s="17" t="str">
        <f aca="false">IF($A508="","",($M508+$Q508)-$P508)</f>
        <v/>
      </c>
      <c r="S508" s="18" t="str">
        <f aca="false">IF(OR($A508="",$P508=0),"",$R508/$P508)</f>
        <v/>
      </c>
      <c r="T508" s="23"/>
      <c r="U508" s="14" t="str">
        <f aca="false">IF($A508="","",IF($M508&gt;0,"Live","Exited"))</f>
        <v/>
      </c>
      <c r="V508" s="20" t="str">
        <f aca="false">IF($A508="","",IF($A508='Client Report'!$C$4,COUNTIFS($A$6:$A508,'Client Report'!$C$4),""))</f>
        <v/>
      </c>
    </row>
    <row r="509" customFormat="false" ht="15" hidden="false" customHeight="false" outlineLevel="0" collapsed="false">
      <c r="A509" s="11"/>
      <c r="B509" s="11"/>
      <c r="C509" s="14" t="str">
        <f aca="false">IF($B509="","",IFERROR(TRIM(LEFT($B509,FIND(" - ",$B509)-1)),"Others"))</f>
        <v/>
      </c>
      <c r="D509" s="11"/>
      <c r="E509" s="11"/>
      <c r="F509" s="12"/>
      <c r="G509" s="21"/>
      <c r="H509" s="21"/>
      <c r="I509" s="21"/>
      <c r="J509" s="21"/>
      <c r="K509" s="21"/>
      <c r="L509" s="21"/>
      <c r="M509" s="21"/>
      <c r="N509" s="22"/>
      <c r="O509" s="22"/>
      <c r="P509" s="17" t="str">
        <f aca="false">IF($A509="","",SUM($G509:$I509))</f>
        <v/>
      </c>
      <c r="Q509" s="17" t="str">
        <f aca="false">IF($A509="","",SUM($J509:$L509))</f>
        <v/>
      </c>
      <c r="R509" s="17" t="str">
        <f aca="false">IF($A509="","",($M509+$Q509)-$P509)</f>
        <v/>
      </c>
      <c r="S509" s="18" t="str">
        <f aca="false">IF(OR($A509="",$P509=0),"",$R509/$P509)</f>
        <v/>
      </c>
      <c r="T509" s="23"/>
      <c r="U509" s="14" t="str">
        <f aca="false">IF($A509="","",IF($M509&gt;0,"Live","Exited"))</f>
        <v/>
      </c>
      <c r="V509" s="20" t="str">
        <f aca="false">IF($A509="","",IF($A509='Client Report'!$C$4,COUNTIFS($A$6:$A509,'Client Report'!$C$4),""))</f>
        <v/>
      </c>
    </row>
    <row r="510" customFormat="false" ht="15" hidden="false" customHeight="false" outlineLevel="0" collapsed="false">
      <c r="A510" s="11"/>
      <c r="B510" s="11"/>
      <c r="C510" s="14" t="str">
        <f aca="false">IF($B510="","",IFERROR(TRIM(LEFT($B510,FIND(" - ",$B510)-1)),"Others"))</f>
        <v/>
      </c>
      <c r="D510" s="11"/>
      <c r="E510" s="11"/>
      <c r="F510" s="12"/>
      <c r="G510" s="21"/>
      <c r="H510" s="21"/>
      <c r="I510" s="21"/>
      <c r="J510" s="21"/>
      <c r="K510" s="21"/>
      <c r="L510" s="21"/>
      <c r="M510" s="21"/>
      <c r="N510" s="22"/>
      <c r="O510" s="22"/>
      <c r="P510" s="17" t="str">
        <f aca="false">IF($A510="","",SUM($G510:$I510))</f>
        <v/>
      </c>
      <c r="Q510" s="17" t="str">
        <f aca="false">IF($A510="","",SUM($J510:$L510))</f>
        <v/>
      </c>
      <c r="R510" s="17" t="str">
        <f aca="false">IF($A510="","",($M510+$Q510)-$P510)</f>
        <v/>
      </c>
      <c r="S510" s="18" t="str">
        <f aca="false">IF(OR($A510="",$P510=0),"",$R510/$P510)</f>
        <v/>
      </c>
      <c r="T510" s="23"/>
      <c r="U510" s="14" t="str">
        <f aca="false">IF($A510="","",IF($M510&gt;0,"Live","Exited"))</f>
        <v/>
      </c>
      <c r="V510" s="20" t="str">
        <f aca="false">IF($A510="","",IF($A510='Client Report'!$C$4,COUNTIFS($A$6:$A510,'Client Report'!$C$4),""))</f>
        <v/>
      </c>
    </row>
    <row r="511" customFormat="false" ht="15" hidden="false" customHeight="false" outlineLevel="0" collapsed="false">
      <c r="A511" s="11"/>
      <c r="B511" s="11"/>
      <c r="C511" s="14" t="str">
        <f aca="false">IF($B511="","",IFERROR(TRIM(LEFT($B511,FIND(" - ",$B511)-1)),"Others"))</f>
        <v/>
      </c>
      <c r="D511" s="11"/>
      <c r="E511" s="11"/>
      <c r="F511" s="12"/>
      <c r="G511" s="21"/>
      <c r="H511" s="21"/>
      <c r="I511" s="21"/>
      <c r="J511" s="21"/>
      <c r="K511" s="21"/>
      <c r="L511" s="21"/>
      <c r="M511" s="21"/>
      <c r="N511" s="22"/>
      <c r="O511" s="22"/>
      <c r="P511" s="17" t="str">
        <f aca="false">IF($A511="","",SUM($G511:$I511))</f>
        <v/>
      </c>
      <c r="Q511" s="17" t="str">
        <f aca="false">IF($A511="","",SUM($J511:$L511))</f>
        <v/>
      </c>
      <c r="R511" s="17" t="str">
        <f aca="false">IF($A511="","",($M511+$Q511)-$P511)</f>
        <v/>
      </c>
      <c r="S511" s="18" t="str">
        <f aca="false">IF(OR($A511="",$P511=0),"",$R511/$P511)</f>
        <v/>
      </c>
      <c r="T511" s="23"/>
      <c r="U511" s="14" t="str">
        <f aca="false">IF($A511="","",IF($M511&gt;0,"Live","Exited"))</f>
        <v/>
      </c>
      <c r="V511" s="20" t="str">
        <f aca="false">IF($A511="","",IF($A511='Client Report'!$C$4,COUNTIFS($A$6:$A511,'Client Report'!$C$4),""))</f>
        <v/>
      </c>
    </row>
    <row r="512" customFormat="false" ht="15" hidden="false" customHeight="false" outlineLevel="0" collapsed="false">
      <c r="A512" s="11"/>
      <c r="B512" s="11"/>
      <c r="C512" s="14" t="str">
        <f aca="false">IF($B512="","",IFERROR(TRIM(LEFT($B512,FIND(" - ",$B512)-1)),"Others"))</f>
        <v/>
      </c>
      <c r="D512" s="11"/>
      <c r="E512" s="11"/>
      <c r="F512" s="12"/>
      <c r="G512" s="21"/>
      <c r="H512" s="21"/>
      <c r="I512" s="21"/>
      <c r="J512" s="21"/>
      <c r="K512" s="21"/>
      <c r="L512" s="21"/>
      <c r="M512" s="21"/>
      <c r="N512" s="22"/>
      <c r="O512" s="22"/>
      <c r="P512" s="17" t="str">
        <f aca="false">IF($A512="","",SUM($G512:$I512))</f>
        <v/>
      </c>
      <c r="Q512" s="17" t="str">
        <f aca="false">IF($A512="","",SUM($J512:$L512))</f>
        <v/>
      </c>
      <c r="R512" s="17" t="str">
        <f aca="false">IF($A512="","",($M512+$Q512)-$P512)</f>
        <v/>
      </c>
      <c r="S512" s="18" t="str">
        <f aca="false">IF(OR($A512="",$P512=0),"",$R512/$P512)</f>
        <v/>
      </c>
      <c r="T512" s="23"/>
      <c r="U512" s="14" t="str">
        <f aca="false">IF($A512="","",IF($M512&gt;0,"Live","Exited"))</f>
        <v/>
      </c>
      <c r="V512" s="20" t="str">
        <f aca="false">IF($A512="","",IF($A512='Client Report'!$C$4,COUNTIFS($A$6:$A512,'Client Report'!$C$4),""))</f>
        <v/>
      </c>
    </row>
    <row r="513" customFormat="false" ht="15" hidden="false" customHeight="false" outlineLevel="0" collapsed="false">
      <c r="A513" s="11"/>
      <c r="B513" s="11"/>
      <c r="C513" s="14" t="str">
        <f aca="false">IF($B513="","",IFERROR(TRIM(LEFT($B513,FIND(" - ",$B513)-1)),"Others"))</f>
        <v/>
      </c>
      <c r="D513" s="11"/>
      <c r="E513" s="11"/>
      <c r="F513" s="12"/>
      <c r="G513" s="21"/>
      <c r="H513" s="21"/>
      <c r="I513" s="21"/>
      <c r="J513" s="21"/>
      <c r="K513" s="21"/>
      <c r="L513" s="21"/>
      <c r="M513" s="21"/>
      <c r="N513" s="22"/>
      <c r="O513" s="22"/>
      <c r="P513" s="17" t="str">
        <f aca="false">IF($A513="","",SUM($G513:$I513))</f>
        <v/>
      </c>
      <c r="Q513" s="17" t="str">
        <f aca="false">IF($A513="","",SUM($J513:$L513))</f>
        <v/>
      </c>
      <c r="R513" s="17" t="str">
        <f aca="false">IF($A513="","",($M513+$Q513)-$P513)</f>
        <v/>
      </c>
      <c r="S513" s="18" t="str">
        <f aca="false">IF(OR($A513="",$P513=0),"",$R513/$P513)</f>
        <v/>
      </c>
      <c r="T513" s="23"/>
      <c r="U513" s="14" t="str">
        <f aca="false">IF($A513="","",IF($M513&gt;0,"Live","Exited"))</f>
        <v/>
      </c>
      <c r="V513" s="20" t="str">
        <f aca="false">IF($A513="","",IF($A513='Client Report'!$C$4,COUNTIFS($A$6:$A513,'Client Report'!$C$4),""))</f>
        <v/>
      </c>
    </row>
    <row r="514" customFormat="false" ht="15" hidden="false" customHeight="false" outlineLevel="0" collapsed="false">
      <c r="A514" s="11"/>
      <c r="B514" s="11"/>
      <c r="C514" s="14" t="str">
        <f aca="false">IF($B514="","",IFERROR(TRIM(LEFT($B514,FIND(" - ",$B514)-1)),"Others"))</f>
        <v/>
      </c>
      <c r="D514" s="11"/>
      <c r="E514" s="11"/>
      <c r="F514" s="12"/>
      <c r="G514" s="21"/>
      <c r="H514" s="21"/>
      <c r="I514" s="21"/>
      <c r="J514" s="21"/>
      <c r="K514" s="21"/>
      <c r="L514" s="21"/>
      <c r="M514" s="21"/>
      <c r="N514" s="22"/>
      <c r="O514" s="22"/>
      <c r="P514" s="17" t="str">
        <f aca="false">IF($A514="","",SUM($G514:$I514))</f>
        <v/>
      </c>
      <c r="Q514" s="17" t="str">
        <f aca="false">IF($A514="","",SUM($J514:$L514))</f>
        <v/>
      </c>
      <c r="R514" s="17" t="str">
        <f aca="false">IF($A514="","",($M514+$Q514)-$P514)</f>
        <v/>
      </c>
      <c r="S514" s="18" t="str">
        <f aca="false">IF(OR($A514="",$P514=0),"",$R514/$P514)</f>
        <v/>
      </c>
      <c r="T514" s="23"/>
      <c r="U514" s="14" t="str">
        <f aca="false">IF($A514="","",IF($M514&gt;0,"Live","Exited"))</f>
        <v/>
      </c>
      <c r="V514" s="20" t="str">
        <f aca="false">IF($A514="","",IF($A514='Client Report'!$C$4,COUNTIFS($A$6:$A514,'Client Report'!$C$4),""))</f>
        <v/>
      </c>
    </row>
    <row r="515" customFormat="false" ht="15" hidden="false" customHeight="false" outlineLevel="0" collapsed="false">
      <c r="A515" s="11"/>
      <c r="B515" s="11"/>
      <c r="C515" s="14" t="str">
        <f aca="false">IF($B515="","",IFERROR(TRIM(LEFT($B515,FIND(" - ",$B515)-1)),"Others"))</f>
        <v/>
      </c>
      <c r="D515" s="11"/>
      <c r="E515" s="11"/>
      <c r="F515" s="12"/>
      <c r="G515" s="21"/>
      <c r="H515" s="21"/>
      <c r="I515" s="21"/>
      <c r="J515" s="21"/>
      <c r="K515" s="21"/>
      <c r="L515" s="21"/>
      <c r="M515" s="21"/>
      <c r="N515" s="22"/>
      <c r="O515" s="22"/>
      <c r="P515" s="17" t="str">
        <f aca="false">IF($A515="","",SUM($G515:$I515))</f>
        <v/>
      </c>
      <c r="Q515" s="17" t="str">
        <f aca="false">IF($A515="","",SUM($J515:$L515))</f>
        <v/>
      </c>
      <c r="R515" s="17" t="str">
        <f aca="false">IF($A515="","",($M515+$Q515)-$P515)</f>
        <v/>
      </c>
      <c r="S515" s="18" t="str">
        <f aca="false">IF(OR($A515="",$P515=0),"",$R515/$P515)</f>
        <v/>
      </c>
      <c r="T515" s="23"/>
      <c r="U515" s="14" t="str">
        <f aca="false">IF($A515="","",IF($M515&gt;0,"Live","Exited"))</f>
        <v/>
      </c>
      <c r="V515" s="20" t="str">
        <f aca="false">IF($A515="","",IF($A515='Client Report'!$C$4,COUNTIFS($A$6:$A515,'Client Report'!$C$4),""))</f>
        <v/>
      </c>
    </row>
    <row r="516" customFormat="false" ht="15" hidden="false" customHeight="false" outlineLevel="0" collapsed="false">
      <c r="A516" s="11"/>
      <c r="B516" s="11"/>
      <c r="C516" s="14" t="str">
        <f aca="false">IF($B516="","",IFERROR(TRIM(LEFT($B516,FIND(" - ",$B516)-1)),"Others"))</f>
        <v/>
      </c>
      <c r="D516" s="11"/>
      <c r="E516" s="11"/>
      <c r="F516" s="12"/>
      <c r="G516" s="21"/>
      <c r="H516" s="21"/>
      <c r="I516" s="21"/>
      <c r="J516" s="21"/>
      <c r="K516" s="21"/>
      <c r="L516" s="21"/>
      <c r="M516" s="21"/>
      <c r="N516" s="22"/>
      <c r="O516" s="22"/>
      <c r="P516" s="17" t="str">
        <f aca="false">IF($A516="","",SUM($G516:$I516))</f>
        <v/>
      </c>
      <c r="Q516" s="17" t="str">
        <f aca="false">IF($A516="","",SUM($J516:$L516))</f>
        <v/>
      </c>
      <c r="R516" s="17" t="str">
        <f aca="false">IF($A516="","",($M516+$Q516)-$P516)</f>
        <v/>
      </c>
      <c r="S516" s="18" t="str">
        <f aca="false">IF(OR($A516="",$P516=0),"",$R516/$P516)</f>
        <v/>
      </c>
      <c r="T516" s="23"/>
      <c r="U516" s="14" t="str">
        <f aca="false">IF($A516="","",IF($M516&gt;0,"Live","Exited"))</f>
        <v/>
      </c>
      <c r="V516" s="20" t="str">
        <f aca="false">IF($A516="","",IF($A516='Client Report'!$C$4,COUNTIFS($A$6:$A516,'Client Report'!$C$4),""))</f>
        <v/>
      </c>
    </row>
    <row r="517" customFormat="false" ht="15" hidden="false" customHeight="false" outlineLevel="0" collapsed="false">
      <c r="A517" s="11"/>
      <c r="B517" s="11"/>
      <c r="C517" s="14" t="str">
        <f aca="false">IF($B517="","",IFERROR(TRIM(LEFT($B517,FIND(" - ",$B517)-1)),"Others"))</f>
        <v/>
      </c>
      <c r="D517" s="11"/>
      <c r="E517" s="11"/>
      <c r="F517" s="12"/>
      <c r="G517" s="21"/>
      <c r="H517" s="21"/>
      <c r="I517" s="21"/>
      <c r="J517" s="21"/>
      <c r="K517" s="21"/>
      <c r="L517" s="21"/>
      <c r="M517" s="21"/>
      <c r="N517" s="22"/>
      <c r="O517" s="22"/>
      <c r="P517" s="17" t="str">
        <f aca="false">IF($A517="","",SUM($G517:$I517))</f>
        <v/>
      </c>
      <c r="Q517" s="17" t="str">
        <f aca="false">IF($A517="","",SUM($J517:$L517))</f>
        <v/>
      </c>
      <c r="R517" s="17" t="str">
        <f aca="false">IF($A517="","",($M517+$Q517)-$P517)</f>
        <v/>
      </c>
      <c r="S517" s="18" t="str">
        <f aca="false">IF(OR($A517="",$P517=0),"",$R517/$P517)</f>
        <v/>
      </c>
      <c r="T517" s="23"/>
      <c r="U517" s="14" t="str">
        <f aca="false">IF($A517="","",IF($M517&gt;0,"Live","Exited"))</f>
        <v/>
      </c>
      <c r="V517" s="20" t="str">
        <f aca="false">IF($A517="","",IF($A517='Client Report'!$C$4,COUNTIFS($A$6:$A517,'Client Report'!$C$4),""))</f>
        <v/>
      </c>
    </row>
    <row r="518" customFormat="false" ht="15" hidden="false" customHeight="false" outlineLevel="0" collapsed="false">
      <c r="A518" s="11"/>
      <c r="B518" s="11"/>
      <c r="C518" s="14" t="str">
        <f aca="false">IF($B518="","",IFERROR(TRIM(LEFT($B518,FIND(" - ",$B518)-1)),"Others"))</f>
        <v/>
      </c>
      <c r="D518" s="11"/>
      <c r="E518" s="11"/>
      <c r="F518" s="12"/>
      <c r="G518" s="21"/>
      <c r="H518" s="21"/>
      <c r="I518" s="21"/>
      <c r="J518" s="21"/>
      <c r="K518" s="21"/>
      <c r="L518" s="21"/>
      <c r="M518" s="21"/>
      <c r="N518" s="22"/>
      <c r="O518" s="22"/>
      <c r="P518" s="17" t="str">
        <f aca="false">IF($A518="","",SUM($G518:$I518))</f>
        <v/>
      </c>
      <c r="Q518" s="17" t="str">
        <f aca="false">IF($A518="","",SUM($J518:$L518))</f>
        <v/>
      </c>
      <c r="R518" s="17" t="str">
        <f aca="false">IF($A518="","",($M518+$Q518)-$P518)</f>
        <v/>
      </c>
      <c r="S518" s="18" t="str">
        <f aca="false">IF(OR($A518="",$P518=0),"",$R518/$P518)</f>
        <v/>
      </c>
      <c r="T518" s="23"/>
      <c r="U518" s="14" t="str">
        <f aca="false">IF($A518="","",IF($M518&gt;0,"Live","Exited"))</f>
        <v/>
      </c>
      <c r="V518" s="20" t="str">
        <f aca="false">IF($A518="","",IF($A518='Client Report'!$C$4,COUNTIFS($A$6:$A518,'Client Report'!$C$4),""))</f>
        <v/>
      </c>
    </row>
    <row r="519" customFormat="false" ht="15" hidden="false" customHeight="false" outlineLevel="0" collapsed="false">
      <c r="A519" s="11"/>
      <c r="B519" s="11"/>
      <c r="C519" s="14" t="str">
        <f aca="false">IF($B519="","",IFERROR(TRIM(LEFT($B519,FIND(" - ",$B519)-1)),"Others"))</f>
        <v/>
      </c>
      <c r="D519" s="11"/>
      <c r="E519" s="11"/>
      <c r="F519" s="12"/>
      <c r="G519" s="21"/>
      <c r="H519" s="21"/>
      <c r="I519" s="21"/>
      <c r="J519" s="21"/>
      <c r="K519" s="21"/>
      <c r="L519" s="21"/>
      <c r="M519" s="21"/>
      <c r="N519" s="22"/>
      <c r="O519" s="22"/>
      <c r="P519" s="17" t="str">
        <f aca="false">IF($A519="","",SUM($G519:$I519))</f>
        <v/>
      </c>
      <c r="Q519" s="17" t="str">
        <f aca="false">IF($A519="","",SUM($J519:$L519))</f>
        <v/>
      </c>
      <c r="R519" s="17" t="str">
        <f aca="false">IF($A519="","",($M519+$Q519)-$P519)</f>
        <v/>
      </c>
      <c r="S519" s="18" t="str">
        <f aca="false">IF(OR($A519="",$P519=0),"",$R519/$P519)</f>
        <v/>
      </c>
      <c r="T519" s="23"/>
      <c r="U519" s="14" t="str">
        <f aca="false">IF($A519="","",IF($M519&gt;0,"Live","Exited"))</f>
        <v/>
      </c>
      <c r="V519" s="20" t="str">
        <f aca="false">IF($A519="","",IF($A519='Client Report'!$C$4,COUNTIFS($A$6:$A519,'Client Report'!$C$4),""))</f>
        <v/>
      </c>
    </row>
    <row r="520" customFormat="false" ht="15" hidden="false" customHeight="false" outlineLevel="0" collapsed="false">
      <c r="A520" s="11"/>
      <c r="B520" s="11"/>
      <c r="C520" s="14" t="str">
        <f aca="false">IF($B520="","",IFERROR(TRIM(LEFT($B520,FIND(" - ",$B520)-1)),"Others"))</f>
        <v/>
      </c>
      <c r="D520" s="11"/>
      <c r="E520" s="11"/>
      <c r="F520" s="12"/>
      <c r="G520" s="21"/>
      <c r="H520" s="21"/>
      <c r="I520" s="21"/>
      <c r="J520" s="21"/>
      <c r="K520" s="21"/>
      <c r="L520" s="21"/>
      <c r="M520" s="21"/>
      <c r="N520" s="22"/>
      <c r="O520" s="22"/>
      <c r="P520" s="17" t="str">
        <f aca="false">IF($A520="","",SUM($G520:$I520))</f>
        <v/>
      </c>
      <c r="Q520" s="17" t="str">
        <f aca="false">IF($A520="","",SUM($J520:$L520))</f>
        <v/>
      </c>
      <c r="R520" s="17" t="str">
        <f aca="false">IF($A520="","",($M520+$Q520)-$P520)</f>
        <v/>
      </c>
      <c r="S520" s="18" t="str">
        <f aca="false">IF(OR($A520="",$P520=0),"",$R520/$P520)</f>
        <v/>
      </c>
      <c r="T520" s="23"/>
      <c r="U520" s="14" t="str">
        <f aca="false">IF($A520="","",IF($M520&gt;0,"Live","Exited"))</f>
        <v/>
      </c>
      <c r="V520" s="20" t="str">
        <f aca="false">IF($A520="","",IF($A520='Client Report'!$C$4,COUNTIFS($A$6:$A520,'Client Report'!$C$4),""))</f>
        <v/>
      </c>
    </row>
    <row r="521" customFormat="false" ht="15" hidden="false" customHeight="false" outlineLevel="0" collapsed="false">
      <c r="A521" s="11"/>
      <c r="B521" s="11"/>
      <c r="C521" s="14" t="str">
        <f aca="false">IF($B521="","",IFERROR(TRIM(LEFT($B521,FIND(" - ",$B521)-1)),"Others"))</f>
        <v/>
      </c>
      <c r="D521" s="11"/>
      <c r="E521" s="11"/>
      <c r="F521" s="12"/>
      <c r="G521" s="21"/>
      <c r="H521" s="21"/>
      <c r="I521" s="21"/>
      <c r="J521" s="21"/>
      <c r="K521" s="21"/>
      <c r="L521" s="21"/>
      <c r="M521" s="21"/>
      <c r="N521" s="22"/>
      <c r="O521" s="22"/>
      <c r="P521" s="17" t="str">
        <f aca="false">IF($A521="","",SUM($G521:$I521))</f>
        <v/>
      </c>
      <c r="Q521" s="17" t="str">
        <f aca="false">IF($A521="","",SUM($J521:$L521))</f>
        <v/>
      </c>
      <c r="R521" s="17" t="str">
        <f aca="false">IF($A521="","",($M521+$Q521)-$P521)</f>
        <v/>
      </c>
      <c r="S521" s="18" t="str">
        <f aca="false">IF(OR($A521="",$P521=0),"",$R521/$P521)</f>
        <v/>
      </c>
      <c r="T521" s="23"/>
      <c r="U521" s="14" t="str">
        <f aca="false">IF($A521="","",IF($M521&gt;0,"Live","Exited"))</f>
        <v/>
      </c>
      <c r="V521" s="20" t="str">
        <f aca="false">IF($A521="","",IF($A521='Client Report'!$C$4,COUNTIFS($A$6:$A521,'Client Report'!$C$4),""))</f>
        <v/>
      </c>
    </row>
    <row r="522" customFormat="false" ht="15" hidden="false" customHeight="false" outlineLevel="0" collapsed="false">
      <c r="A522" s="11"/>
      <c r="B522" s="11"/>
      <c r="C522" s="14" t="str">
        <f aca="false">IF($B522="","",IFERROR(TRIM(LEFT($B522,FIND(" - ",$B522)-1)),"Others"))</f>
        <v/>
      </c>
      <c r="D522" s="11"/>
      <c r="E522" s="11"/>
      <c r="F522" s="12"/>
      <c r="G522" s="21"/>
      <c r="H522" s="21"/>
      <c r="I522" s="21"/>
      <c r="J522" s="21"/>
      <c r="K522" s="21"/>
      <c r="L522" s="21"/>
      <c r="M522" s="21"/>
      <c r="N522" s="22"/>
      <c r="O522" s="22"/>
      <c r="P522" s="17" t="str">
        <f aca="false">IF($A522="","",SUM($G522:$I522))</f>
        <v/>
      </c>
      <c r="Q522" s="17" t="str">
        <f aca="false">IF($A522="","",SUM($J522:$L522))</f>
        <v/>
      </c>
      <c r="R522" s="17" t="str">
        <f aca="false">IF($A522="","",($M522+$Q522)-$P522)</f>
        <v/>
      </c>
      <c r="S522" s="18" t="str">
        <f aca="false">IF(OR($A522="",$P522=0),"",$R522/$P522)</f>
        <v/>
      </c>
      <c r="T522" s="23"/>
      <c r="U522" s="14" t="str">
        <f aca="false">IF($A522="","",IF($M522&gt;0,"Live","Exited"))</f>
        <v/>
      </c>
      <c r="V522" s="20" t="str">
        <f aca="false">IF($A522="","",IF($A522='Client Report'!$C$4,COUNTIFS($A$6:$A522,'Client Report'!$C$4),""))</f>
        <v/>
      </c>
    </row>
    <row r="523" customFormat="false" ht="15" hidden="false" customHeight="false" outlineLevel="0" collapsed="false">
      <c r="A523" s="11"/>
      <c r="B523" s="11"/>
      <c r="C523" s="14" t="str">
        <f aca="false">IF($B523="","",IFERROR(TRIM(LEFT($B523,FIND(" - ",$B523)-1)),"Others"))</f>
        <v/>
      </c>
      <c r="D523" s="11"/>
      <c r="E523" s="11"/>
      <c r="F523" s="12"/>
      <c r="G523" s="21"/>
      <c r="H523" s="21"/>
      <c r="I523" s="21"/>
      <c r="J523" s="21"/>
      <c r="K523" s="21"/>
      <c r="L523" s="21"/>
      <c r="M523" s="21"/>
      <c r="N523" s="22"/>
      <c r="O523" s="22"/>
      <c r="P523" s="17" t="str">
        <f aca="false">IF($A523="","",SUM($G523:$I523))</f>
        <v/>
      </c>
      <c r="Q523" s="17" t="str">
        <f aca="false">IF($A523="","",SUM($J523:$L523))</f>
        <v/>
      </c>
      <c r="R523" s="17" t="str">
        <f aca="false">IF($A523="","",($M523+$Q523)-$P523)</f>
        <v/>
      </c>
      <c r="S523" s="18" t="str">
        <f aca="false">IF(OR($A523="",$P523=0),"",$R523/$P523)</f>
        <v/>
      </c>
      <c r="T523" s="23"/>
      <c r="U523" s="14" t="str">
        <f aca="false">IF($A523="","",IF($M523&gt;0,"Live","Exited"))</f>
        <v/>
      </c>
      <c r="V523" s="20" t="str">
        <f aca="false">IF($A523="","",IF($A523='Client Report'!$C$4,COUNTIFS($A$6:$A523,'Client Report'!$C$4),""))</f>
        <v/>
      </c>
    </row>
    <row r="524" customFormat="false" ht="15" hidden="false" customHeight="false" outlineLevel="0" collapsed="false">
      <c r="A524" s="11"/>
      <c r="B524" s="11"/>
      <c r="C524" s="14" t="str">
        <f aca="false">IF($B524="","",IFERROR(TRIM(LEFT($B524,FIND(" - ",$B524)-1)),"Others"))</f>
        <v/>
      </c>
      <c r="D524" s="11"/>
      <c r="E524" s="11"/>
      <c r="F524" s="12"/>
      <c r="G524" s="21"/>
      <c r="H524" s="21"/>
      <c r="I524" s="21"/>
      <c r="J524" s="21"/>
      <c r="K524" s="21"/>
      <c r="L524" s="21"/>
      <c r="M524" s="21"/>
      <c r="N524" s="22"/>
      <c r="O524" s="22"/>
      <c r="P524" s="17" t="str">
        <f aca="false">IF($A524="","",SUM($G524:$I524))</f>
        <v/>
      </c>
      <c r="Q524" s="17" t="str">
        <f aca="false">IF($A524="","",SUM($J524:$L524))</f>
        <v/>
      </c>
      <c r="R524" s="17" t="str">
        <f aca="false">IF($A524="","",($M524+$Q524)-$P524)</f>
        <v/>
      </c>
      <c r="S524" s="18" t="str">
        <f aca="false">IF(OR($A524="",$P524=0),"",$R524/$P524)</f>
        <v/>
      </c>
      <c r="T524" s="23"/>
      <c r="U524" s="14" t="str">
        <f aca="false">IF($A524="","",IF($M524&gt;0,"Live","Exited"))</f>
        <v/>
      </c>
      <c r="V524" s="20" t="str">
        <f aca="false">IF($A524="","",IF($A524='Client Report'!$C$4,COUNTIFS($A$6:$A524,'Client Report'!$C$4),""))</f>
        <v/>
      </c>
    </row>
    <row r="525" customFormat="false" ht="15" hidden="false" customHeight="false" outlineLevel="0" collapsed="false">
      <c r="A525" s="11"/>
      <c r="B525" s="11"/>
      <c r="C525" s="14" t="str">
        <f aca="false">IF($B525="","",IFERROR(TRIM(LEFT($B525,FIND(" - ",$B525)-1)),"Others"))</f>
        <v/>
      </c>
      <c r="D525" s="11"/>
      <c r="E525" s="11"/>
      <c r="F525" s="12"/>
      <c r="G525" s="21"/>
      <c r="H525" s="21"/>
      <c r="I525" s="21"/>
      <c r="J525" s="21"/>
      <c r="K525" s="21"/>
      <c r="L525" s="21"/>
      <c r="M525" s="21"/>
      <c r="N525" s="22"/>
      <c r="O525" s="22"/>
      <c r="P525" s="17" t="str">
        <f aca="false">IF($A525="","",SUM($G525:$I525))</f>
        <v/>
      </c>
      <c r="Q525" s="17" t="str">
        <f aca="false">IF($A525="","",SUM($J525:$L525))</f>
        <v/>
      </c>
      <c r="R525" s="17" t="str">
        <f aca="false">IF($A525="","",($M525+$Q525)-$P525)</f>
        <v/>
      </c>
      <c r="S525" s="18" t="str">
        <f aca="false">IF(OR($A525="",$P525=0),"",$R525/$P525)</f>
        <v/>
      </c>
      <c r="T525" s="23"/>
      <c r="U525" s="14" t="str">
        <f aca="false">IF($A525="","",IF($M525&gt;0,"Live","Exited"))</f>
        <v/>
      </c>
      <c r="V525" s="20" t="str">
        <f aca="false">IF($A525="","",IF($A525='Client Report'!$C$4,COUNTIFS($A$6:$A525,'Client Report'!$C$4),""))</f>
        <v/>
      </c>
    </row>
    <row r="526" customFormat="false" ht="15" hidden="false" customHeight="false" outlineLevel="0" collapsed="false">
      <c r="A526" s="11"/>
      <c r="B526" s="11"/>
      <c r="C526" s="14" t="str">
        <f aca="false">IF($B526="","",IFERROR(TRIM(LEFT($B526,FIND(" - ",$B526)-1)),"Others"))</f>
        <v/>
      </c>
      <c r="D526" s="11"/>
      <c r="E526" s="11"/>
      <c r="F526" s="12"/>
      <c r="G526" s="21"/>
      <c r="H526" s="21"/>
      <c r="I526" s="21"/>
      <c r="J526" s="21"/>
      <c r="K526" s="21"/>
      <c r="L526" s="21"/>
      <c r="M526" s="21"/>
      <c r="N526" s="22"/>
      <c r="O526" s="22"/>
      <c r="P526" s="17" t="str">
        <f aca="false">IF($A526="","",SUM($G526:$I526))</f>
        <v/>
      </c>
      <c r="Q526" s="17" t="str">
        <f aca="false">IF($A526="","",SUM($J526:$L526))</f>
        <v/>
      </c>
      <c r="R526" s="17" t="str">
        <f aca="false">IF($A526="","",($M526+$Q526)-$P526)</f>
        <v/>
      </c>
      <c r="S526" s="18" t="str">
        <f aca="false">IF(OR($A526="",$P526=0),"",$R526/$P526)</f>
        <v/>
      </c>
      <c r="T526" s="23"/>
      <c r="U526" s="14" t="str">
        <f aca="false">IF($A526="","",IF($M526&gt;0,"Live","Exited"))</f>
        <v/>
      </c>
      <c r="V526" s="20" t="str">
        <f aca="false">IF($A526="","",IF($A526='Client Report'!$C$4,COUNTIFS($A$6:$A526,'Client Report'!$C$4),""))</f>
        <v/>
      </c>
    </row>
    <row r="527" customFormat="false" ht="15" hidden="false" customHeight="false" outlineLevel="0" collapsed="false">
      <c r="A527" s="11"/>
      <c r="B527" s="11"/>
      <c r="C527" s="14" t="str">
        <f aca="false">IF($B527="","",IFERROR(TRIM(LEFT($B527,FIND(" - ",$B527)-1)),"Others"))</f>
        <v/>
      </c>
      <c r="D527" s="11"/>
      <c r="E527" s="11"/>
      <c r="F527" s="12"/>
      <c r="G527" s="21"/>
      <c r="H527" s="21"/>
      <c r="I527" s="21"/>
      <c r="J527" s="21"/>
      <c r="K527" s="21"/>
      <c r="L527" s="21"/>
      <c r="M527" s="21"/>
      <c r="N527" s="22"/>
      <c r="O527" s="22"/>
      <c r="P527" s="17" t="str">
        <f aca="false">IF($A527="","",SUM($G527:$I527))</f>
        <v/>
      </c>
      <c r="Q527" s="17" t="str">
        <f aca="false">IF($A527="","",SUM($J527:$L527))</f>
        <v/>
      </c>
      <c r="R527" s="17" t="str">
        <f aca="false">IF($A527="","",($M527+$Q527)-$P527)</f>
        <v/>
      </c>
      <c r="S527" s="18" t="str">
        <f aca="false">IF(OR($A527="",$P527=0),"",$R527/$P527)</f>
        <v/>
      </c>
      <c r="T527" s="23"/>
      <c r="U527" s="14" t="str">
        <f aca="false">IF($A527="","",IF($M527&gt;0,"Live","Exited"))</f>
        <v/>
      </c>
      <c r="V527" s="20" t="str">
        <f aca="false">IF($A527="","",IF($A527='Client Report'!$C$4,COUNTIFS($A$6:$A527,'Client Report'!$C$4),""))</f>
        <v/>
      </c>
    </row>
    <row r="528" customFormat="false" ht="15" hidden="false" customHeight="false" outlineLevel="0" collapsed="false">
      <c r="A528" s="11"/>
      <c r="B528" s="11"/>
      <c r="C528" s="14" t="str">
        <f aca="false">IF($B528="","",IFERROR(TRIM(LEFT($B528,FIND(" - ",$B528)-1)),"Others"))</f>
        <v/>
      </c>
      <c r="D528" s="11"/>
      <c r="E528" s="11"/>
      <c r="F528" s="12"/>
      <c r="G528" s="21"/>
      <c r="H528" s="21"/>
      <c r="I528" s="21"/>
      <c r="J528" s="21"/>
      <c r="K528" s="21"/>
      <c r="L528" s="21"/>
      <c r="M528" s="21"/>
      <c r="N528" s="22"/>
      <c r="O528" s="22"/>
      <c r="P528" s="17" t="str">
        <f aca="false">IF($A528="","",SUM($G528:$I528))</f>
        <v/>
      </c>
      <c r="Q528" s="17" t="str">
        <f aca="false">IF($A528="","",SUM($J528:$L528))</f>
        <v/>
      </c>
      <c r="R528" s="17" t="str">
        <f aca="false">IF($A528="","",($M528+$Q528)-$P528)</f>
        <v/>
      </c>
      <c r="S528" s="18" t="str">
        <f aca="false">IF(OR($A528="",$P528=0),"",$R528/$P528)</f>
        <v/>
      </c>
      <c r="T528" s="23"/>
      <c r="U528" s="14" t="str">
        <f aca="false">IF($A528="","",IF($M528&gt;0,"Live","Exited"))</f>
        <v/>
      </c>
      <c r="V528" s="20" t="str">
        <f aca="false">IF($A528="","",IF($A528='Client Report'!$C$4,COUNTIFS($A$6:$A528,'Client Report'!$C$4),""))</f>
        <v/>
      </c>
    </row>
    <row r="529" customFormat="false" ht="15" hidden="false" customHeight="false" outlineLevel="0" collapsed="false">
      <c r="A529" s="11"/>
      <c r="B529" s="11"/>
      <c r="C529" s="14" t="str">
        <f aca="false">IF($B529="","",IFERROR(TRIM(LEFT($B529,FIND(" - ",$B529)-1)),"Others"))</f>
        <v/>
      </c>
      <c r="D529" s="11"/>
      <c r="E529" s="11"/>
      <c r="F529" s="12"/>
      <c r="G529" s="21"/>
      <c r="H529" s="21"/>
      <c r="I529" s="21"/>
      <c r="J529" s="21"/>
      <c r="K529" s="21"/>
      <c r="L529" s="21"/>
      <c r="M529" s="21"/>
      <c r="N529" s="22"/>
      <c r="O529" s="22"/>
      <c r="P529" s="17" t="str">
        <f aca="false">IF($A529="","",SUM($G529:$I529))</f>
        <v/>
      </c>
      <c r="Q529" s="17" t="str">
        <f aca="false">IF($A529="","",SUM($J529:$L529))</f>
        <v/>
      </c>
      <c r="R529" s="17" t="str">
        <f aca="false">IF($A529="","",($M529+$Q529)-$P529)</f>
        <v/>
      </c>
      <c r="S529" s="18" t="str">
        <f aca="false">IF(OR($A529="",$P529=0),"",$R529/$P529)</f>
        <v/>
      </c>
      <c r="T529" s="23"/>
      <c r="U529" s="14" t="str">
        <f aca="false">IF($A529="","",IF($M529&gt;0,"Live","Exited"))</f>
        <v/>
      </c>
      <c r="V529" s="20" t="str">
        <f aca="false">IF($A529="","",IF($A529='Client Report'!$C$4,COUNTIFS($A$6:$A529,'Client Report'!$C$4),""))</f>
        <v/>
      </c>
    </row>
    <row r="530" customFormat="false" ht="15" hidden="false" customHeight="false" outlineLevel="0" collapsed="false">
      <c r="A530" s="11"/>
      <c r="B530" s="11"/>
      <c r="C530" s="14" t="str">
        <f aca="false">IF($B530="","",IFERROR(TRIM(LEFT($B530,FIND(" - ",$B530)-1)),"Others"))</f>
        <v/>
      </c>
      <c r="D530" s="11"/>
      <c r="E530" s="11"/>
      <c r="F530" s="12"/>
      <c r="G530" s="21"/>
      <c r="H530" s="21"/>
      <c r="I530" s="21"/>
      <c r="J530" s="21"/>
      <c r="K530" s="21"/>
      <c r="L530" s="21"/>
      <c r="M530" s="21"/>
      <c r="N530" s="22"/>
      <c r="O530" s="22"/>
      <c r="P530" s="17" t="str">
        <f aca="false">IF($A530="","",SUM($G530:$I530))</f>
        <v/>
      </c>
      <c r="Q530" s="17" t="str">
        <f aca="false">IF($A530="","",SUM($J530:$L530))</f>
        <v/>
      </c>
      <c r="R530" s="17" t="str">
        <f aca="false">IF($A530="","",($M530+$Q530)-$P530)</f>
        <v/>
      </c>
      <c r="S530" s="18" t="str">
        <f aca="false">IF(OR($A530="",$P530=0),"",$R530/$P530)</f>
        <v/>
      </c>
      <c r="T530" s="23"/>
      <c r="U530" s="14" t="str">
        <f aca="false">IF($A530="","",IF($M530&gt;0,"Live","Exited"))</f>
        <v/>
      </c>
      <c r="V530" s="20" t="str">
        <f aca="false">IF($A530="","",IF($A530='Client Report'!$C$4,COUNTIFS($A$6:$A530,'Client Report'!$C$4),""))</f>
        <v/>
      </c>
    </row>
    <row r="531" customFormat="false" ht="15" hidden="false" customHeight="false" outlineLevel="0" collapsed="false">
      <c r="A531" s="11"/>
      <c r="B531" s="11"/>
      <c r="C531" s="14" t="str">
        <f aca="false">IF($B531="","",IFERROR(TRIM(LEFT($B531,FIND(" - ",$B531)-1)),"Others"))</f>
        <v/>
      </c>
      <c r="D531" s="11"/>
      <c r="E531" s="11"/>
      <c r="F531" s="12"/>
      <c r="G531" s="21"/>
      <c r="H531" s="21"/>
      <c r="I531" s="21"/>
      <c r="J531" s="21"/>
      <c r="K531" s="21"/>
      <c r="L531" s="21"/>
      <c r="M531" s="21"/>
      <c r="N531" s="22"/>
      <c r="O531" s="22"/>
      <c r="P531" s="17" t="str">
        <f aca="false">IF($A531="","",SUM($G531:$I531))</f>
        <v/>
      </c>
      <c r="Q531" s="17" t="str">
        <f aca="false">IF($A531="","",SUM($J531:$L531))</f>
        <v/>
      </c>
      <c r="R531" s="17" t="str">
        <f aca="false">IF($A531="","",($M531+$Q531)-$P531)</f>
        <v/>
      </c>
      <c r="S531" s="18" t="str">
        <f aca="false">IF(OR($A531="",$P531=0),"",$R531/$P531)</f>
        <v/>
      </c>
      <c r="T531" s="23"/>
      <c r="U531" s="14" t="str">
        <f aca="false">IF($A531="","",IF($M531&gt;0,"Live","Exited"))</f>
        <v/>
      </c>
      <c r="V531" s="20" t="str">
        <f aca="false">IF($A531="","",IF($A531='Client Report'!$C$4,COUNTIFS($A$6:$A531,'Client Report'!$C$4),""))</f>
        <v/>
      </c>
    </row>
    <row r="532" customFormat="false" ht="15" hidden="false" customHeight="false" outlineLevel="0" collapsed="false">
      <c r="A532" s="11"/>
      <c r="B532" s="11"/>
      <c r="C532" s="14" t="str">
        <f aca="false">IF($B532="","",IFERROR(TRIM(LEFT($B532,FIND(" - ",$B532)-1)),"Others"))</f>
        <v/>
      </c>
      <c r="D532" s="11"/>
      <c r="E532" s="11"/>
      <c r="F532" s="12"/>
      <c r="G532" s="21"/>
      <c r="H532" s="21"/>
      <c r="I532" s="21"/>
      <c r="J532" s="21"/>
      <c r="K532" s="21"/>
      <c r="L532" s="21"/>
      <c r="M532" s="21"/>
      <c r="N532" s="22"/>
      <c r="O532" s="22"/>
      <c r="P532" s="17" t="str">
        <f aca="false">IF($A532="","",SUM($G532:$I532))</f>
        <v/>
      </c>
      <c r="Q532" s="17" t="str">
        <f aca="false">IF($A532="","",SUM($J532:$L532))</f>
        <v/>
      </c>
      <c r="R532" s="17" t="str">
        <f aca="false">IF($A532="","",($M532+$Q532)-$P532)</f>
        <v/>
      </c>
      <c r="S532" s="18" t="str">
        <f aca="false">IF(OR($A532="",$P532=0),"",$R532/$P532)</f>
        <v/>
      </c>
      <c r="T532" s="23"/>
      <c r="U532" s="14" t="str">
        <f aca="false">IF($A532="","",IF($M532&gt;0,"Live","Exited"))</f>
        <v/>
      </c>
      <c r="V532" s="20" t="str">
        <f aca="false">IF($A532="","",IF($A532='Client Report'!$C$4,COUNTIFS($A$6:$A532,'Client Report'!$C$4),""))</f>
        <v/>
      </c>
    </row>
    <row r="533" customFormat="false" ht="15" hidden="false" customHeight="false" outlineLevel="0" collapsed="false">
      <c r="A533" s="11"/>
      <c r="B533" s="11"/>
      <c r="C533" s="14" t="str">
        <f aca="false">IF($B533="","",IFERROR(TRIM(LEFT($B533,FIND(" - ",$B533)-1)),"Others"))</f>
        <v/>
      </c>
      <c r="D533" s="11"/>
      <c r="E533" s="11"/>
      <c r="F533" s="12"/>
      <c r="G533" s="21"/>
      <c r="H533" s="21"/>
      <c r="I533" s="21"/>
      <c r="J533" s="21"/>
      <c r="K533" s="21"/>
      <c r="L533" s="21"/>
      <c r="M533" s="21"/>
      <c r="N533" s="22"/>
      <c r="O533" s="22"/>
      <c r="P533" s="17" t="str">
        <f aca="false">IF($A533="","",SUM($G533:$I533))</f>
        <v/>
      </c>
      <c r="Q533" s="17" t="str">
        <f aca="false">IF($A533="","",SUM($J533:$L533))</f>
        <v/>
      </c>
      <c r="R533" s="17" t="str">
        <f aca="false">IF($A533="","",($M533+$Q533)-$P533)</f>
        <v/>
      </c>
      <c r="S533" s="18" t="str">
        <f aca="false">IF(OR($A533="",$P533=0),"",$R533/$P533)</f>
        <v/>
      </c>
      <c r="T533" s="23"/>
      <c r="U533" s="14" t="str">
        <f aca="false">IF($A533="","",IF($M533&gt;0,"Live","Exited"))</f>
        <v/>
      </c>
      <c r="V533" s="20" t="str">
        <f aca="false">IF($A533="","",IF($A533='Client Report'!$C$4,COUNTIFS($A$6:$A533,'Client Report'!$C$4),""))</f>
        <v/>
      </c>
    </row>
    <row r="534" customFormat="false" ht="15" hidden="false" customHeight="false" outlineLevel="0" collapsed="false">
      <c r="A534" s="11"/>
      <c r="B534" s="11"/>
      <c r="C534" s="14" t="str">
        <f aca="false">IF($B534="","",IFERROR(TRIM(LEFT($B534,FIND(" - ",$B534)-1)),"Others"))</f>
        <v/>
      </c>
      <c r="D534" s="11"/>
      <c r="E534" s="11"/>
      <c r="F534" s="12"/>
      <c r="G534" s="21"/>
      <c r="H534" s="21"/>
      <c r="I534" s="21"/>
      <c r="J534" s="21"/>
      <c r="K534" s="21"/>
      <c r="L534" s="21"/>
      <c r="M534" s="21"/>
      <c r="N534" s="22"/>
      <c r="O534" s="22"/>
      <c r="P534" s="17" t="str">
        <f aca="false">IF($A534="","",SUM($G534:$I534))</f>
        <v/>
      </c>
      <c r="Q534" s="17" t="str">
        <f aca="false">IF($A534="","",SUM($J534:$L534))</f>
        <v/>
      </c>
      <c r="R534" s="17" t="str">
        <f aca="false">IF($A534="","",($M534+$Q534)-$P534)</f>
        <v/>
      </c>
      <c r="S534" s="18" t="str">
        <f aca="false">IF(OR($A534="",$P534=0),"",$R534/$P534)</f>
        <v/>
      </c>
      <c r="T534" s="23"/>
      <c r="U534" s="14" t="str">
        <f aca="false">IF($A534="","",IF($M534&gt;0,"Live","Exited"))</f>
        <v/>
      </c>
      <c r="V534" s="20" t="str">
        <f aca="false">IF($A534="","",IF($A534='Client Report'!$C$4,COUNTIFS($A$6:$A534,'Client Report'!$C$4),""))</f>
        <v/>
      </c>
    </row>
    <row r="535" customFormat="false" ht="15" hidden="false" customHeight="false" outlineLevel="0" collapsed="false">
      <c r="A535" s="11"/>
      <c r="B535" s="11"/>
      <c r="C535" s="14" t="str">
        <f aca="false">IF($B535="","",IFERROR(TRIM(LEFT($B535,FIND(" - ",$B535)-1)),"Others"))</f>
        <v/>
      </c>
      <c r="D535" s="11"/>
      <c r="E535" s="11"/>
      <c r="F535" s="12"/>
      <c r="G535" s="21"/>
      <c r="H535" s="21"/>
      <c r="I535" s="21"/>
      <c r="J535" s="21"/>
      <c r="K535" s="21"/>
      <c r="L535" s="21"/>
      <c r="M535" s="21"/>
      <c r="N535" s="22"/>
      <c r="O535" s="22"/>
      <c r="P535" s="17" t="str">
        <f aca="false">IF($A535="","",SUM($G535:$I535))</f>
        <v/>
      </c>
      <c r="Q535" s="17" t="str">
        <f aca="false">IF($A535="","",SUM($J535:$L535))</f>
        <v/>
      </c>
      <c r="R535" s="17" t="str">
        <f aca="false">IF($A535="","",($M535+$Q535)-$P535)</f>
        <v/>
      </c>
      <c r="S535" s="18" t="str">
        <f aca="false">IF(OR($A535="",$P535=0),"",$R535/$P535)</f>
        <v/>
      </c>
      <c r="T535" s="23"/>
      <c r="U535" s="14" t="str">
        <f aca="false">IF($A535="","",IF($M535&gt;0,"Live","Exited"))</f>
        <v/>
      </c>
      <c r="V535" s="20" t="str">
        <f aca="false">IF($A535="","",IF($A535='Client Report'!$C$4,COUNTIFS($A$6:$A535,'Client Report'!$C$4),""))</f>
        <v/>
      </c>
    </row>
    <row r="536" customFormat="false" ht="15" hidden="false" customHeight="false" outlineLevel="0" collapsed="false">
      <c r="A536" s="11"/>
      <c r="B536" s="11"/>
      <c r="C536" s="14" t="str">
        <f aca="false">IF($B536="","",IFERROR(TRIM(LEFT($B536,FIND(" - ",$B536)-1)),"Others"))</f>
        <v/>
      </c>
      <c r="D536" s="11"/>
      <c r="E536" s="11"/>
      <c r="F536" s="12"/>
      <c r="G536" s="21"/>
      <c r="H536" s="21"/>
      <c r="I536" s="21"/>
      <c r="J536" s="21"/>
      <c r="K536" s="21"/>
      <c r="L536" s="21"/>
      <c r="M536" s="21"/>
      <c r="N536" s="22"/>
      <c r="O536" s="22"/>
      <c r="P536" s="17" t="str">
        <f aca="false">IF($A536="","",SUM($G536:$I536))</f>
        <v/>
      </c>
      <c r="Q536" s="17" t="str">
        <f aca="false">IF($A536="","",SUM($J536:$L536))</f>
        <v/>
      </c>
      <c r="R536" s="17" t="str">
        <f aca="false">IF($A536="","",($M536+$Q536)-$P536)</f>
        <v/>
      </c>
      <c r="S536" s="18" t="str">
        <f aca="false">IF(OR($A536="",$P536=0),"",$R536/$P536)</f>
        <v/>
      </c>
      <c r="T536" s="23"/>
      <c r="U536" s="14" t="str">
        <f aca="false">IF($A536="","",IF($M536&gt;0,"Live","Exited"))</f>
        <v/>
      </c>
      <c r="V536" s="20" t="str">
        <f aca="false">IF($A536="","",IF($A536='Client Report'!$C$4,COUNTIFS($A$6:$A536,'Client Report'!$C$4),""))</f>
        <v/>
      </c>
    </row>
    <row r="537" customFormat="false" ht="15" hidden="false" customHeight="false" outlineLevel="0" collapsed="false">
      <c r="A537" s="11"/>
      <c r="B537" s="11"/>
      <c r="C537" s="14" t="str">
        <f aca="false">IF($B537="","",IFERROR(TRIM(LEFT($B537,FIND(" - ",$B537)-1)),"Others"))</f>
        <v/>
      </c>
      <c r="D537" s="11"/>
      <c r="E537" s="11"/>
      <c r="F537" s="12"/>
      <c r="G537" s="21"/>
      <c r="H537" s="21"/>
      <c r="I537" s="21"/>
      <c r="J537" s="21"/>
      <c r="K537" s="21"/>
      <c r="L537" s="21"/>
      <c r="M537" s="21"/>
      <c r="N537" s="22"/>
      <c r="O537" s="22"/>
      <c r="P537" s="17" t="str">
        <f aca="false">IF($A537="","",SUM($G537:$I537))</f>
        <v/>
      </c>
      <c r="Q537" s="17" t="str">
        <f aca="false">IF($A537="","",SUM($J537:$L537))</f>
        <v/>
      </c>
      <c r="R537" s="17" t="str">
        <f aca="false">IF($A537="","",($M537+$Q537)-$P537)</f>
        <v/>
      </c>
      <c r="S537" s="18" t="str">
        <f aca="false">IF(OR($A537="",$P537=0),"",$R537/$P537)</f>
        <v/>
      </c>
      <c r="T537" s="23"/>
      <c r="U537" s="14" t="str">
        <f aca="false">IF($A537="","",IF($M537&gt;0,"Live","Exited"))</f>
        <v/>
      </c>
      <c r="V537" s="20" t="str">
        <f aca="false">IF($A537="","",IF($A537='Client Report'!$C$4,COUNTIFS($A$6:$A537,'Client Report'!$C$4),""))</f>
        <v/>
      </c>
    </row>
    <row r="538" customFormat="false" ht="15" hidden="false" customHeight="false" outlineLevel="0" collapsed="false">
      <c r="A538" s="11"/>
      <c r="B538" s="11"/>
      <c r="C538" s="14" t="str">
        <f aca="false">IF($B538="","",IFERROR(TRIM(LEFT($B538,FIND(" - ",$B538)-1)),"Others"))</f>
        <v/>
      </c>
      <c r="D538" s="11"/>
      <c r="E538" s="11"/>
      <c r="F538" s="12"/>
      <c r="G538" s="21"/>
      <c r="H538" s="21"/>
      <c r="I538" s="21"/>
      <c r="J538" s="21"/>
      <c r="K538" s="21"/>
      <c r="L538" s="21"/>
      <c r="M538" s="21"/>
      <c r="N538" s="22"/>
      <c r="O538" s="22"/>
      <c r="P538" s="17" t="str">
        <f aca="false">IF($A538="","",SUM($G538:$I538))</f>
        <v/>
      </c>
      <c r="Q538" s="17" t="str">
        <f aca="false">IF($A538="","",SUM($J538:$L538))</f>
        <v/>
      </c>
      <c r="R538" s="17" t="str">
        <f aca="false">IF($A538="","",($M538+$Q538)-$P538)</f>
        <v/>
      </c>
      <c r="S538" s="18" t="str">
        <f aca="false">IF(OR($A538="",$P538=0),"",$R538/$P538)</f>
        <v/>
      </c>
      <c r="T538" s="23"/>
      <c r="U538" s="14" t="str">
        <f aca="false">IF($A538="","",IF($M538&gt;0,"Live","Exited"))</f>
        <v/>
      </c>
      <c r="V538" s="20" t="str">
        <f aca="false">IF($A538="","",IF($A538='Client Report'!$C$4,COUNTIFS($A$6:$A538,'Client Report'!$C$4),""))</f>
        <v/>
      </c>
    </row>
    <row r="539" customFormat="false" ht="15" hidden="false" customHeight="false" outlineLevel="0" collapsed="false">
      <c r="A539" s="11"/>
      <c r="B539" s="11"/>
      <c r="C539" s="14" t="str">
        <f aca="false">IF($B539="","",IFERROR(TRIM(LEFT($B539,FIND(" - ",$B539)-1)),"Others"))</f>
        <v/>
      </c>
      <c r="D539" s="11"/>
      <c r="E539" s="11"/>
      <c r="F539" s="12"/>
      <c r="G539" s="21"/>
      <c r="H539" s="21"/>
      <c r="I539" s="21"/>
      <c r="J539" s="21"/>
      <c r="K539" s="21"/>
      <c r="L539" s="21"/>
      <c r="M539" s="21"/>
      <c r="N539" s="22"/>
      <c r="O539" s="22"/>
      <c r="P539" s="17" t="str">
        <f aca="false">IF($A539="","",SUM($G539:$I539))</f>
        <v/>
      </c>
      <c r="Q539" s="17" t="str">
        <f aca="false">IF($A539="","",SUM($J539:$L539))</f>
        <v/>
      </c>
      <c r="R539" s="17" t="str">
        <f aca="false">IF($A539="","",($M539+$Q539)-$P539)</f>
        <v/>
      </c>
      <c r="S539" s="18" t="str">
        <f aca="false">IF(OR($A539="",$P539=0),"",$R539/$P539)</f>
        <v/>
      </c>
      <c r="T539" s="23"/>
      <c r="U539" s="14" t="str">
        <f aca="false">IF($A539="","",IF($M539&gt;0,"Live","Exited"))</f>
        <v/>
      </c>
      <c r="V539" s="20" t="str">
        <f aca="false">IF($A539="","",IF($A539='Client Report'!$C$4,COUNTIFS($A$6:$A539,'Client Report'!$C$4),""))</f>
        <v/>
      </c>
    </row>
    <row r="540" customFormat="false" ht="15" hidden="false" customHeight="false" outlineLevel="0" collapsed="false">
      <c r="A540" s="11"/>
      <c r="B540" s="11"/>
      <c r="C540" s="14" t="str">
        <f aca="false">IF($B540="","",IFERROR(TRIM(LEFT($B540,FIND(" - ",$B540)-1)),"Others"))</f>
        <v/>
      </c>
      <c r="D540" s="11"/>
      <c r="E540" s="11"/>
      <c r="F540" s="12"/>
      <c r="G540" s="21"/>
      <c r="H540" s="21"/>
      <c r="I540" s="21"/>
      <c r="J540" s="21"/>
      <c r="K540" s="21"/>
      <c r="L540" s="21"/>
      <c r="M540" s="21"/>
      <c r="N540" s="22"/>
      <c r="O540" s="22"/>
      <c r="P540" s="17" t="str">
        <f aca="false">IF($A540="","",SUM($G540:$I540))</f>
        <v/>
      </c>
      <c r="Q540" s="17" t="str">
        <f aca="false">IF($A540="","",SUM($J540:$L540))</f>
        <v/>
      </c>
      <c r="R540" s="17" t="str">
        <f aca="false">IF($A540="","",($M540+$Q540)-$P540)</f>
        <v/>
      </c>
      <c r="S540" s="18" t="str">
        <f aca="false">IF(OR($A540="",$P540=0),"",$R540/$P540)</f>
        <v/>
      </c>
      <c r="T540" s="23"/>
      <c r="U540" s="14" t="str">
        <f aca="false">IF($A540="","",IF($M540&gt;0,"Live","Exited"))</f>
        <v/>
      </c>
      <c r="V540" s="20" t="str">
        <f aca="false">IF($A540="","",IF($A540='Client Report'!$C$4,COUNTIFS($A$6:$A540,'Client Report'!$C$4),""))</f>
        <v/>
      </c>
    </row>
    <row r="541" customFormat="false" ht="15" hidden="false" customHeight="false" outlineLevel="0" collapsed="false">
      <c r="A541" s="11"/>
      <c r="B541" s="11"/>
      <c r="C541" s="14" t="str">
        <f aca="false">IF($B541="","",IFERROR(TRIM(LEFT($B541,FIND(" - ",$B541)-1)),"Others"))</f>
        <v/>
      </c>
      <c r="D541" s="11"/>
      <c r="E541" s="11"/>
      <c r="F541" s="12"/>
      <c r="G541" s="21"/>
      <c r="H541" s="21"/>
      <c r="I541" s="21"/>
      <c r="J541" s="21"/>
      <c r="K541" s="21"/>
      <c r="L541" s="21"/>
      <c r="M541" s="21"/>
      <c r="N541" s="22"/>
      <c r="O541" s="22"/>
      <c r="P541" s="17" t="str">
        <f aca="false">IF($A541="","",SUM($G541:$I541))</f>
        <v/>
      </c>
      <c r="Q541" s="17" t="str">
        <f aca="false">IF($A541="","",SUM($J541:$L541))</f>
        <v/>
      </c>
      <c r="R541" s="17" t="str">
        <f aca="false">IF($A541="","",($M541+$Q541)-$P541)</f>
        <v/>
      </c>
      <c r="S541" s="18" t="str">
        <f aca="false">IF(OR($A541="",$P541=0),"",$R541/$P541)</f>
        <v/>
      </c>
      <c r="T541" s="23"/>
      <c r="U541" s="14" t="str">
        <f aca="false">IF($A541="","",IF($M541&gt;0,"Live","Exited"))</f>
        <v/>
      </c>
      <c r="V541" s="20" t="str">
        <f aca="false">IF($A541="","",IF($A541='Client Report'!$C$4,COUNTIFS($A$6:$A541,'Client Report'!$C$4),""))</f>
        <v/>
      </c>
    </row>
    <row r="542" customFormat="false" ht="15" hidden="false" customHeight="false" outlineLevel="0" collapsed="false">
      <c r="A542" s="11"/>
      <c r="B542" s="11"/>
      <c r="C542" s="14" t="str">
        <f aca="false">IF($B542="","",IFERROR(TRIM(LEFT($B542,FIND(" - ",$B542)-1)),"Others"))</f>
        <v/>
      </c>
      <c r="D542" s="11"/>
      <c r="E542" s="11"/>
      <c r="F542" s="12"/>
      <c r="G542" s="21"/>
      <c r="H542" s="21"/>
      <c r="I542" s="21"/>
      <c r="J542" s="21"/>
      <c r="K542" s="21"/>
      <c r="L542" s="21"/>
      <c r="M542" s="21"/>
      <c r="N542" s="22"/>
      <c r="O542" s="22"/>
      <c r="P542" s="17" t="str">
        <f aca="false">IF($A542="","",SUM($G542:$I542))</f>
        <v/>
      </c>
      <c r="Q542" s="17" t="str">
        <f aca="false">IF($A542="","",SUM($J542:$L542))</f>
        <v/>
      </c>
      <c r="R542" s="17" t="str">
        <f aca="false">IF($A542="","",($M542+$Q542)-$P542)</f>
        <v/>
      </c>
      <c r="S542" s="18" t="str">
        <f aca="false">IF(OR($A542="",$P542=0),"",$R542/$P542)</f>
        <v/>
      </c>
      <c r="T542" s="23"/>
      <c r="U542" s="14" t="str">
        <f aca="false">IF($A542="","",IF($M542&gt;0,"Live","Exited"))</f>
        <v/>
      </c>
      <c r="V542" s="20" t="str">
        <f aca="false">IF($A542="","",IF($A542='Client Report'!$C$4,COUNTIFS($A$6:$A542,'Client Report'!$C$4),""))</f>
        <v/>
      </c>
    </row>
    <row r="543" customFormat="false" ht="15" hidden="false" customHeight="false" outlineLevel="0" collapsed="false">
      <c r="A543" s="11"/>
      <c r="B543" s="11"/>
      <c r="C543" s="14" t="str">
        <f aca="false">IF($B543="","",IFERROR(TRIM(LEFT($B543,FIND(" - ",$B543)-1)),"Others"))</f>
        <v/>
      </c>
      <c r="D543" s="11"/>
      <c r="E543" s="11"/>
      <c r="F543" s="12"/>
      <c r="G543" s="21"/>
      <c r="H543" s="21"/>
      <c r="I543" s="21"/>
      <c r="J543" s="21"/>
      <c r="K543" s="21"/>
      <c r="L543" s="21"/>
      <c r="M543" s="21"/>
      <c r="N543" s="22"/>
      <c r="O543" s="22"/>
      <c r="P543" s="17" t="str">
        <f aca="false">IF($A543="","",SUM($G543:$I543))</f>
        <v/>
      </c>
      <c r="Q543" s="17" t="str">
        <f aca="false">IF($A543="","",SUM($J543:$L543))</f>
        <v/>
      </c>
      <c r="R543" s="17" t="str">
        <f aca="false">IF($A543="","",($M543+$Q543)-$P543)</f>
        <v/>
      </c>
      <c r="S543" s="18" t="str">
        <f aca="false">IF(OR($A543="",$P543=0),"",$R543/$P543)</f>
        <v/>
      </c>
      <c r="T543" s="23"/>
      <c r="U543" s="14" t="str">
        <f aca="false">IF($A543="","",IF($M543&gt;0,"Live","Exited"))</f>
        <v/>
      </c>
      <c r="V543" s="20" t="str">
        <f aca="false">IF($A543="","",IF($A543='Client Report'!$C$4,COUNTIFS($A$6:$A543,'Client Report'!$C$4),""))</f>
        <v/>
      </c>
    </row>
    <row r="544" customFormat="false" ht="15" hidden="false" customHeight="false" outlineLevel="0" collapsed="false">
      <c r="A544" s="11"/>
      <c r="B544" s="11"/>
      <c r="C544" s="14" t="str">
        <f aca="false">IF($B544="","",IFERROR(TRIM(LEFT($B544,FIND(" - ",$B544)-1)),"Others"))</f>
        <v/>
      </c>
      <c r="D544" s="11"/>
      <c r="E544" s="11"/>
      <c r="F544" s="12"/>
      <c r="G544" s="21"/>
      <c r="H544" s="21"/>
      <c r="I544" s="21"/>
      <c r="J544" s="21"/>
      <c r="K544" s="21"/>
      <c r="L544" s="21"/>
      <c r="M544" s="21"/>
      <c r="N544" s="22"/>
      <c r="O544" s="22"/>
      <c r="P544" s="17" t="str">
        <f aca="false">IF($A544="","",SUM($G544:$I544))</f>
        <v/>
      </c>
      <c r="Q544" s="17" t="str">
        <f aca="false">IF($A544="","",SUM($J544:$L544))</f>
        <v/>
      </c>
      <c r="R544" s="17" t="str">
        <f aca="false">IF($A544="","",($M544+$Q544)-$P544)</f>
        <v/>
      </c>
      <c r="S544" s="18" t="str">
        <f aca="false">IF(OR($A544="",$P544=0),"",$R544/$P544)</f>
        <v/>
      </c>
      <c r="T544" s="23"/>
      <c r="U544" s="14" t="str">
        <f aca="false">IF($A544="","",IF($M544&gt;0,"Live","Exited"))</f>
        <v/>
      </c>
      <c r="V544" s="20" t="str">
        <f aca="false">IF($A544="","",IF($A544='Client Report'!$C$4,COUNTIFS($A$6:$A544,'Client Report'!$C$4),""))</f>
        <v/>
      </c>
    </row>
    <row r="545" customFormat="false" ht="15" hidden="false" customHeight="false" outlineLevel="0" collapsed="false">
      <c r="A545" s="11"/>
      <c r="B545" s="11"/>
      <c r="C545" s="14" t="str">
        <f aca="false">IF($B545="","",IFERROR(TRIM(LEFT($B545,FIND(" - ",$B545)-1)),"Others"))</f>
        <v/>
      </c>
      <c r="D545" s="11"/>
      <c r="E545" s="11"/>
      <c r="F545" s="12"/>
      <c r="G545" s="21"/>
      <c r="H545" s="21"/>
      <c r="I545" s="21"/>
      <c r="J545" s="21"/>
      <c r="K545" s="21"/>
      <c r="L545" s="21"/>
      <c r="M545" s="21"/>
      <c r="N545" s="22"/>
      <c r="O545" s="22"/>
      <c r="P545" s="17" t="str">
        <f aca="false">IF($A545="","",SUM($G545:$I545))</f>
        <v/>
      </c>
      <c r="Q545" s="17" t="str">
        <f aca="false">IF($A545="","",SUM($J545:$L545))</f>
        <v/>
      </c>
      <c r="R545" s="17" t="str">
        <f aca="false">IF($A545="","",($M545+$Q545)-$P545)</f>
        <v/>
      </c>
      <c r="S545" s="18" t="str">
        <f aca="false">IF(OR($A545="",$P545=0),"",$R545/$P545)</f>
        <v/>
      </c>
      <c r="T545" s="23"/>
      <c r="U545" s="14" t="str">
        <f aca="false">IF($A545="","",IF($M545&gt;0,"Live","Exited"))</f>
        <v/>
      </c>
      <c r="V545" s="20" t="str">
        <f aca="false">IF($A545="","",IF($A545='Client Report'!$C$4,COUNTIFS($A$6:$A545,'Client Report'!$C$4),""))</f>
        <v/>
      </c>
    </row>
    <row r="546" customFormat="false" ht="15" hidden="false" customHeight="false" outlineLevel="0" collapsed="false">
      <c r="A546" s="11"/>
      <c r="B546" s="11"/>
      <c r="C546" s="14" t="str">
        <f aca="false">IF($B546="","",IFERROR(TRIM(LEFT($B546,FIND(" - ",$B546)-1)),"Others"))</f>
        <v/>
      </c>
      <c r="D546" s="11"/>
      <c r="E546" s="11"/>
      <c r="F546" s="12"/>
      <c r="G546" s="21"/>
      <c r="H546" s="21"/>
      <c r="I546" s="21"/>
      <c r="J546" s="21"/>
      <c r="K546" s="21"/>
      <c r="L546" s="21"/>
      <c r="M546" s="21"/>
      <c r="N546" s="22"/>
      <c r="O546" s="22"/>
      <c r="P546" s="17" t="str">
        <f aca="false">IF($A546="","",SUM($G546:$I546))</f>
        <v/>
      </c>
      <c r="Q546" s="17" t="str">
        <f aca="false">IF($A546="","",SUM($J546:$L546))</f>
        <v/>
      </c>
      <c r="R546" s="17" t="str">
        <f aca="false">IF($A546="","",($M546+$Q546)-$P546)</f>
        <v/>
      </c>
      <c r="S546" s="18" t="str">
        <f aca="false">IF(OR($A546="",$P546=0),"",$R546/$P546)</f>
        <v/>
      </c>
      <c r="T546" s="23"/>
      <c r="U546" s="14" t="str">
        <f aca="false">IF($A546="","",IF($M546&gt;0,"Live","Exited"))</f>
        <v/>
      </c>
      <c r="V546" s="20" t="str">
        <f aca="false">IF($A546="","",IF($A546='Client Report'!$C$4,COUNTIFS($A$6:$A546,'Client Report'!$C$4),""))</f>
        <v/>
      </c>
    </row>
    <row r="547" customFormat="false" ht="15" hidden="false" customHeight="false" outlineLevel="0" collapsed="false">
      <c r="A547" s="11"/>
      <c r="B547" s="11"/>
      <c r="C547" s="14" t="str">
        <f aca="false">IF($B547="","",IFERROR(TRIM(LEFT($B547,FIND(" - ",$B547)-1)),"Others"))</f>
        <v/>
      </c>
      <c r="D547" s="11"/>
      <c r="E547" s="11"/>
      <c r="F547" s="12"/>
      <c r="G547" s="21"/>
      <c r="H547" s="21"/>
      <c r="I547" s="21"/>
      <c r="J547" s="21"/>
      <c r="K547" s="21"/>
      <c r="L547" s="21"/>
      <c r="M547" s="21"/>
      <c r="N547" s="22"/>
      <c r="O547" s="22"/>
      <c r="P547" s="17" t="str">
        <f aca="false">IF($A547="","",SUM($G547:$I547))</f>
        <v/>
      </c>
      <c r="Q547" s="17" t="str">
        <f aca="false">IF($A547="","",SUM($J547:$L547))</f>
        <v/>
      </c>
      <c r="R547" s="17" t="str">
        <f aca="false">IF($A547="","",($M547+$Q547)-$P547)</f>
        <v/>
      </c>
      <c r="S547" s="18" t="str">
        <f aca="false">IF(OR($A547="",$P547=0),"",$R547/$P547)</f>
        <v/>
      </c>
      <c r="T547" s="23"/>
      <c r="U547" s="14" t="str">
        <f aca="false">IF($A547="","",IF($M547&gt;0,"Live","Exited"))</f>
        <v/>
      </c>
      <c r="V547" s="20" t="str">
        <f aca="false">IF($A547="","",IF($A547='Client Report'!$C$4,COUNTIFS($A$6:$A547,'Client Report'!$C$4),""))</f>
        <v/>
      </c>
    </row>
    <row r="548" customFormat="false" ht="15" hidden="false" customHeight="false" outlineLevel="0" collapsed="false">
      <c r="A548" s="11"/>
      <c r="B548" s="11"/>
      <c r="C548" s="14" t="str">
        <f aca="false">IF($B548="","",IFERROR(TRIM(LEFT($B548,FIND(" - ",$B548)-1)),"Others"))</f>
        <v/>
      </c>
      <c r="D548" s="11"/>
      <c r="E548" s="11"/>
      <c r="F548" s="12"/>
      <c r="G548" s="21"/>
      <c r="H548" s="21"/>
      <c r="I548" s="21"/>
      <c r="J548" s="21"/>
      <c r="K548" s="21"/>
      <c r="L548" s="21"/>
      <c r="M548" s="21"/>
      <c r="N548" s="22"/>
      <c r="O548" s="22"/>
      <c r="P548" s="17" t="str">
        <f aca="false">IF($A548="","",SUM($G548:$I548))</f>
        <v/>
      </c>
      <c r="Q548" s="17" t="str">
        <f aca="false">IF($A548="","",SUM($J548:$L548))</f>
        <v/>
      </c>
      <c r="R548" s="17" t="str">
        <f aca="false">IF($A548="","",($M548+$Q548)-$P548)</f>
        <v/>
      </c>
      <c r="S548" s="18" t="str">
        <f aca="false">IF(OR($A548="",$P548=0),"",$R548/$P548)</f>
        <v/>
      </c>
      <c r="T548" s="23"/>
      <c r="U548" s="14" t="str">
        <f aca="false">IF($A548="","",IF($M548&gt;0,"Live","Exited"))</f>
        <v/>
      </c>
      <c r="V548" s="20" t="str">
        <f aca="false">IF($A548="","",IF($A548='Client Report'!$C$4,COUNTIFS($A$6:$A548,'Client Report'!$C$4),""))</f>
        <v/>
      </c>
    </row>
    <row r="549" customFormat="false" ht="15" hidden="false" customHeight="false" outlineLevel="0" collapsed="false">
      <c r="A549" s="11"/>
      <c r="B549" s="11"/>
      <c r="C549" s="14" t="str">
        <f aca="false">IF($B549="","",IFERROR(TRIM(LEFT($B549,FIND(" - ",$B549)-1)),"Others"))</f>
        <v/>
      </c>
      <c r="D549" s="11"/>
      <c r="E549" s="11"/>
      <c r="F549" s="12"/>
      <c r="G549" s="21"/>
      <c r="H549" s="21"/>
      <c r="I549" s="21"/>
      <c r="J549" s="21"/>
      <c r="K549" s="21"/>
      <c r="L549" s="21"/>
      <c r="M549" s="21"/>
      <c r="N549" s="22"/>
      <c r="O549" s="22"/>
      <c r="P549" s="17" t="str">
        <f aca="false">IF($A549="","",SUM($G549:$I549))</f>
        <v/>
      </c>
      <c r="Q549" s="17" t="str">
        <f aca="false">IF($A549="","",SUM($J549:$L549))</f>
        <v/>
      </c>
      <c r="R549" s="17" t="str">
        <f aca="false">IF($A549="","",($M549+$Q549)-$P549)</f>
        <v/>
      </c>
      <c r="S549" s="18" t="str">
        <f aca="false">IF(OR($A549="",$P549=0),"",$R549/$P549)</f>
        <v/>
      </c>
      <c r="T549" s="23"/>
      <c r="U549" s="14" t="str">
        <f aca="false">IF($A549="","",IF($M549&gt;0,"Live","Exited"))</f>
        <v/>
      </c>
      <c r="V549" s="20" t="str">
        <f aca="false">IF($A549="","",IF($A549='Client Report'!$C$4,COUNTIFS($A$6:$A549,'Client Report'!$C$4),""))</f>
        <v/>
      </c>
    </row>
    <row r="550" customFormat="false" ht="15" hidden="false" customHeight="false" outlineLevel="0" collapsed="false">
      <c r="A550" s="11"/>
      <c r="B550" s="11"/>
      <c r="C550" s="14" t="str">
        <f aca="false">IF($B550="","",IFERROR(TRIM(LEFT($B550,FIND(" - ",$B550)-1)),"Others"))</f>
        <v/>
      </c>
      <c r="D550" s="11"/>
      <c r="E550" s="11"/>
      <c r="F550" s="12"/>
      <c r="G550" s="21"/>
      <c r="H550" s="21"/>
      <c r="I550" s="21"/>
      <c r="J550" s="21"/>
      <c r="K550" s="21"/>
      <c r="L550" s="21"/>
      <c r="M550" s="21"/>
      <c r="N550" s="22"/>
      <c r="O550" s="22"/>
      <c r="P550" s="17" t="str">
        <f aca="false">IF($A550="","",SUM($G550:$I550))</f>
        <v/>
      </c>
      <c r="Q550" s="17" t="str">
        <f aca="false">IF($A550="","",SUM($J550:$L550))</f>
        <v/>
      </c>
      <c r="R550" s="17" t="str">
        <f aca="false">IF($A550="","",($M550+$Q550)-$P550)</f>
        <v/>
      </c>
      <c r="S550" s="18" t="str">
        <f aca="false">IF(OR($A550="",$P550=0),"",$R550/$P550)</f>
        <v/>
      </c>
      <c r="T550" s="23"/>
      <c r="U550" s="14" t="str">
        <f aca="false">IF($A550="","",IF($M550&gt;0,"Live","Exited"))</f>
        <v/>
      </c>
      <c r="V550" s="20" t="str">
        <f aca="false">IF($A550="","",IF($A550='Client Report'!$C$4,COUNTIFS($A$6:$A550,'Client Report'!$C$4),""))</f>
        <v/>
      </c>
    </row>
    <row r="551" customFormat="false" ht="15" hidden="false" customHeight="false" outlineLevel="0" collapsed="false">
      <c r="A551" s="11"/>
      <c r="B551" s="11"/>
      <c r="C551" s="14" t="str">
        <f aca="false">IF($B551="","",IFERROR(TRIM(LEFT($B551,FIND(" - ",$B551)-1)),"Others"))</f>
        <v/>
      </c>
      <c r="D551" s="11"/>
      <c r="E551" s="11"/>
      <c r="F551" s="12"/>
      <c r="G551" s="21"/>
      <c r="H551" s="21"/>
      <c r="I551" s="21"/>
      <c r="J551" s="21"/>
      <c r="K551" s="21"/>
      <c r="L551" s="21"/>
      <c r="M551" s="21"/>
      <c r="N551" s="22"/>
      <c r="O551" s="22"/>
      <c r="P551" s="17" t="str">
        <f aca="false">IF($A551="","",SUM($G551:$I551))</f>
        <v/>
      </c>
      <c r="Q551" s="17" t="str">
        <f aca="false">IF($A551="","",SUM($J551:$L551))</f>
        <v/>
      </c>
      <c r="R551" s="17" t="str">
        <f aca="false">IF($A551="","",($M551+$Q551)-$P551)</f>
        <v/>
      </c>
      <c r="S551" s="18" t="str">
        <f aca="false">IF(OR($A551="",$P551=0),"",$R551/$P551)</f>
        <v/>
      </c>
      <c r="T551" s="23"/>
      <c r="U551" s="14" t="str">
        <f aca="false">IF($A551="","",IF($M551&gt;0,"Live","Exited"))</f>
        <v/>
      </c>
      <c r="V551" s="20" t="str">
        <f aca="false">IF($A551="","",IF($A551='Client Report'!$C$4,COUNTIFS($A$6:$A551,'Client Report'!$C$4),""))</f>
        <v/>
      </c>
    </row>
    <row r="552" customFormat="false" ht="15" hidden="false" customHeight="false" outlineLevel="0" collapsed="false">
      <c r="A552" s="11"/>
      <c r="B552" s="11"/>
      <c r="C552" s="14" t="str">
        <f aca="false">IF($B552="","",IFERROR(TRIM(LEFT($B552,FIND(" - ",$B552)-1)),"Others"))</f>
        <v/>
      </c>
      <c r="D552" s="11"/>
      <c r="E552" s="11"/>
      <c r="F552" s="12"/>
      <c r="G552" s="21"/>
      <c r="H552" s="21"/>
      <c r="I552" s="21"/>
      <c r="J552" s="21"/>
      <c r="K552" s="21"/>
      <c r="L552" s="21"/>
      <c r="M552" s="21"/>
      <c r="N552" s="22"/>
      <c r="O552" s="22"/>
      <c r="P552" s="17" t="str">
        <f aca="false">IF($A552="","",SUM($G552:$I552))</f>
        <v/>
      </c>
      <c r="Q552" s="17" t="str">
        <f aca="false">IF($A552="","",SUM($J552:$L552))</f>
        <v/>
      </c>
      <c r="R552" s="17" t="str">
        <f aca="false">IF($A552="","",($M552+$Q552)-$P552)</f>
        <v/>
      </c>
      <c r="S552" s="18" t="str">
        <f aca="false">IF(OR($A552="",$P552=0),"",$R552/$P552)</f>
        <v/>
      </c>
      <c r="T552" s="23"/>
      <c r="U552" s="14" t="str">
        <f aca="false">IF($A552="","",IF($M552&gt;0,"Live","Exited"))</f>
        <v/>
      </c>
      <c r="V552" s="20" t="str">
        <f aca="false">IF($A552="","",IF($A552='Client Report'!$C$4,COUNTIFS($A$6:$A552,'Client Report'!$C$4),""))</f>
        <v/>
      </c>
    </row>
    <row r="553" customFormat="false" ht="15" hidden="false" customHeight="false" outlineLevel="0" collapsed="false">
      <c r="A553" s="11"/>
      <c r="B553" s="11"/>
      <c r="C553" s="14" t="str">
        <f aca="false">IF($B553="","",IFERROR(TRIM(LEFT($B553,FIND(" - ",$B553)-1)),"Others"))</f>
        <v/>
      </c>
      <c r="D553" s="11"/>
      <c r="E553" s="11"/>
      <c r="F553" s="12"/>
      <c r="G553" s="21"/>
      <c r="H553" s="21"/>
      <c r="I553" s="21"/>
      <c r="J553" s="21"/>
      <c r="K553" s="21"/>
      <c r="L553" s="21"/>
      <c r="M553" s="21"/>
      <c r="N553" s="22"/>
      <c r="O553" s="22"/>
      <c r="P553" s="17" t="str">
        <f aca="false">IF($A553="","",SUM($G553:$I553))</f>
        <v/>
      </c>
      <c r="Q553" s="17" t="str">
        <f aca="false">IF($A553="","",SUM($J553:$L553))</f>
        <v/>
      </c>
      <c r="R553" s="17" t="str">
        <f aca="false">IF($A553="","",($M553+$Q553)-$P553)</f>
        <v/>
      </c>
      <c r="S553" s="18" t="str">
        <f aca="false">IF(OR($A553="",$P553=0),"",$R553/$P553)</f>
        <v/>
      </c>
      <c r="T553" s="23"/>
      <c r="U553" s="14" t="str">
        <f aca="false">IF($A553="","",IF($M553&gt;0,"Live","Exited"))</f>
        <v/>
      </c>
      <c r="V553" s="20" t="str">
        <f aca="false">IF($A553="","",IF($A553='Client Report'!$C$4,COUNTIFS($A$6:$A553,'Client Report'!$C$4),""))</f>
        <v/>
      </c>
    </row>
    <row r="554" customFormat="false" ht="15" hidden="false" customHeight="false" outlineLevel="0" collapsed="false">
      <c r="A554" s="11"/>
      <c r="B554" s="11"/>
      <c r="C554" s="14" t="str">
        <f aca="false">IF($B554="","",IFERROR(TRIM(LEFT($B554,FIND(" - ",$B554)-1)),"Others"))</f>
        <v/>
      </c>
      <c r="D554" s="11"/>
      <c r="E554" s="11"/>
      <c r="F554" s="12"/>
      <c r="G554" s="21"/>
      <c r="H554" s="21"/>
      <c r="I554" s="21"/>
      <c r="J554" s="21"/>
      <c r="K554" s="21"/>
      <c r="L554" s="21"/>
      <c r="M554" s="21"/>
      <c r="N554" s="22"/>
      <c r="O554" s="22"/>
      <c r="P554" s="17" t="str">
        <f aca="false">IF($A554="","",SUM($G554:$I554))</f>
        <v/>
      </c>
      <c r="Q554" s="17" t="str">
        <f aca="false">IF($A554="","",SUM($J554:$L554))</f>
        <v/>
      </c>
      <c r="R554" s="17" t="str">
        <f aca="false">IF($A554="","",($M554+$Q554)-$P554)</f>
        <v/>
      </c>
      <c r="S554" s="18" t="str">
        <f aca="false">IF(OR($A554="",$P554=0),"",$R554/$P554)</f>
        <v/>
      </c>
      <c r="T554" s="23"/>
      <c r="U554" s="14" t="str">
        <f aca="false">IF($A554="","",IF($M554&gt;0,"Live","Exited"))</f>
        <v/>
      </c>
      <c r="V554" s="20" t="str">
        <f aca="false">IF($A554="","",IF($A554='Client Report'!$C$4,COUNTIFS($A$6:$A554,'Client Report'!$C$4),""))</f>
        <v/>
      </c>
    </row>
    <row r="555" customFormat="false" ht="15" hidden="false" customHeight="false" outlineLevel="0" collapsed="false">
      <c r="A555" s="11"/>
      <c r="B555" s="11"/>
      <c r="C555" s="14" t="str">
        <f aca="false">IF($B555="","",IFERROR(TRIM(LEFT($B555,FIND(" - ",$B555)-1)),"Others"))</f>
        <v/>
      </c>
      <c r="D555" s="11"/>
      <c r="E555" s="11"/>
      <c r="F555" s="12"/>
      <c r="G555" s="21"/>
      <c r="H555" s="21"/>
      <c r="I555" s="21"/>
      <c r="J555" s="21"/>
      <c r="K555" s="21"/>
      <c r="L555" s="21"/>
      <c r="M555" s="21"/>
      <c r="N555" s="22"/>
      <c r="O555" s="22"/>
      <c r="P555" s="17" t="str">
        <f aca="false">IF($A555="","",SUM($G555:$I555))</f>
        <v/>
      </c>
      <c r="Q555" s="17" t="str">
        <f aca="false">IF($A555="","",SUM($J555:$L555))</f>
        <v/>
      </c>
      <c r="R555" s="17" t="str">
        <f aca="false">IF($A555="","",($M555+$Q555)-$P555)</f>
        <v/>
      </c>
      <c r="S555" s="18" t="str">
        <f aca="false">IF(OR($A555="",$P555=0),"",$R555/$P555)</f>
        <v/>
      </c>
      <c r="T555" s="23"/>
      <c r="U555" s="14" t="str">
        <f aca="false">IF($A555="","",IF($M555&gt;0,"Live","Exited"))</f>
        <v/>
      </c>
      <c r="V555" s="20" t="str">
        <f aca="false">IF($A555="","",IF($A555='Client Report'!$C$4,COUNTIFS($A$6:$A555,'Client Report'!$C$4),""))</f>
        <v/>
      </c>
    </row>
    <row r="556" customFormat="false" ht="15" hidden="false" customHeight="false" outlineLevel="0" collapsed="false">
      <c r="A556" s="11"/>
      <c r="B556" s="11"/>
      <c r="C556" s="14" t="str">
        <f aca="false">IF($B556="","",IFERROR(TRIM(LEFT($B556,FIND(" - ",$B556)-1)),"Others"))</f>
        <v/>
      </c>
      <c r="D556" s="11"/>
      <c r="E556" s="11"/>
      <c r="F556" s="12"/>
      <c r="G556" s="21"/>
      <c r="H556" s="21"/>
      <c r="I556" s="21"/>
      <c r="J556" s="21"/>
      <c r="K556" s="21"/>
      <c r="L556" s="21"/>
      <c r="M556" s="21"/>
      <c r="N556" s="22"/>
      <c r="O556" s="22"/>
      <c r="P556" s="17" t="str">
        <f aca="false">IF($A556="","",SUM($G556:$I556))</f>
        <v/>
      </c>
      <c r="Q556" s="17" t="str">
        <f aca="false">IF($A556="","",SUM($J556:$L556))</f>
        <v/>
      </c>
      <c r="R556" s="17" t="str">
        <f aca="false">IF($A556="","",($M556+$Q556)-$P556)</f>
        <v/>
      </c>
      <c r="S556" s="18" t="str">
        <f aca="false">IF(OR($A556="",$P556=0),"",$R556/$P556)</f>
        <v/>
      </c>
      <c r="T556" s="23"/>
      <c r="U556" s="14" t="str">
        <f aca="false">IF($A556="","",IF($M556&gt;0,"Live","Exited"))</f>
        <v/>
      </c>
      <c r="V556" s="20" t="str">
        <f aca="false">IF($A556="","",IF($A556='Client Report'!$C$4,COUNTIFS($A$6:$A556,'Client Report'!$C$4),""))</f>
        <v/>
      </c>
    </row>
    <row r="557" customFormat="false" ht="15" hidden="false" customHeight="false" outlineLevel="0" collapsed="false">
      <c r="A557" s="11"/>
      <c r="B557" s="11"/>
      <c r="C557" s="14" t="str">
        <f aca="false">IF($B557="","",IFERROR(TRIM(LEFT($B557,FIND(" - ",$B557)-1)),"Others"))</f>
        <v/>
      </c>
      <c r="D557" s="11"/>
      <c r="E557" s="11"/>
      <c r="F557" s="12"/>
      <c r="G557" s="21"/>
      <c r="H557" s="21"/>
      <c r="I557" s="21"/>
      <c r="J557" s="21"/>
      <c r="K557" s="21"/>
      <c r="L557" s="21"/>
      <c r="M557" s="21"/>
      <c r="N557" s="22"/>
      <c r="O557" s="22"/>
      <c r="P557" s="17" t="str">
        <f aca="false">IF($A557="","",SUM($G557:$I557))</f>
        <v/>
      </c>
      <c r="Q557" s="17" t="str">
        <f aca="false">IF($A557="","",SUM($J557:$L557))</f>
        <v/>
      </c>
      <c r="R557" s="17" t="str">
        <f aca="false">IF($A557="","",($M557+$Q557)-$P557)</f>
        <v/>
      </c>
      <c r="S557" s="18" t="str">
        <f aca="false">IF(OR($A557="",$P557=0),"",$R557/$P557)</f>
        <v/>
      </c>
      <c r="T557" s="23"/>
      <c r="U557" s="14" t="str">
        <f aca="false">IF($A557="","",IF($M557&gt;0,"Live","Exited"))</f>
        <v/>
      </c>
      <c r="V557" s="20" t="str">
        <f aca="false">IF($A557="","",IF($A557='Client Report'!$C$4,COUNTIFS($A$6:$A557,'Client Report'!$C$4),""))</f>
        <v/>
      </c>
    </row>
    <row r="558" customFormat="false" ht="15" hidden="false" customHeight="false" outlineLevel="0" collapsed="false">
      <c r="A558" s="11"/>
      <c r="B558" s="11"/>
      <c r="C558" s="14" t="str">
        <f aca="false">IF($B558="","",IFERROR(TRIM(LEFT($B558,FIND(" - ",$B558)-1)),"Others"))</f>
        <v/>
      </c>
      <c r="D558" s="11"/>
      <c r="E558" s="11"/>
      <c r="F558" s="12"/>
      <c r="G558" s="21"/>
      <c r="H558" s="21"/>
      <c r="I558" s="21"/>
      <c r="J558" s="21"/>
      <c r="K558" s="21"/>
      <c r="L558" s="21"/>
      <c r="M558" s="21"/>
      <c r="N558" s="22"/>
      <c r="O558" s="22"/>
      <c r="P558" s="17" t="str">
        <f aca="false">IF($A558="","",SUM($G558:$I558))</f>
        <v/>
      </c>
      <c r="Q558" s="17" t="str">
        <f aca="false">IF($A558="","",SUM($J558:$L558))</f>
        <v/>
      </c>
      <c r="R558" s="17" t="str">
        <f aca="false">IF($A558="","",($M558+$Q558)-$P558)</f>
        <v/>
      </c>
      <c r="S558" s="18" t="str">
        <f aca="false">IF(OR($A558="",$P558=0),"",$R558/$P558)</f>
        <v/>
      </c>
      <c r="T558" s="23"/>
      <c r="U558" s="14" t="str">
        <f aca="false">IF($A558="","",IF($M558&gt;0,"Live","Exited"))</f>
        <v/>
      </c>
      <c r="V558" s="20" t="str">
        <f aca="false">IF($A558="","",IF($A558='Client Report'!$C$4,COUNTIFS($A$6:$A558,'Client Report'!$C$4),""))</f>
        <v/>
      </c>
    </row>
    <row r="559" customFormat="false" ht="15" hidden="false" customHeight="false" outlineLevel="0" collapsed="false">
      <c r="A559" s="11"/>
      <c r="B559" s="11"/>
      <c r="C559" s="14" t="str">
        <f aca="false">IF($B559="","",IFERROR(TRIM(LEFT($B559,FIND(" - ",$B559)-1)),"Others"))</f>
        <v/>
      </c>
      <c r="D559" s="11"/>
      <c r="E559" s="11"/>
      <c r="F559" s="12"/>
      <c r="G559" s="21"/>
      <c r="H559" s="21"/>
      <c r="I559" s="21"/>
      <c r="J559" s="21"/>
      <c r="K559" s="21"/>
      <c r="L559" s="21"/>
      <c r="M559" s="21"/>
      <c r="N559" s="22"/>
      <c r="O559" s="22"/>
      <c r="P559" s="17" t="str">
        <f aca="false">IF($A559="","",SUM($G559:$I559))</f>
        <v/>
      </c>
      <c r="Q559" s="17" t="str">
        <f aca="false">IF($A559="","",SUM($J559:$L559))</f>
        <v/>
      </c>
      <c r="R559" s="17" t="str">
        <f aca="false">IF($A559="","",($M559+$Q559)-$P559)</f>
        <v/>
      </c>
      <c r="S559" s="18" t="str">
        <f aca="false">IF(OR($A559="",$P559=0),"",$R559/$P559)</f>
        <v/>
      </c>
      <c r="T559" s="23"/>
      <c r="U559" s="14" t="str">
        <f aca="false">IF($A559="","",IF($M559&gt;0,"Live","Exited"))</f>
        <v/>
      </c>
      <c r="V559" s="20" t="str">
        <f aca="false">IF($A559="","",IF($A559='Client Report'!$C$4,COUNTIFS($A$6:$A559,'Client Report'!$C$4),""))</f>
        <v/>
      </c>
    </row>
    <row r="560" customFormat="false" ht="15" hidden="false" customHeight="false" outlineLevel="0" collapsed="false">
      <c r="A560" s="11"/>
      <c r="B560" s="11"/>
      <c r="C560" s="14" t="str">
        <f aca="false">IF($B560="","",IFERROR(TRIM(LEFT($B560,FIND(" - ",$B560)-1)),"Others"))</f>
        <v/>
      </c>
      <c r="D560" s="11"/>
      <c r="E560" s="11"/>
      <c r="F560" s="12"/>
      <c r="G560" s="21"/>
      <c r="H560" s="21"/>
      <c r="I560" s="21"/>
      <c r="J560" s="21"/>
      <c r="K560" s="21"/>
      <c r="L560" s="21"/>
      <c r="M560" s="21"/>
      <c r="N560" s="22"/>
      <c r="O560" s="22"/>
      <c r="P560" s="17" t="str">
        <f aca="false">IF($A560="","",SUM($G560:$I560))</f>
        <v/>
      </c>
      <c r="Q560" s="17" t="str">
        <f aca="false">IF($A560="","",SUM($J560:$L560))</f>
        <v/>
      </c>
      <c r="R560" s="17" t="str">
        <f aca="false">IF($A560="","",($M560+$Q560)-$P560)</f>
        <v/>
      </c>
      <c r="S560" s="18" t="str">
        <f aca="false">IF(OR($A560="",$P560=0),"",$R560/$P560)</f>
        <v/>
      </c>
      <c r="T560" s="23"/>
      <c r="U560" s="14" t="str">
        <f aca="false">IF($A560="","",IF($M560&gt;0,"Live","Exited"))</f>
        <v/>
      </c>
      <c r="V560" s="20" t="str">
        <f aca="false">IF($A560="","",IF($A560='Client Report'!$C$4,COUNTIFS($A$6:$A560,'Client Report'!$C$4),""))</f>
        <v/>
      </c>
    </row>
    <row r="561" customFormat="false" ht="15" hidden="false" customHeight="false" outlineLevel="0" collapsed="false">
      <c r="A561" s="11"/>
      <c r="B561" s="11"/>
      <c r="C561" s="14" t="str">
        <f aca="false">IF($B561="","",IFERROR(TRIM(LEFT($B561,FIND(" - ",$B561)-1)),"Others"))</f>
        <v/>
      </c>
      <c r="D561" s="11"/>
      <c r="E561" s="11"/>
      <c r="F561" s="12"/>
      <c r="G561" s="21"/>
      <c r="H561" s="21"/>
      <c r="I561" s="21"/>
      <c r="J561" s="21"/>
      <c r="K561" s="21"/>
      <c r="L561" s="21"/>
      <c r="M561" s="21"/>
      <c r="N561" s="22"/>
      <c r="O561" s="22"/>
      <c r="P561" s="17" t="str">
        <f aca="false">IF($A561="","",SUM($G561:$I561))</f>
        <v/>
      </c>
      <c r="Q561" s="17" t="str">
        <f aca="false">IF($A561="","",SUM($J561:$L561))</f>
        <v/>
      </c>
      <c r="R561" s="17" t="str">
        <f aca="false">IF($A561="","",($M561+$Q561)-$P561)</f>
        <v/>
      </c>
      <c r="S561" s="18" t="str">
        <f aca="false">IF(OR($A561="",$P561=0),"",$R561/$P561)</f>
        <v/>
      </c>
      <c r="T561" s="23"/>
      <c r="U561" s="14" t="str">
        <f aca="false">IF($A561="","",IF($M561&gt;0,"Live","Exited"))</f>
        <v/>
      </c>
      <c r="V561" s="20" t="str">
        <f aca="false">IF($A561="","",IF($A561='Client Report'!$C$4,COUNTIFS($A$6:$A561,'Client Report'!$C$4),""))</f>
        <v/>
      </c>
    </row>
    <row r="562" customFormat="false" ht="15" hidden="false" customHeight="false" outlineLevel="0" collapsed="false">
      <c r="A562" s="11"/>
      <c r="B562" s="11"/>
      <c r="C562" s="14" t="str">
        <f aca="false">IF($B562="","",IFERROR(TRIM(LEFT($B562,FIND(" - ",$B562)-1)),"Others"))</f>
        <v/>
      </c>
      <c r="D562" s="11"/>
      <c r="E562" s="11"/>
      <c r="F562" s="12"/>
      <c r="G562" s="21"/>
      <c r="H562" s="21"/>
      <c r="I562" s="21"/>
      <c r="J562" s="21"/>
      <c r="K562" s="21"/>
      <c r="L562" s="21"/>
      <c r="M562" s="21"/>
      <c r="N562" s="22"/>
      <c r="O562" s="22"/>
      <c r="P562" s="17" t="str">
        <f aca="false">IF($A562="","",SUM($G562:$I562))</f>
        <v/>
      </c>
      <c r="Q562" s="17" t="str">
        <f aca="false">IF($A562="","",SUM($J562:$L562))</f>
        <v/>
      </c>
      <c r="R562" s="17" t="str">
        <f aca="false">IF($A562="","",($M562+$Q562)-$P562)</f>
        <v/>
      </c>
      <c r="S562" s="18" t="str">
        <f aca="false">IF(OR($A562="",$P562=0),"",$R562/$P562)</f>
        <v/>
      </c>
      <c r="T562" s="23"/>
      <c r="U562" s="14" t="str">
        <f aca="false">IF($A562="","",IF($M562&gt;0,"Live","Exited"))</f>
        <v/>
      </c>
      <c r="V562" s="20" t="str">
        <f aca="false">IF($A562="","",IF($A562='Client Report'!$C$4,COUNTIFS($A$6:$A562,'Client Report'!$C$4),""))</f>
        <v/>
      </c>
    </row>
    <row r="563" customFormat="false" ht="15" hidden="false" customHeight="false" outlineLevel="0" collapsed="false">
      <c r="A563" s="11"/>
      <c r="B563" s="11"/>
      <c r="C563" s="14" t="str">
        <f aca="false">IF($B563="","",IFERROR(TRIM(LEFT($B563,FIND(" - ",$B563)-1)),"Others"))</f>
        <v/>
      </c>
      <c r="D563" s="11"/>
      <c r="E563" s="11"/>
      <c r="F563" s="12"/>
      <c r="G563" s="21"/>
      <c r="H563" s="21"/>
      <c r="I563" s="21"/>
      <c r="J563" s="21"/>
      <c r="K563" s="21"/>
      <c r="L563" s="21"/>
      <c r="M563" s="21"/>
      <c r="N563" s="22"/>
      <c r="O563" s="22"/>
      <c r="P563" s="17" t="str">
        <f aca="false">IF($A563="","",SUM($G563:$I563))</f>
        <v/>
      </c>
      <c r="Q563" s="17" t="str">
        <f aca="false">IF($A563="","",SUM($J563:$L563))</f>
        <v/>
      </c>
      <c r="R563" s="17" t="str">
        <f aca="false">IF($A563="","",($M563+$Q563)-$P563)</f>
        <v/>
      </c>
      <c r="S563" s="18" t="str">
        <f aca="false">IF(OR($A563="",$P563=0),"",$R563/$P563)</f>
        <v/>
      </c>
      <c r="T563" s="23"/>
      <c r="U563" s="14" t="str">
        <f aca="false">IF($A563="","",IF($M563&gt;0,"Live","Exited"))</f>
        <v/>
      </c>
      <c r="V563" s="20" t="str">
        <f aca="false">IF($A563="","",IF($A563='Client Report'!$C$4,COUNTIFS($A$6:$A563,'Client Report'!$C$4),""))</f>
        <v/>
      </c>
    </row>
    <row r="564" customFormat="false" ht="15" hidden="false" customHeight="false" outlineLevel="0" collapsed="false">
      <c r="A564" s="11"/>
      <c r="B564" s="11"/>
      <c r="C564" s="14" t="str">
        <f aca="false">IF($B564="","",IFERROR(TRIM(LEFT($B564,FIND(" - ",$B564)-1)),"Others"))</f>
        <v/>
      </c>
      <c r="D564" s="11"/>
      <c r="E564" s="11"/>
      <c r="F564" s="12"/>
      <c r="G564" s="21"/>
      <c r="H564" s="21"/>
      <c r="I564" s="21"/>
      <c r="J564" s="21"/>
      <c r="K564" s="21"/>
      <c r="L564" s="21"/>
      <c r="M564" s="21"/>
      <c r="N564" s="22"/>
      <c r="O564" s="22"/>
      <c r="P564" s="17" t="str">
        <f aca="false">IF($A564="","",SUM($G564:$I564))</f>
        <v/>
      </c>
      <c r="Q564" s="17" t="str">
        <f aca="false">IF($A564="","",SUM($J564:$L564))</f>
        <v/>
      </c>
      <c r="R564" s="17" t="str">
        <f aca="false">IF($A564="","",($M564+$Q564)-$P564)</f>
        <v/>
      </c>
      <c r="S564" s="18" t="str">
        <f aca="false">IF(OR($A564="",$P564=0),"",$R564/$P564)</f>
        <v/>
      </c>
      <c r="T564" s="23"/>
      <c r="U564" s="14" t="str">
        <f aca="false">IF($A564="","",IF($M564&gt;0,"Live","Exited"))</f>
        <v/>
      </c>
      <c r="V564" s="20" t="str">
        <f aca="false">IF($A564="","",IF($A564='Client Report'!$C$4,COUNTIFS($A$6:$A564,'Client Report'!$C$4),""))</f>
        <v/>
      </c>
    </row>
    <row r="565" customFormat="false" ht="15" hidden="false" customHeight="false" outlineLevel="0" collapsed="false">
      <c r="A565" s="11"/>
      <c r="B565" s="11"/>
      <c r="C565" s="14" t="str">
        <f aca="false">IF($B565="","",IFERROR(TRIM(LEFT($B565,FIND(" - ",$B565)-1)),"Others"))</f>
        <v/>
      </c>
      <c r="D565" s="11"/>
      <c r="E565" s="11"/>
      <c r="F565" s="12"/>
      <c r="G565" s="21"/>
      <c r="H565" s="21"/>
      <c r="I565" s="21"/>
      <c r="J565" s="21"/>
      <c r="K565" s="21"/>
      <c r="L565" s="21"/>
      <c r="M565" s="21"/>
      <c r="N565" s="22"/>
      <c r="O565" s="22"/>
      <c r="P565" s="17" t="str">
        <f aca="false">IF($A565="","",SUM($G565:$I565))</f>
        <v/>
      </c>
      <c r="Q565" s="17" t="str">
        <f aca="false">IF($A565="","",SUM($J565:$L565))</f>
        <v/>
      </c>
      <c r="R565" s="17" t="str">
        <f aca="false">IF($A565="","",($M565+$Q565)-$P565)</f>
        <v/>
      </c>
      <c r="S565" s="18" t="str">
        <f aca="false">IF(OR($A565="",$P565=0),"",$R565/$P565)</f>
        <v/>
      </c>
      <c r="T565" s="23"/>
      <c r="U565" s="14" t="str">
        <f aca="false">IF($A565="","",IF($M565&gt;0,"Live","Exited"))</f>
        <v/>
      </c>
      <c r="V565" s="20" t="str">
        <f aca="false">IF($A565="","",IF($A565='Client Report'!$C$4,COUNTIFS($A$6:$A565,'Client Report'!$C$4),""))</f>
        <v/>
      </c>
    </row>
    <row r="566" customFormat="false" ht="15" hidden="false" customHeight="false" outlineLevel="0" collapsed="false">
      <c r="A566" s="11"/>
      <c r="B566" s="11"/>
      <c r="C566" s="14" t="str">
        <f aca="false">IF($B566="","",IFERROR(TRIM(LEFT($B566,FIND(" - ",$B566)-1)),"Others"))</f>
        <v/>
      </c>
      <c r="D566" s="11"/>
      <c r="E566" s="11"/>
      <c r="F566" s="12"/>
      <c r="G566" s="21"/>
      <c r="H566" s="21"/>
      <c r="I566" s="21"/>
      <c r="J566" s="21"/>
      <c r="K566" s="21"/>
      <c r="L566" s="21"/>
      <c r="M566" s="21"/>
      <c r="N566" s="22"/>
      <c r="O566" s="22"/>
      <c r="P566" s="17" t="str">
        <f aca="false">IF($A566="","",SUM($G566:$I566))</f>
        <v/>
      </c>
      <c r="Q566" s="17" t="str">
        <f aca="false">IF($A566="","",SUM($J566:$L566))</f>
        <v/>
      </c>
      <c r="R566" s="17" t="str">
        <f aca="false">IF($A566="","",($M566+$Q566)-$P566)</f>
        <v/>
      </c>
      <c r="S566" s="18" t="str">
        <f aca="false">IF(OR($A566="",$P566=0),"",$R566/$P566)</f>
        <v/>
      </c>
      <c r="T566" s="23"/>
      <c r="U566" s="14" t="str">
        <f aca="false">IF($A566="","",IF($M566&gt;0,"Live","Exited"))</f>
        <v/>
      </c>
      <c r="V566" s="20" t="str">
        <f aca="false">IF($A566="","",IF($A566='Client Report'!$C$4,COUNTIFS($A$6:$A566,'Client Report'!$C$4),""))</f>
        <v/>
      </c>
    </row>
    <row r="567" customFormat="false" ht="15" hidden="false" customHeight="false" outlineLevel="0" collapsed="false">
      <c r="A567" s="11"/>
      <c r="B567" s="11"/>
      <c r="C567" s="14" t="str">
        <f aca="false">IF($B567="","",IFERROR(TRIM(LEFT($B567,FIND(" - ",$B567)-1)),"Others"))</f>
        <v/>
      </c>
      <c r="D567" s="11"/>
      <c r="E567" s="11"/>
      <c r="F567" s="12"/>
      <c r="G567" s="21"/>
      <c r="H567" s="21"/>
      <c r="I567" s="21"/>
      <c r="J567" s="21"/>
      <c r="K567" s="21"/>
      <c r="L567" s="21"/>
      <c r="M567" s="21"/>
      <c r="N567" s="22"/>
      <c r="O567" s="22"/>
      <c r="P567" s="17" t="str">
        <f aca="false">IF($A567="","",SUM($G567:$I567))</f>
        <v/>
      </c>
      <c r="Q567" s="17" t="str">
        <f aca="false">IF($A567="","",SUM($J567:$L567))</f>
        <v/>
      </c>
      <c r="R567" s="17" t="str">
        <f aca="false">IF($A567="","",($M567+$Q567)-$P567)</f>
        <v/>
      </c>
      <c r="S567" s="18" t="str">
        <f aca="false">IF(OR($A567="",$P567=0),"",$R567/$P567)</f>
        <v/>
      </c>
      <c r="T567" s="23"/>
      <c r="U567" s="14" t="str">
        <f aca="false">IF($A567="","",IF($M567&gt;0,"Live","Exited"))</f>
        <v/>
      </c>
      <c r="V567" s="20" t="str">
        <f aca="false">IF($A567="","",IF($A567='Client Report'!$C$4,COUNTIFS($A$6:$A567,'Client Report'!$C$4),""))</f>
        <v/>
      </c>
    </row>
    <row r="568" customFormat="false" ht="15" hidden="false" customHeight="false" outlineLevel="0" collapsed="false">
      <c r="A568" s="11"/>
      <c r="B568" s="11"/>
      <c r="C568" s="14" t="str">
        <f aca="false">IF($B568="","",IFERROR(TRIM(LEFT($B568,FIND(" - ",$B568)-1)),"Others"))</f>
        <v/>
      </c>
      <c r="D568" s="11"/>
      <c r="E568" s="11"/>
      <c r="F568" s="12"/>
      <c r="G568" s="21"/>
      <c r="H568" s="21"/>
      <c r="I568" s="21"/>
      <c r="J568" s="21"/>
      <c r="K568" s="21"/>
      <c r="L568" s="21"/>
      <c r="M568" s="21"/>
      <c r="N568" s="22"/>
      <c r="O568" s="22"/>
      <c r="P568" s="17" t="str">
        <f aca="false">IF($A568="","",SUM($G568:$I568))</f>
        <v/>
      </c>
      <c r="Q568" s="17" t="str">
        <f aca="false">IF($A568="","",SUM($J568:$L568))</f>
        <v/>
      </c>
      <c r="R568" s="17" t="str">
        <f aca="false">IF($A568="","",($M568+$Q568)-$P568)</f>
        <v/>
      </c>
      <c r="S568" s="18" t="str">
        <f aca="false">IF(OR($A568="",$P568=0),"",$R568/$P568)</f>
        <v/>
      </c>
      <c r="T568" s="23"/>
      <c r="U568" s="14" t="str">
        <f aca="false">IF($A568="","",IF($M568&gt;0,"Live","Exited"))</f>
        <v/>
      </c>
      <c r="V568" s="20" t="str">
        <f aca="false">IF($A568="","",IF($A568='Client Report'!$C$4,COUNTIFS($A$6:$A568,'Client Report'!$C$4),""))</f>
        <v/>
      </c>
    </row>
    <row r="569" customFormat="false" ht="15" hidden="false" customHeight="false" outlineLevel="0" collapsed="false">
      <c r="A569" s="11"/>
      <c r="B569" s="11"/>
      <c r="C569" s="14" t="str">
        <f aca="false">IF($B569="","",IFERROR(TRIM(LEFT($B569,FIND(" - ",$B569)-1)),"Others"))</f>
        <v/>
      </c>
      <c r="D569" s="11"/>
      <c r="E569" s="11"/>
      <c r="F569" s="12"/>
      <c r="G569" s="21"/>
      <c r="H569" s="21"/>
      <c r="I569" s="21"/>
      <c r="J569" s="21"/>
      <c r="K569" s="21"/>
      <c r="L569" s="21"/>
      <c r="M569" s="21"/>
      <c r="N569" s="22"/>
      <c r="O569" s="22"/>
      <c r="P569" s="17" t="str">
        <f aca="false">IF($A569="","",SUM($G569:$I569))</f>
        <v/>
      </c>
      <c r="Q569" s="17" t="str">
        <f aca="false">IF($A569="","",SUM($J569:$L569))</f>
        <v/>
      </c>
      <c r="R569" s="17" t="str">
        <f aca="false">IF($A569="","",($M569+$Q569)-$P569)</f>
        <v/>
      </c>
      <c r="S569" s="18" t="str">
        <f aca="false">IF(OR($A569="",$P569=0),"",$R569/$P569)</f>
        <v/>
      </c>
      <c r="T569" s="23"/>
      <c r="U569" s="14" t="str">
        <f aca="false">IF($A569="","",IF($M569&gt;0,"Live","Exited"))</f>
        <v/>
      </c>
      <c r="V569" s="20" t="str">
        <f aca="false">IF($A569="","",IF($A569='Client Report'!$C$4,COUNTIFS($A$6:$A569,'Client Report'!$C$4),""))</f>
        <v/>
      </c>
    </row>
    <row r="570" customFormat="false" ht="15" hidden="false" customHeight="false" outlineLevel="0" collapsed="false">
      <c r="A570" s="11"/>
      <c r="B570" s="11"/>
      <c r="C570" s="14" t="str">
        <f aca="false">IF($B570="","",IFERROR(TRIM(LEFT($B570,FIND(" - ",$B570)-1)),"Others"))</f>
        <v/>
      </c>
      <c r="D570" s="11"/>
      <c r="E570" s="11"/>
      <c r="F570" s="12"/>
      <c r="G570" s="21"/>
      <c r="H570" s="21"/>
      <c r="I570" s="21"/>
      <c r="J570" s="21"/>
      <c r="K570" s="21"/>
      <c r="L570" s="21"/>
      <c r="M570" s="21"/>
      <c r="N570" s="22"/>
      <c r="O570" s="22"/>
      <c r="P570" s="17" t="str">
        <f aca="false">IF($A570="","",SUM($G570:$I570))</f>
        <v/>
      </c>
      <c r="Q570" s="17" t="str">
        <f aca="false">IF($A570="","",SUM($J570:$L570))</f>
        <v/>
      </c>
      <c r="R570" s="17" t="str">
        <f aca="false">IF($A570="","",($M570+$Q570)-$P570)</f>
        <v/>
      </c>
      <c r="S570" s="18" t="str">
        <f aca="false">IF(OR($A570="",$P570=0),"",$R570/$P570)</f>
        <v/>
      </c>
      <c r="T570" s="23"/>
      <c r="U570" s="14" t="str">
        <f aca="false">IF($A570="","",IF($M570&gt;0,"Live","Exited"))</f>
        <v/>
      </c>
      <c r="V570" s="20" t="str">
        <f aca="false">IF($A570="","",IF($A570='Client Report'!$C$4,COUNTIFS($A$6:$A570,'Client Report'!$C$4),""))</f>
        <v/>
      </c>
    </row>
    <row r="571" customFormat="false" ht="15" hidden="false" customHeight="false" outlineLevel="0" collapsed="false">
      <c r="A571" s="11"/>
      <c r="B571" s="11"/>
      <c r="C571" s="14" t="str">
        <f aca="false">IF($B571="","",IFERROR(TRIM(LEFT($B571,FIND(" - ",$B571)-1)),"Others"))</f>
        <v/>
      </c>
      <c r="D571" s="11"/>
      <c r="E571" s="11"/>
      <c r="F571" s="12"/>
      <c r="G571" s="21"/>
      <c r="H571" s="21"/>
      <c r="I571" s="21"/>
      <c r="J571" s="21"/>
      <c r="K571" s="21"/>
      <c r="L571" s="21"/>
      <c r="M571" s="21"/>
      <c r="N571" s="22"/>
      <c r="O571" s="22"/>
      <c r="P571" s="17" t="str">
        <f aca="false">IF($A571="","",SUM($G571:$I571))</f>
        <v/>
      </c>
      <c r="Q571" s="17" t="str">
        <f aca="false">IF($A571="","",SUM($J571:$L571))</f>
        <v/>
      </c>
      <c r="R571" s="17" t="str">
        <f aca="false">IF($A571="","",($M571+$Q571)-$P571)</f>
        <v/>
      </c>
      <c r="S571" s="18" t="str">
        <f aca="false">IF(OR($A571="",$P571=0),"",$R571/$P571)</f>
        <v/>
      </c>
      <c r="T571" s="23"/>
      <c r="U571" s="14" t="str">
        <f aca="false">IF($A571="","",IF($M571&gt;0,"Live","Exited"))</f>
        <v/>
      </c>
      <c r="V571" s="20" t="str">
        <f aca="false">IF($A571="","",IF($A571='Client Report'!$C$4,COUNTIFS($A$6:$A571,'Client Report'!$C$4),""))</f>
        <v/>
      </c>
    </row>
    <row r="572" customFormat="false" ht="15" hidden="false" customHeight="false" outlineLevel="0" collapsed="false">
      <c r="A572" s="11"/>
      <c r="B572" s="11"/>
      <c r="C572" s="14" t="str">
        <f aca="false">IF($B572="","",IFERROR(TRIM(LEFT($B572,FIND(" - ",$B572)-1)),"Others"))</f>
        <v/>
      </c>
      <c r="D572" s="11"/>
      <c r="E572" s="11"/>
      <c r="F572" s="12"/>
      <c r="G572" s="21"/>
      <c r="H572" s="21"/>
      <c r="I572" s="21"/>
      <c r="J572" s="21"/>
      <c r="K572" s="21"/>
      <c r="L572" s="21"/>
      <c r="M572" s="21"/>
      <c r="N572" s="22"/>
      <c r="O572" s="22"/>
      <c r="P572" s="17" t="str">
        <f aca="false">IF($A572="","",SUM($G572:$I572))</f>
        <v/>
      </c>
      <c r="Q572" s="17" t="str">
        <f aca="false">IF($A572="","",SUM($J572:$L572))</f>
        <v/>
      </c>
      <c r="R572" s="17" t="str">
        <f aca="false">IF($A572="","",($M572+$Q572)-$P572)</f>
        <v/>
      </c>
      <c r="S572" s="18" t="str">
        <f aca="false">IF(OR($A572="",$P572=0),"",$R572/$P572)</f>
        <v/>
      </c>
      <c r="T572" s="23"/>
      <c r="U572" s="14" t="str">
        <f aca="false">IF($A572="","",IF($M572&gt;0,"Live","Exited"))</f>
        <v/>
      </c>
      <c r="V572" s="20" t="str">
        <f aca="false">IF($A572="","",IF($A572='Client Report'!$C$4,COUNTIFS($A$6:$A572,'Client Report'!$C$4),""))</f>
        <v/>
      </c>
    </row>
    <row r="573" customFormat="false" ht="15" hidden="false" customHeight="false" outlineLevel="0" collapsed="false">
      <c r="A573" s="11"/>
      <c r="B573" s="11"/>
      <c r="C573" s="14" t="str">
        <f aca="false">IF($B573="","",IFERROR(TRIM(LEFT($B573,FIND(" - ",$B573)-1)),"Others"))</f>
        <v/>
      </c>
      <c r="D573" s="11"/>
      <c r="E573" s="11"/>
      <c r="F573" s="12"/>
      <c r="G573" s="21"/>
      <c r="H573" s="21"/>
      <c r="I573" s="21"/>
      <c r="J573" s="21"/>
      <c r="K573" s="21"/>
      <c r="L573" s="21"/>
      <c r="M573" s="21"/>
      <c r="N573" s="22"/>
      <c r="O573" s="22"/>
      <c r="P573" s="17" t="str">
        <f aca="false">IF($A573="","",SUM($G573:$I573))</f>
        <v/>
      </c>
      <c r="Q573" s="17" t="str">
        <f aca="false">IF($A573="","",SUM($J573:$L573))</f>
        <v/>
      </c>
      <c r="R573" s="17" t="str">
        <f aca="false">IF($A573="","",($M573+$Q573)-$P573)</f>
        <v/>
      </c>
      <c r="S573" s="18" t="str">
        <f aca="false">IF(OR($A573="",$P573=0),"",$R573/$P573)</f>
        <v/>
      </c>
      <c r="T573" s="23"/>
      <c r="U573" s="14" t="str">
        <f aca="false">IF($A573="","",IF($M573&gt;0,"Live","Exited"))</f>
        <v/>
      </c>
      <c r="V573" s="20" t="str">
        <f aca="false">IF($A573="","",IF($A573='Client Report'!$C$4,COUNTIFS($A$6:$A573,'Client Report'!$C$4),""))</f>
        <v/>
      </c>
    </row>
    <row r="574" customFormat="false" ht="15" hidden="false" customHeight="false" outlineLevel="0" collapsed="false">
      <c r="A574" s="11"/>
      <c r="B574" s="11"/>
      <c r="C574" s="14" t="str">
        <f aca="false">IF($B574="","",IFERROR(TRIM(LEFT($B574,FIND(" - ",$B574)-1)),"Others"))</f>
        <v/>
      </c>
      <c r="D574" s="11"/>
      <c r="E574" s="11"/>
      <c r="F574" s="12"/>
      <c r="G574" s="21"/>
      <c r="H574" s="21"/>
      <c r="I574" s="21"/>
      <c r="J574" s="21"/>
      <c r="K574" s="21"/>
      <c r="L574" s="21"/>
      <c r="M574" s="21"/>
      <c r="N574" s="22"/>
      <c r="O574" s="22"/>
      <c r="P574" s="17" t="str">
        <f aca="false">IF($A574="","",SUM($G574:$I574))</f>
        <v/>
      </c>
      <c r="Q574" s="17" t="str">
        <f aca="false">IF($A574="","",SUM($J574:$L574))</f>
        <v/>
      </c>
      <c r="R574" s="17" t="str">
        <f aca="false">IF($A574="","",($M574+$Q574)-$P574)</f>
        <v/>
      </c>
      <c r="S574" s="18" t="str">
        <f aca="false">IF(OR($A574="",$P574=0),"",$R574/$P574)</f>
        <v/>
      </c>
      <c r="T574" s="23"/>
      <c r="U574" s="14" t="str">
        <f aca="false">IF($A574="","",IF($M574&gt;0,"Live","Exited"))</f>
        <v/>
      </c>
      <c r="V574" s="20" t="str">
        <f aca="false">IF($A574="","",IF($A574='Client Report'!$C$4,COUNTIFS($A$6:$A574,'Client Report'!$C$4),""))</f>
        <v/>
      </c>
    </row>
    <row r="575" customFormat="false" ht="15" hidden="false" customHeight="false" outlineLevel="0" collapsed="false">
      <c r="A575" s="11"/>
      <c r="B575" s="11"/>
      <c r="C575" s="14" t="str">
        <f aca="false">IF($B575="","",IFERROR(TRIM(LEFT($B575,FIND(" - ",$B575)-1)),"Others"))</f>
        <v/>
      </c>
      <c r="D575" s="11"/>
      <c r="E575" s="11"/>
      <c r="F575" s="12"/>
      <c r="G575" s="21"/>
      <c r="H575" s="21"/>
      <c r="I575" s="21"/>
      <c r="J575" s="21"/>
      <c r="K575" s="21"/>
      <c r="L575" s="21"/>
      <c r="M575" s="21"/>
      <c r="N575" s="22"/>
      <c r="O575" s="22"/>
      <c r="P575" s="17" t="str">
        <f aca="false">IF($A575="","",SUM($G575:$I575))</f>
        <v/>
      </c>
      <c r="Q575" s="17" t="str">
        <f aca="false">IF($A575="","",SUM($J575:$L575))</f>
        <v/>
      </c>
      <c r="R575" s="17" t="str">
        <f aca="false">IF($A575="","",($M575+$Q575)-$P575)</f>
        <v/>
      </c>
      <c r="S575" s="18" t="str">
        <f aca="false">IF(OR($A575="",$P575=0),"",$R575/$P575)</f>
        <v/>
      </c>
      <c r="T575" s="23"/>
      <c r="U575" s="14" t="str">
        <f aca="false">IF($A575="","",IF($M575&gt;0,"Live","Exited"))</f>
        <v/>
      </c>
      <c r="V575" s="20" t="str">
        <f aca="false">IF($A575="","",IF($A575='Client Report'!$C$4,COUNTIFS($A$6:$A575,'Client Report'!$C$4),""))</f>
        <v/>
      </c>
    </row>
    <row r="576" customFormat="false" ht="15" hidden="false" customHeight="false" outlineLevel="0" collapsed="false">
      <c r="A576" s="11"/>
      <c r="B576" s="11"/>
      <c r="C576" s="14" t="str">
        <f aca="false">IF($B576="","",IFERROR(TRIM(LEFT($B576,FIND(" - ",$B576)-1)),"Others"))</f>
        <v/>
      </c>
      <c r="D576" s="11"/>
      <c r="E576" s="11"/>
      <c r="F576" s="12"/>
      <c r="G576" s="21"/>
      <c r="H576" s="21"/>
      <c r="I576" s="21"/>
      <c r="J576" s="21"/>
      <c r="K576" s="21"/>
      <c r="L576" s="21"/>
      <c r="M576" s="21"/>
      <c r="N576" s="22"/>
      <c r="O576" s="22"/>
      <c r="P576" s="17" t="str">
        <f aca="false">IF($A576="","",SUM($G576:$I576))</f>
        <v/>
      </c>
      <c r="Q576" s="17" t="str">
        <f aca="false">IF($A576="","",SUM($J576:$L576))</f>
        <v/>
      </c>
      <c r="R576" s="17" t="str">
        <f aca="false">IF($A576="","",($M576+$Q576)-$P576)</f>
        <v/>
      </c>
      <c r="S576" s="18" t="str">
        <f aca="false">IF(OR($A576="",$P576=0),"",$R576/$P576)</f>
        <v/>
      </c>
      <c r="T576" s="23"/>
      <c r="U576" s="14" t="str">
        <f aca="false">IF($A576="","",IF($M576&gt;0,"Live","Exited"))</f>
        <v/>
      </c>
      <c r="V576" s="20" t="str">
        <f aca="false">IF($A576="","",IF($A576='Client Report'!$C$4,COUNTIFS($A$6:$A576,'Client Report'!$C$4),""))</f>
        <v/>
      </c>
    </row>
    <row r="577" customFormat="false" ht="15" hidden="false" customHeight="false" outlineLevel="0" collapsed="false">
      <c r="A577" s="11"/>
      <c r="B577" s="11"/>
      <c r="C577" s="14" t="str">
        <f aca="false">IF($B577="","",IFERROR(TRIM(LEFT($B577,FIND(" - ",$B577)-1)),"Others"))</f>
        <v/>
      </c>
      <c r="D577" s="11"/>
      <c r="E577" s="11"/>
      <c r="F577" s="12"/>
      <c r="G577" s="21"/>
      <c r="H577" s="21"/>
      <c r="I577" s="21"/>
      <c r="J577" s="21"/>
      <c r="K577" s="21"/>
      <c r="L577" s="21"/>
      <c r="M577" s="21"/>
      <c r="N577" s="22"/>
      <c r="O577" s="22"/>
      <c r="P577" s="17" t="str">
        <f aca="false">IF($A577="","",SUM($G577:$I577))</f>
        <v/>
      </c>
      <c r="Q577" s="17" t="str">
        <f aca="false">IF($A577="","",SUM($J577:$L577))</f>
        <v/>
      </c>
      <c r="R577" s="17" t="str">
        <f aca="false">IF($A577="","",($M577+$Q577)-$P577)</f>
        <v/>
      </c>
      <c r="S577" s="18" t="str">
        <f aca="false">IF(OR($A577="",$P577=0),"",$R577/$P577)</f>
        <v/>
      </c>
      <c r="T577" s="23"/>
      <c r="U577" s="14" t="str">
        <f aca="false">IF($A577="","",IF($M577&gt;0,"Live","Exited"))</f>
        <v/>
      </c>
      <c r="V577" s="20" t="str">
        <f aca="false">IF($A577="","",IF($A577='Client Report'!$C$4,COUNTIFS($A$6:$A577,'Client Report'!$C$4),""))</f>
        <v/>
      </c>
    </row>
    <row r="578" customFormat="false" ht="15" hidden="false" customHeight="false" outlineLevel="0" collapsed="false">
      <c r="A578" s="11"/>
      <c r="B578" s="11"/>
      <c r="C578" s="14" t="str">
        <f aca="false">IF($B578="","",IFERROR(TRIM(LEFT($B578,FIND(" - ",$B578)-1)),"Others"))</f>
        <v/>
      </c>
      <c r="D578" s="11"/>
      <c r="E578" s="11"/>
      <c r="F578" s="12"/>
      <c r="G578" s="21"/>
      <c r="H578" s="21"/>
      <c r="I578" s="21"/>
      <c r="J578" s="21"/>
      <c r="K578" s="21"/>
      <c r="L578" s="21"/>
      <c r="M578" s="21"/>
      <c r="N578" s="22"/>
      <c r="O578" s="22"/>
      <c r="P578" s="17" t="str">
        <f aca="false">IF($A578="","",SUM($G578:$I578))</f>
        <v/>
      </c>
      <c r="Q578" s="17" t="str">
        <f aca="false">IF($A578="","",SUM($J578:$L578))</f>
        <v/>
      </c>
      <c r="R578" s="17" t="str">
        <f aca="false">IF($A578="","",($M578+$Q578)-$P578)</f>
        <v/>
      </c>
      <c r="S578" s="18" t="str">
        <f aca="false">IF(OR($A578="",$P578=0),"",$R578/$P578)</f>
        <v/>
      </c>
      <c r="T578" s="23"/>
      <c r="U578" s="14" t="str">
        <f aca="false">IF($A578="","",IF($M578&gt;0,"Live","Exited"))</f>
        <v/>
      </c>
      <c r="V578" s="20" t="str">
        <f aca="false">IF($A578="","",IF($A578='Client Report'!$C$4,COUNTIFS($A$6:$A578,'Client Report'!$C$4),""))</f>
        <v/>
      </c>
    </row>
    <row r="579" customFormat="false" ht="15" hidden="false" customHeight="false" outlineLevel="0" collapsed="false">
      <c r="A579" s="11"/>
      <c r="B579" s="11"/>
      <c r="C579" s="14" t="str">
        <f aca="false">IF($B579="","",IFERROR(TRIM(LEFT($B579,FIND(" - ",$B579)-1)),"Others"))</f>
        <v/>
      </c>
      <c r="D579" s="11"/>
      <c r="E579" s="11"/>
      <c r="F579" s="12"/>
      <c r="G579" s="21"/>
      <c r="H579" s="21"/>
      <c r="I579" s="21"/>
      <c r="J579" s="21"/>
      <c r="K579" s="21"/>
      <c r="L579" s="21"/>
      <c r="M579" s="21"/>
      <c r="N579" s="22"/>
      <c r="O579" s="22"/>
      <c r="P579" s="17" t="str">
        <f aca="false">IF($A579="","",SUM($G579:$I579))</f>
        <v/>
      </c>
      <c r="Q579" s="17" t="str">
        <f aca="false">IF($A579="","",SUM($J579:$L579))</f>
        <v/>
      </c>
      <c r="R579" s="17" t="str">
        <f aca="false">IF($A579="","",($M579+$Q579)-$P579)</f>
        <v/>
      </c>
      <c r="S579" s="18" t="str">
        <f aca="false">IF(OR($A579="",$P579=0),"",$R579/$P579)</f>
        <v/>
      </c>
      <c r="T579" s="23"/>
      <c r="U579" s="14" t="str">
        <f aca="false">IF($A579="","",IF($M579&gt;0,"Live","Exited"))</f>
        <v/>
      </c>
      <c r="V579" s="20" t="str">
        <f aca="false">IF($A579="","",IF($A579='Client Report'!$C$4,COUNTIFS($A$6:$A579,'Client Report'!$C$4),""))</f>
        <v/>
      </c>
    </row>
    <row r="580" customFormat="false" ht="15" hidden="false" customHeight="false" outlineLevel="0" collapsed="false">
      <c r="A580" s="11"/>
      <c r="B580" s="11"/>
      <c r="C580" s="14" t="str">
        <f aca="false">IF($B580="","",IFERROR(TRIM(LEFT($B580,FIND(" - ",$B580)-1)),"Others"))</f>
        <v/>
      </c>
      <c r="D580" s="11"/>
      <c r="E580" s="11"/>
      <c r="F580" s="12"/>
      <c r="G580" s="21"/>
      <c r="H580" s="21"/>
      <c r="I580" s="21"/>
      <c r="J580" s="21"/>
      <c r="K580" s="21"/>
      <c r="L580" s="21"/>
      <c r="M580" s="21"/>
      <c r="N580" s="22"/>
      <c r="O580" s="22"/>
      <c r="P580" s="17" t="str">
        <f aca="false">IF($A580="","",SUM($G580:$I580))</f>
        <v/>
      </c>
      <c r="Q580" s="17" t="str">
        <f aca="false">IF($A580="","",SUM($J580:$L580))</f>
        <v/>
      </c>
      <c r="R580" s="17" t="str">
        <f aca="false">IF($A580="","",($M580+$Q580)-$P580)</f>
        <v/>
      </c>
      <c r="S580" s="18" t="str">
        <f aca="false">IF(OR($A580="",$P580=0),"",$R580/$P580)</f>
        <v/>
      </c>
      <c r="T580" s="23"/>
      <c r="U580" s="14" t="str">
        <f aca="false">IF($A580="","",IF($M580&gt;0,"Live","Exited"))</f>
        <v/>
      </c>
      <c r="V580" s="20" t="str">
        <f aca="false">IF($A580="","",IF($A580='Client Report'!$C$4,COUNTIFS($A$6:$A580,'Client Report'!$C$4),""))</f>
        <v/>
      </c>
    </row>
    <row r="581" customFormat="false" ht="15" hidden="false" customHeight="false" outlineLevel="0" collapsed="false">
      <c r="A581" s="11"/>
      <c r="B581" s="11"/>
      <c r="C581" s="14" t="str">
        <f aca="false">IF($B581="","",IFERROR(TRIM(LEFT($B581,FIND(" - ",$B581)-1)),"Others"))</f>
        <v/>
      </c>
      <c r="D581" s="11"/>
      <c r="E581" s="11"/>
      <c r="F581" s="12"/>
      <c r="G581" s="21"/>
      <c r="H581" s="21"/>
      <c r="I581" s="21"/>
      <c r="J581" s="21"/>
      <c r="K581" s="21"/>
      <c r="L581" s="21"/>
      <c r="M581" s="21"/>
      <c r="N581" s="22"/>
      <c r="O581" s="22"/>
      <c r="P581" s="17" t="str">
        <f aca="false">IF($A581="","",SUM($G581:$I581))</f>
        <v/>
      </c>
      <c r="Q581" s="17" t="str">
        <f aca="false">IF($A581="","",SUM($J581:$L581))</f>
        <v/>
      </c>
      <c r="R581" s="17" t="str">
        <f aca="false">IF($A581="","",($M581+$Q581)-$P581)</f>
        <v/>
      </c>
      <c r="S581" s="18" t="str">
        <f aca="false">IF(OR($A581="",$P581=0),"",$R581/$P581)</f>
        <v/>
      </c>
      <c r="T581" s="23"/>
      <c r="U581" s="14" t="str">
        <f aca="false">IF($A581="","",IF($M581&gt;0,"Live","Exited"))</f>
        <v/>
      </c>
      <c r="V581" s="20" t="str">
        <f aca="false">IF($A581="","",IF($A581='Client Report'!$C$4,COUNTIFS($A$6:$A581,'Client Report'!$C$4),""))</f>
        <v/>
      </c>
    </row>
    <row r="582" customFormat="false" ht="15" hidden="false" customHeight="false" outlineLevel="0" collapsed="false">
      <c r="A582" s="11"/>
      <c r="B582" s="11"/>
      <c r="C582" s="14" t="str">
        <f aca="false">IF($B582="","",IFERROR(TRIM(LEFT($B582,FIND(" - ",$B582)-1)),"Others"))</f>
        <v/>
      </c>
      <c r="D582" s="11"/>
      <c r="E582" s="11"/>
      <c r="F582" s="12"/>
      <c r="G582" s="21"/>
      <c r="H582" s="21"/>
      <c r="I582" s="21"/>
      <c r="J582" s="21"/>
      <c r="K582" s="21"/>
      <c r="L582" s="21"/>
      <c r="M582" s="21"/>
      <c r="N582" s="22"/>
      <c r="O582" s="22"/>
      <c r="P582" s="17" t="str">
        <f aca="false">IF($A582="","",SUM($G582:$I582))</f>
        <v/>
      </c>
      <c r="Q582" s="17" t="str">
        <f aca="false">IF($A582="","",SUM($J582:$L582))</f>
        <v/>
      </c>
      <c r="R582" s="17" t="str">
        <f aca="false">IF($A582="","",($M582+$Q582)-$P582)</f>
        <v/>
      </c>
      <c r="S582" s="18" t="str">
        <f aca="false">IF(OR($A582="",$P582=0),"",$R582/$P582)</f>
        <v/>
      </c>
      <c r="T582" s="23"/>
      <c r="U582" s="14" t="str">
        <f aca="false">IF($A582="","",IF($M582&gt;0,"Live","Exited"))</f>
        <v/>
      </c>
      <c r="V582" s="20" t="str">
        <f aca="false">IF($A582="","",IF($A582='Client Report'!$C$4,COUNTIFS($A$6:$A582,'Client Report'!$C$4),""))</f>
        <v/>
      </c>
    </row>
    <row r="583" customFormat="false" ht="15" hidden="false" customHeight="false" outlineLevel="0" collapsed="false">
      <c r="A583" s="11"/>
      <c r="B583" s="11"/>
      <c r="C583" s="14" t="str">
        <f aca="false">IF($B583="","",IFERROR(TRIM(LEFT($B583,FIND(" - ",$B583)-1)),"Others"))</f>
        <v/>
      </c>
      <c r="D583" s="11"/>
      <c r="E583" s="11"/>
      <c r="F583" s="12"/>
      <c r="G583" s="21"/>
      <c r="H583" s="21"/>
      <c r="I583" s="21"/>
      <c r="J583" s="21"/>
      <c r="K583" s="21"/>
      <c r="L583" s="21"/>
      <c r="M583" s="21"/>
      <c r="N583" s="22"/>
      <c r="O583" s="22"/>
      <c r="P583" s="17" t="str">
        <f aca="false">IF($A583="","",SUM($G583:$I583))</f>
        <v/>
      </c>
      <c r="Q583" s="17" t="str">
        <f aca="false">IF($A583="","",SUM($J583:$L583))</f>
        <v/>
      </c>
      <c r="R583" s="17" t="str">
        <f aca="false">IF($A583="","",($M583+$Q583)-$P583)</f>
        <v/>
      </c>
      <c r="S583" s="18" t="str">
        <f aca="false">IF(OR($A583="",$P583=0),"",$R583/$P583)</f>
        <v/>
      </c>
      <c r="T583" s="23"/>
      <c r="U583" s="14" t="str">
        <f aca="false">IF($A583="","",IF($M583&gt;0,"Live","Exited"))</f>
        <v/>
      </c>
      <c r="V583" s="20" t="str">
        <f aca="false">IF($A583="","",IF($A583='Client Report'!$C$4,COUNTIFS($A$6:$A583,'Client Report'!$C$4),""))</f>
        <v/>
      </c>
    </row>
    <row r="584" customFormat="false" ht="15" hidden="false" customHeight="false" outlineLevel="0" collapsed="false">
      <c r="A584" s="11"/>
      <c r="B584" s="11"/>
      <c r="C584" s="14" t="str">
        <f aca="false">IF($B584="","",IFERROR(TRIM(LEFT($B584,FIND(" - ",$B584)-1)),"Others"))</f>
        <v/>
      </c>
      <c r="D584" s="11"/>
      <c r="E584" s="11"/>
      <c r="F584" s="12"/>
      <c r="G584" s="21"/>
      <c r="H584" s="21"/>
      <c r="I584" s="21"/>
      <c r="J584" s="21"/>
      <c r="K584" s="21"/>
      <c r="L584" s="21"/>
      <c r="M584" s="21"/>
      <c r="N584" s="22"/>
      <c r="O584" s="22"/>
      <c r="P584" s="17" t="str">
        <f aca="false">IF($A584="","",SUM($G584:$I584))</f>
        <v/>
      </c>
      <c r="Q584" s="17" t="str">
        <f aca="false">IF($A584="","",SUM($J584:$L584))</f>
        <v/>
      </c>
      <c r="R584" s="17" t="str">
        <f aca="false">IF($A584="","",($M584+$Q584)-$P584)</f>
        <v/>
      </c>
      <c r="S584" s="18" t="str">
        <f aca="false">IF(OR($A584="",$P584=0),"",$R584/$P584)</f>
        <v/>
      </c>
      <c r="T584" s="23"/>
      <c r="U584" s="14" t="str">
        <f aca="false">IF($A584="","",IF($M584&gt;0,"Live","Exited"))</f>
        <v/>
      </c>
      <c r="V584" s="20" t="str">
        <f aca="false">IF($A584="","",IF($A584='Client Report'!$C$4,COUNTIFS($A$6:$A584,'Client Report'!$C$4),""))</f>
        <v/>
      </c>
    </row>
    <row r="585" customFormat="false" ht="15" hidden="false" customHeight="false" outlineLevel="0" collapsed="false">
      <c r="A585" s="11"/>
      <c r="B585" s="11"/>
      <c r="C585" s="14" t="str">
        <f aca="false">IF($B585="","",IFERROR(TRIM(LEFT($B585,FIND(" - ",$B585)-1)),"Others"))</f>
        <v/>
      </c>
      <c r="D585" s="11"/>
      <c r="E585" s="11"/>
      <c r="F585" s="12"/>
      <c r="G585" s="21"/>
      <c r="H585" s="21"/>
      <c r="I585" s="21"/>
      <c r="J585" s="21"/>
      <c r="K585" s="21"/>
      <c r="L585" s="21"/>
      <c r="M585" s="21"/>
      <c r="N585" s="22"/>
      <c r="O585" s="22"/>
      <c r="P585" s="17" t="str">
        <f aca="false">IF($A585="","",SUM($G585:$I585))</f>
        <v/>
      </c>
      <c r="Q585" s="17" t="str">
        <f aca="false">IF($A585="","",SUM($J585:$L585))</f>
        <v/>
      </c>
      <c r="R585" s="17" t="str">
        <f aca="false">IF($A585="","",($M585+$Q585)-$P585)</f>
        <v/>
      </c>
      <c r="S585" s="18" t="str">
        <f aca="false">IF(OR($A585="",$P585=0),"",$R585/$P585)</f>
        <v/>
      </c>
      <c r="T585" s="23"/>
      <c r="U585" s="14" t="str">
        <f aca="false">IF($A585="","",IF($M585&gt;0,"Live","Exited"))</f>
        <v/>
      </c>
      <c r="V585" s="20" t="str">
        <f aca="false">IF($A585="","",IF($A585='Client Report'!$C$4,COUNTIFS($A$6:$A585,'Client Report'!$C$4),""))</f>
        <v/>
      </c>
    </row>
    <row r="586" customFormat="false" ht="15" hidden="false" customHeight="false" outlineLevel="0" collapsed="false">
      <c r="A586" s="11"/>
      <c r="B586" s="11"/>
      <c r="C586" s="14" t="str">
        <f aca="false">IF($B586="","",IFERROR(TRIM(LEFT($B586,FIND(" - ",$B586)-1)),"Others"))</f>
        <v/>
      </c>
      <c r="D586" s="11"/>
      <c r="E586" s="11"/>
      <c r="F586" s="12"/>
      <c r="G586" s="21"/>
      <c r="H586" s="21"/>
      <c r="I586" s="21"/>
      <c r="J586" s="21"/>
      <c r="K586" s="21"/>
      <c r="L586" s="21"/>
      <c r="M586" s="21"/>
      <c r="N586" s="22"/>
      <c r="O586" s="22"/>
      <c r="P586" s="17" t="str">
        <f aca="false">IF($A586="","",SUM($G586:$I586))</f>
        <v/>
      </c>
      <c r="Q586" s="17" t="str">
        <f aca="false">IF($A586="","",SUM($J586:$L586))</f>
        <v/>
      </c>
      <c r="R586" s="17" t="str">
        <f aca="false">IF($A586="","",($M586+$Q586)-$P586)</f>
        <v/>
      </c>
      <c r="S586" s="18" t="str">
        <f aca="false">IF(OR($A586="",$P586=0),"",$R586/$P586)</f>
        <v/>
      </c>
      <c r="T586" s="23"/>
      <c r="U586" s="14" t="str">
        <f aca="false">IF($A586="","",IF($M586&gt;0,"Live","Exited"))</f>
        <v/>
      </c>
      <c r="V586" s="20" t="str">
        <f aca="false">IF($A586="","",IF($A586='Client Report'!$C$4,COUNTIFS($A$6:$A586,'Client Report'!$C$4),""))</f>
        <v/>
      </c>
    </row>
    <row r="587" customFormat="false" ht="15" hidden="false" customHeight="false" outlineLevel="0" collapsed="false">
      <c r="A587" s="11"/>
      <c r="B587" s="11"/>
      <c r="C587" s="14" t="str">
        <f aca="false">IF($B587="","",IFERROR(TRIM(LEFT($B587,FIND(" - ",$B587)-1)),"Others"))</f>
        <v/>
      </c>
      <c r="D587" s="11"/>
      <c r="E587" s="11"/>
      <c r="F587" s="12"/>
      <c r="G587" s="21"/>
      <c r="H587" s="21"/>
      <c r="I587" s="21"/>
      <c r="J587" s="21"/>
      <c r="K587" s="21"/>
      <c r="L587" s="21"/>
      <c r="M587" s="21"/>
      <c r="N587" s="22"/>
      <c r="O587" s="22"/>
      <c r="P587" s="17" t="str">
        <f aca="false">IF($A587="","",SUM($G587:$I587))</f>
        <v/>
      </c>
      <c r="Q587" s="17" t="str">
        <f aca="false">IF($A587="","",SUM($J587:$L587))</f>
        <v/>
      </c>
      <c r="R587" s="17" t="str">
        <f aca="false">IF($A587="","",($M587+$Q587)-$P587)</f>
        <v/>
      </c>
      <c r="S587" s="18" t="str">
        <f aca="false">IF(OR($A587="",$P587=0),"",$R587/$P587)</f>
        <v/>
      </c>
      <c r="T587" s="23"/>
      <c r="U587" s="14" t="str">
        <f aca="false">IF($A587="","",IF($M587&gt;0,"Live","Exited"))</f>
        <v/>
      </c>
      <c r="V587" s="20" t="str">
        <f aca="false">IF($A587="","",IF($A587='Client Report'!$C$4,COUNTIFS($A$6:$A587,'Client Report'!$C$4),""))</f>
        <v/>
      </c>
    </row>
    <row r="588" customFormat="false" ht="15" hidden="false" customHeight="false" outlineLevel="0" collapsed="false">
      <c r="A588" s="11"/>
      <c r="B588" s="11"/>
      <c r="C588" s="14" t="str">
        <f aca="false">IF($B588="","",IFERROR(TRIM(LEFT($B588,FIND(" - ",$B588)-1)),"Others"))</f>
        <v/>
      </c>
      <c r="D588" s="11"/>
      <c r="E588" s="11"/>
      <c r="F588" s="12"/>
      <c r="G588" s="21"/>
      <c r="H588" s="21"/>
      <c r="I588" s="21"/>
      <c r="J588" s="21"/>
      <c r="K588" s="21"/>
      <c r="L588" s="21"/>
      <c r="M588" s="21"/>
      <c r="N588" s="22"/>
      <c r="O588" s="22"/>
      <c r="P588" s="17" t="str">
        <f aca="false">IF($A588="","",SUM($G588:$I588))</f>
        <v/>
      </c>
      <c r="Q588" s="17" t="str">
        <f aca="false">IF($A588="","",SUM($J588:$L588))</f>
        <v/>
      </c>
      <c r="R588" s="17" t="str">
        <f aca="false">IF($A588="","",($M588+$Q588)-$P588)</f>
        <v/>
      </c>
      <c r="S588" s="18" t="str">
        <f aca="false">IF(OR($A588="",$P588=0),"",$R588/$P588)</f>
        <v/>
      </c>
      <c r="T588" s="23"/>
      <c r="U588" s="14" t="str">
        <f aca="false">IF($A588="","",IF($M588&gt;0,"Live","Exited"))</f>
        <v/>
      </c>
      <c r="V588" s="20" t="str">
        <f aca="false">IF($A588="","",IF($A588='Client Report'!$C$4,COUNTIFS($A$6:$A588,'Client Report'!$C$4),""))</f>
        <v/>
      </c>
    </row>
    <row r="589" customFormat="false" ht="15" hidden="false" customHeight="false" outlineLevel="0" collapsed="false">
      <c r="A589" s="11"/>
      <c r="B589" s="11"/>
      <c r="C589" s="14" t="str">
        <f aca="false">IF($B589="","",IFERROR(TRIM(LEFT($B589,FIND(" - ",$B589)-1)),"Others"))</f>
        <v/>
      </c>
      <c r="D589" s="11"/>
      <c r="E589" s="11"/>
      <c r="F589" s="12"/>
      <c r="G589" s="21"/>
      <c r="H589" s="21"/>
      <c r="I589" s="21"/>
      <c r="J589" s="21"/>
      <c r="K589" s="21"/>
      <c r="L589" s="21"/>
      <c r="M589" s="21"/>
      <c r="N589" s="22"/>
      <c r="O589" s="22"/>
      <c r="P589" s="17" t="str">
        <f aca="false">IF($A589="","",SUM($G589:$I589))</f>
        <v/>
      </c>
      <c r="Q589" s="17" t="str">
        <f aca="false">IF($A589="","",SUM($J589:$L589))</f>
        <v/>
      </c>
      <c r="R589" s="17" t="str">
        <f aca="false">IF($A589="","",($M589+$Q589)-$P589)</f>
        <v/>
      </c>
      <c r="S589" s="18" t="str">
        <f aca="false">IF(OR($A589="",$P589=0),"",$R589/$P589)</f>
        <v/>
      </c>
      <c r="T589" s="23"/>
      <c r="U589" s="14" t="str">
        <f aca="false">IF($A589="","",IF($M589&gt;0,"Live","Exited"))</f>
        <v/>
      </c>
      <c r="V589" s="20" t="str">
        <f aca="false">IF($A589="","",IF($A589='Client Report'!$C$4,COUNTIFS($A$6:$A589,'Client Report'!$C$4),""))</f>
        <v/>
      </c>
    </row>
    <row r="590" customFormat="false" ht="15" hidden="false" customHeight="false" outlineLevel="0" collapsed="false">
      <c r="A590" s="11"/>
      <c r="B590" s="11"/>
      <c r="C590" s="14" t="str">
        <f aca="false">IF($B590="","",IFERROR(TRIM(LEFT($B590,FIND(" - ",$B590)-1)),"Others"))</f>
        <v/>
      </c>
      <c r="D590" s="11"/>
      <c r="E590" s="11"/>
      <c r="F590" s="12"/>
      <c r="G590" s="21"/>
      <c r="H590" s="21"/>
      <c r="I590" s="21"/>
      <c r="J590" s="21"/>
      <c r="K590" s="21"/>
      <c r="L590" s="21"/>
      <c r="M590" s="21"/>
      <c r="N590" s="22"/>
      <c r="O590" s="22"/>
      <c r="P590" s="17" t="str">
        <f aca="false">IF($A590="","",SUM($G590:$I590))</f>
        <v/>
      </c>
      <c r="Q590" s="17" t="str">
        <f aca="false">IF($A590="","",SUM($J590:$L590))</f>
        <v/>
      </c>
      <c r="R590" s="17" t="str">
        <f aca="false">IF($A590="","",($M590+$Q590)-$P590)</f>
        <v/>
      </c>
      <c r="S590" s="18" t="str">
        <f aca="false">IF(OR($A590="",$P590=0),"",$R590/$P590)</f>
        <v/>
      </c>
      <c r="T590" s="23"/>
      <c r="U590" s="14" t="str">
        <f aca="false">IF($A590="","",IF($M590&gt;0,"Live","Exited"))</f>
        <v/>
      </c>
      <c r="V590" s="20" t="str">
        <f aca="false">IF($A590="","",IF($A590='Client Report'!$C$4,COUNTIFS($A$6:$A590,'Client Report'!$C$4),""))</f>
        <v/>
      </c>
    </row>
    <row r="591" customFormat="false" ht="15" hidden="false" customHeight="false" outlineLevel="0" collapsed="false">
      <c r="A591" s="11"/>
      <c r="B591" s="11"/>
      <c r="C591" s="14" t="str">
        <f aca="false">IF($B591="","",IFERROR(TRIM(LEFT($B591,FIND(" - ",$B591)-1)),"Others"))</f>
        <v/>
      </c>
      <c r="D591" s="11"/>
      <c r="E591" s="11"/>
      <c r="F591" s="12"/>
      <c r="G591" s="21"/>
      <c r="H591" s="21"/>
      <c r="I591" s="21"/>
      <c r="J591" s="21"/>
      <c r="K591" s="21"/>
      <c r="L591" s="21"/>
      <c r="M591" s="21"/>
      <c r="N591" s="22"/>
      <c r="O591" s="22"/>
      <c r="P591" s="17" t="str">
        <f aca="false">IF($A591="","",SUM($G591:$I591))</f>
        <v/>
      </c>
      <c r="Q591" s="17" t="str">
        <f aca="false">IF($A591="","",SUM($J591:$L591))</f>
        <v/>
      </c>
      <c r="R591" s="17" t="str">
        <f aca="false">IF($A591="","",($M591+$Q591)-$P591)</f>
        <v/>
      </c>
      <c r="S591" s="18" t="str">
        <f aca="false">IF(OR($A591="",$P591=0),"",$R591/$P591)</f>
        <v/>
      </c>
      <c r="T591" s="23"/>
      <c r="U591" s="14" t="str">
        <f aca="false">IF($A591="","",IF($M591&gt;0,"Live","Exited"))</f>
        <v/>
      </c>
      <c r="V591" s="20" t="str">
        <f aca="false">IF($A591="","",IF($A591='Client Report'!$C$4,COUNTIFS($A$6:$A591,'Client Report'!$C$4),""))</f>
        <v/>
      </c>
    </row>
    <row r="592" customFormat="false" ht="15" hidden="false" customHeight="false" outlineLevel="0" collapsed="false">
      <c r="A592" s="11"/>
      <c r="B592" s="11"/>
      <c r="C592" s="14" t="str">
        <f aca="false">IF($B592="","",IFERROR(TRIM(LEFT($B592,FIND(" - ",$B592)-1)),"Others"))</f>
        <v/>
      </c>
      <c r="D592" s="11"/>
      <c r="E592" s="11"/>
      <c r="F592" s="12"/>
      <c r="G592" s="21"/>
      <c r="H592" s="21"/>
      <c r="I592" s="21"/>
      <c r="J592" s="21"/>
      <c r="K592" s="21"/>
      <c r="L592" s="21"/>
      <c r="M592" s="21"/>
      <c r="N592" s="22"/>
      <c r="O592" s="22"/>
      <c r="P592" s="17" t="str">
        <f aca="false">IF($A592="","",SUM($G592:$I592))</f>
        <v/>
      </c>
      <c r="Q592" s="17" t="str">
        <f aca="false">IF($A592="","",SUM($J592:$L592))</f>
        <v/>
      </c>
      <c r="R592" s="17" t="str">
        <f aca="false">IF($A592="","",($M592+$Q592)-$P592)</f>
        <v/>
      </c>
      <c r="S592" s="18" t="str">
        <f aca="false">IF(OR($A592="",$P592=0),"",$R592/$P592)</f>
        <v/>
      </c>
      <c r="T592" s="23"/>
      <c r="U592" s="14" t="str">
        <f aca="false">IF($A592="","",IF($M592&gt;0,"Live","Exited"))</f>
        <v/>
      </c>
      <c r="V592" s="20" t="str">
        <f aca="false">IF($A592="","",IF($A592='Client Report'!$C$4,COUNTIFS($A$6:$A592,'Client Report'!$C$4),""))</f>
        <v/>
      </c>
    </row>
    <row r="593" customFormat="false" ht="15" hidden="false" customHeight="false" outlineLevel="0" collapsed="false">
      <c r="A593" s="11"/>
      <c r="B593" s="11"/>
      <c r="C593" s="14" t="str">
        <f aca="false">IF($B593="","",IFERROR(TRIM(LEFT($B593,FIND(" - ",$B593)-1)),"Others"))</f>
        <v/>
      </c>
      <c r="D593" s="11"/>
      <c r="E593" s="11"/>
      <c r="F593" s="12"/>
      <c r="G593" s="21"/>
      <c r="H593" s="21"/>
      <c r="I593" s="21"/>
      <c r="J593" s="21"/>
      <c r="K593" s="21"/>
      <c r="L593" s="21"/>
      <c r="M593" s="21"/>
      <c r="N593" s="22"/>
      <c r="O593" s="22"/>
      <c r="P593" s="17" t="str">
        <f aca="false">IF($A593="","",SUM($G593:$I593))</f>
        <v/>
      </c>
      <c r="Q593" s="17" t="str">
        <f aca="false">IF($A593="","",SUM($J593:$L593))</f>
        <v/>
      </c>
      <c r="R593" s="17" t="str">
        <f aca="false">IF($A593="","",($M593+$Q593)-$P593)</f>
        <v/>
      </c>
      <c r="S593" s="18" t="str">
        <f aca="false">IF(OR($A593="",$P593=0),"",$R593/$P593)</f>
        <v/>
      </c>
      <c r="T593" s="23"/>
      <c r="U593" s="14" t="str">
        <f aca="false">IF($A593="","",IF($M593&gt;0,"Live","Exited"))</f>
        <v/>
      </c>
      <c r="V593" s="20" t="str">
        <f aca="false">IF($A593="","",IF($A593='Client Report'!$C$4,COUNTIFS($A$6:$A593,'Client Report'!$C$4),""))</f>
        <v/>
      </c>
    </row>
    <row r="594" customFormat="false" ht="15" hidden="false" customHeight="false" outlineLevel="0" collapsed="false">
      <c r="A594" s="11"/>
      <c r="B594" s="11"/>
      <c r="C594" s="14" t="str">
        <f aca="false">IF($B594="","",IFERROR(TRIM(LEFT($B594,FIND(" - ",$B594)-1)),"Others"))</f>
        <v/>
      </c>
      <c r="D594" s="11"/>
      <c r="E594" s="11"/>
      <c r="F594" s="12"/>
      <c r="G594" s="21"/>
      <c r="H594" s="21"/>
      <c r="I594" s="21"/>
      <c r="J594" s="21"/>
      <c r="K594" s="21"/>
      <c r="L594" s="21"/>
      <c r="M594" s="21"/>
      <c r="N594" s="22"/>
      <c r="O594" s="22"/>
      <c r="P594" s="17" t="str">
        <f aca="false">IF($A594="","",SUM($G594:$I594))</f>
        <v/>
      </c>
      <c r="Q594" s="17" t="str">
        <f aca="false">IF($A594="","",SUM($J594:$L594))</f>
        <v/>
      </c>
      <c r="R594" s="17" t="str">
        <f aca="false">IF($A594="","",($M594+$Q594)-$P594)</f>
        <v/>
      </c>
      <c r="S594" s="18" t="str">
        <f aca="false">IF(OR($A594="",$P594=0),"",$R594/$P594)</f>
        <v/>
      </c>
      <c r="T594" s="23"/>
      <c r="U594" s="14" t="str">
        <f aca="false">IF($A594="","",IF($M594&gt;0,"Live","Exited"))</f>
        <v/>
      </c>
      <c r="V594" s="20" t="str">
        <f aca="false">IF($A594="","",IF($A594='Client Report'!$C$4,COUNTIFS($A$6:$A594,'Client Report'!$C$4),""))</f>
        <v/>
      </c>
    </row>
    <row r="595" customFormat="false" ht="15" hidden="false" customHeight="false" outlineLevel="0" collapsed="false">
      <c r="A595" s="11"/>
      <c r="B595" s="11"/>
      <c r="C595" s="14" t="str">
        <f aca="false">IF($B595="","",IFERROR(TRIM(LEFT($B595,FIND(" - ",$B595)-1)),"Others"))</f>
        <v/>
      </c>
      <c r="D595" s="11"/>
      <c r="E595" s="11"/>
      <c r="F595" s="12"/>
      <c r="G595" s="21"/>
      <c r="H595" s="21"/>
      <c r="I595" s="21"/>
      <c r="J595" s="21"/>
      <c r="K595" s="21"/>
      <c r="L595" s="21"/>
      <c r="M595" s="21"/>
      <c r="N595" s="22"/>
      <c r="O595" s="22"/>
      <c r="P595" s="17" t="str">
        <f aca="false">IF($A595="","",SUM($G595:$I595))</f>
        <v/>
      </c>
      <c r="Q595" s="17" t="str">
        <f aca="false">IF($A595="","",SUM($J595:$L595))</f>
        <v/>
      </c>
      <c r="R595" s="17" t="str">
        <f aca="false">IF($A595="","",($M595+$Q595)-$P595)</f>
        <v/>
      </c>
      <c r="S595" s="18" t="str">
        <f aca="false">IF(OR($A595="",$P595=0),"",$R595/$P595)</f>
        <v/>
      </c>
      <c r="T595" s="23"/>
      <c r="U595" s="14" t="str">
        <f aca="false">IF($A595="","",IF($M595&gt;0,"Live","Exited"))</f>
        <v/>
      </c>
      <c r="V595" s="20" t="str">
        <f aca="false">IF($A595="","",IF($A595='Client Report'!$C$4,COUNTIFS($A$6:$A595,'Client Report'!$C$4),""))</f>
        <v/>
      </c>
    </row>
    <row r="596" customFormat="false" ht="15" hidden="false" customHeight="false" outlineLevel="0" collapsed="false">
      <c r="A596" s="11"/>
      <c r="B596" s="11"/>
      <c r="C596" s="14" t="str">
        <f aca="false">IF($B596="","",IFERROR(TRIM(LEFT($B596,FIND(" - ",$B596)-1)),"Others"))</f>
        <v/>
      </c>
      <c r="D596" s="11"/>
      <c r="E596" s="11"/>
      <c r="F596" s="12"/>
      <c r="G596" s="21"/>
      <c r="H596" s="21"/>
      <c r="I596" s="21"/>
      <c r="J596" s="21"/>
      <c r="K596" s="21"/>
      <c r="L596" s="21"/>
      <c r="M596" s="21"/>
      <c r="N596" s="22"/>
      <c r="O596" s="22"/>
      <c r="P596" s="17" t="str">
        <f aca="false">IF($A596="","",SUM($G596:$I596))</f>
        <v/>
      </c>
      <c r="Q596" s="17" t="str">
        <f aca="false">IF($A596="","",SUM($J596:$L596))</f>
        <v/>
      </c>
      <c r="R596" s="17" t="str">
        <f aca="false">IF($A596="","",($M596+$Q596)-$P596)</f>
        <v/>
      </c>
      <c r="S596" s="18" t="str">
        <f aca="false">IF(OR($A596="",$P596=0),"",$R596/$P596)</f>
        <v/>
      </c>
      <c r="T596" s="23"/>
      <c r="U596" s="14" t="str">
        <f aca="false">IF($A596="","",IF($M596&gt;0,"Live","Exited"))</f>
        <v/>
      </c>
      <c r="V596" s="20" t="str">
        <f aca="false">IF($A596="","",IF($A596='Client Report'!$C$4,COUNTIFS($A$6:$A596,'Client Report'!$C$4),""))</f>
        <v/>
      </c>
    </row>
    <row r="597" customFormat="false" ht="15" hidden="false" customHeight="false" outlineLevel="0" collapsed="false">
      <c r="A597" s="11"/>
      <c r="B597" s="11"/>
      <c r="C597" s="14" t="str">
        <f aca="false">IF($B597="","",IFERROR(TRIM(LEFT($B597,FIND(" - ",$B597)-1)),"Others"))</f>
        <v/>
      </c>
      <c r="D597" s="11"/>
      <c r="E597" s="11"/>
      <c r="F597" s="12"/>
      <c r="G597" s="21"/>
      <c r="H597" s="21"/>
      <c r="I597" s="21"/>
      <c r="J597" s="21"/>
      <c r="K597" s="21"/>
      <c r="L597" s="21"/>
      <c r="M597" s="21"/>
      <c r="N597" s="22"/>
      <c r="O597" s="22"/>
      <c r="P597" s="17" t="str">
        <f aca="false">IF($A597="","",SUM($G597:$I597))</f>
        <v/>
      </c>
      <c r="Q597" s="17" t="str">
        <f aca="false">IF($A597="","",SUM($J597:$L597))</f>
        <v/>
      </c>
      <c r="R597" s="17" t="str">
        <f aca="false">IF($A597="","",($M597+$Q597)-$P597)</f>
        <v/>
      </c>
      <c r="S597" s="18" t="str">
        <f aca="false">IF(OR($A597="",$P597=0),"",$R597/$P597)</f>
        <v/>
      </c>
      <c r="T597" s="23"/>
      <c r="U597" s="14" t="str">
        <f aca="false">IF($A597="","",IF($M597&gt;0,"Live","Exited"))</f>
        <v/>
      </c>
      <c r="V597" s="20" t="str">
        <f aca="false">IF($A597="","",IF($A597='Client Report'!$C$4,COUNTIFS($A$6:$A597,'Client Report'!$C$4),""))</f>
        <v/>
      </c>
    </row>
    <row r="598" customFormat="false" ht="15" hidden="false" customHeight="false" outlineLevel="0" collapsed="false">
      <c r="A598" s="11"/>
      <c r="B598" s="11"/>
      <c r="C598" s="14" t="str">
        <f aca="false">IF($B598="","",IFERROR(TRIM(LEFT($B598,FIND(" - ",$B598)-1)),"Others"))</f>
        <v/>
      </c>
      <c r="D598" s="11"/>
      <c r="E598" s="11"/>
      <c r="F598" s="12"/>
      <c r="G598" s="21"/>
      <c r="H598" s="21"/>
      <c r="I598" s="21"/>
      <c r="J598" s="21"/>
      <c r="K598" s="21"/>
      <c r="L598" s="21"/>
      <c r="M598" s="21"/>
      <c r="N598" s="22"/>
      <c r="O598" s="22"/>
      <c r="P598" s="17" t="str">
        <f aca="false">IF($A598="","",SUM($G598:$I598))</f>
        <v/>
      </c>
      <c r="Q598" s="17" t="str">
        <f aca="false">IF($A598="","",SUM($J598:$L598))</f>
        <v/>
      </c>
      <c r="R598" s="17" t="str">
        <f aca="false">IF($A598="","",($M598+$Q598)-$P598)</f>
        <v/>
      </c>
      <c r="S598" s="18" t="str">
        <f aca="false">IF(OR($A598="",$P598=0),"",$R598/$P598)</f>
        <v/>
      </c>
      <c r="T598" s="23"/>
      <c r="U598" s="14" t="str">
        <f aca="false">IF($A598="","",IF($M598&gt;0,"Live","Exited"))</f>
        <v/>
      </c>
      <c r="V598" s="20" t="str">
        <f aca="false">IF($A598="","",IF($A598='Client Report'!$C$4,COUNTIFS($A$6:$A598,'Client Report'!$C$4),""))</f>
        <v/>
      </c>
    </row>
    <row r="599" customFormat="false" ht="15" hidden="false" customHeight="false" outlineLevel="0" collapsed="false">
      <c r="A599" s="11"/>
      <c r="B599" s="11"/>
      <c r="C599" s="14" t="str">
        <f aca="false">IF($B599="","",IFERROR(TRIM(LEFT($B599,FIND(" - ",$B599)-1)),"Others"))</f>
        <v/>
      </c>
      <c r="D599" s="11"/>
      <c r="E599" s="11"/>
      <c r="F599" s="12"/>
      <c r="G599" s="21"/>
      <c r="H599" s="21"/>
      <c r="I599" s="21"/>
      <c r="J599" s="21"/>
      <c r="K599" s="21"/>
      <c r="L599" s="21"/>
      <c r="M599" s="21"/>
      <c r="N599" s="22"/>
      <c r="O599" s="22"/>
      <c r="P599" s="17" t="str">
        <f aca="false">IF($A599="","",SUM($G599:$I599))</f>
        <v/>
      </c>
      <c r="Q599" s="17" t="str">
        <f aca="false">IF($A599="","",SUM($J599:$L599))</f>
        <v/>
      </c>
      <c r="R599" s="17" t="str">
        <f aca="false">IF($A599="","",($M599+$Q599)-$P599)</f>
        <v/>
      </c>
      <c r="S599" s="18" t="str">
        <f aca="false">IF(OR($A599="",$P599=0),"",$R599/$P599)</f>
        <v/>
      </c>
      <c r="T599" s="23"/>
      <c r="U599" s="14" t="str">
        <f aca="false">IF($A599="","",IF($M599&gt;0,"Live","Exited"))</f>
        <v/>
      </c>
      <c r="V599" s="20" t="str">
        <f aca="false">IF($A599="","",IF($A599='Client Report'!$C$4,COUNTIFS($A$6:$A599,'Client Report'!$C$4),""))</f>
        <v/>
      </c>
    </row>
    <row r="600" customFormat="false" ht="15" hidden="false" customHeight="false" outlineLevel="0" collapsed="false">
      <c r="A600" s="11"/>
      <c r="B600" s="11"/>
      <c r="C600" s="14" t="str">
        <f aca="false">IF($B600="","",IFERROR(TRIM(LEFT($B600,FIND(" - ",$B600)-1)),"Others"))</f>
        <v/>
      </c>
      <c r="D600" s="11"/>
      <c r="E600" s="11"/>
      <c r="F600" s="12"/>
      <c r="G600" s="21"/>
      <c r="H600" s="21"/>
      <c r="I600" s="21"/>
      <c r="J600" s="21"/>
      <c r="K600" s="21"/>
      <c r="L600" s="21"/>
      <c r="M600" s="21"/>
      <c r="N600" s="22"/>
      <c r="O600" s="22"/>
      <c r="P600" s="17" t="str">
        <f aca="false">IF($A600="","",SUM($G600:$I600))</f>
        <v/>
      </c>
      <c r="Q600" s="17" t="str">
        <f aca="false">IF($A600="","",SUM($J600:$L600))</f>
        <v/>
      </c>
      <c r="R600" s="17" t="str">
        <f aca="false">IF($A600="","",($M600+$Q600)-$P600)</f>
        <v/>
      </c>
      <c r="S600" s="18" t="str">
        <f aca="false">IF(OR($A600="",$P600=0),"",$R600/$P600)</f>
        <v/>
      </c>
      <c r="T600" s="23"/>
      <c r="U600" s="14" t="str">
        <f aca="false">IF($A600="","",IF($M600&gt;0,"Live","Exited"))</f>
        <v/>
      </c>
      <c r="V600" s="20" t="str">
        <f aca="false">IF($A600="","",IF($A600='Client Report'!$C$4,COUNTIFS($A$6:$A600,'Client Report'!$C$4),""))</f>
        <v/>
      </c>
    </row>
    <row r="601" customFormat="false" ht="15" hidden="false" customHeight="false" outlineLevel="0" collapsed="false">
      <c r="A601" s="11"/>
      <c r="B601" s="11"/>
      <c r="C601" s="14" t="str">
        <f aca="false">IF($B601="","",IFERROR(TRIM(LEFT($B601,FIND(" - ",$B601)-1)),"Others"))</f>
        <v/>
      </c>
      <c r="D601" s="11"/>
      <c r="E601" s="11"/>
      <c r="F601" s="12"/>
      <c r="G601" s="21"/>
      <c r="H601" s="21"/>
      <c r="I601" s="21"/>
      <c r="J601" s="21"/>
      <c r="K601" s="21"/>
      <c r="L601" s="21"/>
      <c r="M601" s="21"/>
      <c r="N601" s="22"/>
      <c r="O601" s="22"/>
      <c r="P601" s="17" t="str">
        <f aca="false">IF($A601="","",SUM($G601:$I601))</f>
        <v/>
      </c>
      <c r="Q601" s="17" t="str">
        <f aca="false">IF($A601="","",SUM($J601:$L601))</f>
        <v/>
      </c>
      <c r="R601" s="17" t="str">
        <f aca="false">IF($A601="","",($M601+$Q601)-$P601)</f>
        <v/>
      </c>
      <c r="S601" s="18" t="str">
        <f aca="false">IF(OR($A601="",$P601=0),"",$R601/$P601)</f>
        <v/>
      </c>
      <c r="T601" s="23"/>
      <c r="U601" s="14" t="str">
        <f aca="false">IF($A601="","",IF($M601&gt;0,"Live","Exited"))</f>
        <v/>
      </c>
      <c r="V601" s="20" t="str">
        <f aca="false">IF($A601="","",IF($A601='Client Report'!$C$4,COUNTIFS($A$6:$A601,'Client Report'!$C$4),""))</f>
        <v/>
      </c>
    </row>
    <row r="602" customFormat="false" ht="15" hidden="false" customHeight="false" outlineLevel="0" collapsed="false">
      <c r="A602" s="11"/>
      <c r="B602" s="11"/>
      <c r="C602" s="14" t="str">
        <f aca="false">IF($B602="","",IFERROR(TRIM(LEFT($B602,FIND(" - ",$B602)-1)),"Others"))</f>
        <v/>
      </c>
      <c r="D602" s="11"/>
      <c r="E602" s="11"/>
      <c r="F602" s="12"/>
      <c r="G602" s="21"/>
      <c r="H602" s="21"/>
      <c r="I602" s="21"/>
      <c r="J602" s="21"/>
      <c r="K602" s="21"/>
      <c r="L602" s="21"/>
      <c r="M602" s="21"/>
      <c r="N602" s="22"/>
      <c r="O602" s="22"/>
      <c r="P602" s="17" t="str">
        <f aca="false">IF($A602="","",SUM($G602:$I602))</f>
        <v/>
      </c>
      <c r="Q602" s="17" t="str">
        <f aca="false">IF($A602="","",SUM($J602:$L602))</f>
        <v/>
      </c>
      <c r="R602" s="17" t="str">
        <f aca="false">IF($A602="","",($M602+$Q602)-$P602)</f>
        <v/>
      </c>
      <c r="S602" s="18" t="str">
        <f aca="false">IF(OR($A602="",$P602=0),"",$R602/$P602)</f>
        <v/>
      </c>
      <c r="T602" s="23"/>
      <c r="U602" s="14" t="str">
        <f aca="false">IF($A602="","",IF($M602&gt;0,"Live","Exited"))</f>
        <v/>
      </c>
      <c r="V602" s="20" t="str">
        <f aca="false">IF($A602="","",IF($A602='Client Report'!$C$4,COUNTIFS($A$6:$A602,'Client Report'!$C$4),""))</f>
        <v/>
      </c>
    </row>
    <row r="603" customFormat="false" ht="15" hidden="false" customHeight="false" outlineLevel="0" collapsed="false">
      <c r="A603" s="11"/>
      <c r="B603" s="11"/>
      <c r="C603" s="14" t="str">
        <f aca="false">IF($B603="","",IFERROR(TRIM(LEFT($B603,FIND(" - ",$B603)-1)),"Others"))</f>
        <v/>
      </c>
      <c r="D603" s="11"/>
      <c r="E603" s="11"/>
      <c r="F603" s="12"/>
      <c r="G603" s="21"/>
      <c r="H603" s="21"/>
      <c r="I603" s="21"/>
      <c r="J603" s="21"/>
      <c r="K603" s="21"/>
      <c r="L603" s="21"/>
      <c r="M603" s="21"/>
      <c r="N603" s="22"/>
      <c r="O603" s="22"/>
      <c r="P603" s="17" t="str">
        <f aca="false">IF($A603="","",SUM($G603:$I603))</f>
        <v/>
      </c>
      <c r="Q603" s="17" t="str">
        <f aca="false">IF($A603="","",SUM($J603:$L603))</f>
        <v/>
      </c>
      <c r="R603" s="17" t="str">
        <f aca="false">IF($A603="","",($M603+$Q603)-$P603)</f>
        <v/>
      </c>
      <c r="S603" s="18" t="str">
        <f aca="false">IF(OR($A603="",$P603=0),"",$R603/$P603)</f>
        <v/>
      </c>
      <c r="T603" s="23"/>
      <c r="U603" s="14" t="str">
        <f aca="false">IF($A603="","",IF($M603&gt;0,"Live","Exited"))</f>
        <v/>
      </c>
      <c r="V603" s="20" t="str">
        <f aca="false">IF($A603="","",IF($A603='Client Report'!$C$4,COUNTIFS($A$6:$A603,'Client Report'!$C$4),""))</f>
        <v/>
      </c>
    </row>
    <row r="604" customFormat="false" ht="15" hidden="false" customHeight="false" outlineLevel="0" collapsed="false">
      <c r="A604" s="11"/>
      <c r="B604" s="11"/>
      <c r="C604" s="14" t="str">
        <f aca="false">IF($B604="","",IFERROR(TRIM(LEFT($B604,FIND(" - ",$B604)-1)),"Others"))</f>
        <v/>
      </c>
      <c r="D604" s="11"/>
      <c r="E604" s="11"/>
      <c r="F604" s="12"/>
      <c r="G604" s="21"/>
      <c r="H604" s="21"/>
      <c r="I604" s="21"/>
      <c r="J604" s="21"/>
      <c r="K604" s="21"/>
      <c r="L604" s="21"/>
      <c r="M604" s="21"/>
      <c r="N604" s="22"/>
      <c r="O604" s="22"/>
      <c r="P604" s="17" t="str">
        <f aca="false">IF($A604="","",SUM($G604:$I604))</f>
        <v/>
      </c>
      <c r="Q604" s="17" t="str">
        <f aca="false">IF($A604="","",SUM($J604:$L604))</f>
        <v/>
      </c>
      <c r="R604" s="17" t="str">
        <f aca="false">IF($A604="","",($M604+$Q604)-$P604)</f>
        <v/>
      </c>
      <c r="S604" s="18" t="str">
        <f aca="false">IF(OR($A604="",$P604=0),"",$R604/$P604)</f>
        <v/>
      </c>
      <c r="T604" s="23"/>
      <c r="U604" s="14" t="str">
        <f aca="false">IF($A604="","",IF($M604&gt;0,"Live","Exited"))</f>
        <v/>
      </c>
      <c r="V604" s="20" t="str">
        <f aca="false">IF($A604="","",IF($A604='Client Report'!$C$4,COUNTIFS($A$6:$A604,'Client Report'!$C$4),""))</f>
        <v/>
      </c>
    </row>
    <row r="605" customFormat="false" ht="15" hidden="false" customHeight="false" outlineLevel="0" collapsed="false">
      <c r="A605" s="11"/>
      <c r="B605" s="11"/>
      <c r="C605" s="14" t="str">
        <f aca="false">IF($B605="","",IFERROR(TRIM(LEFT($B605,FIND(" - ",$B605)-1)),"Others"))</f>
        <v/>
      </c>
      <c r="D605" s="11"/>
      <c r="E605" s="11"/>
      <c r="F605" s="12"/>
      <c r="G605" s="21"/>
      <c r="H605" s="21"/>
      <c r="I605" s="21"/>
      <c r="J605" s="21"/>
      <c r="K605" s="21"/>
      <c r="L605" s="21"/>
      <c r="M605" s="21"/>
      <c r="N605" s="22"/>
      <c r="O605" s="22"/>
      <c r="P605" s="17" t="str">
        <f aca="false">IF($A605="","",SUM($G605:$I605))</f>
        <v/>
      </c>
      <c r="Q605" s="17" t="str">
        <f aca="false">IF($A605="","",SUM($J605:$L605))</f>
        <v/>
      </c>
      <c r="R605" s="17" t="str">
        <f aca="false">IF($A605="","",($M605+$Q605)-$P605)</f>
        <v/>
      </c>
      <c r="S605" s="18" t="str">
        <f aca="false">IF(OR($A605="",$P605=0),"",$R605/$P605)</f>
        <v/>
      </c>
      <c r="T605" s="23"/>
      <c r="U605" s="14" t="str">
        <f aca="false">IF($A605="","",IF($M605&gt;0,"Live","Exited"))</f>
        <v/>
      </c>
      <c r="V605" s="20" t="str">
        <f aca="false">IF($A605="","",IF($A605='Client Report'!$C$4,COUNTIFS($A$6:$A605,'Client Report'!$C$4),""))</f>
        <v/>
      </c>
    </row>
    <row r="606" customFormat="false" ht="15" hidden="false" customHeight="false" outlineLevel="0" collapsed="false">
      <c r="A606" s="11"/>
      <c r="B606" s="11"/>
      <c r="C606" s="14" t="str">
        <f aca="false">IF($B606="","",IFERROR(TRIM(LEFT($B606,FIND(" - ",$B606)-1)),"Others"))</f>
        <v/>
      </c>
      <c r="D606" s="11"/>
      <c r="E606" s="11"/>
      <c r="F606" s="12"/>
      <c r="G606" s="21"/>
      <c r="H606" s="21"/>
      <c r="I606" s="21"/>
      <c r="J606" s="21"/>
      <c r="K606" s="21"/>
      <c r="L606" s="21"/>
      <c r="M606" s="21"/>
      <c r="N606" s="22"/>
      <c r="O606" s="22"/>
      <c r="P606" s="17" t="str">
        <f aca="false">IF($A606="","",SUM($G606:$I606))</f>
        <v/>
      </c>
      <c r="Q606" s="17" t="str">
        <f aca="false">IF($A606="","",SUM($J606:$L606))</f>
        <v/>
      </c>
      <c r="R606" s="17" t="str">
        <f aca="false">IF($A606="","",($M606+$Q606)-$P606)</f>
        <v/>
      </c>
      <c r="S606" s="18" t="str">
        <f aca="false">IF(OR($A606="",$P606=0),"",$R606/$P606)</f>
        <v/>
      </c>
      <c r="T606" s="23"/>
      <c r="U606" s="14" t="str">
        <f aca="false">IF($A606="","",IF($M606&gt;0,"Live","Exited"))</f>
        <v/>
      </c>
      <c r="V606" s="20" t="str">
        <f aca="false">IF($A606="","",IF($A606='Client Report'!$C$4,COUNTIFS($A$6:$A606,'Client Report'!$C$4),""))</f>
        <v/>
      </c>
    </row>
    <row r="607" customFormat="false" ht="15" hidden="false" customHeight="false" outlineLevel="0" collapsed="false">
      <c r="A607" s="11"/>
      <c r="B607" s="11"/>
      <c r="C607" s="14" t="str">
        <f aca="false">IF($B607="","",IFERROR(TRIM(LEFT($B607,FIND(" - ",$B607)-1)),"Others"))</f>
        <v/>
      </c>
      <c r="D607" s="11"/>
      <c r="E607" s="11"/>
      <c r="F607" s="12"/>
      <c r="G607" s="21"/>
      <c r="H607" s="21"/>
      <c r="I607" s="21"/>
      <c r="J607" s="21"/>
      <c r="K607" s="21"/>
      <c r="L607" s="21"/>
      <c r="M607" s="21"/>
      <c r="N607" s="22"/>
      <c r="O607" s="22"/>
      <c r="P607" s="17" t="str">
        <f aca="false">IF($A607="","",SUM($G607:$I607))</f>
        <v/>
      </c>
      <c r="Q607" s="17" t="str">
        <f aca="false">IF($A607="","",SUM($J607:$L607))</f>
        <v/>
      </c>
      <c r="R607" s="17" t="str">
        <f aca="false">IF($A607="","",($M607+$Q607)-$P607)</f>
        <v/>
      </c>
      <c r="S607" s="18" t="str">
        <f aca="false">IF(OR($A607="",$P607=0),"",$R607/$P607)</f>
        <v/>
      </c>
      <c r="T607" s="23"/>
      <c r="U607" s="14" t="str">
        <f aca="false">IF($A607="","",IF($M607&gt;0,"Live","Exited"))</f>
        <v/>
      </c>
      <c r="V607" s="20" t="str">
        <f aca="false">IF($A607="","",IF($A607='Client Report'!$C$4,COUNTIFS($A$6:$A607,'Client Report'!$C$4),""))</f>
        <v/>
      </c>
    </row>
    <row r="608" customFormat="false" ht="15" hidden="false" customHeight="false" outlineLevel="0" collapsed="false">
      <c r="A608" s="11"/>
      <c r="B608" s="11"/>
      <c r="C608" s="14" t="str">
        <f aca="false">IF($B608="","",IFERROR(TRIM(LEFT($B608,FIND(" - ",$B608)-1)),"Others"))</f>
        <v/>
      </c>
      <c r="D608" s="11"/>
      <c r="E608" s="11"/>
      <c r="F608" s="12"/>
      <c r="G608" s="21"/>
      <c r="H608" s="21"/>
      <c r="I608" s="21"/>
      <c r="J608" s="21"/>
      <c r="K608" s="21"/>
      <c r="L608" s="21"/>
      <c r="M608" s="21"/>
      <c r="N608" s="22"/>
      <c r="O608" s="22"/>
      <c r="P608" s="17" t="str">
        <f aca="false">IF($A608="","",SUM($G608:$I608))</f>
        <v/>
      </c>
      <c r="Q608" s="17" t="str">
        <f aca="false">IF($A608="","",SUM($J608:$L608))</f>
        <v/>
      </c>
      <c r="R608" s="17" t="str">
        <f aca="false">IF($A608="","",($M608+$Q608)-$P608)</f>
        <v/>
      </c>
      <c r="S608" s="18" t="str">
        <f aca="false">IF(OR($A608="",$P608=0),"",$R608/$P608)</f>
        <v/>
      </c>
      <c r="T608" s="23"/>
      <c r="U608" s="14" t="str">
        <f aca="false">IF($A608="","",IF($M608&gt;0,"Live","Exited"))</f>
        <v/>
      </c>
      <c r="V608" s="20" t="str">
        <f aca="false">IF($A608="","",IF($A608='Client Report'!$C$4,COUNTIFS($A$6:$A608,'Client Report'!$C$4),""))</f>
        <v/>
      </c>
    </row>
    <row r="609" customFormat="false" ht="15" hidden="false" customHeight="false" outlineLevel="0" collapsed="false">
      <c r="A609" s="11"/>
      <c r="B609" s="11"/>
      <c r="C609" s="14" t="str">
        <f aca="false">IF($B609="","",IFERROR(TRIM(LEFT($B609,FIND(" - ",$B609)-1)),"Others"))</f>
        <v/>
      </c>
      <c r="D609" s="11"/>
      <c r="E609" s="11"/>
      <c r="F609" s="12"/>
      <c r="G609" s="21"/>
      <c r="H609" s="21"/>
      <c r="I609" s="21"/>
      <c r="J609" s="21"/>
      <c r="K609" s="21"/>
      <c r="L609" s="21"/>
      <c r="M609" s="21"/>
      <c r="N609" s="22"/>
      <c r="O609" s="22"/>
      <c r="P609" s="17" t="str">
        <f aca="false">IF($A609="","",SUM($G609:$I609))</f>
        <v/>
      </c>
      <c r="Q609" s="17" t="str">
        <f aca="false">IF($A609="","",SUM($J609:$L609))</f>
        <v/>
      </c>
      <c r="R609" s="17" t="str">
        <f aca="false">IF($A609="","",($M609+$Q609)-$P609)</f>
        <v/>
      </c>
      <c r="S609" s="18" t="str">
        <f aca="false">IF(OR($A609="",$P609=0),"",$R609/$P609)</f>
        <v/>
      </c>
      <c r="T609" s="23"/>
      <c r="U609" s="14" t="str">
        <f aca="false">IF($A609="","",IF($M609&gt;0,"Live","Exited"))</f>
        <v/>
      </c>
      <c r="V609" s="20" t="str">
        <f aca="false">IF($A609="","",IF($A609='Client Report'!$C$4,COUNTIFS($A$6:$A609,'Client Report'!$C$4),""))</f>
        <v/>
      </c>
    </row>
    <row r="610" customFormat="false" ht="15" hidden="false" customHeight="false" outlineLevel="0" collapsed="false">
      <c r="A610" s="11"/>
      <c r="B610" s="11"/>
      <c r="C610" s="14" t="str">
        <f aca="false">IF($B610="","",IFERROR(TRIM(LEFT($B610,FIND(" - ",$B610)-1)),"Others"))</f>
        <v/>
      </c>
      <c r="D610" s="11"/>
      <c r="E610" s="11"/>
      <c r="F610" s="12"/>
      <c r="G610" s="21"/>
      <c r="H610" s="21"/>
      <c r="I610" s="21"/>
      <c r="J610" s="21"/>
      <c r="K610" s="21"/>
      <c r="L610" s="21"/>
      <c r="M610" s="21"/>
      <c r="N610" s="22"/>
      <c r="O610" s="22"/>
      <c r="P610" s="17" t="str">
        <f aca="false">IF($A610="","",SUM($G610:$I610))</f>
        <v/>
      </c>
      <c r="Q610" s="17" t="str">
        <f aca="false">IF($A610="","",SUM($J610:$L610))</f>
        <v/>
      </c>
      <c r="R610" s="17" t="str">
        <f aca="false">IF($A610="","",($M610+$Q610)-$P610)</f>
        <v/>
      </c>
      <c r="S610" s="18" t="str">
        <f aca="false">IF(OR($A610="",$P610=0),"",$R610/$P610)</f>
        <v/>
      </c>
      <c r="T610" s="23"/>
      <c r="U610" s="14" t="str">
        <f aca="false">IF($A610="","",IF($M610&gt;0,"Live","Exited"))</f>
        <v/>
      </c>
      <c r="V610" s="20" t="str">
        <f aca="false">IF($A610="","",IF($A610='Client Report'!$C$4,COUNTIFS($A$6:$A610,'Client Report'!$C$4),""))</f>
        <v/>
      </c>
    </row>
    <row r="611" customFormat="false" ht="15" hidden="false" customHeight="false" outlineLevel="0" collapsed="false">
      <c r="A611" s="11"/>
      <c r="B611" s="11"/>
      <c r="C611" s="14" t="str">
        <f aca="false">IF($B611="","",IFERROR(TRIM(LEFT($B611,FIND(" - ",$B611)-1)),"Others"))</f>
        <v/>
      </c>
      <c r="D611" s="11"/>
      <c r="E611" s="11"/>
      <c r="F611" s="12"/>
      <c r="G611" s="21"/>
      <c r="H611" s="21"/>
      <c r="I611" s="21"/>
      <c r="J611" s="21"/>
      <c r="K611" s="21"/>
      <c r="L611" s="21"/>
      <c r="M611" s="21"/>
      <c r="N611" s="22"/>
      <c r="O611" s="22"/>
      <c r="P611" s="17" t="str">
        <f aca="false">IF($A611="","",SUM($G611:$I611))</f>
        <v/>
      </c>
      <c r="Q611" s="17" t="str">
        <f aca="false">IF($A611="","",SUM($J611:$L611))</f>
        <v/>
      </c>
      <c r="R611" s="17" t="str">
        <f aca="false">IF($A611="","",($M611+$Q611)-$P611)</f>
        <v/>
      </c>
      <c r="S611" s="18" t="str">
        <f aca="false">IF(OR($A611="",$P611=0),"",$R611/$P611)</f>
        <v/>
      </c>
      <c r="T611" s="23"/>
      <c r="U611" s="14" t="str">
        <f aca="false">IF($A611="","",IF($M611&gt;0,"Live","Exited"))</f>
        <v/>
      </c>
      <c r="V611" s="20" t="str">
        <f aca="false">IF($A611="","",IF($A611='Client Report'!$C$4,COUNTIFS($A$6:$A611,'Client Report'!$C$4),""))</f>
        <v/>
      </c>
    </row>
    <row r="612" customFormat="false" ht="15" hidden="false" customHeight="false" outlineLevel="0" collapsed="false">
      <c r="A612" s="11"/>
      <c r="B612" s="11"/>
      <c r="C612" s="14" t="str">
        <f aca="false">IF($B612="","",IFERROR(TRIM(LEFT($B612,FIND(" - ",$B612)-1)),"Others"))</f>
        <v/>
      </c>
      <c r="D612" s="11"/>
      <c r="E612" s="11"/>
      <c r="F612" s="12"/>
      <c r="G612" s="21"/>
      <c r="H612" s="21"/>
      <c r="I612" s="21"/>
      <c r="J612" s="21"/>
      <c r="K612" s="21"/>
      <c r="L612" s="21"/>
      <c r="M612" s="21"/>
      <c r="N612" s="22"/>
      <c r="O612" s="22"/>
      <c r="P612" s="17" t="str">
        <f aca="false">IF($A612="","",SUM($G612:$I612))</f>
        <v/>
      </c>
      <c r="Q612" s="17" t="str">
        <f aca="false">IF($A612="","",SUM($J612:$L612))</f>
        <v/>
      </c>
      <c r="R612" s="17" t="str">
        <f aca="false">IF($A612="","",($M612+$Q612)-$P612)</f>
        <v/>
      </c>
      <c r="S612" s="18" t="str">
        <f aca="false">IF(OR($A612="",$P612=0),"",$R612/$P612)</f>
        <v/>
      </c>
      <c r="T612" s="23"/>
      <c r="U612" s="14" t="str">
        <f aca="false">IF($A612="","",IF($M612&gt;0,"Live","Exited"))</f>
        <v/>
      </c>
      <c r="V612" s="20" t="str">
        <f aca="false">IF($A612="","",IF($A612='Client Report'!$C$4,COUNTIFS($A$6:$A612,'Client Report'!$C$4),""))</f>
        <v/>
      </c>
    </row>
    <row r="613" customFormat="false" ht="15" hidden="false" customHeight="false" outlineLevel="0" collapsed="false">
      <c r="A613" s="11"/>
      <c r="B613" s="11"/>
      <c r="C613" s="14" t="str">
        <f aca="false">IF($B613="","",IFERROR(TRIM(LEFT($B613,FIND(" - ",$B613)-1)),"Others"))</f>
        <v/>
      </c>
      <c r="D613" s="11"/>
      <c r="E613" s="11"/>
      <c r="F613" s="12"/>
      <c r="G613" s="21"/>
      <c r="H613" s="21"/>
      <c r="I613" s="21"/>
      <c r="J613" s="21"/>
      <c r="K613" s="21"/>
      <c r="L613" s="21"/>
      <c r="M613" s="21"/>
      <c r="N613" s="22"/>
      <c r="O613" s="22"/>
      <c r="P613" s="17" t="str">
        <f aca="false">IF($A613="","",SUM($G613:$I613))</f>
        <v/>
      </c>
      <c r="Q613" s="17" t="str">
        <f aca="false">IF($A613="","",SUM($J613:$L613))</f>
        <v/>
      </c>
      <c r="R613" s="17" t="str">
        <f aca="false">IF($A613="","",($M613+$Q613)-$P613)</f>
        <v/>
      </c>
      <c r="S613" s="18" t="str">
        <f aca="false">IF(OR($A613="",$P613=0),"",$R613/$P613)</f>
        <v/>
      </c>
      <c r="T613" s="23"/>
      <c r="U613" s="14" t="str">
        <f aca="false">IF($A613="","",IF($M613&gt;0,"Live","Exited"))</f>
        <v/>
      </c>
      <c r="V613" s="20" t="str">
        <f aca="false">IF($A613="","",IF($A613='Client Report'!$C$4,COUNTIFS($A$6:$A613,'Client Report'!$C$4),""))</f>
        <v/>
      </c>
    </row>
    <row r="614" customFormat="false" ht="15" hidden="false" customHeight="false" outlineLevel="0" collapsed="false">
      <c r="A614" s="11"/>
      <c r="B614" s="11"/>
      <c r="C614" s="14" t="str">
        <f aca="false">IF($B614="","",IFERROR(TRIM(LEFT($B614,FIND(" - ",$B614)-1)),"Others"))</f>
        <v/>
      </c>
      <c r="D614" s="11"/>
      <c r="E614" s="11"/>
      <c r="F614" s="12"/>
      <c r="G614" s="21"/>
      <c r="H614" s="21"/>
      <c r="I614" s="21"/>
      <c r="J614" s="21"/>
      <c r="K614" s="21"/>
      <c r="L614" s="21"/>
      <c r="M614" s="21"/>
      <c r="N614" s="22"/>
      <c r="O614" s="22"/>
      <c r="P614" s="17" t="str">
        <f aca="false">IF($A614="","",SUM($G614:$I614))</f>
        <v/>
      </c>
      <c r="Q614" s="17" t="str">
        <f aca="false">IF($A614="","",SUM($J614:$L614))</f>
        <v/>
      </c>
      <c r="R614" s="17" t="str">
        <f aca="false">IF($A614="","",($M614+$Q614)-$P614)</f>
        <v/>
      </c>
      <c r="S614" s="18" t="str">
        <f aca="false">IF(OR($A614="",$P614=0),"",$R614/$P614)</f>
        <v/>
      </c>
      <c r="T614" s="23"/>
      <c r="U614" s="14" t="str">
        <f aca="false">IF($A614="","",IF($M614&gt;0,"Live","Exited"))</f>
        <v/>
      </c>
      <c r="V614" s="20" t="str">
        <f aca="false">IF($A614="","",IF($A614='Client Report'!$C$4,COUNTIFS($A$6:$A614,'Client Report'!$C$4),""))</f>
        <v/>
      </c>
    </row>
    <row r="615" customFormat="false" ht="15" hidden="false" customHeight="false" outlineLevel="0" collapsed="false">
      <c r="A615" s="11"/>
      <c r="B615" s="11"/>
      <c r="C615" s="14" t="str">
        <f aca="false">IF($B615="","",IFERROR(TRIM(LEFT($B615,FIND(" - ",$B615)-1)),"Others"))</f>
        <v/>
      </c>
      <c r="D615" s="11"/>
      <c r="E615" s="11"/>
      <c r="F615" s="12"/>
      <c r="G615" s="21"/>
      <c r="H615" s="21"/>
      <c r="I615" s="21"/>
      <c r="J615" s="21"/>
      <c r="K615" s="21"/>
      <c r="L615" s="21"/>
      <c r="M615" s="21"/>
      <c r="N615" s="22"/>
      <c r="O615" s="22"/>
      <c r="P615" s="17" t="str">
        <f aca="false">IF($A615="","",SUM($G615:$I615))</f>
        <v/>
      </c>
      <c r="Q615" s="17" t="str">
        <f aca="false">IF($A615="","",SUM($J615:$L615))</f>
        <v/>
      </c>
      <c r="R615" s="17" t="str">
        <f aca="false">IF($A615="","",($M615+$Q615)-$P615)</f>
        <v/>
      </c>
      <c r="S615" s="18" t="str">
        <f aca="false">IF(OR($A615="",$P615=0),"",$R615/$P615)</f>
        <v/>
      </c>
      <c r="T615" s="23"/>
      <c r="U615" s="14" t="str">
        <f aca="false">IF($A615="","",IF($M615&gt;0,"Live","Exited"))</f>
        <v/>
      </c>
      <c r="V615" s="20" t="str">
        <f aca="false">IF($A615="","",IF($A615='Client Report'!$C$4,COUNTIFS($A$6:$A615,'Client Report'!$C$4),""))</f>
        <v/>
      </c>
    </row>
    <row r="616" customFormat="false" ht="15" hidden="false" customHeight="false" outlineLevel="0" collapsed="false">
      <c r="A616" s="11"/>
      <c r="B616" s="11"/>
      <c r="C616" s="14" t="str">
        <f aca="false">IF($B616="","",IFERROR(TRIM(LEFT($B616,FIND(" - ",$B616)-1)),"Others"))</f>
        <v/>
      </c>
      <c r="D616" s="11"/>
      <c r="E616" s="11"/>
      <c r="F616" s="12"/>
      <c r="G616" s="21"/>
      <c r="H616" s="21"/>
      <c r="I616" s="21"/>
      <c r="J616" s="21"/>
      <c r="K616" s="21"/>
      <c r="L616" s="21"/>
      <c r="M616" s="21"/>
      <c r="N616" s="22"/>
      <c r="O616" s="22"/>
      <c r="P616" s="17" t="str">
        <f aca="false">IF($A616="","",SUM($G616:$I616))</f>
        <v/>
      </c>
      <c r="Q616" s="17" t="str">
        <f aca="false">IF($A616="","",SUM($J616:$L616))</f>
        <v/>
      </c>
      <c r="R616" s="17" t="str">
        <f aca="false">IF($A616="","",($M616+$Q616)-$P616)</f>
        <v/>
      </c>
      <c r="S616" s="18" t="str">
        <f aca="false">IF(OR($A616="",$P616=0),"",$R616/$P616)</f>
        <v/>
      </c>
      <c r="T616" s="23"/>
      <c r="U616" s="14" t="str">
        <f aca="false">IF($A616="","",IF($M616&gt;0,"Live","Exited"))</f>
        <v/>
      </c>
      <c r="V616" s="20" t="str">
        <f aca="false">IF($A616="","",IF($A616='Client Report'!$C$4,COUNTIFS($A$6:$A616,'Client Report'!$C$4),""))</f>
        <v/>
      </c>
    </row>
    <row r="617" customFormat="false" ht="15" hidden="false" customHeight="false" outlineLevel="0" collapsed="false">
      <c r="A617" s="11"/>
      <c r="B617" s="11"/>
      <c r="C617" s="14" t="str">
        <f aca="false">IF($B617="","",IFERROR(TRIM(LEFT($B617,FIND(" - ",$B617)-1)),"Others"))</f>
        <v/>
      </c>
      <c r="D617" s="11"/>
      <c r="E617" s="11"/>
      <c r="F617" s="12"/>
      <c r="G617" s="21"/>
      <c r="H617" s="21"/>
      <c r="I617" s="21"/>
      <c r="J617" s="21"/>
      <c r="K617" s="21"/>
      <c r="L617" s="21"/>
      <c r="M617" s="21"/>
      <c r="N617" s="22"/>
      <c r="O617" s="22"/>
      <c r="P617" s="17" t="str">
        <f aca="false">IF($A617="","",SUM($G617:$I617))</f>
        <v/>
      </c>
      <c r="Q617" s="17" t="str">
        <f aca="false">IF($A617="","",SUM($J617:$L617))</f>
        <v/>
      </c>
      <c r="R617" s="17" t="str">
        <f aca="false">IF($A617="","",($M617+$Q617)-$P617)</f>
        <v/>
      </c>
      <c r="S617" s="18" t="str">
        <f aca="false">IF(OR($A617="",$P617=0),"",$R617/$P617)</f>
        <v/>
      </c>
      <c r="T617" s="23"/>
      <c r="U617" s="14" t="str">
        <f aca="false">IF($A617="","",IF($M617&gt;0,"Live","Exited"))</f>
        <v/>
      </c>
      <c r="V617" s="20" t="str">
        <f aca="false">IF($A617="","",IF($A617='Client Report'!$C$4,COUNTIFS($A$6:$A617,'Client Report'!$C$4),""))</f>
        <v/>
      </c>
    </row>
    <row r="618" customFormat="false" ht="15" hidden="false" customHeight="false" outlineLevel="0" collapsed="false">
      <c r="A618" s="11"/>
      <c r="B618" s="11"/>
      <c r="C618" s="14" t="str">
        <f aca="false">IF($B618="","",IFERROR(TRIM(LEFT($B618,FIND(" - ",$B618)-1)),"Others"))</f>
        <v/>
      </c>
      <c r="D618" s="11"/>
      <c r="E618" s="11"/>
      <c r="F618" s="12"/>
      <c r="G618" s="21"/>
      <c r="H618" s="21"/>
      <c r="I618" s="21"/>
      <c r="J618" s="21"/>
      <c r="K618" s="21"/>
      <c r="L618" s="21"/>
      <c r="M618" s="21"/>
      <c r="N618" s="22"/>
      <c r="O618" s="22"/>
      <c r="P618" s="17" t="str">
        <f aca="false">IF($A618="","",SUM($G618:$I618))</f>
        <v/>
      </c>
      <c r="Q618" s="17" t="str">
        <f aca="false">IF($A618="","",SUM($J618:$L618))</f>
        <v/>
      </c>
      <c r="R618" s="17" t="str">
        <f aca="false">IF($A618="","",($M618+$Q618)-$P618)</f>
        <v/>
      </c>
      <c r="S618" s="18" t="str">
        <f aca="false">IF(OR($A618="",$P618=0),"",$R618/$P618)</f>
        <v/>
      </c>
      <c r="T618" s="23"/>
      <c r="U618" s="14" t="str">
        <f aca="false">IF($A618="","",IF($M618&gt;0,"Live","Exited"))</f>
        <v/>
      </c>
      <c r="V618" s="20" t="str">
        <f aca="false">IF($A618="","",IF($A618='Client Report'!$C$4,COUNTIFS($A$6:$A618,'Client Report'!$C$4),""))</f>
        <v/>
      </c>
    </row>
    <row r="619" customFormat="false" ht="15" hidden="false" customHeight="false" outlineLevel="0" collapsed="false">
      <c r="A619" s="11"/>
      <c r="B619" s="11"/>
      <c r="C619" s="14" t="str">
        <f aca="false">IF($B619="","",IFERROR(TRIM(LEFT($B619,FIND(" - ",$B619)-1)),"Others"))</f>
        <v/>
      </c>
      <c r="D619" s="11"/>
      <c r="E619" s="11"/>
      <c r="F619" s="12"/>
      <c r="G619" s="21"/>
      <c r="H619" s="21"/>
      <c r="I619" s="21"/>
      <c r="J619" s="21"/>
      <c r="K619" s="21"/>
      <c r="L619" s="21"/>
      <c r="M619" s="21"/>
      <c r="N619" s="22"/>
      <c r="O619" s="22"/>
      <c r="P619" s="17" t="str">
        <f aca="false">IF($A619="","",SUM($G619:$I619))</f>
        <v/>
      </c>
      <c r="Q619" s="17" t="str">
        <f aca="false">IF($A619="","",SUM($J619:$L619))</f>
        <v/>
      </c>
      <c r="R619" s="17" t="str">
        <f aca="false">IF($A619="","",($M619+$Q619)-$P619)</f>
        <v/>
      </c>
      <c r="S619" s="18" t="str">
        <f aca="false">IF(OR($A619="",$P619=0),"",$R619/$P619)</f>
        <v/>
      </c>
      <c r="T619" s="23"/>
      <c r="U619" s="14" t="str">
        <f aca="false">IF($A619="","",IF($M619&gt;0,"Live","Exited"))</f>
        <v/>
      </c>
      <c r="V619" s="20" t="str">
        <f aca="false">IF($A619="","",IF($A619='Client Report'!$C$4,COUNTIFS($A$6:$A619,'Client Report'!$C$4),""))</f>
        <v/>
      </c>
    </row>
    <row r="620" customFormat="false" ht="15" hidden="false" customHeight="false" outlineLevel="0" collapsed="false">
      <c r="A620" s="11"/>
      <c r="B620" s="11"/>
      <c r="C620" s="14" t="str">
        <f aca="false">IF($B620="","",IFERROR(TRIM(LEFT($B620,FIND(" - ",$B620)-1)),"Others"))</f>
        <v/>
      </c>
      <c r="D620" s="11"/>
      <c r="E620" s="11"/>
      <c r="F620" s="12"/>
      <c r="G620" s="21"/>
      <c r="H620" s="21"/>
      <c r="I620" s="21"/>
      <c r="J620" s="21"/>
      <c r="K620" s="21"/>
      <c r="L620" s="21"/>
      <c r="M620" s="21"/>
      <c r="N620" s="22"/>
      <c r="O620" s="22"/>
      <c r="P620" s="17" t="str">
        <f aca="false">IF($A620="","",SUM($G620:$I620))</f>
        <v/>
      </c>
      <c r="Q620" s="17" t="str">
        <f aca="false">IF($A620="","",SUM($J620:$L620))</f>
        <v/>
      </c>
      <c r="R620" s="17" t="str">
        <f aca="false">IF($A620="","",($M620+$Q620)-$P620)</f>
        <v/>
      </c>
      <c r="S620" s="18" t="str">
        <f aca="false">IF(OR($A620="",$P620=0),"",$R620/$P620)</f>
        <v/>
      </c>
      <c r="T620" s="23"/>
      <c r="U620" s="14" t="str">
        <f aca="false">IF($A620="","",IF($M620&gt;0,"Live","Exited"))</f>
        <v/>
      </c>
      <c r="V620" s="20" t="str">
        <f aca="false">IF($A620="","",IF($A620='Client Report'!$C$4,COUNTIFS($A$6:$A620,'Client Report'!$C$4),""))</f>
        <v/>
      </c>
    </row>
    <row r="621" customFormat="false" ht="15" hidden="false" customHeight="false" outlineLevel="0" collapsed="false">
      <c r="A621" s="11"/>
      <c r="B621" s="11"/>
      <c r="C621" s="14" t="str">
        <f aca="false">IF($B621="","",IFERROR(TRIM(LEFT($B621,FIND(" - ",$B621)-1)),"Others"))</f>
        <v/>
      </c>
      <c r="D621" s="11"/>
      <c r="E621" s="11"/>
      <c r="F621" s="12"/>
      <c r="G621" s="21"/>
      <c r="H621" s="21"/>
      <c r="I621" s="21"/>
      <c r="J621" s="21"/>
      <c r="K621" s="21"/>
      <c r="L621" s="21"/>
      <c r="M621" s="21"/>
      <c r="N621" s="22"/>
      <c r="O621" s="22"/>
      <c r="P621" s="17" t="str">
        <f aca="false">IF($A621="","",SUM($G621:$I621))</f>
        <v/>
      </c>
      <c r="Q621" s="17" t="str">
        <f aca="false">IF($A621="","",SUM($J621:$L621))</f>
        <v/>
      </c>
      <c r="R621" s="17" t="str">
        <f aca="false">IF($A621="","",($M621+$Q621)-$P621)</f>
        <v/>
      </c>
      <c r="S621" s="18" t="str">
        <f aca="false">IF(OR($A621="",$P621=0),"",$R621/$P621)</f>
        <v/>
      </c>
      <c r="T621" s="23"/>
      <c r="U621" s="14" t="str">
        <f aca="false">IF($A621="","",IF($M621&gt;0,"Live","Exited"))</f>
        <v/>
      </c>
      <c r="V621" s="20" t="str">
        <f aca="false">IF($A621="","",IF($A621='Client Report'!$C$4,COUNTIFS($A$6:$A621,'Client Report'!$C$4),""))</f>
        <v/>
      </c>
    </row>
    <row r="622" customFormat="false" ht="15" hidden="false" customHeight="false" outlineLevel="0" collapsed="false">
      <c r="A622" s="11"/>
      <c r="B622" s="11"/>
      <c r="C622" s="14" t="str">
        <f aca="false">IF($B622="","",IFERROR(TRIM(LEFT($B622,FIND(" - ",$B622)-1)),"Others"))</f>
        <v/>
      </c>
      <c r="D622" s="11"/>
      <c r="E622" s="11"/>
      <c r="F622" s="12"/>
      <c r="G622" s="21"/>
      <c r="H622" s="21"/>
      <c r="I622" s="21"/>
      <c r="J622" s="21"/>
      <c r="K622" s="21"/>
      <c r="L622" s="21"/>
      <c r="M622" s="21"/>
      <c r="N622" s="22"/>
      <c r="O622" s="22"/>
      <c r="P622" s="17" t="str">
        <f aca="false">IF($A622="","",SUM($G622:$I622))</f>
        <v/>
      </c>
      <c r="Q622" s="17" t="str">
        <f aca="false">IF($A622="","",SUM($J622:$L622))</f>
        <v/>
      </c>
      <c r="R622" s="17" t="str">
        <f aca="false">IF($A622="","",($M622+$Q622)-$P622)</f>
        <v/>
      </c>
      <c r="S622" s="18" t="str">
        <f aca="false">IF(OR($A622="",$P622=0),"",$R622/$P622)</f>
        <v/>
      </c>
      <c r="T622" s="23"/>
      <c r="U622" s="14" t="str">
        <f aca="false">IF($A622="","",IF($M622&gt;0,"Live","Exited"))</f>
        <v/>
      </c>
      <c r="V622" s="20" t="str">
        <f aca="false">IF($A622="","",IF($A622='Client Report'!$C$4,COUNTIFS($A$6:$A622,'Client Report'!$C$4),""))</f>
        <v/>
      </c>
    </row>
    <row r="623" customFormat="false" ht="15" hidden="false" customHeight="false" outlineLevel="0" collapsed="false">
      <c r="A623" s="11"/>
      <c r="B623" s="11"/>
      <c r="C623" s="14" t="str">
        <f aca="false">IF($B623="","",IFERROR(TRIM(LEFT($B623,FIND(" - ",$B623)-1)),"Others"))</f>
        <v/>
      </c>
      <c r="D623" s="11"/>
      <c r="E623" s="11"/>
      <c r="F623" s="12"/>
      <c r="G623" s="21"/>
      <c r="H623" s="21"/>
      <c r="I623" s="21"/>
      <c r="J623" s="21"/>
      <c r="K623" s="21"/>
      <c r="L623" s="21"/>
      <c r="M623" s="21"/>
      <c r="N623" s="22"/>
      <c r="O623" s="22"/>
      <c r="P623" s="17" t="str">
        <f aca="false">IF($A623="","",SUM($G623:$I623))</f>
        <v/>
      </c>
      <c r="Q623" s="17" t="str">
        <f aca="false">IF($A623="","",SUM($J623:$L623))</f>
        <v/>
      </c>
      <c r="R623" s="17" t="str">
        <f aca="false">IF($A623="","",($M623+$Q623)-$P623)</f>
        <v/>
      </c>
      <c r="S623" s="18" t="str">
        <f aca="false">IF(OR($A623="",$P623=0),"",$R623/$P623)</f>
        <v/>
      </c>
      <c r="T623" s="23"/>
      <c r="U623" s="14" t="str">
        <f aca="false">IF($A623="","",IF($M623&gt;0,"Live","Exited"))</f>
        <v/>
      </c>
      <c r="V623" s="20" t="str">
        <f aca="false">IF($A623="","",IF($A623='Client Report'!$C$4,COUNTIFS($A$6:$A623,'Client Report'!$C$4),""))</f>
        <v/>
      </c>
    </row>
    <row r="624" customFormat="false" ht="15" hidden="false" customHeight="false" outlineLevel="0" collapsed="false">
      <c r="A624" s="11"/>
      <c r="B624" s="11"/>
      <c r="C624" s="14" t="str">
        <f aca="false">IF($B624="","",IFERROR(TRIM(LEFT($B624,FIND(" - ",$B624)-1)),"Others"))</f>
        <v/>
      </c>
      <c r="D624" s="11"/>
      <c r="E624" s="11"/>
      <c r="F624" s="12"/>
      <c r="G624" s="21"/>
      <c r="H624" s="21"/>
      <c r="I624" s="21"/>
      <c r="J624" s="21"/>
      <c r="K624" s="21"/>
      <c r="L624" s="21"/>
      <c r="M624" s="21"/>
      <c r="N624" s="22"/>
      <c r="O624" s="22"/>
      <c r="P624" s="17" t="str">
        <f aca="false">IF($A624="","",SUM($G624:$I624))</f>
        <v/>
      </c>
      <c r="Q624" s="17" t="str">
        <f aca="false">IF($A624="","",SUM($J624:$L624))</f>
        <v/>
      </c>
      <c r="R624" s="17" t="str">
        <f aca="false">IF($A624="","",($M624+$Q624)-$P624)</f>
        <v/>
      </c>
      <c r="S624" s="18" t="str">
        <f aca="false">IF(OR($A624="",$P624=0),"",$R624/$P624)</f>
        <v/>
      </c>
      <c r="T624" s="23"/>
      <c r="U624" s="14" t="str">
        <f aca="false">IF($A624="","",IF($M624&gt;0,"Live","Exited"))</f>
        <v/>
      </c>
      <c r="V624" s="20" t="str">
        <f aca="false">IF($A624="","",IF($A624='Client Report'!$C$4,COUNTIFS($A$6:$A624,'Client Report'!$C$4),""))</f>
        <v/>
      </c>
    </row>
    <row r="625" customFormat="false" ht="15" hidden="false" customHeight="false" outlineLevel="0" collapsed="false">
      <c r="A625" s="11"/>
      <c r="B625" s="11"/>
      <c r="C625" s="14" t="str">
        <f aca="false">IF($B625="","",IFERROR(TRIM(LEFT($B625,FIND(" - ",$B625)-1)),"Others"))</f>
        <v/>
      </c>
      <c r="D625" s="11"/>
      <c r="E625" s="11"/>
      <c r="F625" s="12"/>
      <c r="G625" s="21"/>
      <c r="H625" s="21"/>
      <c r="I625" s="21"/>
      <c r="J625" s="21"/>
      <c r="K625" s="21"/>
      <c r="L625" s="21"/>
      <c r="M625" s="21"/>
      <c r="N625" s="22"/>
      <c r="O625" s="22"/>
      <c r="P625" s="17" t="str">
        <f aca="false">IF($A625="","",SUM($G625:$I625))</f>
        <v/>
      </c>
      <c r="Q625" s="17" t="str">
        <f aca="false">IF($A625="","",SUM($J625:$L625))</f>
        <v/>
      </c>
      <c r="R625" s="17" t="str">
        <f aca="false">IF($A625="","",($M625+$Q625)-$P625)</f>
        <v/>
      </c>
      <c r="S625" s="18" t="str">
        <f aca="false">IF(OR($A625="",$P625=0),"",$R625/$P625)</f>
        <v/>
      </c>
      <c r="T625" s="23"/>
      <c r="U625" s="14" t="str">
        <f aca="false">IF($A625="","",IF($M625&gt;0,"Live","Exited"))</f>
        <v/>
      </c>
      <c r="V625" s="20" t="str">
        <f aca="false">IF($A625="","",IF($A625='Client Report'!$C$4,COUNTIFS($A$6:$A625,'Client Report'!$C$4),""))</f>
        <v/>
      </c>
    </row>
    <row r="626" customFormat="false" ht="15" hidden="false" customHeight="false" outlineLevel="0" collapsed="false">
      <c r="A626" s="11"/>
      <c r="B626" s="11"/>
      <c r="C626" s="14" t="str">
        <f aca="false">IF($B626="","",IFERROR(TRIM(LEFT($B626,FIND(" - ",$B626)-1)),"Others"))</f>
        <v/>
      </c>
      <c r="D626" s="11"/>
      <c r="E626" s="11"/>
      <c r="F626" s="12"/>
      <c r="G626" s="21"/>
      <c r="H626" s="21"/>
      <c r="I626" s="21"/>
      <c r="J626" s="21"/>
      <c r="K626" s="21"/>
      <c r="L626" s="21"/>
      <c r="M626" s="21"/>
      <c r="N626" s="22"/>
      <c r="O626" s="22"/>
      <c r="P626" s="17" t="str">
        <f aca="false">IF($A626="","",SUM($G626:$I626))</f>
        <v/>
      </c>
      <c r="Q626" s="17" t="str">
        <f aca="false">IF($A626="","",SUM($J626:$L626))</f>
        <v/>
      </c>
      <c r="R626" s="17" t="str">
        <f aca="false">IF($A626="","",($M626+$Q626)-$P626)</f>
        <v/>
      </c>
      <c r="S626" s="18" t="str">
        <f aca="false">IF(OR($A626="",$P626=0),"",$R626/$P626)</f>
        <v/>
      </c>
      <c r="T626" s="23"/>
      <c r="U626" s="14" t="str">
        <f aca="false">IF($A626="","",IF($M626&gt;0,"Live","Exited"))</f>
        <v/>
      </c>
      <c r="V626" s="20" t="str">
        <f aca="false">IF($A626="","",IF($A626='Client Report'!$C$4,COUNTIFS($A$6:$A626,'Client Report'!$C$4),""))</f>
        <v/>
      </c>
    </row>
    <row r="627" customFormat="false" ht="15" hidden="false" customHeight="false" outlineLevel="0" collapsed="false">
      <c r="A627" s="11"/>
      <c r="B627" s="11"/>
      <c r="C627" s="14" t="str">
        <f aca="false">IF($B627="","",IFERROR(TRIM(LEFT($B627,FIND(" - ",$B627)-1)),"Others"))</f>
        <v/>
      </c>
      <c r="D627" s="11"/>
      <c r="E627" s="11"/>
      <c r="F627" s="12"/>
      <c r="G627" s="21"/>
      <c r="H627" s="21"/>
      <c r="I627" s="21"/>
      <c r="J627" s="21"/>
      <c r="K627" s="21"/>
      <c r="L627" s="21"/>
      <c r="M627" s="21"/>
      <c r="N627" s="22"/>
      <c r="O627" s="22"/>
      <c r="P627" s="17" t="str">
        <f aca="false">IF($A627="","",SUM($G627:$I627))</f>
        <v/>
      </c>
      <c r="Q627" s="17" t="str">
        <f aca="false">IF($A627="","",SUM($J627:$L627))</f>
        <v/>
      </c>
      <c r="R627" s="17" t="str">
        <f aca="false">IF($A627="","",($M627+$Q627)-$P627)</f>
        <v/>
      </c>
      <c r="S627" s="18" t="str">
        <f aca="false">IF(OR($A627="",$P627=0),"",$R627/$P627)</f>
        <v/>
      </c>
      <c r="T627" s="23"/>
      <c r="U627" s="14" t="str">
        <f aca="false">IF($A627="","",IF($M627&gt;0,"Live","Exited"))</f>
        <v/>
      </c>
      <c r="V627" s="20" t="str">
        <f aca="false">IF($A627="","",IF($A627='Client Report'!$C$4,COUNTIFS($A$6:$A627,'Client Report'!$C$4),""))</f>
        <v/>
      </c>
    </row>
    <row r="628" customFormat="false" ht="15" hidden="false" customHeight="false" outlineLevel="0" collapsed="false">
      <c r="A628" s="11"/>
      <c r="B628" s="11"/>
      <c r="C628" s="14" t="str">
        <f aca="false">IF($B628="","",IFERROR(TRIM(LEFT($B628,FIND(" - ",$B628)-1)),"Others"))</f>
        <v/>
      </c>
      <c r="D628" s="11"/>
      <c r="E628" s="11"/>
      <c r="F628" s="12"/>
      <c r="G628" s="21"/>
      <c r="H628" s="21"/>
      <c r="I628" s="21"/>
      <c r="J628" s="21"/>
      <c r="K628" s="21"/>
      <c r="L628" s="21"/>
      <c r="M628" s="21"/>
      <c r="N628" s="22"/>
      <c r="O628" s="22"/>
      <c r="P628" s="17" t="str">
        <f aca="false">IF($A628="","",SUM($G628:$I628))</f>
        <v/>
      </c>
      <c r="Q628" s="17" t="str">
        <f aca="false">IF($A628="","",SUM($J628:$L628))</f>
        <v/>
      </c>
      <c r="R628" s="17" t="str">
        <f aca="false">IF($A628="","",($M628+$Q628)-$P628)</f>
        <v/>
      </c>
      <c r="S628" s="18" t="str">
        <f aca="false">IF(OR($A628="",$P628=0),"",$R628/$P628)</f>
        <v/>
      </c>
      <c r="T628" s="23"/>
      <c r="U628" s="14" t="str">
        <f aca="false">IF($A628="","",IF($M628&gt;0,"Live","Exited"))</f>
        <v/>
      </c>
      <c r="V628" s="20" t="str">
        <f aca="false">IF($A628="","",IF($A628='Client Report'!$C$4,COUNTIFS($A$6:$A628,'Client Report'!$C$4),""))</f>
        <v/>
      </c>
    </row>
    <row r="629" customFormat="false" ht="15" hidden="false" customHeight="false" outlineLevel="0" collapsed="false">
      <c r="A629" s="11"/>
      <c r="B629" s="11"/>
      <c r="C629" s="14" t="str">
        <f aca="false">IF($B629="","",IFERROR(TRIM(LEFT($B629,FIND(" - ",$B629)-1)),"Others"))</f>
        <v/>
      </c>
      <c r="D629" s="11"/>
      <c r="E629" s="11"/>
      <c r="F629" s="12"/>
      <c r="G629" s="21"/>
      <c r="H629" s="21"/>
      <c r="I629" s="21"/>
      <c r="J629" s="21"/>
      <c r="K629" s="21"/>
      <c r="L629" s="21"/>
      <c r="M629" s="21"/>
      <c r="N629" s="22"/>
      <c r="O629" s="22"/>
      <c r="P629" s="17" t="str">
        <f aca="false">IF($A629="","",SUM($G629:$I629))</f>
        <v/>
      </c>
      <c r="Q629" s="17" t="str">
        <f aca="false">IF($A629="","",SUM($J629:$L629))</f>
        <v/>
      </c>
      <c r="R629" s="17" t="str">
        <f aca="false">IF($A629="","",($M629+$Q629)-$P629)</f>
        <v/>
      </c>
      <c r="S629" s="18" t="str">
        <f aca="false">IF(OR($A629="",$P629=0),"",$R629/$P629)</f>
        <v/>
      </c>
      <c r="T629" s="23"/>
      <c r="U629" s="14" t="str">
        <f aca="false">IF($A629="","",IF($M629&gt;0,"Live","Exited"))</f>
        <v/>
      </c>
      <c r="V629" s="20" t="str">
        <f aca="false">IF($A629="","",IF($A629='Client Report'!$C$4,COUNTIFS($A$6:$A629,'Client Report'!$C$4),""))</f>
        <v/>
      </c>
    </row>
    <row r="630" customFormat="false" ht="15" hidden="false" customHeight="false" outlineLevel="0" collapsed="false">
      <c r="A630" s="11"/>
      <c r="B630" s="11"/>
      <c r="C630" s="14" t="str">
        <f aca="false">IF($B630="","",IFERROR(TRIM(LEFT($B630,FIND(" - ",$B630)-1)),"Others"))</f>
        <v/>
      </c>
      <c r="D630" s="11"/>
      <c r="E630" s="11"/>
      <c r="F630" s="12"/>
      <c r="G630" s="21"/>
      <c r="H630" s="21"/>
      <c r="I630" s="21"/>
      <c r="J630" s="21"/>
      <c r="K630" s="21"/>
      <c r="L630" s="21"/>
      <c r="M630" s="21"/>
      <c r="N630" s="22"/>
      <c r="O630" s="22"/>
      <c r="P630" s="17" t="str">
        <f aca="false">IF($A630="","",SUM($G630:$I630))</f>
        <v/>
      </c>
      <c r="Q630" s="17" t="str">
        <f aca="false">IF($A630="","",SUM($J630:$L630))</f>
        <v/>
      </c>
      <c r="R630" s="17" t="str">
        <f aca="false">IF($A630="","",($M630+$Q630)-$P630)</f>
        <v/>
      </c>
      <c r="S630" s="18" t="str">
        <f aca="false">IF(OR($A630="",$P630=0),"",$R630/$P630)</f>
        <v/>
      </c>
      <c r="T630" s="23"/>
      <c r="U630" s="14" t="str">
        <f aca="false">IF($A630="","",IF($M630&gt;0,"Live","Exited"))</f>
        <v/>
      </c>
      <c r="V630" s="20" t="str">
        <f aca="false">IF($A630="","",IF($A630='Client Report'!$C$4,COUNTIFS($A$6:$A630,'Client Report'!$C$4),""))</f>
        <v/>
      </c>
    </row>
    <row r="631" customFormat="false" ht="15" hidden="false" customHeight="false" outlineLevel="0" collapsed="false">
      <c r="A631" s="11"/>
      <c r="B631" s="11"/>
      <c r="C631" s="14" t="str">
        <f aca="false">IF($B631="","",IFERROR(TRIM(LEFT($B631,FIND(" - ",$B631)-1)),"Others"))</f>
        <v/>
      </c>
      <c r="D631" s="11"/>
      <c r="E631" s="11"/>
      <c r="F631" s="12"/>
      <c r="G631" s="21"/>
      <c r="H631" s="21"/>
      <c r="I631" s="21"/>
      <c r="J631" s="21"/>
      <c r="K631" s="21"/>
      <c r="L631" s="21"/>
      <c r="M631" s="21"/>
      <c r="N631" s="22"/>
      <c r="O631" s="22"/>
      <c r="P631" s="17" t="str">
        <f aca="false">IF($A631="","",SUM($G631:$I631))</f>
        <v/>
      </c>
      <c r="Q631" s="17" t="str">
        <f aca="false">IF($A631="","",SUM($J631:$L631))</f>
        <v/>
      </c>
      <c r="R631" s="17" t="str">
        <f aca="false">IF($A631="","",($M631+$Q631)-$P631)</f>
        <v/>
      </c>
      <c r="S631" s="18" t="str">
        <f aca="false">IF(OR($A631="",$P631=0),"",$R631/$P631)</f>
        <v/>
      </c>
      <c r="T631" s="23"/>
      <c r="U631" s="14" t="str">
        <f aca="false">IF($A631="","",IF($M631&gt;0,"Live","Exited"))</f>
        <v/>
      </c>
      <c r="V631" s="20" t="str">
        <f aca="false">IF($A631="","",IF($A631='Client Report'!$C$4,COUNTIFS($A$6:$A631,'Client Report'!$C$4),""))</f>
        <v/>
      </c>
    </row>
    <row r="632" customFormat="false" ht="15" hidden="false" customHeight="false" outlineLevel="0" collapsed="false">
      <c r="A632" s="11"/>
      <c r="B632" s="11"/>
      <c r="C632" s="14" t="str">
        <f aca="false">IF($B632="","",IFERROR(TRIM(LEFT($B632,FIND(" - ",$B632)-1)),"Others"))</f>
        <v/>
      </c>
      <c r="D632" s="11"/>
      <c r="E632" s="11"/>
      <c r="F632" s="12"/>
      <c r="G632" s="21"/>
      <c r="H632" s="21"/>
      <c r="I632" s="21"/>
      <c r="J632" s="21"/>
      <c r="K632" s="21"/>
      <c r="L632" s="21"/>
      <c r="M632" s="21"/>
      <c r="N632" s="22"/>
      <c r="O632" s="22"/>
      <c r="P632" s="17" t="str">
        <f aca="false">IF($A632="","",SUM($G632:$I632))</f>
        <v/>
      </c>
      <c r="Q632" s="17" t="str">
        <f aca="false">IF($A632="","",SUM($J632:$L632))</f>
        <v/>
      </c>
      <c r="R632" s="17" t="str">
        <f aca="false">IF($A632="","",($M632+$Q632)-$P632)</f>
        <v/>
      </c>
      <c r="S632" s="18" t="str">
        <f aca="false">IF(OR($A632="",$P632=0),"",$R632/$P632)</f>
        <v/>
      </c>
      <c r="T632" s="23"/>
      <c r="U632" s="14" t="str">
        <f aca="false">IF($A632="","",IF($M632&gt;0,"Live","Exited"))</f>
        <v/>
      </c>
      <c r="V632" s="20" t="str">
        <f aca="false">IF($A632="","",IF($A632='Client Report'!$C$4,COUNTIFS($A$6:$A632,'Client Report'!$C$4),""))</f>
        <v/>
      </c>
    </row>
    <row r="633" customFormat="false" ht="15" hidden="false" customHeight="false" outlineLevel="0" collapsed="false">
      <c r="A633" s="11"/>
      <c r="B633" s="11"/>
      <c r="C633" s="14" t="str">
        <f aca="false">IF($B633="","",IFERROR(TRIM(LEFT($B633,FIND(" - ",$B633)-1)),"Others"))</f>
        <v/>
      </c>
      <c r="D633" s="11"/>
      <c r="E633" s="11"/>
      <c r="F633" s="12"/>
      <c r="G633" s="21"/>
      <c r="H633" s="21"/>
      <c r="I633" s="21"/>
      <c r="J633" s="21"/>
      <c r="K633" s="21"/>
      <c r="L633" s="21"/>
      <c r="M633" s="21"/>
      <c r="N633" s="22"/>
      <c r="O633" s="22"/>
      <c r="P633" s="17" t="str">
        <f aca="false">IF($A633="","",SUM($G633:$I633))</f>
        <v/>
      </c>
      <c r="Q633" s="17" t="str">
        <f aca="false">IF($A633="","",SUM($J633:$L633))</f>
        <v/>
      </c>
      <c r="R633" s="17" t="str">
        <f aca="false">IF($A633="","",($M633+$Q633)-$P633)</f>
        <v/>
      </c>
      <c r="S633" s="18" t="str">
        <f aca="false">IF(OR($A633="",$P633=0),"",$R633/$P633)</f>
        <v/>
      </c>
      <c r="T633" s="23"/>
      <c r="U633" s="14" t="str">
        <f aca="false">IF($A633="","",IF($M633&gt;0,"Live","Exited"))</f>
        <v/>
      </c>
      <c r="V633" s="20" t="str">
        <f aca="false">IF($A633="","",IF($A633='Client Report'!$C$4,COUNTIFS($A$6:$A633,'Client Report'!$C$4),""))</f>
        <v/>
      </c>
    </row>
    <row r="634" customFormat="false" ht="15" hidden="false" customHeight="false" outlineLevel="0" collapsed="false">
      <c r="A634" s="11"/>
      <c r="B634" s="11"/>
      <c r="C634" s="14" t="str">
        <f aca="false">IF($B634="","",IFERROR(TRIM(LEFT($B634,FIND(" - ",$B634)-1)),"Others"))</f>
        <v/>
      </c>
      <c r="D634" s="11"/>
      <c r="E634" s="11"/>
      <c r="F634" s="12"/>
      <c r="G634" s="21"/>
      <c r="H634" s="21"/>
      <c r="I634" s="21"/>
      <c r="J634" s="21"/>
      <c r="K634" s="21"/>
      <c r="L634" s="21"/>
      <c r="M634" s="21"/>
      <c r="N634" s="22"/>
      <c r="O634" s="22"/>
      <c r="P634" s="17" t="str">
        <f aca="false">IF($A634="","",SUM($G634:$I634))</f>
        <v/>
      </c>
      <c r="Q634" s="17" t="str">
        <f aca="false">IF($A634="","",SUM($J634:$L634))</f>
        <v/>
      </c>
      <c r="R634" s="17" t="str">
        <f aca="false">IF($A634="","",($M634+$Q634)-$P634)</f>
        <v/>
      </c>
      <c r="S634" s="18" t="str">
        <f aca="false">IF(OR($A634="",$P634=0),"",$R634/$P634)</f>
        <v/>
      </c>
      <c r="T634" s="23"/>
      <c r="U634" s="14" t="str">
        <f aca="false">IF($A634="","",IF($M634&gt;0,"Live","Exited"))</f>
        <v/>
      </c>
      <c r="V634" s="20" t="str">
        <f aca="false">IF($A634="","",IF($A634='Client Report'!$C$4,COUNTIFS($A$6:$A634,'Client Report'!$C$4),""))</f>
        <v/>
      </c>
    </row>
    <row r="635" customFormat="false" ht="15" hidden="false" customHeight="false" outlineLevel="0" collapsed="false">
      <c r="A635" s="11"/>
      <c r="B635" s="11"/>
      <c r="C635" s="14" t="str">
        <f aca="false">IF($B635="","",IFERROR(TRIM(LEFT($B635,FIND(" - ",$B635)-1)),"Others"))</f>
        <v/>
      </c>
      <c r="D635" s="11"/>
      <c r="E635" s="11"/>
      <c r="F635" s="12"/>
      <c r="G635" s="21"/>
      <c r="H635" s="21"/>
      <c r="I635" s="21"/>
      <c r="J635" s="21"/>
      <c r="K635" s="21"/>
      <c r="L635" s="21"/>
      <c r="M635" s="21"/>
      <c r="N635" s="22"/>
      <c r="O635" s="22"/>
      <c r="P635" s="17" t="str">
        <f aca="false">IF($A635="","",SUM($G635:$I635))</f>
        <v/>
      </c>
      <c r="Q635" s="17" t="str">
        <f aca="false">IF($A635="","",SUM($J635:$L635))</f>
        <v/>
      </c>
      <c r="R635" s="17" t="str">
        <f aca="false">IF($A635="","",($M635+$Q635)-$P635)</f>
        <v/>
      </c>
      <c r="S635" s="18" t="str">
        <f aca="false">IF(OR($A635="",$P635=0),"",$R635/$P635)</f>
        <v/>
      </c>
      <c r="T635" s="23"/>
      <c r="U635" s="14" t="str">
        <f aca="false">IF($A635="","",IF($M635&gt;0,"Live","Exited"))</f>
        <v/>
      </c>
      <c r="V635" s="20" t="str">
        <f aca="false">IF($A635="","",IF($A635='Client Report'!$C$4,COUNTIFS($A$6:$A635,'Client Report'!$C$4),""))</f>
        <v/>
      </c>
    </row>
    <row r="636" customFormat="false" ht="15" hidden="false" customHeight="false" outlineLevel="0" collapsed="false">
      <c r="A636" s="11"/>
      <c r="B636" s="11"/>
      <c r="C636" s="14" t="str">
        <f aca="false">IF($B636="","",IFERROR(TRIM(LEFT($B636,FIND(" - ",$B636)-1)),"Others"))</f>
        <v/>
      </c>
      <c r="D636" s="11"/>
      <c r="E636" s="11"/>
      <c r="F636" s="12"/>
      <c r="G636" s="21"/>
      <c r="H636" s="21"/>
      <c r="I636" s="21"/>
      <c r="J636" s="21"/>
      <c r="K636" s="21"/>
      <c r="L636" s="21"/>
      <c r="M636" s="21"/>
      <c r="N636" s="22"/>
      <c r="O636" s="22"/>
      <c r="P636" s="17" t="str">
        <f aca="false">IF($A636="","",SUM($G636:$I636))</f>
        <v/>
      </c>
      <c r="Q636" s="17" t="str">
        <f aca="false">IF($A636="","",SUM($J636:$L636))</f>
        <v/>
      </c>
      <c r="R636" s="17" t="str">
        <f aca="false">IF($A636="","",($M636+$Q636)-$P636)</f>
        <v/>
      </c>
      <c r="S636" s="18" t="str">
        <f aca="false">IF(OR($A636="",$P636=0),"",$R636/$P636)</f>
        <v/>
      </c>
      <c r="T636" s="23"/>
      <c r="U636" s="14" t="str">
        <f aca="false">IF($A636="","",IF($M636&gt;0,"Live","Exited"))</f>
        <v/>
      </c>
      <c r="V636" s="20" t="str">
        <f aca="false">IF($A636="","",IF($A636='Client Report'!$C$4,COUNTIFS($A$6:$A636,'Client Report'!$C$4),""))</f>
        <v/>
      </c>
    </row>
    <row r="637" customFormat="false" ht="15" hidden="false" customHeight="false" outlineLevel="0" collapsed="false">
      <c r="A637" s="11"/>
      <c r="B637" s="11"/>
      <c r="C637" s="14" t="str">
        <f aca="false">IF($B637="","",IFERROR(TRIM(LEFT($B637,FIND(" - ",$B637)-1)),"Others"))</f>
        <v/>
      </c>
      <c r="D637" s="11"/>
      <c r="E637" s="11"/>
      <c r="F637" s="12"/>
      <c r="G637" s="21"/>
      <c r="H637" s="21"/>
      <c r="I637" s="21"/>
      <c r="J637" s="21"/>
      <c r="K637" s="21"/>
      <c r="L637" s="21"/>
      <c r="M637" s="21"/>
      <c r="N637" s="22"/>
      <c r="O637" s="22"/>
      <c r="P637" s="17" t="str">
        <f aca="false">IF($A637="","",SUM($G637:$I637))</f>
        <v/>
      </c>
      <c r="Q637" s="17" t="str">
        <f aca="false">IF($A637="","",SUM($J637:$L637))</f>
        <v/>
      </c>
      <c r="R637" s="17" t="str">
        <f aca="false">IF($A637="","",($M637+$Q637)-$P637)</f>
        <v/>
      </c>
      <c r="S637" s="18" t="str">
        <f aca="false">IF(OR($A637="",$P637=0),"",$R637/$P637)</f>
        <v/>
      </c>
      <c r="T637" s="23"/>
      <c r="U637" s="14" t="str">
        <f aca="false">IF($A637="","",IF($M637&gt;0,"Live","Exited"))</f>
        <v/>
      </c>
      <c r="V637" s="20" t="str">
        <f aca="false">IF($A637="","",IF($A637='Client Report'!$C$4,COUNTIFS($A$6:$A637,'Client Report'!$C$4),""))</f>
        <v/>
      </c>
    </row>
    <row r="638" customFormat="false" ht="15" hidden="false" customHeight="false" outlineLevel="0" collapsed="false">
      <c r="A638" s="11"/>
      <c r="B638" s="11"/>
      <c r="C638" s="14" t="str">
        <f aca="false">IF($B638="","",IFERROR(TRIM(LEFT($B638,FIND(" - ",$B638)-1)),"Others"))</f>
        <v/>
      </c>
      <c r="D638" s="11"/>
      <c r="E638" s="11"/>
      <c r="F638" s="12"/>
      <c r="G638" s="21"/>
      <c r="H638" s="21"/>
      <c r="I638" s="21"/>
      <c r="J638" s="21"/>
      <c r="K638" s="21"/>
      <c r="L638" s="21"/>
      <c r="M638" s="21"/>
      <c r="N638" s="22"/>
      <c r="O638" s="22"/>
      <c r="P638" s="17" t="str">
        <f aca="false">IF($A638="","",SUM($G638:$I638))</f>
        <v/>
      </c>
      <c r="Q638" s="17" t="str">
        <f aca="false">IF($A638="","",SUM($J638:$L638))</f>
        <v/>
      </c>
      <c r="R638" s="17" t="str">
        <f aca="false">IF($A638="","",($M638+$Q638)-$P638)</f>
        <v/>
      </c>
      <c r="S638" s="18" t="str">
        <f aca="false">IF(OR($A638="",$P638=0),"",$R638/$P638)</f>
        <v/>
      </c>
      <c r="T638" s="23"/>
      <c r="U638" s="14" t="str">
        <f aca="false">IF($A638="","",IF($M638&gt;0,"Live","Exited"))</f>
        <v/>
      </c>
      <c r="V638" s="20" t="str">
        <f aca="false">IF($A638="","",IF($A638='Client Report'!$C$4,COUNTIFS($A$6:$A638,'Client Report'!$C$4),""))</f>
        <v/>
      </c>
    </row>
    <row r="639" customFormat="false" ht="15" hidden="false" customHeight="false" outlineLevel="0" collapsed="false">
      <c r="A639" s="11"/>
      <c r="B639" s="11"/>
      <c r="C639" s="14" t="str">
        <f aca="false">IF($B639="","",IFERROR(TRIM(LEFT($B639,FIND(" - ",$B639)-1)),"Others"))</f>
        <v/>
      </c>
      <c r="D639" s="11"/>
      <c r="E639" s="11"/>
      <c r="F639" s="12"/>
      <c r="G639" s="21"/>
      <c r="H639" s="21"/>
      <c r="I639" s="21"/>
      <c r="J639" s="21"/>
      <c r="K639" s="21"/>
      <c r="L639" s="21"/>
      <c r="M639" s="21"/>
      <c r="N639" s="22"/>
      <c r="O639" s="22"/>
      <c r="P639" s="17" t="str">
        <f aca="false">IF($A639="","",SUM($G639:$I639))</f>
        <v/>
      </c>
      <c r="Q639" s="17" t="str">
        <f aca="false">IF($A639="","",SUM($J639:$L639))</f>
        <v/>
      </c>
      <c r="R639" s="17" t="str">
        <f aca="false">IF($A639="","",($M639+$Q639)-$P639)</f>
        <v/>
      </c>
      <c r="S639" s="18" t="str">
        <f aca="false">IF(OR($A639="",$P639=0),"",$R639/$P639)</f>
        <v/>
      </c>
      <c r="T639" s="23"/>
      <c r="U639" s="14" t="str">
        <f aca="false">IF($A639="","",IF($M639&gt;0,"Live","Exited"))</f>
        <v/>
      </c>
      <c r="V639" s="20" t="str">
        <f aca="false">IF($A639="","",IF($A639='Client Report'!$C$4,COUNTIFS($A$6:$A639,'Client Report'!$C$4),""))</f>
        <v/>
      </c>
    </row>
    <row r="640" customFormat="false" ht="15" hidden="false" customHeight="false" outlineLevel="0" collapsed="false">
      <c r="A640" s="11"/>
      <c r="B640" s="11"/>
      <c r="C640" s="14" t="str">
        <f aca="false">IF($B640="","",IFERROR(TRIM(LEFT($B640,FIND(" - ",$B640)-1)),"Others"))</f>
        <v/>
      </c>
      <c r="D640" s="11"/>
      <c r="E640" s="11"/>
      <c r="F640" s="12"/>
      <c r="G640" s="21"/>
      <c r="H640" s="21"/>
      <c r="I640" s="21"/>
      <c r="J640" s="21"/>
      <c r="K640" s="21"/>
      <c r="L640" s="21"/>
      <c r="M640" s="21"/>
      <c r="N640" s="22"/>
      <c r="O640" s="22"/>
      <c r="P640" s="17" t="str">
        <f aca="false">IF($A640="","",SUM($G640:$I640))</f>
        <v/>
      </c>
      <c r="Q640" s="17" t="str">
        <f aca="false">IF($A640="","",SUM($J640:$L640))</f>
        <v/>
      </c>
      <c r="R640" s="17" t="str">
        <f aca="false">IF($A640="","",($M640+$Q640)-$P640)</f>
        <v/>
      </c>
      <c r="S640" s="18" t="str">
        <f aca="false">IF(OR($A640="",$P640=0),"",$R640/$P640)</f>
        <v/>
      </c>
      <c r="T640" s="23"/>
      <c r="U640" s="14" t="str">
        <f aca="false">IF($A640="","",IF($M640&gt;0,"Live","Exited"))</f>
        <v/>
      </c>
      <c r="V640" s="20" t="str">
        <f aca="false">IF($A640="","",IF($A640='Client Report'!$C$4,COUNTIFS($A$6:$A640,'Client Report'!$C$4),""))</f>
        <v/>
      </c>
    </row>
    <row r="641" customFormat="false" ht="15" hidden="false" customHeight="false" outlineLevel="0" collapsed="false">
      <c r="A641" s="11"/>
      <c r="B641" s="11"/>
      <c r="C641" s="14" t="str">
        <f aca="false">IF($B641="","",IFERROR(TRIM(LEFT($B641,FIND(" - ",$B641)-1)),"Others"))</f>
        <v/>
      </c>
      <c r="D641" s="11"/>
      <c r="E641" s="11"/>
      <c r="F641" s="12"/>
      <c r="G641" s="21"/>
      <c r="H641" s="21"/>
      <c r="I641" s="21"/>
      <c r="J641" s="21"/>
      <c r="K641" s="21"/>
      <c r="L641" s="21"/>
      <c r="M641" s="21"/>
      <c r="N641" s="22"/>
      <c r="O641" s="22"/>
      <c r="P641" s="17" t="str">
        <f aca="false">IF($A641="","",SUM($G641:$I641))</f>
        <v/>
      </c>
      <c r="Q641" s="17" t="str">
        <f aca="false">IF($A641="","",SUM($J641:$L641))</f>
        <v/>
      </c>
      <c r="R641" s="17" t="str">
        <f aca="false">IF($A641="","",($M641+$Q641)-$P641)</f>
        <v/>
      </c>
      <c r="S641" s="18" t="str">
        <f aca="false">IF(OR($A641="",$P641=0),"",$R641/$P641)</f>
        <v/>
      </c>
      <c r="T641" s="23"/>
      <c r="U641" s="14" t="str">
        <f aca="false">IF($A641="","",IF($M641&gt;0,"Live","Exited"))</f>
        <v/>
      </c>
      <c r="V641" s="20" t="str">
        <f aca="false">IF($A641="","",IF($A641='Client Report'!$C$4,COUNTIFS($A$6:$A641,'Client Report'!$C$4),""))</f>
        <v/>
      </c>
    </row>
    <row r="642" customFormat="false" ht="15" hidden="false" customHeight="false" outlineLevel="0" collapsed="false">
      <c r="A642" s="11"/>
      <c r="B642" s="11"/>
      <c r="C642" s="14" t="str">
        <f aca="false">IF($B642="","",IFERROR(TRIM(LEFT($B642,FIND(" - ",$B642)-1)),"Others"))</f>
        <v/>
      </c>
      <c r="D642" s="11"/>
      <c r="E642" s="11"/>
      <c r="F642" s="12"/>
      <c r="G642" s="21"/>
      <c r="H642" s="21"/>
      <c r="I642" s="21"/>
      <c r="J642" s="21"/>
      <c r="K642" s="21"/>
      <c r="L642" s="21"/>
      <c r="M642" s="21"/>
      <c r="N642" s="22"/>
      <c r="O642" s="22"/>
      <c r="P642" s="17" t="str">
        <f aca="false">IF($A642="","",SUM($G642:$I642))</f>
        <v/>
      </c>
      <c r="Q642" s="17" t="str">
        <f aca="false">IF($A642="","",SUM($J642:$L642))</f>
        <v/>
      </c>
      <c r="R642" s="17" t="str">
        <f aca="false">IF($A642="","",($M642+$Q642)-$P642)</f>
        <v/>
      </c>
      <c r="S642" s="18" t="str">
        <f aca="false">IF(OR($A642="",$P642=0),"",$R642/$P642)</f>
        <v/>
      </c>
      <c r="T642" s="23"/>
      <c r="U642" s="14" t="str">
        <f aca="false">IF($A642="","",IF($M642&gt;0,"Live","Exited"))</f>
        <v/>
      </c>
      <c r="V642" s="20" t="str">
        <f aca="false">IF($A642="","",IF($A642='Client Report'!$C$4,COUNTIFS($A$6:$A642,'Client Report'!$C$4),""))</f>
        <v/>
      </c>
    </row>
    <row r="643" customFormat="false" ht="15" hidden="false" customHeight="false" outlineLevel="0" collapsed="false">
      <c r="A643" s="11"/>
      <c r="B643" s="11"/>
      <c r="C643" s="14" t="str">
        <f aca="false">IF($B643="","",IFERROR(TRIM(LEFT($B643,FIND(" - ",$B643)-1)),"Others"))</f>
        <v/>
      </c>
      <c r="D643" s="11"/>
      <c r="E643" s="11"/>
      <c r="F643" s="12"/>
      <c r="G643" s="21"/>
      <c r="H643" s="21"/>
      <c r="I643" s="21"/>
      <c r="J643" s="21"/>
      <c r="K643" s="21"/>
      <c r="L643" s="21"/>
      <c r="M643" s="21"/>
      <c r="N643" s="22"/>
      <c r="O643" s="22"/>
      <c r="P643" s="17" t="str">
        <f aca="false">IF($A643="","",SUM($G643:$I643))</f>
        <v/>
      </c>
      <c r="Q643" s="17" t="str">
        <f aca="false">IF($A643="","",SUM($J643:$L643))</f>
        <v/>
      </c>
      <c r="R643" s="17" t="str">
        <f aca="false">IF($A643="","",($M643+$Q643)-$P643)</f>
        <v/>
      </c>
      <c r="S643" s="18" t="str">
        <f aca="false">IF(OR($A643="",$P643=0),"",$R643/$P643)</f>
        <v/>
      </c>
      <c r="T643" s="23"/>
      <c r="U643" s="14" t="str">
        <f aca="false">IF($A643="","",IF($M643&gt;0,"Live","Exited"))</f>
        <v/>
      </c>
      <c r="V643" s="20" t="str">
        <f aca="false">IF($A643="","",IF($A643='Client Report'!$C$4,COUNTIFS($A$6:$A643,'Client Report'!$C$4),""))</f>
        <v/>
      </c>
    </row>
    <row r="644" customFormat="false" ht="15" hidden="false" customHeight="false" outlineLevel="0" collapsed="false">
      <c r="A644" s="11"/>
      <c r="B644" s="11"/>
      <c r="C644" s="14" t="str">
        <f aca="false">IF($B644="","",IFERROR(TRIM(LEFT($B644,FIND(" - ",$B644)-1)),"Others"))</f>
        <v/>
      </c>
      <c r="D644" s="11"/>
      <c r="E644" s="11"/>
      <c r="F644" s="12"/>
      <c r="G644" s="21"/>
      <c r="H644" s="21"/>
      <c r="I644" s="21"/>
      <c r="J644" s="21"/>
      <c r="K644" s="21"/>
      <c r="L644" s="21"/>
      <c r="M644" s="21"/>
      <c r="N644" s="22"/>
      <c r="O644" s="22"/>
      <c r="P644" s="17" t="str">
        <f aca="false">IF($A644="","",SUM($G644:$I644))</f>
        <v/>
      </c>
      <c r="Q644" s="17" t="str">
        <f aca="false">IF($A644="","",SUM($J644:$L644))</f>
        <v/>
      </c>
      <c r="R644" s="17" t="str">
        <f aca="false">IF($A644="","",($M644+$Q644)-$P644)</f>
        <v/>
      </c>
      <c r="S644" s="18" t="str">
        <f aca="false">IF(OR($A644="",$P644=0),"",$R644/$P644)</f>
        <v/>
      </c>
      <c r="T644" s="23"/>
      <c r="U644" s="14" t="str">
        <f aca="false">IF($A644="","",IF($M644&gt;0,"Live","Exited"))</f>
        <v/>
      </c>
      <c r="V644" s="20" t="str">
        <f aca="false">IF($A644="","",IF($A644='Client Report'!$C$4,COUNTIFS($A$6:$A644,'Client Report'!$C$4),""))</f>
        <v/>
      </c>
    </row>
    <row r="645" customFormat="false" ht="15" hidden="false" customHeight="false" outlineLevel="0" collapsed="false">
      <c r="A645" s="11"/>
      <c r="B645" s="11"/>
      <c r="C645" s="14" t="str">
        <f aca="false">IF($B645="","",IFERROR(TRIM(LEFT($B645,FIND(" - ",$B645)-1)),"Others"))</f>
        <v/>
      </c>
      <c r="D645" s="11"/>
      <c r="E645" s="11"/>
      <c r="F645" s="12"/>
      <c r="G645" s="21"/>
      <c r="H645" s="21"/>
      <c r="I645" s="21"/>
      <c r="J645" s="21"/>
      <c r="K645" s="21"/>
      <c r="L645" s="21"/>
      <c r="M645" s="21"/>
      <c r="N645" s="22"/>
      <c r="O645" s="22"/>
      <c r="P645" s="17" t="str">
        <f aca="false">IF($A645="","",SUM($G645:$I645))</f>
        <v/>
      </c>
      <c r="Q645" s="17" t="str">
        <f aca="false">IF($A645="","",SUM($J645:$L645))</f>
        <v/>
      </c>
      <c r="R645" s="17" t="str">
        <f aca="false">IF($A645="","",($M645+$Q645)-$P645)</f>
        <v/>
      </c>
      <c r="S645" s="18" t="str">
        <f aca="false">IF(OR($A645="",$P645=0),"",$R645/$P645)</f>
        <v/>
      </c>
      <c r="T645" s="23"/>
      <c r="U645" s="14" t="str">
        <f aca="false">IF($A645="","",IF($M645&gt;0,"Live","Exited"))</f>
        <v/>
      </c>
      <c r="V645" s="20" t="str">
        <f aca="false">IF($A645="","",IF($A645='Client Report'!$C$4,COUNTIFS($A$6:$A645,'Client Report'!$C$4),""))</f>
        <v/>
      </c>
    </row>
    <row r="646" customFormat="false" ht="15" hidden="false" customHeight="false" outlineLevel="0" collapsed="false">
      <c r="A646" s="11"/>
      <c r="B646" s="11"/>
      <c r="C646" s="14" t="str">
        <f aca="false">IF($B646="","",IFERROR(TRIM(LEFT($B646,FIND(" - ",$B646)-1)),"Others"))</f>
        <v/>
      </c>
      <c r="D646" s="11"/>
      <c r="E646" s="11"/>
      <c r="F646" s="12"/>
      <c r="G646" s="21"/>
      <c r="H646" s="21"/>
      <c r="I646" s="21"/>
      <c r="J646" s="21"/>
      <c r="K646" s="21"/>
      <c r="L646" s="21"/>
      <c r="M646" s="21"/>
      <c r="N646" s="22"/>
      <c r="O646" s="22"/>
      <c r="P646" s="17" t="str">
        <f aca="false">IF($A646="","",SUM($G646:$I646))</f>
        <v/>
      </c>
      <c r="Q646" s="17" t="str">
        <f aca="false">IF($A646="","",SUM($J646:$L646))</f>
        <v/>
      </c>
      <c r="R646" s="17" t="str">
        <f aca="false">IF($A646="","",($M646+$Q646)-$P646)</f>
        <v/>
      </c>
      <c r="S646" s="18" t="str">
        <f aca="false">IF(OR($A646="",$P646=0),"",$R646/$P646)</f>
        <v/>
      </c>
      <c r="T646" s="23"/>
      <c r="U646" s="14" t="str">
        <f aca="false">IF($A646="","",IF($M646&gt;0,"Live","Exited"))</f>
        <v/>
      </c>
      <c r="V646" s="20" t="str">
        <f aca="false">IF($A646="","",IF($A646='Client Report'!$C$4,COUNTIFS($A$6:$A646,'Client Report'!$C$4),""))</f>
        <v/>
      </c>
    </row>
    <row r="647" customFormat="false" ht="15" hidden="false" customHeight="false" outlineLevel="0" collapsed="false">
      <c r="A647" s="11"/>
      <c r="B647" s="11"/>
      <c r="C647" s="14" t="str">
        <f aca="false">IF($B647="","",IFERROR(TRIM(LEFT($B647,FIND(" - ",$B647)-1)),"Others"))</f>
        <v/>
      </c>
      <c r="D647" s="11"/>
      <c r="E647" s="11"/>
      <c r="F647" s="12"/>
      <c r="G647" s="21"/>
      <c r="H647" s="21"/>
      <c r="I647" s="21"/>
      <c r="J647" s="21"/>
      <c r="K647" s="21"/>
      <c r="L647" s="21"/>
      <c r="M647" s="21"/>
      <c r="N647" s="22"/>
      <c r="O647" s="22"/>
      <c r="P647" s="17" t="str">
        <f aca="false">IF($A647="","",SUM($G647:$I647))</f>
        <v/>
      </c>
      <c r="Q647" s="17" t="str">
        <f aca="false">IF($A647="","",SUM($J647:$L647))</f>
        <v/>
      </c>
      <c r="R647" s="17" t="str">
        <f aca="false">IF($A647="","",($M647+$Q647)-$P647)</f>
        <v/>
      </c>
      <c r="S647" s="18" t="str">
        <f aca="false">IF(OR($A647="",$P647=0),"",$R647/$P647)</f>
        <v/>
      </c>
      <c r="T647" s="23"/>
      <c r="U647" s="14" t="str">
        <f aca="false">IF($A647="","",IF($M647&gt;0,"Live","Exited"))</f>
        <v/>
      </c>
      <c r="V647" s="20" t="str">
        <f aca="false">IF($A647="","",IF($A647='Client Report'!$C$4,COUNTIFS($A$6:$A647,'Client Report'!$C$4),""))</f>
        <v/>
      </c>
    </row>
    <row r="648" customFormat="false" ht="15" hidden="false" customHeight="false" outlineLevel="0" collapsed="false">
      <c r="A648" s="11"/>
      <c r="B648" s="11"/>
      <c r="C648" s="14" t="str">
        <f aca="false">IF($B648="","",IFERROR(TRIM(LEFT($B648,FIND(" - ",$B648)-1)),"Others"))</f>
        <v/>
      </c>
      <c r="D648" s="11"/>
      <c r="E648" s="11"/>
      <c r="F648" s="12"/>
      <c r="G648" s="21"/>
      <c r="H648" s="21"/>
      <c r="I648" s="21"/>
      <c r="J648" s="21"/>
      <c r="K648" s="21"/>
      <c r="L648" s="21"/>
      <c r="M648" s="21"/>
      <c r="N648" s="22"/>
      <c r="O648" s="22"/>
      <c r="P648" s="17" t="str">
        <f aca="false">IF($A648="","",SUM($G648:$I648))</f>
        <v/>
      </c>
      <c r="Q648" s="17" t="str">
        <f aca="false">IF($A648="","",SUM($J648:$L648))</f>
        <v/>
      </c>
      <c r="R648" s="17" t="str">
        <f aca="false">IF($A648="","",($M648+$Q648)-$P648)</f>
        <v/>
      </c>
      <c r="S648" s="18" t="str">
        <f aca="false">IF(OR($A648="",$P648=0),"",$R648/$P648)</f>
        <v/>
      </c>
      <c r="T648" s="23"/>
      <c r="U648" s="14" t="str">
        <f aca="false">IF($A648="","",IF($M648&gt;0,"Live","Exited"))</f>
        <v/>
      </c>
      <c r="V648" s="20" t="str">
        <f aca="false">IF($A648="","",IF($A648='Client Report'!$C$4,COUNTIFS($A$6:$A648,'Client Report'!$C$4),""))</f>
        <v/>
      </c>
    </row>
    <row r="649" customFormat="false" ht="15" hidden="false" customHeight="false" outlineLevel="0" collapsed="false">
      <c r="A649" s="11"/>
      <c r="B649" s="11"/>
      <c r="C649" s="14" t="str">
        <f aca="false">IF($B649="","",IFERROR(TRIM(LEFT($B649,FIND(" - ",$B649)-1)),"Others"))</f>
        <v/>
      </c>
      <c r="D649" s="11"/>
      <c r="E649" s="11"/>
      <c r="F649" s="12"/>
      <c r="G649" s="21"/>
      <c r="H649" s="21"/>
      <c r="I649" s="21"/>
      <c r="J649" s="21"/>
      <c r="K649" s="21"/>
      <c r="L649" s="21"/>
      <c r="M649" s="21"/>
      <c r="N649" s="22"/>
      <c r="O649" s="22"/>
      <c r="P649" s="17" t="str">
        <f aca="false">IF($A649="","",SUM($G649:$I649))</f>
        <v/>
      </c>
      <c r="Q649" s="17" t="str">
        <f aca="false">IF($A649="","",SUM($J649:$L649))</f>
        <v/>
      </c>
      <c r="R649" s="17" t="str">
        <f aca="false">IF($A649="","",($M649+$Q649)-$P649)</f>
        <v/>
      </c>
      <c r="S649" s="18" t="str">
        <f aca="false">IF(OR($A649="",$P649=0),"",$R649/$P649)</f>
        <v/>
      </c>
      <c r="T649" s="23"/>
      <c r="U649" s="14" t="str">
        <f aca="false">IF($A649="","",IF($M649&gt;0,"Live","Exited"))</f>
        <v/>
      </c>
      <c r="V649" s="20" t="str">
        <f aca="false">IF($A649="","",IF($A649='Client Report'!$C$4,COUNTIFS($A$6:$A649,'Client Report'!$C$4),""))</f>
        <v/>
      </c>
    </row>
    <row r="650" customFormat="false" ht="15" hidden="false" customHeight="false" outlineLevel="0" collapsed="false">
      <c r="A650" s="11"/>
      <c r="B650" s="11"/>
      <c r="C650" s="14" t="str">
        <f aca="false">IF($B650="","",IFERROR(TRIM(LEFT($B650,FIND(" - ",$B650)-1)),"Others"))</f>
        <v/>
      </c>
      <c r="D650" s="11"/>
      <c r="E650" s="11"/>
      <c r="F650" s="12"/>
      <c r="G650" s="21"/>
      <c r="H650" s="21"/>
      <c r="I650" s="21"/>
      <c r="J650" s="21"/>
      <c r="K650" s="21"/>
      <c r="L650" s="21"/>
      <c r="M650" s="21"/>
      <c r="N650" s="22"/>
      <c r="O650" s="22"/>
      <c r="P650" s="17" t="str">
        <f aca="false">IF($A650="","",SUM($G650:$I650))</f>
        <v/>
      </c>
      <c r="Q650" s="17" t="str">
        <f aca="false">IF($A650="","",SUM($J650:$L650))</f>
        <v/>
      </c>
      <c r="R650" s="17" t="str">
        <f aca="false">IF($A650="","",($M650+$Q650)-$P650)</f>
        <v/>
      </c>
      <c r="S650" s="18" t="str">
        <f aca="false">IF(OR($A650="",$P650=0),"",$R650/$P650)</f>
        <v/>
      </c>
      <c r="T650" s="23"/>
      <c r="U650" s="14" t="str">
        <f aca="false">IF($A650="","",IF($M650&gt;0,"Live","Exited"))</f>
        <v/>
      </c>
      <c r="V650" s="20" t="str">
        <f aca="false">IF($A650="","",IF($A650='Client Report'!$C$4,COUNTIFS($A$6:$A650,'Client Report'!$C$4),""))</f>
        <v/>
      </c>
    </row>
    <row r="651" customFormat="false" ht="15" hidden="false" customHeight="false" outlineLevel="0" collapsed="false">
      <c r="A651" s="11"/>
      <c r="B651" s="11"/>
      <c r="C651" s="14" t="str">
        <f aca="false">IF($B651="","",IFERROR(TRIM(LEFT($B651,FIND(" - ",$B651)-1)),"Others"))</f>
        <v/>
      </c>
      <c r="D651" s="11"/>
      <c r="E651" s="11"/>
      <c r="F651" s="12"/>
      <c r="G651" s="21"/>
      <c r="H651" s="21"/>
      <c r="I651" s="21"/>
      <c r="J651" s="21"/>
      <c r="K651" s="21"/>
      <c r="L651" s="21"/>
      <c r="M651" s="21"/>
      <c r="N651" s="22"/>
      <c r="O651" s="22"/>
      <c r="P651" s="17" t="str">
        <f aca="false">IF($A651="","",SUM($G651:$I651))</f>
        <v/>
      </c>
      <c r="Q651" s="17" t="str">
        <f aca="false">IF($A651="","",SUM($J651:$L651))</f>
        <v/>
      </c>
      <c r="R651" s="17" t="str">
        <f aca="false">IF($A651="","",($M651+$Q651)-$P651)</f>
        <v/>
      </c>
      <c r="S651" s="18" t="str">
        <f aca="false">IF(OR($A651="",$P651=0),"",$R651/$P651)</f>
        <v/>
      </c>
      <c r="T651" s="23"/>
      <c r="U651" s="14" t="str">
        <f aca="false">IF($A651="","",IF($M651&gt;0,"Live","Exited"))</f>
        <v/>
      </c>
      <c r="V651" s="20" t="str">
        <f aca="false">IF($A651="","",IF($A651='Client Report'!$C$4,COUNTIFS($A$6:$A651,'Client Report'!$C$4),""))</f>
        <v/>
      </c>
    </row>
    <row r="652" customFormat="false" ht="15" hidden="false" customHeight="false" outlineLevel="0" collapsed="false">
      <c r="A652" s="11"/>
      <c r="B652" s="11"/>
      <c r="C652" s="14" t="str">
        <f aca="false">IF($B652="","",IFERROR(TRIM(LEFT($B652,FIND(" - ",$B652)-1)),"Others"))</f>
        <v/>
      </c>
      <c r="D652" s="11"/>
      <c r="E652" s="11"/>
      <c r="F652" s="12"/>
      <c r="G652" s="21"/>
      <c r="H652" s="21"/>
      <c r="I652" s="21"/>
      <c r="J652" s="21"/>
      <c r="K652" s="21"/>
      <c r="L652" s="21"/>
      <c r="M652" s="21"/>
      <c r="N652" s="22"/>
      <c r="O652" s="22"/>
      <c r="P652" s="17" t="str">
        <f aca="false">IF($A652="","",SUM($G652:$I652))</f>
        <v/>
      </c>
      <c r="Q652" s="17" t="str">
        <f aca="false">IF($A652="","",SUM($J652:$L652))</f>
        <v/>
      </c>
      <c r="R652" s="17" t="str">
        <f aca="false">IF($A652="","",($M652+$Q652)-$P652)</f>
        <v/>
      </c>
      <c r="S652" s="18" t="str">
        <f aca="false">IF(OR($A652="",$P652=0),"",$R652/$P652)</f>
        <v/>
      </c>
      <c r="T652" s="23"/>
      <c r="U652" s="14" t="str">
        <f aca="false">IF($A652="","",IF($M652&gt;0,"Live","Exited"))</f>
        <v/>
      </c>
      <c r="V652" s="20" t="str">
        <f aca="false">IF($A652="","",IF($A652='Client Report'!$C$4,COUNTIFS($A$6:$A652,'Client Report'!$C$4),""))</f>
        <v/>
      </c>
    </row>
    <row r="653" customFormat="false" ht="15" hidden="false" customHeight="false" outlineLevel="0" collapsed="false">
      <c r="A653" s="11"/>
      <c r="B653" s="11"/>
      <c r="C653" s="14" t="str">
        <f aca="false">IF($B653="","",IFERROR(TRIM(LEFT($B653,FIND(" - ",$B653)-1)),"Others"))</f>
        <v/>
      </c>
      <c r="D653" s="11"/>
      <c r="E653" s="11"/>
      <c r="F653" s="12"/>
      <c r="G653" s="21"/>
      <c r="H653" s="21"/>
      <c r="I653" s="21"/>
      <c r="J653" s="21"/>
      <c r="K653" s="21"/>
      <c r="L653" s="21"/>
      <c r="M653" s="21"/>
      <c r="N653" s="22"/>
      <c r="O653" s="22"/>
      <c r="P653" s="17" t="str">
        <f aca="false">IF($A653="","",SUM($G653:$I653))</f>
        <v/>
      </c>
      <c r="Q653" s="17" t="str">
        <f aca="false">IF($A653="","",SUM($J653:$L653))</f>
        <v/>
      </c>
      <c r="R653" s="17" t="str">
        <f aca="false">IF($A653="","",($M653+$Q653)-$P653)</f>
        <v/>
      </c>
      <c r="S653" s="18" t="str">
        <f aca="false">IF(OR($A653="",$P653=0),"",$R653/$P653)</f>
        <v/>
      </c>
      <c r="T653" s="23"/>
      <c r="U653" s="14" t="str">
        <f aca="false">IF($A653="","",IF($M653&gt;0,"Live","Exited"))</f>
        <v/>
      </c>
      <c r="V653" s="20" t="str">
        <f aca="false">IF($A653="","",IF($A653='Client Report'!$C$4,COUNTIFS($A$6:$A653,'Client Report'!$C$4),""))</f>
        <v/>
      </c>
    </row>
    <row r="654" customFormat="false" ht="15" hidden="false" customHeight="false" outlineLevel="0" collapsed="false">
      <c r="A654" s="11"/>
      <c r="B654" s="11"/>
      <c r="C654" s="14" t="str">
        <f aca="false">IF($B654="","",IFERROR(TRIM(LEFT($B654,FIND(" - ",$B654)-1)),"Others"))</f>
        <v/>
      </c>
      <c r="D654" s="11"/>
      <c r="E654" s="11"/>
      <c r="F654" s="12"/>
      <c r="G654" s="21"/>
      <c r="H654" s="21"/>
      <c r="I654" s="21"/>
      <c r="J654" s="21"/>
      <c r="K654" s="21"/>
      <c r="L654" s="21"/>
      <c r="M654" s="21"/>
      <c r="N654" s="22"/>
      <c r="O654" s="22"/>
      <c r="P654" s="17" t="str">
        <f aca="false">IF($A654="","",SUM($G654:$I654))</f>
        <v/>
      </c>
      <c r="Q654" s="17" t="str">
        <f aca="false">IF($A654="","",SUM($J654:$L654))</f>
        <v/>
      </c>
      <c r="R654" s="17" t="str">
        <f aca="false">IF($A654="","",($M654+$Q654)-$P654)</f>
        <v/>
      </c>
      <c r="S654" s="18" t="str">
        <f aca="false">IF(OR($A654="",$P654=0),"",$R654/$P654)</f>
        <v/>
      </c>
      <c r="T654" s="23"/>
      <c r="U654" s="14" t="str">
        <f aca="false">IF($A654="","",IF($M654&gt;0,"Live","Exited"))</f>
        <v/>
      </c>
      <c r="V654" s="20" t="str">
        <f aca="false">IF($A654="","",IF($A654='Client Report'!$C$4,COUNTIFS($A$6:$A654,'Client Report'!$C$4),""))</f>
        <v/>
      </c>
    </row>
    <row r="655" customFormat="false" ht="15" hidden="false" customHeight="false" outlineLevel="0" collapsed="false">
      <c r="A655" s="11"/>
      <c r="B655" s="11"/>
      <c r="C655" s="14" t="str">
        <f aca="false">IF($B655="","",IFERROR(TRIM(LEFT($B655,FIND(" - ",$B655)-1)),"Others"))</f>
        <v/>
      </c>
      <c r="D655" s="11"/>
      <c r="E655" s="11"/>
      <c r="F655" s="12"/>
      <c r="G655" s="21"/>
      <c r="H655" s="21"/>
      <c r="I655" s="21"/>
      <c r="J655" s="21"/>
      <c r="K655" s="21"/>
      <c r="L655" s="21"/>
      <c r="M655" s="21"/>
      <c r="N655" s="22"/>
      <c r="O655" s="22"/>
      <c r="P655" s="17" t="str">
        <f aca="false">IF($A655="","",SUM($G655:$I655))</f>
        <v/>
      </c>
      <c r="Q655" s="17" t="str">
        <f aca="false">IF($A655="","",SUM($J655:$L655))</f>
        <v/>
      </c>
      <c r="R655" s="17" t="str">
        <f aca="false">IF($A655="","",($M655+$Q655)-$P655)</f>
        <v/>
      </c>
      <c r="S655" s="18" t="str">
        <f aca="false">IF(OR($A655="",$P655=0),"",$R655/$P655)</f>
        <v/>
      </c>
      <c r="T655" s="23"/>
      <c r="U655" s="14" t="str">
        <f aca="false">IF($A655="","",IF($M655&gt;0,"Live","Exited"))</f>
        <v/>
      </c>
      <c r="V655" s="20" t="str">
        <f aca="false">IF($A655="","",IF($A655='Client Report'!$C$4,COUNTIFS($A$6:$A655,'Client Report'!$C$4),""))</f>
        <v/>
      </c>
    </row>
    <row r="656" customFormat="false" ht="15" hidden="false" customHeight="false" outlineLevel="0" collapsed="false">
      <c r="A656" s="11"/>
      <c r="B656" s="11"/>
      <c r="C656" s="14" t="str">
        <f aca="false">IF($B656="","",IFERROR(TRIM(LEFT($B656,FIND(" - ",$B656)-1)),"Others"))</f>
        <v/>
      </c>
      <c r="D656" s="11"/>
      <c r="E656" s="11"/>
      <c r="F656" s="12"/>
      <c r="G656" s="21"/>
      <c r="H656" s="21"/>
      <c r="I656" s="21"/>
      <c r="J656" s="21"/>
      <c r="K656" s="21"/>
      <c r="L656" s="21"/>
      <c r="M656" s="21"/>
      <c r="N656" s="22"/>
      <c r="O656" s="22"/>
      <c r="P656" s="17" t="str">
        <f aca="false">IF($A656="","",SUM($G656:$I656))</f>
        <v/>
      </c>
      <c r="Q656" s="17" t="str">
        <f aca="false">IF($A656="","",SUM($J656:$L656))</f>
        <v/>
      </c>
      <c r="R656" s="17" t="str">
        <f aca="false">IF($A656="","",($M656+$Q656)-$P656)</f>
        <v/>
      </c>
      <c r="S656" s="18" t="str">
        <f aca="false">IF(OR($A656="",$P656=0),"",$R656/$P656)</f>
        <v/>
      </c>
      <c r="T656" s="23"/>
      <c r="U656" s="14" t="str">
        <f aca="false">IF($A656="","",IF($M656&gt;0,"Live","Exited"))</f>
        <v/>
      </c>
      <c r="V656" s="20" t="str">
        <f aca="false">IF($A656="","",IF($A656='Client Report'!$C$4,COUNTIFS($A$6:$A656,'Client Report'!$C$4),""))</f>
        <v/>
      </c>
    </row>
    <row r="657" customFormat="false" ht="15" hidden="false" customHeight="false" outlineLevel="0" collapsed="false">
      <c r="A657" s="11"/>
      <c r="B657" s="11"/>
      <c r="C657" s="14" t="str">
        <f aca="false">IF($B657="","",IFERROR(TRIM(LEFT($B657,FIND(" - ",$B657)-1)),"Others"))</f>
        <v/>
      </c>
      <c r="D657" s="11"/>
      <c r="E657" s="11"/>
      <c r="F657" s="12"/>
      <c r="G657" s="21"/>
      <c r="H657" s="21"/>
      <c r="I657" s="21"/>
      <c r="J657" s="21"/>
      <c r="K657" s="21"/>
      <c r="L657" s="21"/>
      <c r="M657" s="21"/>
      <c r="N657" s="22"/>
      <c r="O657" s="22"/>
      <c r="P657" s="17" t="str">
        <f aca="false">IF($A657="","",SUM($G657:$I657))</f>
        <v/>
      </c>
      <c r="Q657" s="17" t="str">
        <f aca="false">IF($A657="","",SUM($J657:$L657))</f>
        <v/>
      </c>
      <c r="R657" s="17" t="str">
        <f aca="false">IF($A657="","",($M657+$Q657)-$P657)</f>
        <v/>
      </c>
      <c r="S657" s="18" t="str">
        <f aca="false">IF(OR($A657="",$P657=0),"",$R657/$P657)</f>
        <v/>
      </c>
      <c r="T657" s="23"/>
      <c r="U657" s="14" t="str">
        <f aca="false">IF($A657="","",IF($M657&gt;0,"Live","Exited"))</f>
        <v/>
      </c>
      <c r="V657" s="20" t="str">
        <f aca="false">IF($A657="","",IF($A657='Client Report'!$C$4,COUNTIFS($A$6:$A657,'Client Report'!$C$4),""))</f>
        <v/>
      </c>
    </row>
    <row r="658" customFormat="false" ht="15" hidden="false" customHeight="false" outlineLevel="0" collapsed="false">
      <c r="A658" s="11"/>
      <c r="B658" s="11"/>
      <c r="C658" s="14" t="str">
        <f aca="false">IF($B658="","",IFERROR(TRIM(LEFT($B658,FIND(" - ",$B658)-1)),"Others"))</f>
        <v/>
      </c>
      <c r="D658" s="11"/>
      <c r="E658" s="11"/>
      <c r="F658" s="12"/>
      <c r="G658" s="21"/>
      <c r="H658" s="21"/>
      <c r="I658" s="21"/>
      <c r="J658" s="21"/>
      <c r="K658" s="21"/>
      <c r="L658" s="21"/>
      <c r="M658" s="21"/>
      <c r="N658" s="22"/>
      <c r="O658" s="22"/>
      <c r="P658" s="17" t="str">
        <f aca="false">IF($A658="","",SUM($G658:$I658))</f>
        <v/>
      </c>
      <c r="Q658" s="17" t="str">
        <f aca="false">IF($A658="","",SUM($J658:$L658))</f>
        <v/>
      </c>
      <c r="R658" s="17" t="str">
        <f aca="false">IF($A658="","",($M658+$Q658)-$P658)</f>
        <v/>
      </c>
      <c r="S658" s="18" t="str">
        <f aca="false">IF(OR($A658="",$P658=0),"",$R658/$P658)</f>
        <v/>
      </c>
      <c r="T658" s="23"/>
      <c r="U658" s="14" t="str">
        <f aca="false">IF($A658="","",IF($M658&gt;0,"Live","Exited"))</f>
        <v/>
      </c>
      <c r="V658" s="20" t="str">
        <f aca="false">IF($A658="","",IF($A658='Client Report'!$C$4,COUNTIFS($A$6:$A658,'Client Report'!$C$4),""))</f>
        <v/>
      </c>
    </row>
    <row r="659" customFormat="false" ht="15" hidden="false" customHeight="false" outlineLevel="0" collapsed="false">
      <c r="A659" s="11"/>
      <c r="B659" s="11"/>
      <c r="C659" s="14" t="str">
        <f aca="false">IF($B659="","",IFERROR(TRIM(LEFT($B659,FIND(" - ",$B659)-1)),"Others"))</f>
        <v/>
      </c>
      <c r="D659" s="11"/>
      <c r="E659" s="11"/>
      <c r="F659" s="12"/>
      <c r="G659" s="21"/>
      <c r="H659" s="21"/>
      <c r="I659" s="21"/>
      <c r="J659" s="21"/>
      <c r="K659" s="21"/>
      <c r="L659" s="21"/>
      <c r="M659" s="21"/>
      <c r="N659" s="22"/>
      <c r="O659" s="22"/>
      <c r="P659" s="17" t="str">
        <f aca="false">IF($A659="","",SUM($G659:$I659))</f>
        <v/>
      </c>
      <c r="Q659" s="17" t="str">
        <f aca="false">IF($A659="","",SUM($J659:$L659))</f>
        <v/>
      </c>
      <c r="R659" s="17" t="str">
        <f aca="false">IF($A659="","",($M659+$Q659)-$P659)</f>
        <v/>
      </c>
      <c r="S659" s="18" t="str">
        <f aca="false">IF(OR($A659="",$P659=0),"",$R659/$P659)</f>
        <v/>
      </c>
      <c r="T659" s="23"/>
      <c r="U659" s="14" t="str">
        <f aca="false">IF($A659="","",IF($M659&gt;0,"Live","Exited"))</f>
        <v/>
      </c>
      <c r="V659" s="20" t="str">
        <f aca="false">IF($A659="","",IF($A659='Client Report'!$C$4,COUNTIFS($A$6:$A659,'Client Report'!$C$4),""))</f>
        <v/>
      </c>
    </row>
    <row r="660" customFormat="false" ht="15" hidden="false" customHeight="false" outlineLevel="0" collapsed="false">
      <c r="A660" s="11"/>
      <c r="B660" s="11"/>
      <c r="C660" s="14" t="str">
        <f aca="false">IF($B660="","",IFERROR(TRIM(LEFT($B660,FIND(" - ",$B660)-1)),"Others"))</f>
        <v/>
      </c>
      <c r="D660" s="11"/>
      <c r="E660" s="11"/>
      <c r="F660" s="12"/>
      <c r="G660" s="21"/>
      <c r="H660" s="21"/>
      <c r="I660" s="21"/>
      <c r="J660" s="21"/>
      <c r="K660" s="21"/>
      <c r="L660" s="21"/>
      <c r="M660" s="21"/>
      <c r="N660" s="22"/>
      <c r="O660" s="22"/>
      <c r="P660" s="17" t="str">
        <f aca="false">IF($A660="","",SUM($G660:$I660))</f>
        <v/>
      </c>
      <c r="Q660" s="17" t="str">
        <f aca="false">IF($A660="","",SUM($J660:$L660))</f>
        <v/>
      </c>
      <c r="R660" s="17" t="str">
        <f aca="false">IF($A660="","",($M660+$Q660)-$P660)</f>
        <v/>
      </c>
      <c r="S660" s="18" t="str">
        <f aca="false">IF(OR($A660="",$P660=0),"",$R660/$P660)</f>
        <v/>
      </c>
      <c r="T660" s="23"/>
      <c r="U660" s="14" t="str">
        <f aca="false">IF($A660="","",IF($M660&gt;0,"Live","Exited"))</f>
        <v/>
      </c>
      <c r="V660" s="20" t="str">
        <f aca="false">IF($A660="","",IF($A660='Client Report'!$C$4,COUNTIFS($A$6:$A660,'Client Report'!$C$4),""))</f>
        <v/>
      </c>
    </row>
    <row r="661" customFormat="false" ht="15" hidden="false" customHeight="false" outlineLevel="0" collapsed="false">
      <c r="A661" s="11"/>
      <c r="B661" s="11"/>
      <c r="C661" s="14" t="str">
        <f aca="false">IF($B661="","",IFERROR(TRIM(LEFT($B661,FIND(" - ",$B661)-1)),"Others"))</f>
        <v/>
      </c>
      <c r="D661" s="11"/>
      <c r="E661" s="11"/>
      <c r="F661" s="12"/>
      <c r="G661" s="21"/>
      <c r="H661" s="21"/>
      <c r="I661" s="21"/>
      <c r="J661" s="21"/>
      <c r="K661" s="21"/>
      <c r="L661" s="21"/>
      <c r="M661" s="21"/>
      <c r="N661" s="22"/>
      <c r="O661" s="22"/>
      <c r="P661" s="17" t="str">
        <f aca="false">IF($A661="","",SUM($G661:$I661))</f>
        <v/>
      </c>
      <c r="Q661" s="17" t="str">
        <f aca="false">IF($A661="","",SUM($J661:$L661))</f>
        <v/>
      </c>
      <c r="R661" s="17" t="str">
        <f aca="false">IF($A661="","",($M661+$Q661)-$P661)</f>
        <v/>
      </c>
      <c r="S661" s="18" t="str">
        <f aca="false">IF(OR($A661="",$P661=0),"",$R661/$P661)</f>
        <v/>
      </c>
      <c r="T661" s="23"/>
      <c r="U661" s="14" t="str">
        <f aca="false">IF($A661="","",IF($M661&gt;0,"Live","Exited"))</f>
        <v/>
      </c>
      <c r="V661" s="20" t="str">
        <f aca="false">IF($A661="","",IF($A661='Client Report'!$C$4,COUNTIFS($A$6:$A661,'Client Report'!$C$4),""))</f>
        <v/>
      </c>
    </row>
    <row r="662" customFormat="false" ht="15" hidden="false" customHeight="false" outlineLevel="0" collapsed="false">
      <c r="A662" s="11"/>
      <c r="B662" s="11"/>
      <c r="C662" s="14" t="str">
        <f aca="false">IF($B662="","",IFERROR(TRIM(LEFT($B662,FIND(" - ",$B662)-1)),"Others"))</f>
        <v/>
      </c>
      <c r="D662" s="11"/>
      <c r="E662" s="11"/>
      <c r="F662" s="12"/>
      <c r="G662" s="21"/>
      <c r="H662" s="21"/>
      <c r="I662" s="21"/>
      <c r="J662" s="21"/>
      <c r="K662" s="21"/>
      <c r="L662" s="21"/>
      <c r="M662" s="21"/>
      <c r="N662" s="22"/>
      <c r="O662" s="22"/>
      <c r="P662" s="17" t="str">
        <f aca="false">IF($A662="","",SUM($G662:$I662))</f>
        <v/>
      </c>
      <c r="Q662" s="17" t="str">
        <f aca="false">IF($A662="","",SUM($J662:$L662))</f>
        <v/>
      </c>
      <c r="R662" s="17" t="str">
        <f aca="false">IF($A662="","",($M662+$Q662)-$P662)</f>
        <v/>
      </c>
      <c r="S662" s="18" t="str">
        <f aca="false">IF(OR($A662="",$P662=0),"",$R662/$P662)</f>
        <v/>
      </c>
      <c r="T662" s="23"/>
      <c r="U662" s="14" t="str">
        <f aca="false">IF($A662="","",IF($M662&gt;0,"Live","Exited"))</f>
        <v/>
      </c>
      <c r="V662" s="20" t="str">
        <f aca="false">IF($A662="","",IF($A662='Client Report'!$C$4,COUNTIFS($A$6:$A662,'Client Report'!$C$4),""))</f>
        <v/>
      </c>
    </row>
    <row r="663" customFormat="false" ht="15" hidden="false" customHeight="false" outlineLevel="0" collapsed="false">
      <c r="A663" s="11"/>
      <c r="B663" s="11"/>
      <c r="C663" s="14" t="str">
        <f aca="false">IF($B663="","",IFERROR(TRIM(LEFT($B663,FIND(" - ",$B663)-1)),"Others"))</f>
        <v/>
      </c>
      <c r="D663" s="11"/>
      <c r="E663" s="11"/>
      <c r="F663" s="12"/>
      <c r="G663" s="21"/>
      <c r="H663" s="21"/>
      <c r="I663" s="21"/>
      <c r="J663" s="21"/>
      <c r="K663" s="21"/>
      <c r="L663" s="21"/>
      <c r="M663" s="21"/>
      <c r="N663" s="22"/>
      <c r="O663" s="22"/>
      <c r="P663" s="17" t="str">
        <f aca="false">IF($A663="","",SUM($G663:$I663))</f>
        <v/>
      </c>
      <c r="Q663" s="17" t="str">
        <f aca="false">IF($A663="","",SUM($J663:$L663))</f>
        <v/>
      </c>
      <c r="R663" s="17" t="str">
        <f aca="false">IF($A663="","",($M663+$Q663)-$P663)</f>
        <v/>
      </c>
      <c r="S663" s="18" t="str">
        <f aca="false">IF(OR($A663="",$P663=0),"",$R663/$P663)</f>
        <v/>
      </c>
      <c r="T663" s="23"/>
      <c r="U663" s="14" t="str">
        <f aca="false">IF($A663="","",IF($M663&gt;0,"Live","Exited"))</f>
        <v/>
      </c>
      <c r="V663" s="20" t="str">
        <f aca="false">IF($A663="","",IF($A663='Client Report'!$C$4,COUNTIFS($A$6:$A663,'Client Report'!$C$4),""))</f>
        <v/>
      </c>
    </row>
    <row r="664" customFormat="false" ht="15" hidden="false" customHeight="false" outlineLevel="0" collapsed="false">
      <c r="A664" s="11"/>
      <c r="B664" s="11"/>
      <c r="C664" s="14" t="str">
        <f aca="false">IF($B664="","",IFERROR(TRIM(LEFT($B664,FIND(" - ",$B664)-1)),"Others"))</f>
        <v/>
      </c>
      <c r="D664" s="11"/>
      <c r="E664" s="11"/>
      <c r="F664" s="12"/>
      <c r="G664" s="21"/>
      <c r="H664" s="21"/>
      <c r="I664" s="21"/>
      <c r="J664" s="21"/>
      <c r="K664" s="21"/>
      <c r="L664" s="21"/>
      <c r="M664" s="21"/>
      <c r="N664" s="22"/>
      <c r="O664" s="22"/>
      <c r="P664" s="17" t="str">
        <f aca="false">IF($A664="","",SUM($G664:$I664))</f>
        <v/>
      </c>
      <c r="Q664" s="17" t="str">
        <f aca="false">IF($A664="","",SUM($J664:$L664))</f>
        <v/>
      </c>
      <c r="R664" s="17" t="str">
        <f aca="false">IF($A664="","",($M664+$Q664)-$P664)</f>
        <v/>
      </c>
      <c r="S664" s="18" t="str">
        <f aca="false">IF(OR($A664="",$P664=0),"",$R664/$P664)</f>
        <v/>
      </c>
      <c r="T664" s="23"/>
      <c r="U664" s="14" t="str">
        <f aca="false">IF($A664="","",IF($M664&gt;0,"Live","Exited"))</f>
        <v/>
      </c>
      <c r="V664" s="20" t="str">
        <f aca="false">IF($A664="","",IF($A664='Client Report'!$C$4,COUNTIFS($A$6:$A664,'Client Report'!$C$4),""))</f>
        <v/>
      </c>
    </row>
    <row r="665" customFormat="false" ht="15" hidden="false" customHeight="false" outlineLevel="0" collapsed="false">
      <c r="A665" s="11"/>
      <c r="B665" s="11"/>
      <c r="C665" s="14" t="str">
        <f aca="false">IF($B665="","",IFERROR(TRIM(LEFT($B665,FIND(" - ",$B665)-1)),"Others"))</f>
        <v/>
      </c>
      <c r="D665" s="11"/>
      <c r="E665" s="11"/>
      <c r="F665" s="12"/>
      <c r="G665" s="21"/>
      <c r="H665" s="21"/>
      <c r="I665" s="21"/>
      <c r="J665" s="21"/>
      <c r="K665" s="21"/>
      <c r="L665" s="21"/>
      <c r="M665" s="21"/>
      <c r="N665" s="22"/>
      <c r="O665" s="22"/>
      <c r="P665" s="17" t="str">
        <f aca="false">IF($A665="","",SUM($G665:$I665))</f>
        <v/>
      </c>
      <c r="Q665" s="17" t="str">
        <f aca="false">IF($A665="","",SUM($J665:$L665))</f>
        <v/>
      </c>
      <c r="R665" s="17" t="str">
        <f aca="false">IF($A665="","",($M665+$Q665)-$P665)</f>
        <v/>
      </c>
      <c r="S665" s="18" t="str">
        <f aca="false">IF(OR($A665="",$P665=0),"",$R665/$P665)</f>
        <v/>
      </c>
      <c r="T665" s="23"/>
      <c r="U665" s="14" t="str">
        <f aca="false">IF($A665="","",IF($M665&gt;0,"Live","Exited"))</f>
        <v/>
      </c>
      <c r="V665" s="20" t="str">
        <f aca="false">IF($A665="","",IF($A665='Client Report'!$C$4,COUNTIFS($A$6:$A665,'Client Report'!$C$4),""))</f>
        <v/>
      </c>
    </row>
    <row r="666" customFormat="false" ht="15" hidden="false" customHeight="false" outlineLevel="0" collapsed="false">
      <c r="A666" s="11"/>
      <c r="B666" s="11"/>
      <c r="C666" s="14" t="str">
        <f aca="false">IF($B666="","",IFERROR(TRIM(LEFT($B666,FIND(" - ",$B666)-1)),"Others"))</f>
        <v/>
      </c>
      <c r="D666" s="11"/>
      <c r="E666" s="11"/>
      <c r="F666" s="12"/>
      <c r="G666" s="21"/>
      <c r="H666" s="21"/>
      <c r="I666" s="21"/>
      <c r="J666" s="21"/>
      <c r="K666" s="21"/>
      <c r="L666" s="21"/>
      <c r="M666" s="21"/>
      <c r="N666" s="22"/>
      <c r="O666" s="22"/>
      <c r="P666" s="17" t="str">
        <f aca="false">IF($A666="","",SUM($G666:$I666))</f>
        <v/>
      </c>
      <c r="Q666" s="17" t="str">
        <f aca="false">IF($A666="","",SUM($J666:$L666))</f>
        <v/>
      </c>
      <c r="R666" s="17" t="str">
        <f aca="false">IF($A666="","",($M666+$Q666)-$P666)</f>
        <v/>
      </c>
      <c r="S666" s="18" t="str">
        <f aca="false">IF(OR($A666="",$P666=0),"",$R666/$P666)</f>
        <v/>
      </c>
      <c r="T666" s="23"/>
      <c r="U666" s="14" t="str">
        <f aca="false">IF($A666="","",IF($M666&gt;0,"Live","Exited"))</f>
        <v/>
      </c>
      <c r="V666" s="20" t="str">
        <f aca="false">IF($A666="","",IF($A666='Client Report'!$C$4,COUNTIFS($A$6:$A666,'Client Report'!$C$4),""))</f>
        <v/>
      </c>
    </row>
    <row r="667" customFormat="false" ht="15" hidden="false" customHeight="false" outlineLevel="0" collapsed="false">
      <c r="A667" s="11"/>
      <c r="B667" s="11"/>
      <c r="C667" s="14" t="str">
        <f aca="false">IF($B667="","",IFERROR(TRIM(LEFT($B667,FIND(" - ",$B667)-1)),"Others"))</f>
        <v/>
      </c>
      <c r="D667" s="11"/>
      <c r="E667" s="11"/>
      <c r="F667" s="12"/>
      <c r="G667" s="21"/>
      <c r="H667" s="21"/>
      <c r="I667" s="21"/>
      <c r="J667" s="21"/>
      <c r="K667" s="21"/>
      <c r="L667" s="21"/>
      <c r="M667" s="21"/>
      <c r="N667" s="22"/>
      <c r="O667" s="22"/>
      <c r="P667" s="17" t="str">
        <f aca="false">IF($A667="","",SUM($G667:$I667))</f>
        <v/>
      </c>
      <c r="Q667" s="17" t="str">
        <f aca="false">IF($A667="","",SUM($J667:$L667))</f>
        <v/>
      </c>
      <c r="R667" s="17" t="str">
        <f aca="false">IF($A667="","",($M667+$Q667)-$P667)</f>
        <v/>
      </c>
      <c r="S667" s="18" t="str">
        <f aca="false">IF(OR($A667="",$P667=0),"",$R667/$P667)</f>
        <v/>
      </c>
      <c r="T667" s="23"/>
      <c r="U667" s="14" t="str">
        <f aca="false">IF($A667="","",IF($M667&gt;0,"Live","Exited"))</f>
        <v/>
      </c>
      <c r="V667" s="20" t="str">
        <f aca="false">IF($A667="","",IF($A667='Client Report'!$C$4,COUNTIFS($A$6:$A667,'Client Report'!$C$4),""))</f>
        <v/>
      </c>
    </row>
    <row r="668" customFormat="false" ht="15" hidden="false" customHeight="false" outlineLevel="0" collapsed="false">
      <c r="A668" s="11"/>
      <c r="B668" s="11"/>
      <c r="C668" s="14" t="str">
        <f aca="false">IF($B668="","",IFERROR(TRIM(LEFT($B668,FIND(" - ",$B668)-1)),"Others"))</f>
        <v/>
      </c>
      <c r="D668" s="11"/>
      <c r="E668" s="11"/>
      <c r="F668" s="12"/>
      <c r="G668" s="21"/>
      <c r="H668" s="21"/>
      <c r="I668" s="21"/>
      <c r="J668" s="21"/>
      <c r="K668" s="21"/>
      <c r="L668" s="21"/>
      <c r="M668" s="21"/>
      <c r="N668" s="22"/>
      <c r="O668" s="22"/>
      <c r="P668" s="17" t="str">
        <f aca="false">IF($A668="","",SUM($G668:$I668))</f>
        <v/>
      </c>
      <c r="Q668" s="17" t="str">
        <f aca="false">IF($A668="","",SUM($J668:$L668))</f>
        <v/>
      </c>
      <c r="R668" s="17" t="str">
        <f aca="false">IF($A668="","",($M668+$Q668)-$P668)</f>
        <v/>
      </c>
      <c r="S668" s="18" t="str">
        <f aca="false">IF(OR($A668="",$P668=0),"",$R668/$P668)</f>
        <v/>
      </c>
      <c r="T668" s="23"/>
      <c r="U668" s="14" t="str">
        <f aca="false">IF($A668="","",IF($M668&gt;0,"Live","Exited"))</f>
        <v/>
      </c>
      <c r="V668" s="20" t="str">
        <f aca="false">IF($A668="","",IF($A668='Client Report'!$C$4,COUNTIFS($A$6:$A668,'Client Report'!$C$4),""))</f>
        <v/>
      </c>
    </row>
    <row r="669" customFormat="false" ht="15" hidden="false" customHeight="false" outlineLevel="0" collapsed="false">
      <c r="A669" s="11"/>
      <c r="B669" s="11"/>
      <c r="C669" s="14" t="str">
        <f aca="false">IF($B669="","",IFERROR(TRIM(LEFT($B669,FIND(" - ",$B669)-1)),"Others"))</f>
        <v/>
      </c>
      <c r="D669" s="11"/>
      <c r="E669" s="11"/>
      <c r="F669" s="12"/>
      <c r="G669" s="21"/>
      <c r="H669" s="21"/>
      <c r="I669" s="21"/>
      <c r="J669" s="21"/>
      <c r="K669" s="21"/>
      <c r="L669" s="21"/>
      <c r="M669" s="21"/>
      <c r="N669" s="22"/>
      <c r="O669" s="22"/>
      <c r="P669" s="17" t="str">
        <f aca="false">IF($A669="","",SUM($G669:$I669))</f>
        <v/>
      </c>
      <c r="Q669" s="17" t="str">
        <f aca="false">IF($A669="","",SUM($J669:$L669))</f>
        <v/>
      </c>
      <c r="R669" s="17" t="str">
        <f aca="false">IF($A669="","",($M669+$Q669)-$P669)</f>
        <v/>
      </c>
      <c r="S669" s="18" t="str">
        <f aca="false">IF(OR($A669="",$P669=0),"",$R669/$P669)</f>
        <v/>
      </c>
      <c r="T669" s="23"/>
      <c r="U669" s="14" t="str">
        <f aca="false">IF($A669="","",IF($M669&gt;0,"Live","Exited"))</f>
        <v/>
      </c>
      <c r="V669" s="20" t="str">
        <f aca="false">IF($A669="","",IF($A669='Client Report'!$C$4,COUNTIFS($A$6:$A669,'Client Report'!$C$4),""))</f>
        <v/>
      </c>
    </row>
    <row r="670" customFormat="false" ht="15" hidden="false" customHeight="false" outlineLevel="0" collapsed="false">
      <c r="A670" s="11"/>
      <c r="B670" s="11"/>
      <c r="C670" s="14" t="str">
        <f aca="false">IF($B670="","",IFERROR(TRIM(LEFT($B670,FIND(" - ",$B670)-1)),"Others"))</f>
        <v/>
      </c>
      <c r="D670" s="11"/>
      <c r="E670" s="11"/>
      <c r="F670" s="12"/>
      <c r="G670" s="21"/>
      <c r="H670" s="21"/>
      <c r="I670" s="21"/>
      <c r="J670" s="21"/>
      <c r="K670" s="21"/>
      <c r="L670" s="21"/>
      <c r="M670" s="21"/>
      <c r="N670" s="22"/>
      <c r="O670" s="22"/>
      <c r="P670" s="17" t="str">
        <f aca="false">IF($A670="","",SUM($G670:$I670))</f>
        <v/>
      </c>
      <c r="Q670" s="17" t="str">
        <f aca="false">IF($A670="","",SUM($J670:$L670))</f>
        <v/>
      </c>
      <c r="R670" s="17" t="str">
        <f aca="false">IF($A670="","",($M670+$Q670)-$P670)</f>
        <v/>
      </c>
      <c r="S670" s="18" t="str">
        <f aca="false">IF(OR($A670="",$P670=0),"",$R670/$P670)</f>
        <v/>
      </c>
      <c r="T670" s="23"/>
      <c r="U670" s="14" t="str">
        <f aca="false">IF($A670="","",IF($M670&gt;0,"Live","Exited"))</f>
        <v/>
      </c>
      <c r="V670" s="20" t="str">
        <f aca="false">IF($A670="","",IF($A670='Client Report'!$C$4,COUNTIFS($A$6:$A670,'Client Report'!$C$4),""))</f>
        <v/>
      </c>
    </row>
    <row r="671" customFormat="false" ht="15" hidden="false" customHeight="false" outlineLevel="0" collapsed="false">
      <c r="A671" s="11"/>
      <c r="B671" s="11"/>
      <c r="C671" s="14" t="str">
        <f aca="false">IF($B671="","",IFERROR(TRIM(LEFT($B671,FIND(" - ",$B671)-1)),"Others"))</f>
        <v/>
      </c>
      <c r="D671" s="11"/>
      <c r="E671" s="11"/>
      <c r="F671" s="12"/>
      <c r="G671" s="21"/>
      <c r="H671" s="21"/>
      <c r="I671" s="21"/>
      <c r="J671" s="21"/>
      <c r="K671" s="21"/>
      <c r="L671" s="21"/>
      <c r="M671" s="21"/>
      <c r="N671" s="22"/>
      <c r="O671" s="22"/>
      <c r="P671" s="17" t="str">
        <f aca="false">IF($A671="","",SUM($G671:$I671))</f>
        <v/>
      </c>
      <c r="Q671" s="17" t="str">
        <f aca="false">IF($A671="","",SUM($J671:$L671))</f>
        <v/>
      </c>
      <c r="R671" s="17" t="str">
        <f aca="false">IF($A671="","",($M671+$Q671)-$P671)</f>
        <v/>
      </c>
      <c r="S671" s="18" t="str">
        <f aca="false">IF(OR($A671="",$P671=0),"",$R671/$P671)</f>
        <v/>
      </c>
      <c r="T671" s="23"/>
      <c r="U671" s="14" t="str">
        <f aca="false">IF($A671="","",IF($M671&gt;0,"Live","Exited"))</f>
        <v/>
      </c>
      <c r="V671" s="20" t="str">
        <f aca="false">IF($A671="","",IF($A671='Client Report'!$C$4,COUNTIFS($A$6:$A671,'Client Report'!$C$4),""))</f>
        <v/>
      </c>
    </row>
    <row r="672" customFormat="false" ht="15" hidden="false" customHeight="false" outlineLevel="0" collapsed="false">
      <c r="A672" s="11"/>
      <c r="B672" s="11"/>
      <c r="C672" s="14" t="str">
        <f aca="false">IF($B672="","",IFERROR(TRIM(LEFT($B672,FIND(" - ",$B672)-1)),"Others"))</f>
        <v/>
      </c>
      <c r="D672" s="11"/>
      <c r="E672" s="11"/>
      <c r="F672" s="12"/>
      <c r="G672" s="21"/>
      <c r="H672" s="21"/>
      <c r="I672" s="21"/>
      <c r="J672" s="21"/>
      <c r="K672" s="21"/>
      <c r="L672" s="21"/>
      <c r="M672" s="21"/>
      <c r="N672" s="22"/>
      <c r="O672" s="22"/>
      <c r="P672" s="17" t="str">
        <f aca="false">IF($A672="","",SUM($G672:$I672))</f>
        <v/>
      </c>
      <c r="Q672" s="17" t="str">
        <f aca="false">IF($A672="","",SUM($J672:$L672))</f>
        <v/>
      </c>
      <c r="R672" s="17" t="str">
        <f aca="false">IF($A672="","",($M672+$Q672)-$P672)</f>
        <v/>
      </c>
      <c r="S672" s="18" t="str">
        <f aca="false">IF(OR($A672="",$P672=0),"",$R672/$P672)</f>
        <v/>
      </c>
      <c r="T672" s="23"/>
      <c r="U672" s="14" t="str">
        <f aca="false">IF($A672="","",IF($M672&gt;0,"Live","Exited"))</f>
        <v/>
      </c>
      <c r="V672" s="20" t="str">
        <f aca="false">IF($A672="","",IF($A672='Client Report'!$C$4,COUNTIFS($A$6:$A672,'Client Report'!$C$4),""))</f>
        <v/>
      </c>
    </row>
    <row r="673" customFormat="false" ht="15" hidden="false" customHeight="false" outlineLevel="0" collapsed="false">
      <c r="A673" s="11"/>
      <c r="B673" s="11"/>
      <c r="C673" s="14" t="str">
        <f aca="false">IF($B673="","",IFERROR(TRIM(LEFT($B673,FIND(" - ",$B673)-1)),"Others"))</f>
        <v/>
      </c>
      <c r="D673" s="11"/>
      <c r="E673" s="11"/>
      <c r="F673" s="12"/>
      <c r="G673" s="21"/>
      <c r="H673" s="21"/>
      <c r="I673" s="21"/>
      <c r="J673" s="21"/>
      <c r="K673" s="21"/>
      <c r="L673" s="21"/>
      <c r="M673" s="21"/>
      <c r="N673" s="22"/>
      <c r="O673" s="22"/>
      <c r="P673" s="17" t="str">
        <f aca="false">IF($A673="","",SUM($G673:$I673))</f>
        <v/>
      </c>
      <c r="Q673" s="17" t="str">
        <f aca="false">IF($A673="","",SUM($J673:$L673))</f>
        <v/>
      </c>
      <c r="R673" s="17" t="str">
        <f aca="false">IF($A673="","",($M673+$Q673)-$P673)</f>
        <v/>
      </c>
      <c r="S673" s="18" t="str">
        <f aca="false">IF(OR($A673="",$P673=0),"",$R673/$P673)</f>
        <v/>
      </c>
      <c r="T673" s="23"/>
      <c r="U673" s="14" t="str">
        <f aca="false">IF($A673="","",IF($M673&gt;0,"Live","Exited"))</f>
        <v/>
      </c>
      <c r="V673" s="20" t="str">
        <f aca="false">IF($A673="","",IF($A673='Client Report'!$C$4,COUNTIFS($A$6:$A673,'Client Report'!$C$4),""))</f>
        <v/>
      </c>
    </row>
    <row r="674" customFormat="false" ht="15" hidden="false" customHeight="false" outlineLevel="0" collapsed="false">
      <c r="A674" s="11"/>
      <c r="B674" s="11"/>
      <c r="C674" s="14" t="str">
        <f aca="false">IF($B674="","",IFERROR(TRIM(LEFT($B674,FIND(" - ",$B674)-1)),"Others"))</f>
        <v/>
      </c>
      <c r="D674" s="11"/>
      <c r="E674" s="11"/>
      <c r="F674" s="12"/>
      <c r="G674" s="21"/>
      <c r="H674" s="21"/>
      <c r="I674" s="21"/>
      <c r="J674" s="21"/>
      <c r="K674" s="21"/>
      <c r="L674" s="21"/>
      <c r="M674" s="21"/>
      <c r="N674" s="22"/>
      <c r="O674" s="22"/>
      <c r="P674" s="17" t="str">
        <f aca="false">IF($A674="","",SUM($G674:$I674))</f>
        <v/>
      </c>
      <c r="Q674" s="17" t="str">
        <f aca="false">IF($A674="","",SUM($J674:$L674))</f>
        <v/>
      </c>
      <c r="R674" s="17" t="str">
        <f aca="false">IF($A674="","",($M674+$Q674)-$P674)</f>
        <v/>
      </c>
      <c r="S674" s="18" t="str">
        <f aca="false">IF(OR($A674="",$P674=0),"",$R674/$P674)</f>
        <v/>
      </c>
      <c r="T674" s="23"/>
      <c r="U674" s="14" t="str">
        <f aca="false">IF($A674="","",IF($M674&gt;0,"Live","Exited"))</f>
        <v/>
      </c>
      <c r="V674" s="20" t="str">
        <f aca="false">IF($A674="","",IF($A674='Client Report'!$C$4,COUNTIFS($A$6:$A674,'Client Report'!$C$4),""))</f>
        <v/>
      </c>
    </row>
    <row r="675" customFormat="false" ht="15" hidden="false" customHeight="false" outlineLevel="0" collapsed="false">
      <c r="A675" s="11"/>
      <c r="B675" s="11"/>
      <c r="C675" s="14" t="str">
        <f aca="false">IF($B675="","",IFERROR(TRIM(LEFT($B675,FIND(" - ",$B675)-1)),"Others"))</f>
        <v/>
      </c>
      <c r="D675" s="11"/>
      <c r="E675" s="11"/>
      <c r="F675" s="12"/>
      <c r="G675" s="21"/>
      <c r="H675" s="21"/>
      <c r="I675" s="21"/>
      <c r="J675" s="21"/>
      <c r="K675" s="21"/>
      <c r="L675" s="21"/>
      <c r="M675" s="21"/>
      <c r="N675" s="22"/>
      <c r="O675" s="22"/>
      <c r="P675" s="17" t="str">
        <f aca="false">IF($A675="","",SUM($G675:$I675))</f>
        <v/>
      </c>
      <c r="Q675" s="17" t="str">
        <f aca="false">IF($A675="","",SUM($J675:$L675))</f>
        <v/>
      </c>
      <c r="R675" s="17" t="str">
        <f aca="false">IF($A675="","",($M675+$Q675)-$P675)</f>
        <v/>
      </c>
      <c r="S675" s="18" t="str">
        <f aca="false">IF(OR($A675="",$P675=0),"",$R675/$P675)</f>
        <v/>
      </c>
      <c r="T675" s="23"/>
      <c r="U675" s="14" t="str">
        <f aca="false">IF($A675="","",IF($M675&gt;0,"Live","Exited"))</f>
        <v/>
      </c>
      <c r="V675" s="20" t="str">
        <f aca="false">IF($A675="","",IF($A675='Client Report'!$C$4,COUNTIFS($A$6:$A675,'Client Report'!$C$4),""))</f>
        <v/>
      </c>
    </row>
    <row r="676" customFormat="false" ht="15" hidden="false" customHeight="false" outlineLevel="0" collapsed="false">
      <c r="A676" s="11"/>
      <c r="B676" s="11"/>
      <c r="C676" s="14" t="str">
        <f aca="false">IF($B676="","",IFERROR(TRIM(LEFT($B676,FIND(" - ",$B676)-1)),"Others"))</f>
        <v/>
      </c>
      <c r="D676" s="11"/>
      <c r="E676" s="11"/>
      <c r="F676" s="12"/>
      <c r="G676" s="21"/>
      <c r="H676" s="21"/>
      <c r="I676" s="21"/>
      <c r="J676" s="21"/>
      <c r="K676" s="21"/>
      <c r="L676" s="21"/>
      <c r="M676" s="21"/>
      <c r="N676" s="22"/>
      <c r="O676" s="22"/>
      <c r="P676" s="17" t="str">
        <f aca="false">IF($A676="","",SUM($G676:$I676))</f>
        <v/>
      </c>
      <c r="Q676" s="17" t="str">
        <f aca="false">IF($A676="","",SUM($J676:$L676))</f>
        <v/>
      </c>
      <c r="R676" s="17" t="str">
        <f aca="false">IF($A676="","",($M676+$Q676)-$P676)</f>
        <v/>
      </c>
      <c r="S676" s="18" t="str">
        <f aca="false">IF(OR($A676="",$P676=0),"",$R676/$P676)</f>
        <v/>
      </c>
      <c r="T676" s="23"/>
      <c r="U676" s="14" t="str">
        <f aca="false">IF($A676="","",IF($M676&gt;0,"Live","Exited"))</f>
        <v/>
      </c>
      <c r="V676" s="20" t="str">
        <f aca="false">IF($A676="","",IF($A676='Client Report'!$C$4,COUNTIFS($A$6:$A676,'Client Report'!$C$4),""))</f>
        <v/>
      </c>
    </row>
    <row r="677" customFormat="false" ht="15" hidden="false" customHeight="false" outlineLevel="0" collapsed="false">
      <c r="A677" s="11"/>
      <c r="B677" s="11"/>
      <c r="C677" s="14" t="str">
        <f aca="false">IF($B677="","",IFERROR(TRIM(LEFT($B677,FIND(" - ",$B677)-1)),"Others"))</f>
        <v/>
      </c>
      <c r="D677" s="11"/>
      <c r="E677" s="11"/>
      <c r="F677" s="12"/>
      <c r="G677" s="21"/>
      <c r="H677" s="21"/>
      <c r="I677" s="21"/>
      <c r="J677" s="21"/>
      <c r="K677" s="21"/>
      <c r="L677" s="21"/>
      <c r="M677" s="21"/>
      <c r="N677" s="22"/>
      <c r="O677" s="22"/>
      <c r="P677" s="17" t="str">
        <f aca="false">IF($A677="","",SUM($G677:$I677))</f>
        <v/>
      </c>
      <c r="Q677" s="17" t="str">
        <f aca="false">IF($A677="","",SUM($J677:$L677))</f>
        <v/>
      </c>
      <c r="R677" s="17" t="str">
        <f aca="false">IF($A677="","",($M677+$Q677)-$P677)</f>
        <v/>
      </c>
      <c r="S677" s="18" t="str">
        <f aca="false">IF(OR($A677="",$P677=0),"",$R677/$P677)</f>
        <v/>
      </c>
      <c r="T677" s="23"/>
      <c r="U677" s="14" t="str">
        <f aca="false">IF($A677="","",IF($M677&gt;0,"Live","Exited"))</f>
        <v/>
      </c>
      <c r="V677" s="20" t="str">
        <f aca="false">IF($A677="","",IF($A677='Client Report'!$C$4,COUNTIFS($A$6:$A677,'Client Report'!$C$4),""))</f>
        <v/>
      </c>
    </row>
    <row r="678" customFormat="false" ht="15" hidden="false" customHeight="false" outlineLevel="0" collapsed="false">
      <c r="A678" s="11"/>
      <c r="B678" s="11"/>
      <c r="C678" s="14" t="str">
        <f aca="false">IF($B678="","",IFERROR(TRIM(LEFT($B678,FIND(" - ",$B678)-1)),"Others"))</f>
        <v/>
      </c>
      <c r="D678" s="11"/>
      <c r="E678" s="11"/>
      <c r="F678" s="12"/>
      <c r="G678" s="21"/>
      <c r="H678" s="21"/>
      <c r="I678" s="21"/>
      <c r="J678" s="21"/>
      <c r="K678" s="21"/>
      <c r="L678" s="21"/>
      <c r="M678" s="21"/>
      <c r="N678" s="22"/>
      <c r="O678" s="22"/>
      <c r="P678" s="17" t="str">
        <f aca="false">IF($A678="","",SUM($G678:$I678))</f>
        <v/>
      </c>
      <c r="Q678" s="17" t="str">
        <f aca="false">IF($A678="","",SUM($J678:$L678))</f>
        <v/>
      </c>
      <c r="R678" s="17" t="str">
        <f aca="false">IF($A678="","",($M678+$Q678)-$P678)</f>
        <v/>
      </c>
      <c r="S678" s="18" t="str">
        <f aca="false">IF(OR($A678="",$P678=0),"",$R678/$P678)</f>
        <v/>
      </c>
      <c r="T678" s="23"/>
      <c r="U678" s="14" t="str">
        <f aca="false">IF($A678="","",IF($M678&gt;0,"Live","Exited"))</f>
        <v/>
      </c>
      <c r="V678" s="20" t="str">
        <f aca="false">IF($A678="","",IF($A678='Client Report'!$C$4,COUNTIFS($A$6:$A678,'Client Report'!$C$4),""))</f>
        <v/>
      </c>
    </row>
    <row r="679" customFormat="false" ht="15" hidden="false" customHeight="false" outlineLevel="0" collapsed="false">
      <c r="A679" s="11"/>
      <c r="B679" s="11"/>
      <c r="C679" s="14" t="str">
        <f aca="false">IF($B679="","",IFERROR(TRIM(LEFT($B679,FIND(" - ",$B679)-1)),"Others"))</f>
        <v/>
      </c>
      <c r="D679" s="11"/>
      <c r="E679" s="11"/>
      <c r="F679" s="12"/>
      <c r="G679" s="21"/>
      <c r="H679" s="21"/>
      <c r="I679" s="21"/>
      <c r="J679" s="21"/>
      <c r="K679" s="21"/>
      <c r="L679" s="21"/>
      <c r="M679" s="21"/>
      <c r="N679" s="22"/>
      <c r="O679" s="22"/>
      <c r="P679" s="17" t="str">
        <f aca="false">IF($A679="","",SUM($G679:$I679))</f>
        <v/>
      </c>
      <c r="Q679" s="17" t="str">
        <f aca="false">IF($A679="","",SUM($J679:$L679))</f>
        <v/>
      </c>
      <c r="R679" s="17" t="str">
        <f aca="false">IF($A679="","",($M679+$Q679)-$P679)</f>
        <v/>
      </c>
      <c r="S679" s="18" t="str">
        <f aca="false">IF(OR($A679="",$P679=0),"",$R679/$P679)</f>
        <v/>
      </c>
      <c r="T679" s="23"/>
      <c r="U679" s="14" t="str">
        <f aca="false">IF($A679="","",IF($M679&gt;0,"Live","Exited"))</f>
        <v/>
      </c>
      <c r="V679" s="20" t="str">
        <f aca="false">IF($A679="","",IF($A679='Client Report'!$C$4,COUNTIFS($A$6:$A679,'Client Report'!$C$4),""))</f>
        <v/>
      </c>
    </row>
    <row r="680" customFormat="false" ht="15" hidden="false" customHeight="false" outlineLevel="0" collapsed="false">
      <c r="A680" s="11"/>
      <c r="B680" s="11"/>
      <c r="C680" s="14" t="str">
        <f aca="false">IF($B680="","",IFERROR(TRIM(LEFT($B680,FIND(" - ",$B680)-1)),"Others"))</f>
        <v/>
      </c>
      <c r="D680" s="11"/>
      <c r="E680" s="11"/>
      <c r="F680" s="12"/>
      <c r="G680" s="21"/>
      <c r="H680" s="21"/>
      <c r="I680" s="21"/>
      <c r="J680" s="21"/>
      <c r="K680" s="21"/>
      <c r="L680" s="21"/>
      <c r="M680" s="21"/>
      <c r="N680" s="22"/>
      <c r="O680" s="22"/>
      <c r="P680" s="17" t="str">
        <f aca="false">IF($A680="","",SUM($G680:$I680))</f>
        <v/>
      </c>
      <c r="Q680" s="17" t="str">
        <f aca="false">IF($A680="","",SUM($J680:$L680))</f>
        <v/>
      </c>
      <c r="R680" s="17" t="str">
        <f aca="false">IF($A680="","",($M680+$Q680)-$P680)</f>
        <v/>
      </c>
      <c r="S680" s="18" t="str">
        <f aca="false">IF(OR($A680="",$P680=0),"",$R680/$P680)</f>
        <v/>
      </c>
      <c r="T680" s="23"/>
      <c r="U680" s="14" t="str">
        <f aca="false">IF($A680="","",IF($M680&gt;0,"Live","Exited"))</f>
        <v/>
      </c>
      <c r="V680" s="20" t="str">
        <f aca="false">IF($A680="","",IF($A680='Client Report'!$C$4,COUNTIFS($A$6:$A680,'Client Report'!$C$4),""))</f>
        <v/>
      </c>
    </row>
    <row r="681" customFormat="false" ht="15" hidden="false" customHeight="false" outlineLevel="0" collapsed="false">
      <c r="A681" s="11"/>
      <c r="B681" s="11"/>
      <c r="C681" s="14" t="str">
        <f aca="false">IF($B681="","",IFERROR(TRIM(LEFT($B681,FIND(" - ",$B681)-1)),"Others"))</f>
        <v/>
      </c>
      <c r="D681" s="11"/>
      <c r="E681" s="11"/>
      <c r="F681" s="12"/>
      <c r="G681" s="21"/>
      <c r="H681" s="21"/>
      <c r="I681" s="21"/>
      <c r="J681" s="21"/>
      <c r="K681" s="21"/>
      <c r="L681" s="21"/>
      <c r="M681" s="21"/>
      <c r="N681" s="22"/>
      <c r="O681" s="22"/>
      <c r="P681" s="17" t="str">
        <f aca="false">IF($A681="","",SUM($G681:$I681))</f>
        <v/>
      </c>
      <c r="Q681" s="17" t="str">
        <f aca="false">IF($A681="","",SUM($J681:$L681))</f>
        <v/>
      </c>
      <c r="R681" s="17" t="str">
        <f aca="false">IF($A681="","",($M681+$Q681)-$P681)</f>
        <v/>
      </c>
      <c r="S681" s="18" t="str">
        <f aca="false">IF(OR($A681="",$P681=0),"",$R681/$P681)</f>
        <v/>
      </c>
      <c r="T681" s="23"/>
      <c r="U681" s="14" t="str">
        <f aca="false">IF($A681="","",IF($M681&gt;0,"Live","Exited"))</f>
        <v/>
      </c>
      <c r="V681" s="20" t="str">
        <f aca="false">IF($A681="","",IF($A681='Client Report'!$C$4,COUNTIFS($A$6:$A681,'Client Report'!$C$4),""))</f>
        <v/>
      </c>
    </row>
    <row r="682" customFormat="false" ht="15" hidden="false" customHeight="false" outlineLevel="0" collapsed="false">
      <c r="A682" s="11"/>
      <c r="B682" s="11"/>
      <c r="C682" s="14" t="str">
        <f aca="false">IF($B682="","",IFERROR(TRIM(LEFT($B682,FIND(" - ",$B682)-1)),"Others"))</f>
        <v/>
      </c>
      <c r="D682" s="11"/>
      <c r="E682" s="11"/>
      <c r="F682" s="12"/>
      <c r="G682" s="21"/>
      <c r="H682" s="21"/>
      <c r="I682" s="21"/>
      <c r="J682" s="21"/>
      <c r="K682" s="21"/>
      <c r="L682" s="21"/>
      <c r="M682" s="21"/>
      <c r="N682" s="22"/>
      <c r="O682" s="22"/>
      <c r="P682" s="17" t="str">
        <f aca="false">IF($A682="","",SUM($G682:$I682))</f>
        <v/>
      </c>
      <c r="Q682" s="17" t="str">
        <f aca="false">IF($A682="","",SUM($J682:$L682))</f>
        <v/>
      </c>
      <c r="R682" s="17" t="str">
        <f aca="false">IF($A682="","",($M682+$Q682)-$P682)</f>
        <v/>
      </c>
      <c r="S682" s="18" t="str">
        <f aca="false">IF(OR($A682="",$P682=0),"",$R682/$P682)</f>
        <v/>
      </c>
      <c r="T682" s="23"/>
      <c r="U682" s="14" t="str">
        <f aca="false">IF($A682="","",IF($M682&gt;0,"Live","Exited"))</f>
        <v/>
      </c>
      <c r="V682" s="20" t="str">
        <f aca="false">IF($A682="","",IF($A682='Client Report'!$C$4,COUNTIFS($A$6:$A682,'Client Report'!$C$4),""))</f>
        <v/>
      </c>
    </row>
    <row r="683" customFormat="false" ht="15" hidden="false" customHeight="false" outlineLevel="0" collapsed="false">
      <c r="A683" s="11"/>
      <c r="B683" s="11"/>
      <c r="C683" s="14" t="str">
        <f aca="false">IF($B683="","",IFERROR(TRIM(LEFT($B683,FIND(" - ",$B683)-1)),"Others"))</f>
        <v/>
      </c>
      <c r="D683" s="11"/>
      <c r="E683" s="11"/>
      <c r="F683" s="12"/>
      <c r="G683" s="21"/>
      <c r="H683" s="21"/>
      <c r="I683" s="21"/>
      <c r="J683" s="21"/>
      <c r="K683" s="21"/>
      <c r="L683" s="21"/>
      <c r="M683" s="21"/>
      <c r="N683" s="22"/>
      <c r="O683" s="22"/>
      <c r="P683" s="17" t="str">
        <f aca="false">IF($A683="","",SUM($G683:$I683))</f>
        <v/>
      </c>
      <c r="Q683" s="17" t="str">
        <f aca="false">IF($A683="","",SUM($J683:$L683))</f>
        <v/>
      </c>
      <c r="R683" s="17" t="str">
        <f aca="false">IF($A683="","",($M683+$Q683)-$P683)</f>
        <v/>
      </c>
      <c r="S683" s="18" t="str">
        <f aca="false">IF(OR($A683="",$P683=0),"",$R683/$P683)</f>
        <v/>
      </c>
      <c r="T683" s="23"/>
      <c r="U683" s="14" t="str">
        <f aca="false">IF($A683="","",IF($M683&gt;0,"Live","Exited"))</f>
        <v/>
      </c>
      <c r="V683" s="20" t="str">
        <f aca="false">IF($A683="","",IF($A683='Client Report'!$C$4,COUNTIFS($A$6:$A683,'Client Report'!$C$4),""))</f>
        <v/>
      </c>
    </row>
    <row r="684" customFormat="false" ht="15" hidden="false" customHeight="false" outlineLevel="0" collapsed="false">
      <c r="A684" s="11"/>
      <c r="B684" s="11"/>
      <c r="C684" s="14" t="str">
        <f aca="false">IF($B684="","",IFERROR(TRIM(LEFT($B684,FIND(" - ",$B684)-1)),"Others"))</f>
        <v/>
      </c>
      <c r="D684" s="11"/>
      <c r="E684" s="11"/>
      <c r="F684" s="12"/>
      <c r="G684" s="21"/>
      <c r="H684" s="21"/>
      <c r="I684" s="21"/>
      <c r="J684" s="21"/>
      <c r="K684" s="21"/>
      <c r="L684" s="21"/>
      <c r="M684" s="21"/>
      <c r="N684" s="22"/>
      <c r="O684" s="22"/>
      <c r="P684" s="17" t="str">
        <f aca="false">IF($A684="","",SUM($G684:$I684))</f>
        <v/>
      </c>
      <c r="Q684" s="17" t="str">
        <f aca="false">IF($A684="","",SUM($J684:$L684))</f>
        <v/>
      </c>
      <c r="R684" s="17" t="str">
        <f aca="false">IF($A684="","",($M684+$Q684)-$P684)</f>
        <v/>
      </c>
      <c r="S684" s="18" t="str">
        <f aca="false">IF(OR($A684="",$P684=0),"",$R684/$P684)</f>
        <v/>
      </c>
      <c r="T684" s="23"/>
      <c r="U684" s="14" t="str">
        <f aca="false">IF($A684="","",IF($M684&gt;0,"Live","Exited"))</f>
        <v/>
      </c>
      <c r="V684" s="20" t="str">
        <f aca="false">IF($A684="","",IF($A684='Client Report'!$C$4,COUNTIFS($A$6:$A684,'Client Report'!$C$4),""))</f>
        <v/>
      </c>
    </row>
    <row r="685" customFormat="false" ht="15" hidden="false" customHeight="false" outlineLevel="0" collapsed="false">
      <c r="A685" s="11"/>
      <c r="B685" s="11"/>
      <c r="C685" s="14" t="str">
        <f aca="false">IF($B685="","",IFERROR(TRIM(LEFT($B685,FIND(" - ",$B685)-1)),"Others"))</f>
        <v/>
      </c>
      <c r="D685" s="11"/>
      <c r="E685" s="11"/>
      <c r="F685" s="12"/>
      <c r="G685" s="21"/>
      <c r="H685" s="21"/>
      <c r="I685" s="21"/>
      <c r="J685" s="21"/>
      <c r="K685" s="21"/>
      <c r="L685" s="21"/>
      <c r="M685" s="21"/>
      <c r="N685" s="22"/>
      <c r="O685" s="22"/>
      <c r="P685" s="17" t="str">
        <f aca="false">IF($A685="","",SUM($G685:$I685))</f>
        <v/>
      </c>
      <c r="Q685" s="17" t="str">
        <f aca="false">IF($A685="","",SUM($J685:$L685))</f>
        <v/>
      </c>
      <c r="R685" s="17" t="str">
        <f aca="false">IF($A685="","",($M685+$Q685)-$P685)</f>
        <v/>
      </c>
      <c r="S685" s="18" t="str">
        <f aca="false">IF(OR($A685="",$P685=0),"",$R685/$P685)</f>
        <v/>
      </c>
      <c r="T685" s="23"/>
      <c r="U685" s="14" t="str">
        <f aca="false">IF($A685="","",IF($M685&gt;0,"Live","Exited"))</f>
        <v/>
      </c>
      <c r="V685" s="20" t="str">
        <f aca="false">IF($A685="","",IF($A685='Client Report'!$C$4,COUNTIFS($A$6:$A685,'Client Report'!$C$4),""))</f>
        <v/>
      </c>
    </row>
    <row r="686" customFormat="false" ht="15" hidden="false" customHeight="false" outlineLevel="0" collapsed="false">
      <c r="A686" s="11"/>
      <c r="B686" s="11"/>
      <c r="C686" s="14" t="str">
        <f aca="false">IF($B686="","",IFERROR(TRIM(LEFT($B686,FIND(" - ",$B686)-1)),"Others"))</f>
        <v/>
      </c>
      <c r="D686" s="11"/>
      <c r="E686" s="11"/>
      <c r="F686" s="12"/>
      <c r="G686" s="21"/>
      <c r="H686" s="21"/>
      <c r="I686" s="21"/>
      <c r="J686" s="21"/>
      <c r="K686" s="21"/>
      <c r="L686" s="21"/>
      <c r="M686" s="21"/>
      <c r="N686" s="22"/>
      <c r="O686" s="22"/>
      <c r="P686" s="17" t="str">
        <f aca="false">IF($A686="","",SUM($G686:$I686))</f>
        <v/>
      </c>
      <c r="Q686" s="17" t="str">
        <f aca="false">IF($A686="","",SUM($J686:$L686))</f>
        <v/>
      </c>
      <c r="R686" s="17" t="str">
        <f aca="false">IF($A686="","",($M686+$Q686)-$P686)</f>
        <v/>
      </c>
      <c r="S686" s="18" t="str">
        <f aca="false">IF(OR($A686="",$P686=0),"",$R686/$P686)</f>
        <v/>
      </c>
      <c r="T686" s="23"/>
      <c r="U686" s="14" t="str">
        <f aca="false">IF($A686="","",IF($M686&gt;0,"Live","Exited"))</f>
        <v/>
      </c>
      <c r="V686" s="20" t="str">
        <f aca="false">IF($A686="","",IF($A686='Client Report'!$C$4,COUNTIFS($A$6:$A686,'Client Report'!$C$4),""))</f>
        <v/>
      </c>
    </row>
    <row r="687" customFormat="false" ht="15" hidden="false" customHeight="false" outlineLevel="0" collapsed="false">
      <c r="A687" s="11"/>
      <c r="B687" s="11"/>
      <c r="C687" s="14" t="str">
        <f aca="false">IF($B687="","",IFERROR(TRIM(LEFT($B687,FIND(" - ",$B687)-1)),"Others"))</f>
        <v/>
      </c>
      <c r="D687" s="11"/>
      <c r="E687" s="11"/>
      <c r="F687" s="12"/>
      <c r="G687" s="21"/>
      <c r="H687" s="21"/>
      <c r="I687" s="21"/>
      <c r="J687" s="21"/>
      <c r="K687" s="21"/>
      <c r="L687" s="21"/>
      <c r="M687" s="21"/>
      <c r="N687" s="22"/>
      <c r="O687" s="22"/>
      <c r="P687" s="17" t="str">
        <f aca="false">IF($A687="","",SUM($G687:$I687))</f>
        <v/>
      </c>
      <c r="Q687" s="17" t="str">
        <f aca="false">IF($A687="","",SUM($J687:$L687))</f>
        <v/>
      </c>
      <c r="R687" s="17" t="str">
        <f aca="false">IF($A687="","",($M687+$Q687)-$P687)</f>
        <v/>
      </c>
      <c r="S687" s="18" t="str">
        <f aca="false">IF(OR($A687="",$P687=0),"",$R687/$P687)</f>
        <v/>
      </c>
      <c r="T687" s="23"/>
      <c r="U687" s="14" t="str">
        <f aca="false">IF($A687="","",IF($M687&gt;0,"Live","Exited"))</f>
        <v/>
      </c>
      <c r="V687" s="20" t="str">
        <f aca="false">IF($A687="","",IF($A687='Client Report'!$C$4,COUNTIFS($A$6:$A687,'Client Report'!$C$4),""))</f>
        <v/>
      </c>
    </row>
    <row r="688" customFormat="false" ht="15" hidden="false" customHeight="false" outlineLevel="0" collapsed="false">
      <c r="A688" s="11"/>
      <c r="B688" s="11"/>
      <c r="C688" s="14" t="str">
        <f aca="false">IF($B688="","",IFERROR(TRIM(LEFT($B688,FIND(" - ",$B688)-1)),"Others"))</f>
        <v/>
      </c>
      <c r="D688" s="11"/>
      <c r="E688" s="11"/>
      <c r="F688" s="12"/>
      <c r="G688" s="21"/>
      <c r="H688" s="21"/>
      <c r="I688" s="21"/>
      <c r="J688" s="21"/>
      <c r="K688" s="21"/>
      <c r="L688" s="21"/>
      <c r="M688" s="21"/>
      <c r="N688" s="22"/>
      <c r="O688" s="22"/>
      <c r="P688" s="17" t="str">
        <f aca="false">IF($A688="","",SUM($G688:$I688))</f>
        <v/>
      </c>
      <c r="Q688" s="17" t="str">
        <f aca="false">IF($A688="","",SUM($J688:$L688))</f>
        <v/>
      </c>
      <c r="R688" s="17" t="str">
        <f aca="false">IF($A688="","",($M688+$Q688)-$P688)</f>
        <v/>
      </c>
      <c r="S688" s="18" t="str">
        <f aca="false">IF(OR($A688="",$P688=0),"",$R688/$P688)</f>
        <v/>
      </c>
      <c r="T688" s="23"/>
      <c r="U688" s="14" t="str">
        <f aca="false">IF($A688="","",IF($M688&gt;0,"Live","Exited"))</f>
        <v/>
      </c>
      <c r="V688" s="20" t="str">
        <f aca="false">IF($A688="","",IF($A688='Client Report'!$C$4,COUNTIFS($A$6:$A688,'Client Report'!$C$4),""))</f>
        <v/>
      </c>
    </row>
    <row r="689" customFormat="false" ht="15" hidden="false" customHeight="false" outlineLevel="0" collapsed="false">
      <c r="A689" s="11"/>
      <c r="B689" s="11"/>
      <c r="C689" s="14" t="str">
        <f aca="false">IF($B689="","",IFERROR(TRIM(LEFT($B689,FIND(" - ",$B689)-1)),"Others"))</f>
        <v/>
      </c>
      <c r="D689" s="11"/>
      <c r="E689" s="11"/>
      <c r="F689" s="12"/>
      <c r="G689" s="21"/>
      <c r="H689" s="21"/>
      <c r="I689" s="21"/>
      <c r="J689" s="21"/>
      <c r="K689" s="21"/>
      <c r="L689" s="21"/>
      <c r="M689" s="21"/>
      <c r="N689" s="22"/>
      <c r="O689" s="22"/>
      <c r="P689" s="17" t="str">
        <f aca="false">IF($A689="","",SUM($G689:$I689))</f>
        <v/>
      </c>
      <c r="Q689" s="17" t="str">
        <f aca="false">IF($A689="","",SUM($J689:$L689))</f>
        <v/>
      </c>
      <c r="R689" s="17" t="str">
        <f aca="false">IF($A689="","",($M689+$Q689)-$P689)</f>
        <v/>
      </c>
      <c r="S689" s="18" t="str">
        <f aca="false">IF(OR($A689="",$P689=0),"",$R689/$P689)</f>
        <v/>
      </c>
      <c r="T689" s="23"/>
      <c r="U689" s="14" t="str">
        <f aca="false">IF($A689="","",IF($M689&gt;0,"Live","Exited"))</f>
        <v/>
      </c>
      <c r="V689" s="20" t="str">
        <f aca="false">IF($A689="","",IF($A689='Client Report'!$C$4,COUNTIFS($A$6:$A689,'Client Report'!$C$4),""))</f>
        <v/>
      </c>
    </row>
    <row r="690" customFormat="false" ht="15" hidden="false" customHeight="false" outlineLevel="0" collapsed="false">
      <c r="A690" s="11"/>
      <c r="B690" s="11"/>
      <c r="C690" s="14" t="str">
        <f aca="false">IF($B690="","",IFERROR(TRIM(LEFT($B690,FIND(" - ",$B690)-1)),"Others"))</f>
        <v/>
      </c>
      <c r="D690" s="11"/>
      <c r="E690" s="11"/>
      <c r="F690" s="12"/>
      <c r="G690" s="21"/>
      <c r="H690" s="21"/>
      <c r="I690" s="21"/>
      <c r="J690" s="21"/>
      <c r="K690" s="21"/>
      <c r="L690" s="21"/>
      <c r="M690" s="21"/>
      <c r="N690" s="22"/>
      <c r="O690" s="22"/>
      <c r="P690" s="17" t="str">
        <f aca="false">IF($A690="","",SUM($G690:$I690))</f>
        <v/>
      </c>
      <c r="Q690" s="17" t="str">
        <f aca="false">IF($A690="","",SUM($J690:$L690))</f>
        <v/>
      </c>
      <c r="R690" s="17" t="str">
        <f aca="false">IF($A690="","",($M690+$Q690)-$P690)</f>
        <v/>
      </c>
      <c r="S690" s="18" t="str">
        <f aca="false">IF(OR($A690="",$P690=0),"",$R690/$P690)</f>
        <v/>
      </c>
      <c r="T690" s="23"/>
      <c r="U690" s="14" t="str">
        <f aca="false">IF($A690="","",IF($M690&gt;0,"Live","Exited"))</f>
        <v/>
      </c>
      <c r="V690" s="20" t="str">
        <f aca="false">IF($A690="","",IF($A690='Client Report'!$C$4,COUNTIFS($A$6:$A690,'Client Report'!$C$4),""))</f>
        <v/>
      </c>
    </row>
    <row r="691" customFormat="false" ht="15" hidden="false" customHeight="false" outlineLevel="0" collapsed="false">
      <c r="A691" s="11"/>
      <c r="B691" s="11"/>
      <c r="C691" s="14" t="str">
        <f aca="false">IF($B691="","",IFERROR(TRIM(LEFT($B691,FIND(" - ",$B691)-1)),"Others"))</f>
        <v/>
      </c>
      <c r="D691" s="11"/>
      <c r="E691" s="11"/>
      <c r="F691" s="12"/>
      <c r="G691" s="21"/>
      <c r="H691" s="21"/>
      <c r="I691" s="21"/>
      <c r="J691" s="21"/>
      <c r="K691" s="21"/>
      <c r="L691" s="21"/>
      <c r="M691" s="21"/>
      <c r="N691" s="22"/>
      <c r="O691" s="22"/>
      <c r="P691" s="17" t="str">
        <f aca="false">IF($A691="","",SUM($G691:$I691))</f>
        <v/>
      </c>
      <c r="Q691" s="17" t="str">
        <f aca="false">IF($A691="","",SUM($J691:$L691))</f>
        <v/>
      </c>
      <c r="R691" s="17" t="str">
        <f aca="false">IF($A691="","",($M691+$Q691)-$P691)</f>
        <v/>
      </c>
      <c r="S691" s="18" t="str">
        <f aca="false">IF(OR($A691="",$P691=0),"",$R691/$P691)</f>
        <v/>
      </c>
      <c r="T691" s="23"/>
      <c r="U691" s="14" t="str">
        <f aca="false">IF($A691="","",IF($M691&gt;0,"Live","Exited"))</f>
        <v/>
      </c>
      <c r="V691" s="20" t="str">
        <f aca="false">IF($A691="","",IF($A691='Client Report'!$C$4,COUNTIFS($A$6:$A691,'Client Report'!$C$4),""))</f>
        <v/>
      </c>
    </row>
    <row r="692" customFormat="false" ht="15" hidden="false" customHeight="false" outlineLevel="0" collapsed="false">
      <c r="A692" s="11"/>
      <c r="B692" s="11"/>
      <c r="C692" s="14" t="str">
        <f aca="false">IF($B692="","",IFERROR(TRIM(LEFT($B692,FIND(" - ",$B692)-1)),"Others"))</f>
        <v/>
      </c>
      <c r="D692" s="11"/>
      <c r="E692" s="11"/>
      <c r="F692" s="12"/>
      <c r="G692" s="21"/>
      <c r="H692" s="21"/>
      <c r="I692" s="21"/>
      <c r="J692" s="21"/>
      <c r="K692" s="21"/>
      <c r="L692" s="21"/>
      <c r="M692" s="21"/>
      <c r="N692" s="22"/>
      <c r="O692" s="22"/>
      <c r="P692" s="17" t="str">
        <f aca="false">IF($A692="","",SUM($G692:$I692))</f>
        <v/>
      </c>
      <c r="Q692" s="17" t="str">
        <f aca="false">IF($A692="","",SUM($J692:$L692))</f>
        <v/>
      </c>
      <c r="R692" s="17" t="str">
        <f aca="false">IF($A692="","",($M692+$Q692)-$P692)</f>
        <v/>
      </c>
      <c r="S692" s="18" t="str">
        <f aca="false">IF(OR($A692="",$P692=0),"",$R692/$P692)</f>
        <v/>
      </c>
      <c r="T692" s="23"/>
      <c r="U692" s="14" t="str">
        <f aca="false">IF($A692="","",IF($M692&gt;0,"Live","Exited"))</f>
        <v/>
      </c>
      <c r="V692" s="20" t="str">
        <f aca="false">IF($A692="","",IF($A692='Client Report'!$C$4,COUNTIFS($A$6:$A692,'Client Report'!$C$4),""))</f>
        <v/>
      </c>
    </row>
    <row r="693" customFormat="false" ht="15" hidden="false" customHeight="false" outlineLevel="0" collapsed="false">
      <c r="A693" s="11"/>
      <c r="B693" s="11"/>
      <c r="C693" s="14" t="str">
        <f aca="false">IF($B693="","",IFERROR(TRIM(LEFT($B693,FIND(" - ",$B693)-1)),"Others"))</f>
        <v/>
      </c>
      <c r="D693" s="11"/>
      <c r="E693" s="11"/>
      <c r="F693" s="12"/>
      <c r="G693" s="21"/>
      <c r="H693" s="21"/>
      <c r="I693" s="21"/>
      <c r="J693" s="21"/>
      <c r="K693" s="21"/>
      <c r="L693" s="21"/>
      <c r="M693" s="21"/>
      <c r="N693" s="22"/>
      <c r="O693" s="22"/>
      <c r="P693" s="17" t="str">
        <f aca="false">IF($A693="","",SUM($G693:$I693))</f>
        <v/>
      </c>
      <c r="Q693" s="17" t="str">
        <f aca="false">IF($A693="","",SUM($J693:$L693))</f>
        <v/>
      </c>
      <c r="R693" s="17" t="str">
        <f aca="false">IF($A693="","",($M693+$Q693)-$P693)</f>
        <v/>
      </c>
      <c r="S693" s="18" t="str">
        <f aca="false">IF(OR($A693="",$P693=0),"",$R693/$P693)</f>
        <v/>
      </c>
      <c r="T693" s="23"/>
      <c r="U693" s="14" t="str">
        <f aca="false">IF($A693="","",IF($M693&gt;0,"Live","Exited"))</f>
        <v/>
      </c>
      <c r="V693" s="20" t="str">
        <f aca="false">IF($A693="","",IF($A693='Client Report'!$C$4,COUNTIFS($A$6:$A693,'Client Report'!$C$4),""))</f>
        <v/>
      </c>
    </row>
    <row r="694" customFormat="false" ht="15" hidden="false" customHeight="false" outlineLevel="0" collapsed="false">
      <c r="A694" s="11"/>
      <c r="B694" s="11"/>
      <c r="C694" s="14" t="str">
        <f aca="false">IF($B694="","",IFERROR(TRIM(LEFT($B694,FIND(" - ",$B694)-1)),"Others"))</f>
        <v/>
      </c>
      <c r="D694" s="11"/>
      <c r="E694" s="11"/>
      <c r="F694" s="12"/>
      <c r="G694" s="21"/>
      <c r="H694" s="21"/>
      <c r="I694" s="21"/>
      <c r="J694" s="21"/>
      <c r="K694" s="21"/>
      <c r="L694" s="21"/>
      <c r="M694" s="21"/>
      <c r="N694" s="22"/>
      <c r="O694" s="22"/>
      <c r="P694" s="17" t="str">
        <f aca="false">IF($A694="","",SUM($G694:$I694))</f>
        <v/>
      </c>
      <c r="Q694" s="17" t="str">
        <f aca="false">IF($A694="","",SUM($J694:$L694))</f>
        <v/>
      </c>
      <c r="R694" s="17" t="str">
        <f aca="false">IF($A694="","",($M694+$Q694)-$P694)</f>
        <v/>
      </c>
      <c r="S694" s="18" t="str">
        <f aca="false">IF(OR($A694="",$P694=0),"",$R694/$P694)</f>
        <v/>
      </c>
      <c r="T694" s="23"/>
      <c r="U694" s="14" t="str">
        <f aca="false">IF($A694="","",IF($M694&gt;0,"Live","Exited"))</f>
        <v/>
      </c>
      <c r="V694" s="20" t="str">
        <f aca="false">IF($A694="","",IF($A694='Client Report'!$C$4,COUNTIFS($A$6:$A694,'Client Report'!$C$4),""))</f>
        <v/>
      </c>
    </row>
    <row r="695" customFormat="false" ht="15" hidden="false" customHeight="false" outlineLevel="0" collapsed="false">
      <c r="A695" s="11"/>
      <c r="B695" s="11"/>
      <c r="C695" s="14" t="str">
        <f aca="false">IF($B695="","",IFERROR(TRIM(LEFT($B695,FIND(" - ",$B695)-1)),"Others"))</f>
        <v/>
      </c>
      <c r="D695" s="11"/>
      <c r="E695" s="11"/>
      <c r="F695" s="12"/>
      <c r="G695" s="21"/>
      <c r="H695" s="21"/>
      <c r="I695" s="21"/>
      <c r="J695" s="21"/>
      <c r="K695" s="21"/>
      <c r="L695" s="21"/>
      <c r="M695" s="21"/>
      <c r="N695" s="22"/>
      <c r="O695" s="22"/>
      <c r="P695" s="17" t="str">
        <f aca="false">IF($A695="","",SUM($G695:$I695))</f>
        <v/>
      </c>
      <c r="Q695" s="17" t="str">
        <f aca="false">IF($A695="","",SUM($J695:$L695))</f>
        <v/>
      </c>
      <c r="R695" s="17" t="str">
        <f aca="false">IF($A695="","",($M695+$Q695)-$P695)</f>
        <v/>
      </c>
      <c r="S695" s="18" t="str">
        <f aca="false">IF(OR($A695="",$P695=0),"",$R695/$P695)</f>
        <v/>
      </c>
      <c r="T695" s="23"/>
      <c r="U695" s="14" t="str">
        <f aca="false">IF($A695="","",IF($M695&gt;0,"Live","Exited"))</f>
        <v/>
      </c>
      <c r="V695" s="20" t="str">
        <f aca="false">IF($A695="","",IF($A695='Client Report'!$C$4,COUNTIFS($A$6:$A695,'Client Report'!$C$4),""))</f>
        <v/>
      </c>
    </row>
    <row r="696" customFormat="false" ht="15" hidden="false" customHeight="false" outlineLevel="0" collapsed="false">
      <c r="A696" s="11"/>
      <c r="B696" s="11"/>
      <c r="C696" s="14" t="str">
        <f aca="false">IF($B696="","",IFERROR(TRIM(LEFT($B696,FIND(" - ",$B696)-1)),"Others"))</f>
        <v/>
      </c>
      <c r="D696" s="11"/>
      <c r="E696" s="11"/>
      <c r="F696" s="12"/>
      <c r="G696" s="21"/>
      <c r="H696" s="21"/>
      <c r="I696" s="21"/>
      <c r="J696" s="21"/>
      <c r="K696" s="21"/>
      <c r="L696" s="21"/>
      <c r="M696" s="21"/>
      <c r="N696" s="22"/>
      <c r="O696" s="22"/>
      <c r="P696" s="17" t="str">
        <f aca="false">IF($A696="","",SUM($G696:$I696))</f>
        <v/>
      </c>
      <c r="Q696" s="17" t="str">
        <f aca="false">IF($A696="","",SUM($J696:$L696))</f>
        <v/>
      </c>
      <c r="R696" s="17" t="str">
        <f aca="false">IF($A696="","",($M696+$Q696)-$P696)</f>
        <v/>
      </c>
      <c r="S696" s="18" t="str">
        <f aca="false">IF(OR($A696="",$P696=0),"",$R696/$P696)</f>
        <v/>
      </c>
      <c r="T696" s="23"/>
      <c r="U696" s="14" t="str">
        <f aca="false">IF($A696="","",IF($M696&gt;0,"Live","Exited"))</f>
        <v/>
      </c>
      <c r="V696" s="20" t="str">
        <f aca="false">IF($A696="","",IF($A696='Client Report'!$C$4,COUNTIFS($A$6:$A696,'Client Report'!$C$4),""))</f>
        <v/>
      </c>
    </row>
    <row r="697" customFormat="false" ht="15" hidden="false" customHeight="false" outlineLevel="0" collapsed="false">
      <c r="A697" s="11"/>
      <c r="B697" s="11"/>
      <c r="C697" s="14" t="str">
        <f aca="false">IF($B697="","",IFERROR(TRIM(LEFT($B697,FIND(" - ",$B697)-1)),"Others"))</f>
        <v/>
      </c>
      <c r="D697" s="11"/>
      <c r="E697" s="11"/>
      <c r="F697" s="12"/>
      <c r="G697" s="21"/>
      <c r="H697" s="21"/>
      <c r="I697" s="21"/>
      <c r="J697" s="21"/>
      <c r="K697" s="21"/>
      <c r="L697" s="21"/>
      <c r="M697" s="21"/>
      <c r="N697" s="22"/>
      <c r="O697" s="22"/>
      <c r="P697" s="17" t="str">
        <f aca="false">IF($A697="","",SUM($G697:$I697))</f>
        <v/>
      </c>
      <c r="Q697" s="17" t="str">
        <f aca="false">IF($A697="","",SUM($J697:$L697))</f>
        <v/>
      </c>
      <c r="R697" s="17" t="str">
        <f aca="false">IF($A697="","",($M697+$Q697)-$P697)</f>
        <v/>
      </c>
      <c r="S697" s="18" t="str">
        <f aca="false">IF(OR($A697="",$P697=0),"",$R697/$P697)</f>
        <v/>
      </c>
      <c r="T697" s="23"/>
      <c r="U697" s="14" t="str">
        <f aca="false">IF($A697="","",IF($M697&gt;0,"Live","Exited"))</f>
        <v/>
      </c>
      <c r="V697" s="20" t="str">
        <f aca="false">IF($A697="","",IF($A697='Client Report'!$C$4,COUNTIFS($A$6:$A697,'Client Report'!$C$4),""))</f>
        <v/>
      </c>
    </row>
    <row r="698" customFormat="false" ht="15" hidden="false" customHeight="false" outlineLevel="0" collapsed="false">
      <c r="A698" s="11"/>
      <c r="B698" s="11"/>
      <c r="C698" s="14" t="str">
        <f aca="false">IF($B698="","",IFERROR(TRIM(LEFT($B698,FIND(" - ",$B698)-1)),"Others"))</f>
        <v/>
      </c>
      <c r="D698" s="11"/>
      <c r="E698" s="11"/>
      <c r="F698" s="12"/>
      <c r="G698" s="21"/>
      <c r="H698" s="21"/>
      <c r="I698" s="21"/>
      <c r="J698" s="21"/>
      <c r="K698" s="21"/>
      <c r="L698" s="21"/>
      <c r="M698" s="21"/>
      <c r="N698" s="22"/>
      <c r="O698" s="22"/>
      <c r="P698" s="17" t="str">
        <f aca="false">IF($A698="","",SUM($G698:$I698))</f>
        <v/>
      </c>
      <c r="Q698" s="17" t="str">
        <f aca="false">IF($A698="","",SUM($J698:$L698))</f>
        <v/>
      </c>
      <c r="R698" s="17" t="str">
        <f aca="false">IF($A698="","",($M698+$Q698)-$P698)</f>
        <v/>
      </c>
      <c r="S698" s="18" t="str">
        <f aca="false">IF(OR($A698="",$P698=0),"",$R698/$P698)</f>
        <v/>
      </c>
      <c r="T698" s="23"/>
      <c r="U698" s="14" t="str">
        <f aca="false">IF($A698="","",IF($M698&gt;0,"Live","Exited"))</f>
        <v/>
      </c>
      <c r="V698" s="20" t="str">
        <f aca="false">IF($A698="","",IF($A698='Client Report'!$C$4,COUNTIFS($A$6:$A698,'Client Report'!$C$4),""))</f>
        <v/>
      </c>
    </row>
    <row r="699" customFormat="false" ht="15" hidden="false" customHeight="false" outlineLevel="0" collapsed="false">
      <c r="A699" s="11"/>
      <c r="B699" s="11"/>
      <c r="C699" s="14" t="str">
        <f aca="false">IF($B699="","",IFERROR(TRIM(LEFT($B699,FIND(" - ",$B699)-1)),"Others"))</f>
        <v/>
      </c>
      <c r="D699" s="11"/>
      <c r="E699" s="11"/>
      <c r="F699" s="12"/>
      <c r="G699" s="21"/>
      <c r="H699" s="21"/>
      <c r="I699" s="21"/>
      <c r="J699" s="21"/>
      <c r="K699" s="21"/>
      <c r="L699" s="21"/>
      <c r="M699" s="21"/>
      <c r="N699" s="22"/>
      <c r="O699" s="22"/>
      <c r="P699" s="17" t="str">
        <f aca="false">IF($A699="","",SUM($G699:$I699))</f>
        <v/>
      </c>
      <c r="Q699" s="17" t="str">
        <f aca="false">IF($A699="","",SUM($J699:$L699))</f>
        <v/>
      </c>
      <c r="R699" s="17" t="str">
        <f aca="false">IF($A699="","",($M699+$Q699)-$P699)</f>
        <v/>
      </c>
      <c r="S699" s="18" t="str">
        <f aca="false">IF(OR($A699="",$P699=0),"",$R699/$P699)</f>
        <v/>
      </c>
      <c r="T699" s="23"/>
      <c r="U699" s="14" t="str">
        <f aca="false">IF($A699="","",IF($M699&gt;0,"Live","Exited"))</f>
        <v/>
      </c>
      <c r="V699" s="20" t="str">
        <f aca="false">IF($A699="","",IF($A699='Client Report'!$C$4,COUNTIFS($A$6:$A699,'Client Report'!$C$4),""))</f>
        <v/>
      </c>
    </row>
    <row r="700" customFormat="false" ht="15" hidden="false" customHeight="false" outlineLevel="0" collapsed="false">
      <c r="A700" s="11"/>
      <c r="B700" s="11"/>
      <c r="C700" s="14" t="str">
        <f aca="false">IF($B700="","",IFERROR(TRIM(LEFT($B700,FIND(" - ",$B700)-1)),"Others"))</f>
        <v/>
      </c>
      <c r="D700" s="11"/>
      <c r="E700" s="11"/>
      <c r="F700" s="12"/>
      <c r="G700" s="21"/>
      <c r="H700" s="21"/>
      <c r="I700" s="21"/>
      <c r="J700" s="21"/>
      <c r="K700" s="21"/>
      <c r="L700" s="21"/>
      <c r="M700" s="21"/>
      <c r="N700" s="22"/>
      <c r="O700" s="22"/>
      <c r="P700" s="17" t="str">
        <f aca="false">IF($A700="","",SUM($G700:$I700))</f>
        <v/>
      </c>
      <c r="Q700" s="17" t="str">
        <f aca="false">IF($A700="","",SUM($J700:$L700))</f>
        <v/>
      </c>
      <c r="R700" s="17" t="str">
        <f aca="false">IF($A700="","",($M700+$Q700)-$P700)</f>
        <v/>
      </c>
      <c r="S700" s="18" t="str">
        <f aca="false">IF(OR($A700="",$P700=0),"",$R700/$P700)</f>
        <v/>
      </c>
      <c r="T700" s="23"/>
      <c r="U700" s="14" t="str">
        <f aca="false">IF($A700="","",IF($M700&gt;0,"Live","Exited"))</f>
        <v/>
      </c>
      <c r="V700" s="20" t="str">
        <f aca="false">IF($A700="","",IF($A700='Client Report'!$C$4,COUNTIFS($A$6:$A700,'Client Report'!$C$4),""))</f>
        <v/>
      </c>
    </row>
    <row r="701" customFormat="false" ht="15" hidden="false" customHeight="false" outlineLevel="0" collapsed="false">
      <c r="A701" s="11"/>
      <c r="B701" s="11"/>
      <c r="C701" s="14" t="str">
        <f aca="false">IF($B701="","",IFERROR(TRIM(LEFT($B701,FIND(" - ",$B701)-1)),"Others"))</f>
        <v/>
      </c>
      <c r="D701" s="11"/>
      <c r="E701" s="11"/>
      <c r="F701" s="12"/>
      <c r="G701" s="21"/>
      <c r="H701" s="21"/>
      <c r="I701" s="21"/>
      <c r="J701" s="21"/>
      <c r="K701" s="21"/>
      <c r="L701" s="21"/>
      <c r="M701" s="21"/>
      <c r="N701" s="22"/>
      <c r="O701" s="22"/>
      <c r="P701" s="17" t="str">
        <f aca="false">IF($A701="","",SUM($G701:$I701))</f>
        <v/>
      </c>
      <c r="Q701" s="17" t="str">
        <f aca="false">IF($A701="","",SUM($J701:$L701))</f>
        <v/>
      </c>
      <c r="R701" s="17" t="str">
        <f aca="false">IF($A701="","",($M701+$Q701)-$P701)</f>
        <v/>
      </c>
      <c r="S701" s="18" t="str">
        <f aca="false">IF(OR($A701="",$P701=0),"",$R701/$P701)</f>
        <v/>
      </c>
      <c r="T701" s="23"/>
      <c r="U701" s="14" t="str">
        <f aca="false">IF($A701="","",IF($M701&gt;0,"Live","Exited"))</f>
        <v/>
      </c>
      <c r="V701" s="20" t="str">
        <f aca="false">IF($A701="","",IF($A701='Client Report'!$C$4,COUNTIFS($A$6:$A701,'Client Report'!$C$4),""))</f>
        <v/>
      </c>
    </row>
    <row r="702" customFormat="false" ht="15" hidden="false" customHeight="false" outlineLevel="0" collapsed="false">
      <c r="A702" s="11"/>
      <c r="B702" s="11"/>
      <c r="C702" s="14" t="str">
        <f aca="false">IF($B702="","",IFERROR(TRIM(LEFT($B702,FIND(" - ",$B702)-1)),"Others"))</f>
        <v/>
      </c>
      <c r="D702" s="11"/>
      <c r="E702" s="11"/>
      <c r="F702" s="12"/>
      <c r="G702" s="21"/>
      <c r="H702" s="21"/>
      <c r="I702" s="21"/>
      <c r="J702" s="21"/>
      <c r="K702" s="21"/>
      <c r="L702" s="21"/>
      <c r="M702" s="21"/>
      <c r="N702" s="22"/>
      <c r="O702" s="22"/>
      <c r="P702" s="17" t="str">
        <f aca="false">IF($A702="","",SUM($G702:$I702))</f>
        <v/>
      </c>
      <c r="Q702" s="17" t="str">
        <f aca="false">IF($A702="","",SUM($J702:$L702))</f>
        <v/>
      </c>
      <c r="R702" s="17" t="str">
        <f aca="false">IF($A702="","",($M702+$Q702)-$P702)</f>
        <v/>
      </c>
      <c r="S702" s="18" t="str">
        <f aca="false">IF(OR($A702="",$P702=0),"",$R702/$P702)</f>
        <v/>
      </c>
      <c r="T702" s="23"/>
      <c r="U702" s="14" t="str">
        <f aca="false">IF($A702="","",IF($M702&gt;0,"Live","Exited"))</f>
        <v/>
      </c>
      <c r="V702" s="20" t="str">
        <f aca="false">IF($A702="","",IF($A702='Client Report'!$C$4,COUNTIFS($A$6:$A702,'Client Report'!$C$4),""))</f>
        <v/>
      </c>
    </row>
    <row r="703" customFormat="false" ht="15" hidden="false" customHeight="false" outlineLevel="0" collapsed="false">
      <c r="A703" s="11"/>
      <c r="B703" s="11"/>
      <c r="C703" s="14" t="str">
        <f aca="false">IF($B703="","",IFERROR(TRIM(LEFT($B703,FIND(" - ",$B703)-1)),"Others"))</f>
        <v/>
      </c>
      <c r="D703" s="11"/>
      <c r="E703" s="11"/>
      <c r="F703" s="12"/>
      <c r="G703" s="21"/>
      <c r="H703" s="21"/>
      <c r="I703" s="21"/>
      <c r="J703" s="21"/>
      <c r="K703" s="21"/>
      <c r="L703" s="21"/>
      <c r="M703" s="21"/>
      <c r="N703" s="22"/>
      <c r="O703" s="22"/>
      <c r="P703" s="17" t="str">
        <f aca="false">IF($A703="","",SUM($G703:$I703))</f>
        <v/>
      </c>
      <c r="Q703" s="17" t="str">
        <f aca="false">IF($A703="","",SUM($J703:$L703))</f>
        <v/>
      </c>
      <c r="R703" s="17" t="str">
        <f aca="false">IF($A703="","",($M703+$Q703)-$P703)</f>
        <v/>
      </c>
      <c r="S703" s="18" t="str">
        <f aca="false">IF(OR($A703="",$P703=0),"",$R703/$P703)</f>
        <v/>
      </c>
      <c r="T703" s="23"/>
      <c r="U703" s="14" t="str">
        <f aca="false">IF($A703="","",IF($M703&gt;0,"Live","Exited"))</f>
        <v/>
      </c>
      <c r="V703" s="20" t="str">
        <f aca="false">IF($A703="","",IF($A703='Client Report'!$C$4,COUNTIFS($A$6:$A703,'Client Report'!$C$4),""))</f>
        <v/>
      </c>
    </row>
    <row r="704" customFormat="false" ht="15" hidden="false" customHeight="false" outlineLevel="0" collapsed="false">
      <c r="A704" s="11"/>
      <c r="B704" s="11"/>
      <c r="C704" s="14" t="str">
        <f aca="false">IF($B704="","",IFERROR(TRIM(LEFT($B704,FIND(" - ",$B704)-1)),"Others"))</f>
        <v/>
      </c>
      <c r="D704" s="11"/>
      <c r="E704" s="11"/>
      <c r="F704" s="12"/>
      <c r="G704" s="21"/>
      <c r="H704" s="21"/>
      <c r="I704" s="21"/>
      <c r="J704" s="21"/>
      <c r="K704" s="21"/>
      <c r="L704" s="21"/>
      <c r="M704" s="21"/>
      <c r="N704" s="22"/>
      <c r="O704" s="22"/>
      <c r="P704" s="17" t="str">
        <f aca="false">IF($A704="","",SUM($G704:$I704))</f>
        <v/>
      </c>
      <c r="Q704" s="17" t="str">
        <f aca="false">IF($A704="","",SUM($J704:$L704))</f>
        <v/>
      </c>
      <c r="R704" s="17" t="str">
        <f aca="false">IF($A704="","",($M704+$Q704)-$P704)</f>
        <v/>
      </c>
      <c r="S704" s="18" t="str">
        <f aca="false">IF(OR($A704="",$P704=0),"",$R704/$P704)</f>
        <v/>
      </c>
      <c r="T704" s="23"/>
      <c r="U704" s="14" t="str">
        <f aca="false">IF($A704="","",IF($M704&gt;0,"Live","Exited"))</f>
        <v/>
      </c>
      <c r="V704" s="20" t="str">
        <f aca="false">IF($A704="","",IF($A704='Client Report'!$C$4,COUNTIFS($A$6:$A704,'Client Report'!$C$4),""))</f>
        <v/>
      </c>
    </row>
    <row r="705" customFormat="false" ht="15" hidden="false" customHeight="false" outlineLevel="0" collapsed="false">
      <c r="A705" s="11"/>
      <c r="B705" s="11"/>
      <c r="C705" s="14" t="str">
        <f aca="false">IF($B705="","",IFERROR(TRIM(LEFT($B705,FIND(" - ",$B705)-1)),"Others"))</f>
        <v/>
      </c>
      <c r="D705" s="11"/>
      <c r="E705" s="11"/>
      <c r="F705" s="12"/>
      <c r="G705" s="21"/>
      <c r="H705" s="21"/>
      <c r="I705" s="21"/>
      <c r="J705" s="21"/>
      <c r="K705" s="21"/>
      <c r="L705" s="21"/>
      <c r="M705" s="21"/>
      <c r="N705" s="22"/>
      <c r="O705" s="22"/>
      <c r="P705" s="17" t="str">
        <f aca="false">IF($A705="","",SUM($G705:$I705))</f>
        <v/>
      </c>
      <c r="Q705" s="17" t="str">
        <f aca="false">IF($A705="","",SUM($J705:$L705))</f>
        <v/>
      </c>
      <c r="R705" s="17" t="str">
        <f aca="false">IF($A705="","",($M705+$Q705)-$P705)</f>
        <v/>
      </c>
      <c r="S705" s="18" t="str">
        <f aca="false">IF(OR($A705="",$P705=0),"",$R705/$P705)</f>
        <v/>
      </c>
      <c r="T705" s="23"/>
      <c r="U705" s="14" t="str">
        <f aca="false">IF($A705="","",IF($M705&gt;0,"Live","Exited"))</f>
        <v/>
      </c>
      <c r="V705" s="20" t="str">
        <f aca="false">IF($A705="","",IF($A705='Client Report'!$C$4,COUNTIFS($A$6:$A705,'Client Report'!$C$4),""))</f>
        <v/>
      </c>
    </row>
    <row r="706" customFormat="false" ht="15" hidden="false" customHeight="false" outlineLevel="0" collapsed="false">
      <c r="A706" s="11"/>
      <c r="B706" s="11"/>
      <c r="C706" s="14" t="str">
        <f aca="false">IF($B706="","",IFERROR(TRIM(LEFT($B706,FIND(" - ",$B706)-1)),"Others"))</f>
        <v/>
      </c>
      <c r="D706" s="11"/>
      <c r="E706" s="11"/>
      <c r="F706" s="12"/>
      <c r="G706" s="21"/>
      <c r="H706" s="21"/>
      <c r="I706" s="21"/>
      <c r="J706" s="21"/>
      <c r="K706" s="21"/>
      <c r="L706" s="21"/>
      <c r="M706" s="21"/>
      <c r="N706" s="22"/>
      <c r="O706" s="22"/>
      <c r="P706" s="17" t="str">
        <f aca="false">IF($A706="","",SUM($G706:$I706))</f>
        <v/>
      </c>
      <c r="Q706" s="17" t="str">
        <f aca="false">IF($A706="","",SUM($J706:$L706))</f>
        <v/>
      </c>
      <c r="R706" s="17" t="str">
        <f aca="false">IF($A706="","",($M706+$Q706)-$P706)</f>
        <v/>
      </c>
      <c r="S706" s="18" t="str">
        <f aca="false">IF(OR($A706="",$P706=0),"",$R706/$P706)</f>
        <v/>
      </c>
      <c r="T706" s="23"/>
      <c r="U706" s="14" t="str">
        <f aca="false">IF($A706="","",IF($M706&gt;0,"Live","Exited"))</f>
        <v/>
      </c>
      <c r="V706" s="20" t="str">
        <f aca="false">IF($A706="","",IF($A706='Client Report'!$C$4,COUNTIFS($A$6:$A706,'Client Report'!$C$4),""))</f>
        <v/>
      </c>
    </row>
    <row r="707" customFormat="false" ht="15" hidden="false" customHeight="false" outlineLevel="0" collapsed="false">
      <c r="A707" s="11"/>
      <c r="B707" s="11"/>
      <c r="C707" s="14" t="str">
        <f aca="false">IF($B707="","",IFERROR(TRIM(LEFT($B707,FIND(" - ",$B707)-1)),"Others"))</f>
        <v/>
      </c>
      <c r="D707" s="11"/>
      <c r="E707" s="11"/>
      <c r="F707" s="12"/>
      <c r="G707" s="21"/>
      <c r="H707" s="21"/>
      <c r="I707" s="21"/>
      <c r="J707" s="21"/>
      <c r="K707" s="21"/>
      <c r="L707" s="21"/>
      <c r="M707" s="21"/>
      <c r="N707" s="22"/>
      <c r="O707" s="22"/>
      <c r="P707" s="17" t="str">
        <f aca="false">IF($A707="","",SUM($G707:$I707))</f>
        <v/>
      </c>
      <c r="Q707" s="17" t="str">
        <f aca="false">IF($A707="","",SUM($J707:$L707))</f>
        <v/>
      </c>
      <c r="R707" s="17" t="str">
        <f aca="false">IF($A707="","",($M707+$Q707)-$P707)</f>
        <v/>
      </c>
      <c r="S707" s="18" t="str">
        <f aca="false">IF(OR($A707="",$P707=0),"",$R707/$P707)</f>
        <v/>
      </c>
      <c r="T707" s="23"/>
      <c r="U707" s="14" t="str">
        <f aca="false">IF($A707="","",IF($M707&gt;0,"Live","Exited"))</f>
        <v/>
      </c>
      <c r="V707" s="20" t="str">
        <f aca="false">IF($A707="","",IF($A707='Client Report'!$C$4,COUNTIFS($A$6:$A707,'Client Report'!$C$4),""))</f>
        <v/>
      </c>
    </row>
    <row r="708" customFormat="false" ht="15" hidden="false" customHeight="false" outlineLevel="0" collapsed="false">
      <c r="A708" s="11"/>
      <c r="B708" s="11"/>
      <c r="C708" s="14" t="str">
        <f aca="false">IF($B708="","",IFERROR(TRIM(LEFT($B708,FIND(" - ",$B708)-1)),"Others"))</f>
        <v/>
      </c>
      <c r="D708" s="11"/>
      <c r="E708" s="11"/>
      <c r="F708" s="12"/>
      <c r="G708" s="21"/>
      <c r="H708" s="21"/>
      <c r="I708" s="21"/>
      <c r="J708" s="21"/>
      <c r="K708" s="21"/>
      <c r="L708" s="21"/>
      <c r="M708" s="21"/>
      <c r="N708" s="22"/>
      <c r="O708" s="22"/>
      <c r="P708" s="17" t="str">
        <f aca="false">IF($A708="","",SUM($G708:$I708))</f>
        <v/>
      </c>
      <c r="Q708" s="17" t="str">
        <f aca="false">IF($A708="","",SUM($J708:$L708))</f>
        <v/>
      </c>
      <c r="R708" s="17" t="str">
        <f aca="false">IF($A708="","",($M708+$Q708)-$P708)</f>
        <v/>
      </c>
      <c r="S708" s="18" t="str">
        <f aca="false">IF(OR($A708="",$P708=0),"",$R708/$P708)</f>
        <v/>
      </c>
      <c r="T708" s="23"/>
      <c r="U708" s="14" t="str">
        <f aca="false">IF($A708="","",IF($M708&gt;0,"Live","Exited"))</f>
        <v/>
      </c>
      <c r="V708" s="20" t="str">
        <f aca="false">IF($A708="","",IF($A708='Client Report'!$C$4,COUNTIFS($A$6:$A708,'Client Report'!$C$4),""))</f>
        <v/>
      </c>
    </row>
    <row r="709" customFormat="false" ht="15" hidden="false" customHeight="false" outlineLevel="0" collapsed="false">
      <c r="A709" s="11"/>
      <c r="B709" s="11"/>
      <c r="C709" s="14" t="str">
        <f aca="false">IF($B709="","",IFERROR(TRIM(LEFT($B709,FIND(" - ",$B709)-1)),"Others"))</f>
        <v/>
      </c>
      <c r="D709" s="11"/>
      <c r="E709" s="11"/>
      <c r="F709" s="12"/>
      <c r="G709" s="21"/>
      <c r="H709" s="21"/>
      <c r="I709" s="21"/>
      <c r="J709" s="21"/>
      <c r="K709" s="21"/>
      <c r="L709" s="21"/>
      <c r="M709" s="21"/>
      <c r="N709" s="22"/>
      <c r="O709" s="22"/>
      <c r="P709" s="17" t="str">
        <f aca="false">IF($A709="","",SUM($G709:$I709))</f>
        <v/>
      </c>
      <c r="Q709" s="17" t="str">
        <f aca="false">IF($A709="","",SUM($J709:$L709))</f>
        <v/>
      </c>
      <c r="R709" s="17" t="str">
        <f aca="false">IF($A709="","",($M709+$Q709)-$P709)</f>
        <v/>
      </c>
      <c r="S709" s="18" t="str">
        <f aca="false">IF(OR($A709="",$P709=0),"",$R709/$P709)</f>
        <v/>
      </c>
      <c r="T709" s="23"/>
      <c r="U709" s="14" t="str">
        <f aca="false">IF($A709="","",IF($M709&gt;0,"Live","Exited"))</f>
        <v/>
      </c>
      <c r="V709" s="20" t="str">
        <f aca="false">IF($A709="","",IF($A709='Client Report'!$C$4,COUNTIFS($A$6:$A709,'Client Report'!$C$4),""))</f>
        <v/>
      </c>
    </row>
    <row r="710" customFormat="false" ht="15" hidden="false" customHeight="false" outlineLevel="0" collapsed="false">
      <c r="A710" s="11"/>
      <c r="B710" s="11"/>
      <c r="C710" s="14" t="str">
        <f aca="false">IF($B710="","",IFERROR(TRIM(LEFT($B710,FIND(" - ",$B710)-1)),"Others"))</f>
        <v/>
      </c>
      <c r="D710" s="11"/>
      <c r="E710" s="11"/>
      <c r="F710" s="12"/>
      <c r="G710" s="21"/>
      <c r="H710" s="21"/>
      <c r="I710" s="21"/>
      <c r="J710" s="21"/>
      <c r="K710" s="21"/>
      <c r="L710" s="21"/>
      <c r="M710" s="21"/>
      <c r="N710" s="22"/>
      <c r="O710" s="22"/>
      <c r="P710" s="17" t="str">
        <f aca="false">IF($A710="","",SUM($G710:$I710))</f>
        <v/>
      </c>
      <c r="Q710" s="17" t="str">
        <f aca="false">IF($A710="","",SUM($J710:$L710))</f>
        <v/>
      </c>
      <c r="R710" s="17" t="str">
        <f aca="false">IF($A710="","",($M710+$Q710)-$P710)</f>
        <v/>
      </c>
      <c r="S710" s="18" t="str">
        <f aca="false">IF(OR($A710="",$P710=0),"",$R710/$P710)</f>
        <v/>
      </c>
      <c r="T710" s="23"/>
      <c r="U710" s="14" t="str">
        <f aca="false">IF($A710="","",IF($M710&gt;0,"Live","Exited"))</f>
        <v/>
      </c>
      <c r="V710" s="20" t="str">
        <f aca="false">IF($A710="","",IF($A710='Client Report'!$C$4,COUNTIFS($A$6:$A710,'Client Report'!$C$4),""))</f>
        <v/>
      </c>
    </row>
    <row r="711" customFormat="false" ht="15" hidden="false" customHeight="false" outlineLevel="0" collapsed="false">
      <c r="A711" s="11"/>
      <c r="B711" s="11"/>
      <c r="C711" s="14" t="str">
        <f aca="false">IF($B711="","",IFERROR(TRIM(LEFT($B711,FIND(" - ",$B711)-1)),"Others"))</f>
        <v/>
      </c>
      <c r="D711" s="11"/>
      <c r="E711" s="11"/>
      <c r="F711" s="12"/>
      <c r="G711" s="21"/>
      <c r="H711" s="21"/>
      <c r="I711" s="21"/>
      <c r="J711" s="21"/>
      <c r="K711" s="21"/>
      <c r="L711" s="21"/>
      <c r="M711" s="21"/>
      <c r="N711" s="22"/>
      <c r="O711" s="22"/>
      <c r="P711" s="17" t="str">
        <f aca="false">IF($A711="","",SUM($G711:$I711))</f>
        <v/>
      </c>
      <c r="Q711" s="17" t="str">
        <f aca="false">IF($A711="","",SUM($J711:$L711))</f>
        <v/>
      </c>
      <c r="R711" s="17" t="str">
        <f aca="false">IF($A711="","",($M711+$Q711)-$P711)</f>
        <v/>
      </c>
      <c r="S711" s="18" t="str">
        <f aca="false">IF(OR($A711="",$P711=0),"",$R711/$P711)</f>
        <v/>
      </c>
      <c r="T711" s="23"/>
      <c r="U711" s="14" t="str">
        <f aca="false">IF($A711="","",IF($M711&gt;0,"Live","Exited"))</f>
        <v/>
      </c>
      <c r="V711" s="20" t="str">
        <f aca="false">IF($A711="","",IF($A711='Client Report'!$C$4,COUNTIFS($A$6:$A711,'Client Report'!$C$4),""))</f>
        <v/>
      </c>
    </row>
    <row r="712" customFormat="false" ht="15" hidden="false" customHeight="false" outlineLevel="0" collapsed="false">
      <c r="A712" s="11"/>
      <c r="B712" s="11"/>
      <c r="C712" s="14" t="str">
        <f aca="false">IF($B712="","",IFERROR(TRIM(LEFT($B712,FIND(" - ",$B712)-1)),"Others"))</f>
        <v/>
      </c>
      <c r="D712" s="11"/>
      <c r="E712" s="11"/>
      <c r="F712" s="12"/>
      <c r="G712" s="21"/>
      <c r="H712" s="21"/>
      <c r="I712" s="21"/>
      <c r="J712" s="21"/>
      <c r="K712" s="21"/>
      <c r="L712" s="21"/>
      <c r="M712" s="21"/>
      <c r="N712" s="22"/>
      <c r="O712" s="22"/>
      <c r="P712" s="17" t="str">
        <f aca="false">IF($A712="","",SUM($G712:$I712))</f>
        <v/>
      </c>
      <c r="Q712" s="17" t="str">
        <f aca="false">IF($A712="","",SUM($J712:$L712))</f>
        <v/>
      </c>
      <c r="R712" s="17" t="str">
        <f aca="false">IF($A712="","",($M712+$Q712)-$P712)</f>
        <v/>
      </c>
      <c r="S712" s="18" t="str">
        <f aca="false">IF(OR($A712="",$P712=0),"",$R712/$P712)</f>
        <v/>
      </c>
      <c r="T712" s="23"/>
      <c r="U712" s="14" t="str">
        <f aca="false">IF($A712="","",IF($M712&gt;0,"Live","Exited"))</f>
        <v/>
      </c>
      <c r="V712" s="20" t="str">
        <f aca="false">IF($A712="","",IF($A712='Client Report'!$C$4,COUNTIFS($A$6:$A712,'Client Report'!$C$4),""))</f>
        <v/>
      </c>
    </row>
    <row r="713" customFormat="false" ht="15" hidden="false" customHeight="false" outlineLevel="0" collapsed="false">
      <c r="A713" s="11"/>
      <c r="B713" s="11"/>
      <c r="C713" s="14" t="str">
        <f aca="false">IF($B713="","",IFERROR(TRIM(LEFT($B713,FIND(" - ",$B713)-1)),"Others"))</f>
        <v/>
      </c>
      <c r="D713" s="11"/>
      <c r="E713" s="11"/>
      <c r="F713" s="12"/>
      <c r="G713" s="21"/>
      <c r="H713" s="21"/>
      <c r="I713" s="21"/>
      <c r="J713" s="21"/>
      <c r="K713" s="21"/>
      <c r="L713" s="21"/>
      <c r="M713" s="21"/>
      <c r="N713" s="22"/>
      <c r="O713" s="22"/>
      <c r="P713" s="17" t="str">
        <f aca="false">IF($A713="","",SUM($G713:$I713))</f>
        <v/>
      </c>
      <c r="Q713" s="17" t="str">
        <f aca="false">IF($A713="","",SUM($J713:$L713))</f>
        <v/>
      </c>
      <c r="R713" s="17" t="str">
        <f aca="false">IF($A713="","",($M713+$Q713)-$P713)</f>
        <v/>
      </c>
      <c r="S713" s="18" t="str">
        <f aca="false">IF(OR($A713="",$P713=0),"",$R713/$P713)</f>
        <v/>
      </c>
      <c r="T713" s="23"/>
      <c r="U713" s="14" t="str">
        <f aca="false">IF($A713="","",IF($M713&gt;0,"Live","Exited"))</f>
        <v/>
      </c>
      <c r="V713" s="20" t="str">
        <f aca="false">IF($A713="","",IF($A713='Client Report'!$C$4,COUNTIFS($A$6:$A713,'Client Report'!$C$4),""))</f>
        <v/>
      </c>
    </row>
    <row r="714" customFormat="false" ht="15" hidden="false" customHeight="false" outlineLevel="0" collapsed="false">
      <c r="A714" s="11"/>
      <c r="B714" s="11"/>
      <c r="C714" s="14" t="str">
        <f aca="false">IF($B714="","",IFERROR(TRIM(LEFT($B714,FIND(" - ",$B714)-1)),"Others"))</f>
        <v/>
      </c>
      <c r="D714" s="11"/>
      <c r="E714" s="11"/>
      <c r="F714" s="12"/>
      <c r="G714" s="21"/>
      <c r="H714" s="21"/>
      <c r="I714" s="21"/>
      <c r="J714" s="21"/>
      <c r="K714" s="21"/>
      <c r="L714" s="21"/>
      <c r="M714" s="21"/>
      <c r="N714" s="22"/>
      <c r="O714" s="22"/>
      <c r="P714" s="17" t="str">
        <f aca="false">IF($A714="","",SUM($G714:$I714))</f>
        <v/>
      </c>
      <c r="Q714" s="17" t="str">
        <f aca="false">IF($A714="","",SUM($J714:$L714))</f>
        <v/>
      </c>
      <c r="R714" s="17" t="str">
        <f aca="false">IF($A714="","",($M714+$Q714)-$P714)</f>
        <v/>
      </c>
      <c r="S714" s="18" t="str">
        <f aca="false">IF(OR($A714="",$P714=0),"",$R714/$P714)</f>
        <v/>
      </c>
      <c r="T714" s="23"/>
      <c r="U714" s="14" t="str">
        <f aca="false">IF($A714="","",IF($M714&gt;0,"Live","Exited"))</f>
        <v/>
      </c>
      <c r="V714" s="20" t="str">
        <f aca="false">IF($A714="","",IF($A714='Client Report'!$C$4,COUNTIFS($A$6:$A714,'Client Report'!$C$4),""))</f>
        <v/>
      </c>
    </row>
    <row r="715" customFormat="false" ht="15" hidden="false" customHeight="false" outlineLevel="0" collapsed="false">
      <c r="A715" s="11"/>
      <c r="B715" s="11"/>
      <c r="C715" s="14" t="str">
        <f aca="false">IF($B715="","",IFERROR(TRIM(LEFT($B715,FIND(" - ",$B715)-1)),"Others"))</f>
        <v/>
      </c>
      <c r="D715" s="11"/>
      <c r="E715" s="11"/>
      <c r="F715" s="12"/>
      <c r="G715" s="21"/>
      <c r="H715" s="21"/>
      <c r="I715" s="21"/>
      <c r="J715" s="21"/>
      <c r="K715" s="21"/>
      <c r="L715" s="21"/>
      <c r="M715" s="21"/>
      <c r="N715" s="22"/>
      <c r="O715" s="22"/>
      <c r="P715" s="17" t="str">
        <f aca="false">IF($A715="","",SUM($G715:$I715))</f>
        <v/>
      </c>
      <c r="Q715" s="17" t="str">
        <f aca="false">IF($A715="","",SUM($J715:$L715))</f>
        <v/>
      </c>
      <c r="R715" s="17" t="str">
        <f aca="false">IF($A715="","",($M715+$Q715)-$P715)</f>
        <v/>
      </c>
      <c r="S715" s="18" t="str">
        <f aca="false">IF(OR($A715="",$P715=0),"",$R715/$P715)</f>
        <v/>
      </c>
      <c r="T715" s="23"/>
      <c r="U715" s="14" t="str">
        <f aca="false">IF($A715="","",IF($M715&gt;0,"Live","Exited"))</f>
        <v/>
      </c>
      <c r="V715" s="20" t="str">
        <f aca="false">IF($A715="","",IF($A715='Client Report'!$C$4,COUNTIFS($A$6:$A715,'Client Report'!$C$4),""))</f>
        <v/>
      </c>
    </row>
    <row r="716" customFormat="false" ht="15" hidden="false" customHeight="false" outlineLevel="0" collapsed="false">
      <c r="A716" s="11"/>
      <c r="B716" s="11"/>
      <c r="C716" s="14" t="str">
        <f aca="false">IF($B716="","",IFERROR(TRIM(LEFT($B716,FIND(" - ",$B716)-1)),"Others"))</f>
        <v/>
      </c>
      <c r="D716" s="11"/>
      <c r="E716" s="11"/>
      <c r="F716" s="12"/>
      <c r="G716" s="21"/>
      <c r="H716" s="21"/>
      <c r="I716" s="21"/>
      <c r="J716" s="21"/>
      <c r="K716" s="21"/>
      <c r="L716" s="21"/>
      <c r="M716" s="21"/>
      <c r="N716" s="22"/>
      <c r="O716" s="22"/>
      <c r="P716" s="17" t="str">
        <f aca="false">IF($A716="","",SUM($G716:$I716))</f>
        <v/>
      </c>
      <c r="Q716" s="17" t="str">
        <f aca="false">IF($A716="","",SUM($J716:$L716))</f>
        <v/>
      </c>
      <c r="R716" s="17" t="str">
        <f aca="false">IF($A716="","",($M716+$Q716)-$P716)</f>
        <v/>
      </c>
      <c r="S716" s="18" t="str">
        <f aca="false">IF(OR($A716="",$P716=0),"",$R716/$P716)</f>
        <v/>
      </c>
      <c r="T716" s="23"/>
      <c r="U716" s="14" t="str">
        <f aca="false">IF($A716="","",IF($M716&gt;0,"Live","Exited"))</f>
        <v/>
      </c>
      <c r="V716" s="20" t="str">
        <f aca="false">IF($A716="","",IF($A716='Client Report'!$C$4,COUNTIFS($A$6:$A716,'Client Report'!$C$4),""))</f>
        <v/>
      </c>
    </row>
    <row r="717" customFormat="false" ht="15" hidden="false" customHeight="false" outlineLevel="0" collapsed="false">
      <c r="A717" s="11"/>
      <c r="B717" s="11"/>
      <c r="C717" s="14" t="str">
        <f aca="false">IF($B717="","",IFERROR(TRIM(LEFT($B717,FIND(" - ",$B717)-1)),"Others"))</f>
        <v/>
      </c>
      <c r="D717" s="11"/>
      <c r="E717" s="11"/>
      <c r="F717" s="12"/>
      <c r="G717" s="21"/>
      <c r="H717" s="21"/>
      <c r="I717" s="21"/>
      <c r="J717" s="21"/>
      <c r="K717" s="21"/>
      <c r="L717" s="21"/>
      <c r="M717" s="21"/>
      <c r="N717" s="22"/>
      <c r="O717" s="22"/>
      <c r="P717" s="17" t="str">
        <f aca="false">IF($A717="","",SUM($G717:$I717))</f>
        <v/>
      </c>
      <c r="Q717" s="17" t="str">
        <f aca="false">IF($A717="","",SUM($J717:$L717))</f>
        <v/>
      </c>
      <c r="R717" s="17" t="str">
        <f aca="false">IF($A717="","",($M717+$Q717)-$P717)</f>
        <v/>
      </c>
      <c r="S717" s="18" t="str">
        <f aca="false">IF(OR($A717="",$P717=0),"",$R717/$P717)</f>
        <v/>
      </c>
      <c r="T717" s="23"/>
      <c r="U717" s="14" t="str">
        <f aca="false">IF($A717="","",IF($M717&gt;0,"Live","Exited"))</f>
        <v/>
      </c>
      <c r="V717" s="20" t="str">
        <f aca="false">IF($A717="","",IF($A717='Client Report'!$C$4,COUNTIFS($A$6:$A717,'Client Report'!$C$4),""))</f>
        <v/>
      </c>
    </row>
    <row r="718" customFormat="false" ht="15" hidden="false" customHeight="false" outlineLevel="0" collapsed="false">
      <c r="A718" s="11"/>
      <c r="B718" s="11"/>
      <c r="C718" s="14" t="str">
        <f aca="false">IF($B718="","",IFERROR(TRIM(LEFT($B718,FIND(" - ",$B718)-1)),"Others"))</f>
        <v/>
      </c>
      <c r="D718" s="11"/>
      <c r="E718" s="11"/>
      <c r="F718" s="12"/>
      <c r="G718" s="21"/>
      <c r="H718" s="21"/>
      <c r="I718" s="21"/>
      <c r="J718" s="21"/>
      <c r="K718" s="21"/>
      <c r="L718" s="21"/>
      <c r="M718" s="21"/>
      <c r="N718" s="22"/>
      <c r="O718" s="22"/>
      <c r="P718" s="17" t="str">
        <f aca="false">IF($A718="","",SUM($G718:$I718))</f>
        <v/>
      </c>
      <c r="Q718" s="17" t="str">
        <f aca="false">IF($A718="","",SUM($J718:$L718))</f>
        <v/>
      </c>
      <c r="R718" s="17" t="str">
        <f aca="false">IF($A718="","",($M718+$Q718)-$P718)</f>
        <v/>
      </c>
      <c r="S718" s="18" t="str">
        <f aca="false">IF(OR($A718="",$P718=0),"",$R718/$P718)</f>
        <v/>
      </c>
      <c r="T718" s="23"/>
      <c r="U718" s="14" t="str">
        <f aca="false">IF($A718="","",IF($M718&gt;0,"Live","Exited"))</f>
        <v/>
      </c>
      <c r="V718" s="20" t="str">
        <f aca="false">IF($A718="","",IF($A718='Client Report'!$C$4,COUNTIFS($A$6:$A718,'Client Report'!$C$4),""))</f>
        <v/>
      </c>
    </row>
    <row r="719" customFormat="false" ht="15" hidden="false" customHeight="false" outlineLevel="0" collapsed="false">
      <c r="A719" s="11"/>
      <c r="B719" s="11"/>
      <c r="C719" s="14" t="str">
        <f aca="false">IF($B719="","",IFERROR(TRIM(LEFT($B719,FIND(" - ",$B719)-1)),"Others"))</f>
        <v/>
      </c>
      <c r="D719" s="11"/>
      <c r="E719" s="11"/>
      <c r="F719" s="12"/>
      <c r="G719" s="21"/>
      <c r="H719" s="21"/>
      <c r="I719" s="21"/>
      <c r="J719" s="21"/>
      <c r="K719" s="21"/>
      <c r="L719" s="21"/>
      <c r="M719" s="21"/>
      <c r="N719" s="22"/>
      <c r="O719" s="22"/>
      <c r="P719" s="17" t="str">
        <f aca="false">IF($A719="","",SUM($G719:$I719))</f>
        <v/>
      </c>
      <c r="Q719" s="17" t="str">
        <f aca="false">IF($A719="","",SUM($J719:$L719))</f>
        <v/>
      </c>
      <c r="R719" s="17" t="str">
        <f aca="false">IF($A719="","",($M719+$Q719)-$P719)</f>
        <v/>
      </c>
      <c r="S719" s="18" t="str">
        <f aca="false">IF(OR($A719="",$P719=0),"",$R719/$P719)</f>
        <v/>
      </c>
      <c r="T719" s="23"/>
      <c r="U719" s="14" t="str">
        <f aca="false">IF($A719="","",IF($M719&gt;0,"Live","Exited"))</f>
        <v/>
      </c>
      <c r="V719" s="20" t="str">
        <f aca="false">IF($A719="","",IF($A719='Client Report'!$C$4,COUNTIFS($A$6:$A719,'Client Report'!$C$4),""))</f>
        <v/>
      </c>
    </row>
    <row r="720" customFormat="false" ht="15" hidden="false" customHeight="false" outlineLevel="0" collapsed="false">
      <c r="A720" s="11"/>
      <c r="B720" s="11"/>
      <c r="C720" s="14" t="str">
        <f aca="false">IF($B720="","",IFERROR(TRIM(LEFT($B720,FIND(" - ",$B720)-1)),"Others"))</f>
        <v/>
      </c>
      <c r="D720" s="11"/>
      <c r="E720" s="11"/>
      <c r="F720" s="12"/>
      <c r="G720" s="21"/>
      <c r="H720" s="21"/>
      <c r="I720" s="21"/>
      <c r="J720" s="21"/>
      <c r="K720" s="21"/>
      <c r="L720" s="21"/>
      <c r="M720" s="21"/>
      <c r="N720" s="22"/>
      <c r="O720" s="22"/>
      <c r="P720" s="17" t="str">
        <f aca="false">IF($A720="","",SUM($G720:$I720))</f>
        <v/>
      </c>
      <c r="Q720" s="17" t="str">
        <f aca="false">IF($A720="","",SUM($J720:$L720))</f>
        <v/>
      </c>
      <c r="R720" s="17" t="str">
        <f aca="false">IF($A720="","",($M720+$Q720)-$P720)</f>
        <v/>
      </c>
      <c r="S720" s="18" t="str">
        <f aca="false">IF(OR($A720="",$P720=0),"",$R720/$P720)</f>
        <v/>
      </c>
      <c r="T720" s="23"/>
      <c r="U720" s="14" t="str">
        <f aca="false">IF($A720="","",IF($M720&gt;0,"Live","Exited"))</f>
        <v/>
      </c>
      <c r="V720" s="20" t="str">
        <f aca="false">IF($A720="","",IF($A720='Client Report'!$C$4,COUNTIFS($A$6:$A720,'Client Report'!$C$4),""))</f>
        <v/>
      </c>
    </row>
    <row r="721" customFormat="false" ht="15" hidden="false" customHeight="false" outlineLevel="0" collapsed="false">
      <c r="A721" s="11"/>
      <c r="B721" s="11"/>
      <c r="C721" s="14" t="str">
        <f aca="false">IF($B721="","",IFERROR(TRIM(LEFT($B721,FIND(" - ",$B721)-1)),"Others"))</f>
        <v/>
      </c>
      <c r="D721" s="11"/>
      <c r="E721" s="11"/>
      <c r="F721" s="12"/>
      <c r="G721" s="21"/>
      <c r="H721" s="21"/>
      <c r="I721" s="21"/>
      <c r="J721" s="21"/>
      <c r="K721" s="21"/>
      <c r="L721" s="21"/>
      <c r="M721" s="21"/>
      <c r="N721" s="22"/>
      <c r="O721" s="22"/>
      <c r="P721" s="17" t="str">
        <f aca="false">IF($A721="","",SUM($G721:$I721))</f>
        <v/>
      </c>
      <c r="Q721" s="17" t="str">
        <f aca="false">IF($A721="","",SUM($J721:$L721))</f>
        <v/>
      </c>
      <c r="R721" s="17" t="str">
        <f aca="false">IF($A721="","",($M721+$Q721)-$P721)</f>
        <v/>
      </c>
      <c r="S721" s="18" t="str">
        <f aca="false">IF(OR($A721="",$P721=0),"",$R721/$P721)</f>
        <v/>
      </c>
      <c r="T721" s="23"/>
      <c r="U721" s="14" t="str">
        <f aca="false">IF($A721="","",IF($M721&gt;0,"Live","Exited"))</f>
        <v/>
      </c>
      <c r="V721" s="20" t="str">
        <f aca="false">IF($A721="","",IF($A721='Client Report'!$C$4,COUNTIFS($A$6:$A721,'Client Report'!$C$4),""))</f>
        <v/>
      </c>
    </row>
    <row r="722" customFormat="false" ht="15" hidden="false" customHeight="false" outlineLevel="0" collapsed="false">
      <c r="A722" s="11"/>
      <c r="B722" s="11"/>
      <c r="C722" s="14" t="str">
        <f aca="false">IF($B722="","",IFERROR(TRIM(LEFT($B722,FIND(" - ",$B722)-1)),"Others"))</f>
        <v/>
      </c>
      <c r="D722" s="11"/>
      <c r="E722" s="11"/>
      <c r="F722" s="12"/>
      <c r="G722" s="21"/>
      <c r="H722" s="21"/>
      <c r="I722" s="21"/>
      <c r="J722" s="21"/>
      <c r="K722" s="21"/>
      <c r="L722" s="21"/>
      <c r="M722" s="21"/>
      <c r="N722" s="22"/>
      <c r="O722" s="22"/>
      <c r="P722" s="17" t="str">
        <f aca="false">IF($A722="","",SUM($G722:$I722))</f>
        <v/>
      </c>
      <c r="Q722" s="17" t="str">
        <f aca="false">IF($A722="","",SUM($J722:$L722))</f>
        <v/>
      </c>
      <c r="R722" s="17" t="str">
        <f aca="false">IF($A722="","",($M722+$Q722)-$P722)</f>
        <v/>
      </c>
      <c r="S722" s="18" t="str">
        <f aca="false">IF(OR($A722="",$P722=0),"",$R722/$P722)</f>
        <v/>
      </c>
      <c r="T722" s="23"/>
      <c r="U722" s="14" t="str">
        <f aca="false">IF($A722="","",IF($M722&gt;0,"Live","Exited"))</f>
        <v/>
      </c>
      <c r="V722" s="20" t="str">
        <f aca="false">IF($A722="","",IF($A722='Client Report'!$C$4,COUNTIFS($A$6:$A722,'Client Report'!$C$4),""))</f>
        <v/>
      </c>
    </row>
    <row r="723" customFormat="false" ht="15" hidden="false" customHeight="false" outlineLevel="0" collapsed="false">
      <c r="A723" s="11"/>
      <c r="B723" s="11"/>
      <c r="C723" s="14" t="str">
        <f aca="false">IF($B723="","",IFERROR(TRIM(LEFT($B723,FIND(" - ",$B723)-1)),"Others"))</f>
        <v/>
      </c>
      <c r="D723" s="11"/>
      <c r="E723" s="11"/>
      <c r="F723" s="12"/>
      <c r="G723" s="21"/>
      <c r="H723" s="21"/>
      <c r="I723" s="21"/>
      <c r="J723" s="21"/>
      <c r="K723" s="21"/>
      <c r="L723" s="21"/>
      <c r="M723" s="21"/>
      <c r="N723" s="22"/>
      <c r="O723" s="22"/>
      <c r="P723" s="17" t="str">
        <f aca="false">IF($A723="","",SUM($G723:$I723))</f>
        <v/>
      </c>
      <c r="Q723" s="17" t="str">
        <f aca="false">IF($A723="","",SUM($J723:$L723))</f>
        <v/>
      </c>
      <c r="R723" s="17" t="str">
        <f aca="false">IF($A723="","",($M723+$Q723)-$P723)</f>
        <v/>
      </c>
      <c r="S723" s="18" t="str">
        <f aca="false">IF(OR($A723="",$P723=0),"",$R723/$P723)</f>
        <v/>
      </c>
      <c r="T723" s="23"/>
      <c r="U723" s="14" t="str">
        <f aca="false">IF($A723="","",IF($M723&gt;0,"Live","Exited"))</f>
        <v/>
      </c>
      <c r="V723" s="20" t="str">
        <f aca="false">IF($A723="","",IF($A723='Client Report'!$C$4,COUNTIFS($A$6:$A723,'Client Report'!$C$4),""))</f>
        <v/>
      </c>
    </row>
    <row r="724" customFormat="false" ht="15" hidden="false" customHeight="false" outlineLevel="0" collapsed="false">
      <c r="A724" s="11"/>
      <c r="B724" s="11"/>
      <c r="C724" s="14" t="str">
        <f aca="false">IF($B724="","",IFERROR(TRIM(LEFT($B724,FIND(" - ",$B724)-1)),"Others"))</f>
        <v/>
      </c>
      <c r="D724" s="11"/>
      <c r="E724" s="11"/>
      <c r="F724" s="12"/>
      <c r="G724" s="21"/>
      <c r="H724" s="21"/>
      <c r="I724" s="21"/>
      <c r="J724" s="21"/>
      <c r="K724" s="21"/>
      <c r="L724" s="21"/>
      <c r="M724" s="21"/>
      <c r="N724" s="22"/>
      <c r="O724" s="22"/>
      <c r="P724" s="17" t="str">
        <f aca="false">IF($A724="","",SUM($G724:$I724))</f>
        <v/>
      </c>
      <c r="Q724" s="17" t="str">
        <f aca="false">IF($A724="","",SUM($J724:$L724))</f>
        <v/>
      </c>
      <c r="R724" s="17" t="str">
        <f aca="false">IF($A724="","",($M724+$Q724)-$P724)</f>
        <v/>
      </c>
      <c r="S724" s="18" t="str">
        <f aca="false">IF(OR($A724="",$P724=0),"",$R724/$P724)</f>
        <v/>
      </c>
      <c r="T724" s="23"/>
      <c r="U724" s="14" t="str">
        <f aca="false">IF($A724="","",IF($M724&gt;0,"Live","Exited"))</f>
        <v/>
      </c>
      <c r="V724" s="20" t="str">
        <f aca="false">IF($A724="","",IF($A724='Client Report'!$C$4,COUNTIFS($A$6:$A724,'Client Report'!$C$4),""))</f>
        <v/>
      </c>
    </row>
    <row r="725" customFormat="false" ht="15" hidden="false" customHeight="false" outlineLevel="0" collapsed="false">
      <c r="A725" s="11"/>
      <c r="B725" s="11"/>
      <c r="C725" s="14" t="str">
        <f aca="false">IF($B725="","",IFERROR(TRIM(LEFT($B725,FIND(" - ",$B725)-1)),"Others"))</f>
        <v/>
      </c>
      <c r="D725" s="11"/>
      <c r="E725" s="11"/>
      <c r="F725" s="12"/>
      <c r="G725" s="21"/>
      <c r="H725" s="21"/>
      <c r="I725" s="21"/>
      <c r="J725" s="21"/>
      <c r="K725" s="21"/>
      <c r="L725" s="21"/>
      <c r="M725" s="21"/>
      <c r="N725" s="22"/>
      <c r="O725" s="22"/>
      <c r="P725" s="17" t="str">
        <f aca="false">IF($A725="","",SUM($G725:$I725))</f>
        <v/>
      </c>
      <c r="Q725" s="17" t="str">
        <f aca="false">IF($A725="","",SUM($J725:$L725))</f>
        <v/>
      </c>
      <c r="R725" s="17" t="str">
        <f aca="false">IF($A725="","",($M725+$Q725)-$P725)</f>
        <v/>
      </c>
      <c r="S725" s="18" t="str">
        <f aca="false">IF(OR($A725="",$P725=0),"",$R725/$P725)</f>
        <v/>
      </c>
      <c r="T725" s="23"/>
      <c r="U725" s="14" t="str">
        <f aca="false">IF($A725="","",IF($M725&gt;0,"Live","Exited"))</f>
        <v/>
      </c>
      <c r="V725" s="20" t="str">
        <f aca="false">IF($A725="","",IF($A725='Client Report'!$C$4,COUNTIFS($A$6:$A725,'Client Report'!$C$4),""))</f>
        <v/>
      </c>
    </row>
    <row r="726" customFormat="false" ht="15" hidden="false" customHeight="false" outlineLevel="0" collapsed="false">
      <c r="A726" s="11"/>
      <c r="B726" s="11"/>
      <c r="C726" s="14" t="str">
        <f aca="false">IF($B726="","",IFERROR(TRIM(LEFT($B726,FIND(" - ",$B726)-1)),"Others"))</f>
        <v/>
      </c>
      <c r="D726" s="11"/>
      <c r="E726" s="11"/>
      <c r="F726" s="12"/>
      <c r="G726" s="21"/>
      <c r="H726" s="21"/>
      <c r="I726" s="21"/>
      <c r="J726" s="21"/>
      <c r="K726" s="21"/>
      <c r="L726" s="21"/>
      <c r="M726" s="21"/>
      <c r="N726" s="22"/>
      <c r="O726" s="22"/>
      <c r="P726" s="17" t="str">
        <f aca="false">IF($A726="","",SUM($G726:$I726))</f>
        <v/>
      </c>
      <c r="Q726" s="17" t="str">
        <f aca="false">IF($A726="","",SUM($J726:$L726))</f>
        <v/>
      </c>
      <c r="R726" s="17" t="str">
        <f aca="false">IF($A726="","",($M726+$Q726)-$P726)</f>
        <v/>
      </c>
      <c r="S726" s="18" t="str">
        <f aca="false">IF(OR($A726="",$P726=0),"",$R726/$P726)</f>
        <v/>
      </c>
      <c r="T726" s="23"/>
      <c r="U726" s="14" t="str">
        <f aca="false">IF($A726="","",IF($M726&gt;0,"Live","Exited"))</f>
        <v/>
      </c>
      <c r="V726" s="20" t="str">
        <f aca="false">IF($A726="","",IF($A726='Client Report'!$C$4,COUNTIFS($A$6:$A726,'Client Report'!$C$4),""))</f>
        <v/>
      </c>
    </row>
    <row r="727" customFormat="false" ht="15" hidden="false" customHeight="false" outlineLevel="0" collapsed="false">
      <c r="A727" s="11"/>
      <c r="B727" s="11"/>
      <c r="C727" s="14" t="str">
        <f aca="false">IF($B727="","",IFERROR(TRIM(LEFT($B727,FIND(" - ",$B727)-1)),"Others"))</f>
        <v/>
      </c>
      <c r="D727" s="11"/>
      <c r="E727" s="11"/>
      <c r="F727" s="12"/>
      <c r="G727" s="21"/>
      <c r="H727" s="21"/>
      <c r="I727" s="21"/>
      <c r="J727" s="21"/>
      <c r="K727" s="21"/>
      <c r="L727" s="21"/>
      <c r="M727" s="21"/>
      <c r="N727" s="22"/>
      <c r="O727" s="22"/>
      <c r="P727" s="17" t="str">
        <f aca="false">IF($A727="","",SUM($G727:$I727))</f>
        <v/>
      </c>
      <c r="Q727" s="17" t="str">
        <f aca="false">IF($A727="","",SUM($J727:$L727))</f>
        <v/>
      </c>
      <c r="R727" s="17" t="str">
        <f aca="false">IF($A727="","",($M727+$Q727)-$P727)</f>
        <v/>
      </c>
      <c r="S727" s="18" t="str">
        <f aca="false">IF(OR($A727="",$P727=0),"",$R727/$P727)</f>
        <v/>
      </c>
      <c r="T727" s="23"/>
      <c r="U727" s="14" t="str">
        <f aca="false">IF($A727="","",IF($M727&gt;0,"Live","Exited"))</f>
        <v/>
      </c>
      <c r="V727" s="20" t="str">
        <f aca="false">IF($A727="","",IF($A727='Client Report'!$C$4,COUNTIFS($A$6:$A727,'Client Report'!$C$4),""))</f>
        <v/>
      </c>
    </row>
    <row r="728" customFormat="false" ht="15" hidden="false" customHeight="false" outlineLevel="0" collapsed="false">
      <c r="A728" s="11"/>
      <c r="B728" s="11"/>
      <c r="C728" s="14" t="str">
        <f aca="false">IF($B728="","",IFERROR(TRIM(LEFT($B728,FIND(" - ",$B728)-1)),"Others"))</f>
        <v/>
      </c>
      <c r="D728" s="11"/>
      <c r="E728" s="11"/>
      <c r="F728" s="12"/>
      <c r="G728" s="21"/>
      <c r="H728" s="21"/>
      <c r="I728" s="21"/>
      <c r="J728" s="21"/>
      <c r="K728" s="21"/>
      <c r="L728" s="21"/>
      <c r="M728" s="21"/>
      <c r="N728" s="22"/>
      <c r="O728" s="22"/>
      <c r="P728" s="17" t="str">
        <f aca="false">IF($A728="","",SUM($G728:$I728))</f>
        <v/>
      </c>
      <c r="Q728" s="17" t="str">
        <f aca="false">IF($A728="","",SUM($J728:$L728))</f>
        <v/>
      </c>
      <c r="R728" s="17" t="str">
        <f aca="false">IF($A728="","",($M728+$Q728)-$P728)</f>
        <v/>
      </c>
      <c r="S728" s="18" t="str">
        <f aca="false">IF(OR($A728="",$P728=0),"",$R728/$P728)</f>
        <v/>
      </c>
      <c r="T728" s="23"/>
      <c r="U728" s="14" t="str">
        <f aca="false">IF($A728="","",IF($M728&gt;0,"Live","Exited"))</f>
        <v/>
      </c>
      <c r="V728" s="20" t="str">
        <f aca="false">IF($A728="","",IF($A728='Client Report'!$C$4,COUNTIFS($A$6:$A728,'Client Report'!$C$4),""))</f>
        <v/>
      </c>
    </row>
    <row r="729" customFormat="false" ht="15" hidden="false" customHeight="false" outlineLevel="0" collapsed="false">
      <c r="A729" s="11"/>
      <c r="B729" s="11"/>
      <c r="C729" s="14" t="str">
        <f aca="false">IF($B729="","",IFERROR(TRIM(LEFT($B729,FIND(" - ",$B729)-1)),"Others"))</f>
        <v/>
      </c>
      <c r="D729" s="11"/>
      <c r="E729" s="11"/>
      <c r="F729" s="12"/>
      <c r="G729" s="21"/>
      <c r="H729" s="21"/>
      <c r="I729" s="21"/>
      <c r="J729" s="21"/>
      <c r="K729" s="21"/>
      <c r="L729" s="21"/>
      <c r="M729" s="21"/>
      <c r="N729" s="22"/>
      <c r="O729" s="22"/>
      <c r="P729" s="17" t="str">
        <f aca="false">IF($A729="","",SUM($G729:$I729))</f>
        <v/>
      </c>
      <c r="Q729" s="17" t="str">
        <f aca="false">IF($A729="","",SUM($J729:$L729))</f>
        <v/>
      </c>
      <c r="R729" s="17" t="str">
        <f aca="false">IF($A729="","",($M729+$Q729)-$P729)</f>
        <v/>
      </c>
      <c r="S729" s="18" t="str">
        <f aca="false">IF(OR($A729="",$P729=0),"",$R729/$P729)</f>
        <v/>
      </c>
      <c r="T729" s="23"/>
      <c r="U729" s="14" t="str">
        <f aca="false">IF($A729="","",IF($M729&gt;0,"Live","Exited"))</f>
        <v/>
      </c>
      <c r="V729" s="20" t="str">
        <f aca="false">IF($A729="","",IF($A729='Client Report'!$C$4,COUNTIFS($A$6:$A729,'Client Report'!$C$4),""))</f>
        <v/>
      </c>
    </row>
    <row r="730" customFormat="false" ht="15" hidden="false" customHeight="false" outlineLevel="0" collapsed="false">
      <c r="A730" s="11"/>
      <c r="B730" s="11"/>
      <c r="C730" s="14" t="str">
        <f aca="false">IF($B730="","",IFERROR(TRIM(LEFT($B730,FIND(" - ",$B730)-1)),"Others"))</f>
        <v/>
      </c>
      <c r="D730" s="11"/>
      <c r="E730" s="11"/>
      <c r="F730" s="12"/>
      <c r="G730" s="21"/>
      <c r="H730" s="21"/>
      <c r="I730" s="21"/>
      <c r="J730" s="21"/>
      <c r="K730" s="21"/>
      <c r="L730" s="21"/>
      <c r="M730" s="21"/>
      <c r="N730" s="22"/>
      <c r="O730" s="22"/>
      <c r="P730" s="17" t="str">
        <f aca="false">IF($A730="","",SUM($G730:$I730))</f>
        <v/>
      </c>
      <c r="Q730" s="17" t="str">
        <f aca="false">IF($A730="","",SUM($J730:$L730))</f>
        <v/>
      </c>
      <c r="R730" s="17" t="str">
        <f aca="false">IF($A730="","",($M730+$Q730)-$P730)</f>
        <v/>
      </c>
      <c r="S730" s="18" t="str">
        <f aca="false">IF(OR($A730="",$P730=0),"",$R730/$P730)</f>
        <v/>
      </c>
      <c r="T730" s="23"/>
      <c r="U730" s="14" t="str">
        <f aca="false">IF($A730="","",IF($M730&gt;0,"Live","Exited"))</f>
        <v/>
      </c>
      <c r="V730" s="20" t="str">
        <f aca="false">IF($A730="","",IF($A730='Client Report'!$C$4,COUNTIFS($A$6:$A730,'Client Report'!$C$4),""))</f>
        <v/>
      </c>
    </row>
    <row r="731" customFormat="false" ht="15" hidden="false" customHeight="false" outlineLevel="0" collapsed="false">
      <c r="A731" s="11"/>
      <c r="B731" s="11"/>
      <c r="C731" s="14" t="str">
        <f aca="false">IF($B731="","",IFERROR(TRIM(LEFT($B731,FIND(" - ",$B731)-1)),"Others"))</f>
        <v/>
      </c>
      <c r="D731" s="11"/>
      <c r="E731" s="11"/>
      <c r="F731" s="12"/>
      <c r="G731" s="21"/>
      <c r="H731" s="21"/>
      <c r="I731" s="21"/>
      <c r="J731" s="21"/>
      <c r="K731" s="21"/>
      <c r="L731" s="21"/>
      <c r="M731" s="21"/>
      <c r="N731" s="22"/>
      <c r="O731" s="22"/>
      <c r="P731" s="17" t="str">
        <f aca="false">IF($A731="","",SUM($G731:$I731))</f>
        <v/>
      </c>
      <c r="Q731" s="17" t="str">
        <f aca="false">IF($A731="","",SUM($J731:$L731))</f>
        <v/>
      </c>
      <c r="R731" s="17" t="str">
        <f aca="false">IF($A731="","",($M731+$Q731)-$P731)</f>
        <v/>
      </c>
      <c r="S731" s="18" t="str">
        <f aca="false">IF(OR($A731="",$P731=0),"",$R731/$P731)</f>
        <v/>
      </c>
      <c r="T731" s="23"/>
      <c r="U731" s="14" t="str">
        <f aca="false">IF($A731="","",IF($M731&gt;0,"Live","Exited"))</f>
        <v/>
      </c>
      <c r="V731" s="20" t="str">
        <f aca="false">IF($A731="","",IF($A731='Client Report'!$C$4,COUNTIFS($A$6:$A731,'Client Report'!$C$4),""))</f>
        <v/>
      </c>
    </row>
    <row r="732" customFormat="false" ht="15" hidden="false" customHeight="false" outlineLevel="0" collapsed="false">
      <c r="A732" s="11"/>
      <c r="B732" s="11"/>
      <c r="C732" s="14" t="str">
        <f aca="false">IF($B732="","",IFERROR(TRIM(LEFT($B732,FIND(" - ",$B732)-1)),"Others"))</f>
        <v/>
      </c>
      <c r="D732" s="11"/>
      <c r="E732" s="11"/>
      <c r="F732" s="12"/>
      <c r="G732" s="21"/>
      <c r="H732" s="21"/>
      <c r="I732" s="21"/>
      <c r="J732" s="21"/>
      <c r="K732" s="21"/>
      <c r="L732" s="21"/>
      <c r="M732" s="21"/>
      <c r="N732" s="22"/>
      <c r="O732" s="22"/>
      <c r="P732" s="17" t="str">
        <f aca="false">IF($A732="","",SUM($G732:$I732))</f>
        <v/>
      </c>
      <c r="Q732" s="17" t="str">
        <f aca="false">IF($A732="","",SUM($J732:$L732))</f>
        <v/>
      </c>
      <c r="R732" s="17" t="str">
        <f aca="false">IF($A732="","",($M732+$Q732)-$P732)</f>
        <v/>
      </c>
      <c r="S732" s="18" t="str">
        <f aca="false">IF(OR($A732="",$P732=0),"",$R732/$P732)</f>
        <v/>
      </c>
      <c r="T732" s="23"/>
      <c r="U732" s="14" t="str">
        <f aca="false">IF($A732="","",IF($M732&gt;0,"Live","Exited"))</f>
        <v/>
      </c>
      <c r="V732" s="20" t="str">
        <f aca="false">IF($A732="","",IF($A732='Client Report'!$C$4,COUNTIFS($A$6:$A732,'Client Report'!$C$4),""))</f>
        <v/>
      </c>
    </row>
    <row r="733" customFormat="false" ht="15" hidden="false" customHeight="false" outlineLevel="0" collapsed="false">
      <c r="A733" s="11"/>
      <c r="B733" s="11"/>
      <c r="C733" s="14" t="str">
        <f aca="false">IF($B733="","",IFERROR(TRIM(LEFT($B733,FIND(" - ",$B733)-1)),"Others"))</f>
        <v/>
      </c>
      <c r="D733" s="11"/>
      <c r="E733" s="11"/>
      <c r="F733" s="12"/>
      <c r="G733" s="21"/>
      <c r="H733" s="21"/>
      <c r="I733" s="21"/>
      <c r="J733" s="21"/>
      <c r="K733" s="21"/>
      <c r="L733" s="21"/>
      <c r="M733" s="21"/>
      <c r="N733" s="22"/>
      <c r="O733" s="22"/>
      <c r="P733" s="17" t="str">
        <f aca="false">IF($A733="","",SUM($G733:$I733))</f>
        <v/>
      </c>
      <c r="Q733" s="17" t="str">
        <f aca="false">IF($A733="","",SUM($J733:$L733))</f>
        <v/>
      </c>
      <c r="R733" s="17" t="str">
        <f aca="false">IF($A733="","",($M733+$Q733)-$P733)</f>
        <v/>
      </c>
      <c r="S733" s="18" t="str">
        <f aca="false">IF(OR($A733="",$P733=0),"",$R733/$P733)</f>
        <v/>
      </c>
      <c r="T733" s="23"/>
      <c r="U733" s="14" t="str">
        <f aca="false">IF($A733="","",IF($M733&gt;0,"Live","Exited"))</f>
        <v/>
      </c>
      <c r="V733" s="20" t="str">
        <f aca="false">IF($A733="","",IF($A733='Client Report'!$C$4,COUNTIFS($A$6:$A733,'Client Report'!$C$4),""))</f>
        <v/>
      </c>
    </row>
    <row r="734" customFormat="false" ht="15" hidden="false" customHeight="false" outlineLevel="0" collapsed="false">
      <c r="A734" s="11"/>
      <c r="B734" s="11"/>
      <c r="C734" s="14" t="str">
        <f aca="false">IF($B734="","",IFERROR(TRIM(LEFT($B734,FIND(" - ",$B734)-1)),"Others"))</f>
        <v/>
      </c>
      <c r="D734" s="11"/>
      <c r="E734" s="11"/>
      <c r="F734" s="12"/>
      <c r="G734" s="21"/>
      <c r="H734" s="21"/>
      <c r="I734" s="21"/>
      <c r="J734" s="21"/>
      <c r="K734" s="21"/>
      <c r="L734" s="21"/>
      <c r="M734" s="21"/>
      <c r="N734" s="22"/>
      <c r="O734" s="22"/>
      <c r="P734" s="17" t="str">
        <f aca="false">IF($A734="","",SUM($G734:$I734))</f>
        <v/>
      </c>
      <c r="Q734" s="17" t="str">
        <f aca="false">IF($A734="","",SUM($J734:$L734))</f>
        <v/>
      </c>
      <c r="R734" s="17" t="str">
        <f aca="false">IF($A734="","",($M734+$Q734)-$P734)</f>
        <v/>
      </c>
      <c r="S734" s="18" t="str">
        <f aca="false">IF(OR($A734="",$P734=0),"",$R734/$P734)</f>
        <v/>
      </c>
      <c r="T734" s="23"/>
      <c r="U734" s="14" t="str">
        <f aca="false">IF($A734="","",IF($M734&gt;0,"Live","Exited"))</f>
        <v/>
      </c>
      <c r="V734" s="20" t="str">
        <f aca="false">IF($A734="","",IF($A734='Client Report'!$C$4,COUNTIFS($A$6:$A734,'Client Report'!$C$4),""))</f>
        <v/>
      </c>
    </row>
    <row r="735" customFormat="false" ht="15" hidden="false" customHeight="false" outlineLevel="0" collapsed="false">
      <c r="A735" s="11"/>
      <c r="B735" s="11"/>
      <c r="C735" s="14" t="str">
        <f aca="false">IF($B735="","",IFERROR(TRIM(LEFT($B735,FIND(" - ",$B735)-1)),"Others"))</f>
        <v/>
      </c>
      <c r="D735" s="11"/>
      <c r="E735" s="11"/>
      <c r="F735" s="12"/>
      <c r="G735" s="21"/>
      <c r="H735" s="21"/>
      <c r="I735" s="21"/>
      <c r="J735" s="21"/>
      <c r="K735" s="21"/>
      <c r="L735" s="21"/>
      <c r="M735" s="21"/>
      <c r="N735" s="22"/>
      <c r="O735" s="22"/>
      <c r="P735" s="17" t="str">
        <f aca="false">IF($A735="","",SUM($G735:$I735))</f>
        <v/>
      </c>
      <c r="Q735" s="17" t="str">
        <f aca="false">IF($A735="","",SUM($J735:$L735))</f>
        <v/>
      </c>
      <c r="R735" s="17" t="str">
        <f aca="false">IF($A735="","",($M735+$Q735)-$P735)</f>
        <v/>
      </c>
      <c r="S735" s="18" t="str">
        <f aca="false">IF(OR($A735="",$P735=0),"",$R735/$P735)</f>
        <v/>
      </c>
      <c r="T735" s="23"/>
      <c r="U735" s="14" t="str">
        <f aca="false">IF($A735="","",IF($M735&gt;0,"Live","Exited"))</f>
        <v/>
      </c>
      <c r="V735" s="20" t="str">
        <f aca="false">IF($A735="","",IF($A735='Client Report'!$C$4,COUNTIFS($A$6:$A735,'Client Report'!$C$4),""))</f>
        <v/>
      </c>
    </row>
    <row r="736" customFormat="false" ht="15" hidden="false" customHeight="false" outlineLevel="0" collapsed="false">
      <c r="A736" s="11"/>
      <c r="B736" s="11"/>
      <c r="C736" s="14" t="str">
        <f aca="false">IF($B736="","",IFERROR(TRIM(LEFT($B736,FIND(" - ",$B736)-1)),"Others"))</f>
        <v/>
      </c>
      <c r="D736" s="11"/>
      <c r="E736" s="11"/>
      <c r="F736" s="12"/>
      <c r="G736" s="21"/>
      <c r="H736" s="21"/>
      <c r="I736" s="21"/>
      <c r="J736" s="21"/>
      <c r="K736" s="21"/>
      <c r="L736" s="21"/>
      <c r="M736" s="21"/>
      <c r="N736" s="22"/>
      <c r="O736" s="22"/>
      <c r="P736" s="17" t="str">
        <f aca="false">IF($A736="","",SUM($G736:$I736))</f>
        <v/>
      </c>
      <c r="Q736" s="17" t="str">
        <f aca="false">IF($A736="","",SUM($J736:$L736))</f>
        <v/>
      </c>
      <c r="R736" s="17" t="str">
        <f aca="false">IF($A736="","",($M736+$Q736)-$P736)</f>
        <v/>
      </c>
      <c r="S736" s="18" t="str">
        <f aca="false">IF(OR($A736="",$P736=0),"",$R736/$P736)</f>
        <v/>
      </c>
      <c r="T736" s="23"/>
      <c r="U736" s="14" t="str">
        <f aca="false">IF($A736="","",IF($M736&gt;0,"Live","Exited"))</f>
        <v/>
      </c>
      <c r="V736" s="20" t="str">
        <f aca="false">IF($A736="","",IF($A736='Client Report'!$C$4,COUNTIFS($A$6:$A736,'Client Report'!$C$4),""))</f>
        <v/>
      </c>
    </row>
    <row r="737" customFormat="false" ht="15" hidden="false" customHeight="false" outlineLevel="0" collapsed="false">
      <c r="A737" s="11"/>
      <c r="B737" s="11"/>
      <c r="C737" s="14" t="str">
        <f aca="false">IF($B737="","",IFERROR(TRIM(LEFT($B737,FIND(" - ",$B737)-1)),"Others"))</f>
        <v/>
      </c>
      <c r="D737" s="11"/>
      <c r="E737" s="11"/>
      <c r="F737" s="12"/>
      <c r="G737" s="21"/>
      <c r="H737" s="21"/>
      <c r="I737" s="21"/>
      <c r="J737" s="21"/>
      <c r="K737" s="21"/>
      <c r="L737" s="21"/>
      <c r="M737" s="21"/>
      <c r="N737" s="22"/>
      <c r="O737" s="22"/>
      <c r="P737" s="17" t="str">
        <f aca="false">IF($A737="","",SUM($G737:$I737))</f>
        <v/>
      </c>
      <c r="Q737" s="17" t="str">
        <f aca="false">IF($A737="","",SUM($J737:$L737))</f>
        <v/>
      </c>
      <c r="R737" s="17" t="str">
        <f aca="false">IF($A737="","",($M737+$Q737)-$P737)</f>
        <v/>
      </c>
      <c r="S737" s="18" t="str">
        <f aca="false">IF(OR($A737="",$P737=0),"",$R737/$P737)</f>
        <v/>
      </c>
      <c r="T737" s="23"/>
      <c r="U737" s="14" t="str">
        <f aca="false">IF($A737="","",IF($M737&gt;0,"Live","Exited"))</f>
        <v/>
      </c>
      <c r="V737" s="20" t="str">
        <f aca="false">IF($A737="","",IF($A737='Client Report'!$C$4,COUNTIFS($A$6:$A737,'Client Report'!$C$4),""))</f>
        <v/>
      </c>
    </row>
    <row r="738" customFormat="false" ht="15" hidden="false" customHeight="false" outlineLevel="0" collapsed="false">
      <c r="A738" s="11"/>
      <c r="B738" s="11"/>
      <c r="C738" s="14" t="str">
        <f aca="false">IF($B738="","",IFERROR(TRIM(LEFT($B738,FIND(" - ",$B738)-1)),"Others"))</f>
        <v/>
      </c>
      <c r="D738" s="11"/>
      <c r="E738" s="11"/>
      <c r="F738" s="12"/>
      <c r="G738" s="21"/>
      <c r="H738" s="21"/>
      <c r="I738" s="21"/>
      <c r="J738" s="21"/>
      <c r="K738" s="21"/>
      <c r="L738" s="21"/>
      <c r="M738" s="21"/>
      <c r="N738" s="22"/>
      <c r="O738" s="22"/>
      <c r="P738" s="17" t="str">
        <f aca="false">IF($A738="","",SUM($G738:$I738))</f>
        <v/>
      </c>
      <c r="Q738" s="17" t="str">
        <f aca="false">IF($A738="","",SUM($J738:$L738))</f>
        <v/>
      </c>
      <c r="R738" s="17" t="str">
        <f aca="false">IF($A738="","",($M738+$Q738)-$P738)</f>
        <v/>
      </c>
      <c r="S738" s="18" t="str">
        <f aca="false">IF(OR($A738="",$P738=0),"",$R738/$P738)</f>
        <v/>
      </c>
      <c r="T738" s="23"/>
      <c r="U738" s="14" t="str">
        <f aca="false">IF($A738="","",IF($M738&gt;0,"Live","Exited"))</f>
        <v/>
      </c>
      <c r="V738" s="20" t="str">
        <f aca="false">IF($A738="","",IF($A738='Client Report'!$C$4,COUNTIFS($A$6:$A738,'Client Report'!$C$4),""))</f>
        <v/>
      </c>
    </row>
    <row r="739" customFormat="false" ht="15" hidden="false" customHeight="false" outlineLevel="0" collapsed="false">
      <c r="A739" s="11"/>
      <c r="B739" s="11"/>
      <c r="C739" s="14" t="str">
        <f aca="false">IF($B739="","",IFERROR(TRIM(LEFT($B739,FIND(" - ",$B739)-1)),"Others"))</f>
        <v/>
      </c>
      <c r="D739" s="11"/>
      <c r="E739" s="11"/>
      <c r="F739" s="12"/>
      <c r="G739" s="21"/>
      <c r="H739" s="21"/>
      <c r="I739" s="21"/>
      <c r="J739" s="21"/>
      <c r="K739" s="21"/>
      <c r="L739" s="21"/>
      <c r="M739" s="21"/>
      <c r="N739" s="22"/>
      <c r="O739" s="22"/>
      <c r="P739" s="17" t="str">
        <f aca="false">IF($A739="","",SUM($G739:$I739))</f>
        <v/>
      </c>
      <c r="Q739" s="17" t="str">
        <f aca="false">IF($A739="","",SUM($J739:$L739))</f>
        <v/>
      </c>
      <c r="R739" s="17" t="str">
        <f aca="false">IF($A739="","",($M739+$Q739)-$P739)</f>
        <v/>
      </c>
      <c r="S739" s="18" t="str">
        <f aca="false">IF(OR($A739="",$P739=0),"",$R739/$P739)</f>
        <v/>
      </c>
      <c r="T739" s="23"/>
      <c r="U739" s="14" t="str">
        <f aca="false">IF($A739="","",IF($M739&gt;0,"Live","Exited"))</f>
        <v/>
      </c>
      <c r="V739" s="20" t="str">
        <f aca="false">IF($A739="","",IF($A739='Client Report'!$C$4,COUNTIFS($A$6:$A739,'Client Report'!$C$4),""))</f>
        <v/>
      </c>
    </row>
    <row r="740" customFormat="false" ht="15" hidden="false" customHeight="false" outlineLevel="0" collapsed="false">
      <c r="A740" s="11"/>
      <c r="B740" s="11"/>
      <c r="C740" s="14" t="str">
        <f aca="false">IF($B740="","",IFERROR(TRIM(LEFT($B740,FIND(" - ",$B740)-1)),"Others"))</f>
        <v/>
      </c>
      <c r="D740" s="11"/>
      <c r="E740" s="11"/>
      <c r="F740" s="12"/>
      <c r="G740" s="21"/>
      <c r="H740" s="21"/>
      <c r="I740" s="21"/>
      <c r="J740" s="21"/>
      <c r="K740" s="21"/>
      <c r="L740" s="21"/>
      <c r="M740" s="21"/>
      <c r="N740" s="22"/>
      <c r="O740" s="22"/>
      <c r="P740" s="17" t="str">
        <f aca="false">IF($A740="","",SUM($G740:$I740))</f>
        <v/>
      </c>
      <c r="Q740" s="17" t="str">
        <f aca="false">IF($A740="","",SUM($J740:$L740))</f>
        <v/>
      </c>
      <c r="R740" s="17" t="str">
        <f aca="false">IF($A740="","",($M740+$Q740)-$P740)</f>
        <v/>
      </c>
      <c r="S740" s="18" t="str">
        <f aca="false">IF(OR($A740="",$P740=0),"",$R740/$P740)</f>
        <v/>
      </c>
      <c r="T740" s="23"/>
      <c r="U740" s="14" t="str">
        <f aca="false">IF($A740="","",IF($M740&gt;0,"Live","Exited"))</f>
        <v/>
      </c>
      <c r="V740" s="20" t="str">
        <f aca="false">IF($A740="","",IF($A740='Client Report'!$C$4,COUNTIFS($A$6:$A740,'Client Report'!$C$4),""))</f>
        <v/>
      </c>
    </row>
    <row r="741" customFormat="false" ht="15" hidden="false" customHeight="false" outlineLevel="0" collapsed="false">
      <c r="A741" s="11"/>
      <c r="B741" s="11"/>
      <c r="C741" s="14" t="str">
        <f aca="false">IF($B741="","",IFERROR(TRIM(LEFT($B741,FIND(" - ",$B741)-1)),"Others"))</f>
        <v/>
      </c>
      <c r="D741" s="11"/>
      <c r="E741" s="11"/>
      <c r="F741" s="12"/>
      <c r="G741" s="21"/>
      <c r="H741" s="21"/>
      <c r="I741" s="21"/>
      <c r="J741" s="21"/>
      <c r="K741" s="21"/>
      <c r="L741" s="21"/>
      <c r="M741" s="21"/>
      <c r="N741" s="22"/>
      <c r="O741" s="22"/>
      <c r="P741" s="17" t="str">
        <f aca="false">IF($A741="","",SUM($G741:$I741))</f>
        <v/>
      </c>
      <c r="Q741" s="17" t="str">
        <f aca="false">IF($A741="","",SUM($J741:$L741))</f>
        <v/>
      </c>
      <c r="R741" s="17" t="str">
        <f aca="false">IF($A741="","",($M741+$Q741)-$P741)</f>
        <v/>
      </c>
      <c r="S741" s="18" t="str">
        <f aca="false">IF(OR($A741="",$P741=0),"",$R741/$P741)</f>
        <v/>
      </c>
      <c r="T741" s="23"/>
      <c r="U741" s="14" t="str">
        <f aca="false">IF($A741="","",IF($M741&gt;0,"Live","Exited"))</f>
        <v/>
      </c>
      <c r="V741" s="20" t="str">
        <f aca="false">IF($A741="","",IF($A741='Client Report'!$C$4,COUNTIFS($A$6:$A741,'Client Report'!$C$4),""))</f>
        <v/>
      </c>
    </row>
    <row r="742" customFormat="false" ht="15" hidden="false" customHeight="false" outlineLevel="0" collapsed="false">
      <c r="A742" s="11"/>
      <c r="B742" s="11"/>
      <c r="C742" s="14" t="str">
        <f aca="false">IF($B742="","",IFERROR(TRIM(LEFT($B742,FIND(" - ",$B742)-1)),"Others"))</f>
        <v/>
      </c>
      <c r="D742" s="11"/>
      <c r="E742" s="11"/>
      <c r="F742" s="12"/>
      <c r="G742" s="21"/>
      <c r="H742" s="21"/>
      <c r="I742" s="21"/>
      <c r="J742" s="21"/>
      <c r="K742" s="21"/>
      <c r="L742" s="21"/>
      <c r="M742" s="21"/>
      <c r="N742" s="22"/>
      <c r="O742" s="22"/>
      <c r="P742" s="17" t="str">
        <f aca="false">IF($A742="","",SUM($G742:$I742))</f>
        <v/>
      </c>
      <c r="Q742" s="17" t="str">
        <f aca="false">IF($A742="","",SUM($J742:$L742))</f>
        <v/>
      </c>
      <c r="R742" s="17" t="str">
        <f aca="false">IF($A742="","",($M742+$Q742)-$P742)</f>
        <v/>
      </c>
      <c r="S742" s="18" t="str">
        <f aca="false">IF(OR($A742="",$P742=0),"",$R742/$P742)</f>
        <v/>
      </c>
      <c r="T742" s="23"/>
      <c r="U742" s="14" t="str">
        <f aca="false">IF($A742="","",IF($M742&gt;0,"Live","Exited"))</f>
        <v/>
      </c>
      <c r="V742" s="20" t="str">
        <f aca="false">IF($A742="","",IF($A742='Client Report'!$C$4,COUNTIFS($A$6:$A742,'Client Report'!$C$4),""))</f>
        <v/>
      </c>
    </row>
    <row r="743" customFormat="false" ht="15" hidden="false" customHeight="false" outlineLevel="0" collapsed="false">
      <c r="A743" s="11"/>
      <c r="B743" s="11"/>
      <c r="C743" s="14" t="str">
        <f aca="false">IF($B743="","",IFERROR(TRIM(LEFT($B743,FIND(" - ",$B743)-1)),"Others"))</f>
        <v/>
      </c>
      <c r="D743" s="11"/>
      <c r="E743" s="11"/>
      <c r="F743" s="12"/>
      <c r="G743" s="21"/>
      <c r="H743" s="21"/>
      <c r="I743" s="21"/>
      <c r="J743" s="21"/>
      <c r="K743" s="21"/>
      <c r="L743" s="21"/>
      <c r="M743" s="21"/>
      <c r="N743" s="22"/>
      <c r="O743" s="22"/>
      <c r="P743" s="17" t="str">
        <f aca="false">IF($A743="","",SUM($G743:$I743))</f>
        <v/>
      </c>
      <c r="Q743" s="17" t="str">
        <f aca="false">IF($A743="","",SUM($J743:$L743))</f>
        <v/>
      </c>
      <c r="R743" s="17" t="str">
        <f aca="false">IF($A743="","",($M743+$Q743)-$P743)</f>
        <v/>
      </c>
      <c r="S743" s="18" t="str">
        <f aca="false">IF(OR($A743="",$P743=0),"",$R743/$P743)</f>
        <v/>
      </c>
      <c r="T743" s="23"/>
      <c r="U743" s="14" t="str">
        <f aca="false">IF($A743="","",IF($M743&gt;0,"Live","Exited"))</f>
        <v/>
      </c>
      <c r="V743" s="20" t="str">
        <f aca="false">IF($A743="","",IF($A743='Client Report'!$C$4,COUNTIFS($A$6:$A743,'Client Report'!$C$4),""))</f>
        <v/>
      </c>
    </row>
    <row r="744" customFormat="false" ht="15" hidden="false" customHeight="false" outlineLevel="0" collapsed="false">
      <c r="A744" s="11"/>
      <c r="B744" s="11"/>
      <c r="C744" s="14" t="str">
        <f aca="false">IF($B744="","",IFERROR(TRIM(LEFT($B744,FIND(" - ",$B744)-1)),"Others"))</f>
        <v/>
      </c>
      <c r="D744" s="11"/>
      <c r="E744" s="11"/>
      <c r="F744" s="12"/>
      <c r="G744" s="21"/>
      <c r="H744" s="21"/>
      <c r="I744" s="21"/>
      <c r="J744" s="21"/>
      <c r="K744" s="21"/>
      <c r="L744" s="21"/>
      <c r="M744" s="21"/>
      <c r="N744" s="22"/>
      <c r="O744" s="22"/>
      <c r="P744" s="17" t="str">
        <f aca="false">IF($A744="","",SUM($G744:$I744))</f>
        <v/>
      </c>
      <c r="Q744" s="17" t="str">
        <f aca="false">IF($A744="","",SUM($J744:$L744))</f>
        <v/>
      </c>
      <c r="R744" s="17" t="str">
        <f aca="false">IF($A744="","",($M744+$Q744)-$P744)</f>
        <v/>
      </c>
      <c r="S744" s="18" t="str">
        <f aca="false">IF(OR($A744="",$P744=0),"",$R744/$P744)</f>
        <v/>
      </c>
      <c r="T744" s="23"/>
      <c r="U744" s="14" t="str">
        <f aca="false">IF($A744="","",IF($M744&gt;0,"Live","Exited"))</f>
        <v/>
      </c>
      <c r="V744" s="20" t="str">
        <f aca="false">IF($A744="","",IF($A744='Client Report'!$C$4,COUNTIFS($A$6:$A744,'Client Report'!$C$4),""))</f>
        <v/>
      </c>
    </row>
    <row r="745" customFormat="false" ht="15" hidden="false" customHeight="false" outlineLevel="0" collapsed="false">
      <c r="A745" s="11"/>
      <c r="B745" s="11"/>
      <c r="C745" s="14" t="str">
        <f aca="false">IF($B745="","",IFERROR(TRIM(LEFT($B745,FIND(" - ",$B745)-1)),"Others"))</f>
        <v/>
      </c>
      <c r="D745" s="11"/>
      <c r="E745" s="11"/>
      <c r="F745" s="12"/>
      <c r="G745" s="21"/>
      <c r="H745" s="21"/>
      <c r="I745" s="21"/>
      <c r="J745" s="21"/>
      <c r="K745" s="21"/>
      <c r="L745" s="21"/>
      <c r="M745" s="21"/>
      <c r="N745" s="22"/>
      <c r="O745" s="22"/>
      <c r="P745" s="17" t="str">
        <f aca="false">IF($A745="","",SUM($G745:$I745))</f>
        <v/>
      </c>
      <c r="Q745" s="17" t="str">
        <f aca="false">IF($A745="","",SUM($J745:$L745))</f>
        <v/>
      </c>
      <c r="R745" s="17" t="str">
        <f aca="false">IF($A745="","",($M745+$Q745)-$P745)</f>
        <v/>
      </c>
      <c r="S745" s="18" t="str">
        <f aca="false">IF(OR($A745="",$P745=0),"",$R745/$P745)</f>
        <v/>
      </c>
      <c r="T745" s="23"/>
      <c r="U745" s="14" t="str">
        <f aca="false">IF($A745="","",IF($M745&gt;0,"Live","Exited"))</f>
        <v/>
      </c>
      <c r="V745" s="20" t="str">
        <f aca="false">IF($A745="","",IF($A745='Client Report'!$C$4,COUNTIFS($A$6:$A745,'Client Report'!$C$4),""))</f>
        <v/>
      </c>
    </row>
    <row r="746" customFormat="false" ht="15" hidden="false" customHeight="false" outlineLevel="0" collapsed="false">
      <c r="A746" s="11"/>
      <c r="B746" s="11"/>
      <c r="C746" s="14" t="str">
        <f aca="false">IF($B746="","",IFERROR(TRIM(LEFT($B746,FIND(" - ",$B746)-1)),"Others"))</f>
        <v/>
      </c>
      <c r="D746" s="11"/>
      <c r="E746" s="11"/>
      <c r="F746" s="12"/>
      <c r="G746" s="21"/>
      <c r="H746" s="21"/>
      <c r="I746" s="21"/>
      <c r="J746" s="21"/>
      <c r="K746" s="21"/>
      <c r="L746" s="21"/>
      <c r="M746" s="21"/>
      <c r="N746" s="22"/>
      <c r="O746" s="22"/>
      <c r="P746" s="17" t="str">
        <f aca="false">IF($A746="","",SUM($G746:$I746))</f>
        <v/>
      </c>
      <c r="Q746" s="17" t="str">
        <f aca="false">IF($A746="","",SUM($J746:$L746))</f>
        <v/>
      </c>
      <c r="R746" s="17" t="str">
        <f aca="false">IF($A746="","",($M746+$Q746)-$P746)</f>
        <v/>
      </c>
      <c r="S746" s="18" t="str">
        <f aca="false">IF(OR($A746="",$P746=0),"",$R746/$P746)</f>
        <v/>
      </c>
      <c r="T746" s="23"/>
      <c r="U746" s="14" t="str">
        <f aca="false">IF($A746="","",IF($M746&gt;0,"Live","Exited"))</f>
        <v/>
      </c>
      <c r="V746" s="20" t="str">
        <f aca="false">IF($A746="","",IF($A746='Client Report'!$C$4,COUNTIFS($A$6:$A746,'Client Report'!$C$4),""))</f>
        <v/>
      </c>
    </row>
    <row r="747" customFormat="false" ht="15" hidden="false" customHeight="false" outlineLevel="0" collapsed="false">
      <c r="A747" s="11"/>
      <c r="B747" s="11"/>
      <c r="C747" s="14" t="str">
        <f aca="false">IF($B747="","",IFERROR(TRIM(LEFT($B747,FIND(" - ",$B747)-1)),"Others"))</f>
        <v/>
      </c>
      <c r="D747" s="11"/>
      <c r="E747" s="11"/>
      <c r="F747" s="12"/>
      <c r="G747" s="21"/>
      <c r="H747" s="21"/>
      <c r="I747" s="21"/>
      <c r="J747" s="21"/>
      <c r="K747" s="21"/>
      <c r="L747" s="21"/>
      <c r="M747" s="21"/>
      <c r="N747" s="22"/>
      <c r="O747" s="22"/>
      <c r="P747" s="17" t="str">
        <f aca="false">IF($A747="","",SUM($G747:$I747))</f>
        <v/>
      </c>
      <c r="Q747" s="17" t="str">
        <f aca="false">IF($A747="","",SUM($J747:$L747))</f>
        <v/>
      </c>
      <c r="R747" s="17" t="str">
        <f aca="false">IF($A747="","",($M747+$Q747)-$P747)</f>
        <v/>
      </c>
      <c r="S747" s="18" t="str">
        <f aca="false">IF(OR($A747="",$P747=0),"",$R747/$P747)</f>
        <v/>
      </c>
      <c r="T747" s="23"/>
      <c r="U747" s="14" t="str">
        <f aca="false">IF($A747="","",IF($M747&gt;0,"Live","Exited"))</f>
        <v/>
      </c>
      <c r="V747" s="20" t="str">
        <f aca="false">IF($A747="","",IF($A747='Client Report'!$C$4,COUNTIFS($A$6:$A747,'Client Report'!$C$4),""))</f>
        <v/>
      </c>
    </row>
    <row r="748" customFormat="false" ht="15" hidden="false" customHeight="false" outlineLevel="0" collapsed="false">
      <c r="A748" s="11"/>
      <c r="B748" s="11"/>
      <c r="C748" s="14" t="str">
        <f aca="false">IF($B748="","",IFERROR(TRIM(LEFT($B748,FIND(" - ",$B748)-1)),"Others"))</f>
        <v/>
      </c>
      <c r="D748" s="11"/>
      <c r="E748" s="11"/>
      <c r="F748" s="12"/>
      <c r="G748" s="21"/>
      <c r="H748" s="21"/>
      <c r="I748" s="21"/>
      <c r="J748" s="21"/>
      <c r="K748" s="21"/>
      <c r="L748" s="21"/>
      <c r="M748" s="21"/>
      <c r="N748" s="22"/>
      <c r="O748" s="22"/>
      <c r="P748" s="17" t="str">
        <f aca="false">IF($A748="","",SUM($G748:$I748))</f>
        <v/>
      </c>
      <c r="Q748" s="17" t="str">
        <f aca="false">IF($A748="","",SUM($J748:$L748))</f>
        <v/>
      </c>
      <c r="R748" s="17" t="str">
        <f aca="false">IF($A748="","",($M748+$Q748)-$P748)</f>
        <v/>
      </c>
      <c r="S748" s="18" t="str">
        <f aca="false">IF(OR($A748="",$P748=0),"",$R748/$P748)</f>
        <v/>
      </c>
      <c r="T748" s="23"/>
      <c r="U748" s="14" t="str">
        <f aca="false">IF($A748="","",IF($M748&gt;0,"Live","Exited"))</f>
        <v/>
      </c>
      <c r="V748" s="20" t="str">
        <f aca="false">IF($A748="","",IF($A748='Client Report'!$C$4,COUNTIFS($A$6:$A748,'Client Report'!$C$4),""))</f>
        <v/>
      </c>
    </row>
    <row r="749" customFormat="false" ht="15" hidden="false" customHeight="false" outlineLevel="0" collapsed="false">
      <c r="A749" s="11"/>
      <c r="B749" s="11"/>
      <c r="C749" s="14" t="str">
        <f aca="false">IF($B749="","",IFERROR(TRIM(LEFT($B749,FIND(" - ",$B749)-1)),"Others"))</f>
        <v/>
      </c>
      <c r="D749" s="11"/>
      <c r="E749" s="11"/>
      <c r="F749" s="12"/>
      <c r="G749" s="21"/>
      <c r="H749" s="21"/>
      <c r="I749" s="21"/>
      <c r="J749" s="21"/>
      <c r="K749" s="21"/>
      <c r="L749" s="21"/>
      <c r="M749" s="21"/>
      <c r="N749" s="22"/>
      <c r="O749" s="22"/>
      <c r="P749" s="17" t="str">
        <f aca="false">IF($A749="","",SUM($G749:$I749))</f>
        <v/>
      </c>
      <c r="Q749" s="17" t="str">
        <f aca="false">IF($A749="","",SUM($J749:$L749))</f>
        <v/>
      </c>
      <c r="R749" s="17" t="str">
        <f aca="false">IF($A749="","",($M749+$Q749)-$P749)</f>
        <v/>
      </c>
      <c r="S749" s="18" t="str">
        <f aca="false">IF(OR($A749="",$P749=0),"",$R749/$P749)</f>
        <v/>
      </c>
      <c r="T749" s="23"/>
      <c r="U749" s="14" t="str">
        <f aca="false">IF($A749="","",IF($M749&gt;0,"Live","Exited"))</f>
        <v/>
      </c>
      <c r="V749" s="20" t="str">
        <f aca="false">IF($A749="","",IF($A749='Client Report'!$C$4,COUNTIFS($A$6:$A749,'Client Report'!$C$4),""))</f>
        <v/>
      </c>
    </row>
    <row r="750" customFormat="false" ht="15" hidden="false" customHeight="false" outlineLevel="0" collapsed="false">
      <c r="A750" s="11"/>
      <c r="B750" s="11"/>
      <c r="C750" s="14" t="str">
        <f aca="false">IF($B750="","",IFERROR(TRIM(LEFT($B750,FIND(" - ",$B750)-1)),"Others"))</f>
        <v/>
      </c>
      <c r="D750" s="11"/>
      <c r="E750" s="11"/>
      <c r="F750" s="12"/>
      <c r="G750" s="21"/>
      <c r="H750" s="21"/>
      <c r="I750" s="21"/>
      <c r="J750" s="21"/>
      <c r="K750" s="21"/>
      <c r="L750" s="21"/>
      <c r="M750" s="21"/>
      <c r="N750" s="22"/>
      <c r="O750" s="22"/>
      <c r="P750" s="17" t="str">
        <f aca="false">IF($A750="","",SUM($G750:$I750))</f>
        <v/>
      </c>
      <c r="Q750" s="17" t="str">
        <f aca="false">IF($A750="","",SUM($J750:$L750))</f>
        <v/>
      </c>
      <c r="R750" s="17" t="str">
        <f aca="false">IF($A750="","",($M750+$Q750)-$P750)</f>
        <v/>
      </c>
      <c r="S750" s="18" t="str">
        <f aca="false">IF(OR($A750="",$P750=0),"",$R750/$P750)</f>
        <v/>
      </c>
      <c r="T750" s="23"/>
      <c r="U750" s="14" t="str">
        <f aca="false">IF($A750="","",IF($M750&gt;0,"Live","Exited"))</f>
        <v/>
      </c>
      <c r="V750" s="20" t="str">
        <f aca="false">IF($A750="","",IF($A750='Client Report'!$C$4,COUNTIFS($A$6:$A750,'Client Report'!$C$4),""))</f>
        <v/>
      </c>
    </row>
    <row r="751" customFormat="false" ht="15" hidden="false" customHeight="false" outlineLevel="0" collapsed="false">
      <c r="A751" s="11"/>
      <c r="B751" s="11"/>
      <c r="C751" s="14" t="str">
        <f aca="false">IF($B751="","",IFERROR(TRIM(LEFT($B751,FIND(" - ",$B751)-1)),"Others"))</f>
        <v/>
      </c>
      <c r="D751" s="11"/>
      <c r="E751" s="11"/>
      <c r="F751" s="12"/>
      <c r="G751" s="21"/>
      <c r="H751" s="21"/>
      <c r="I751" s="21"/>
      <c r="J751" s="21"/>
      <c r="K751" s="21"/>
      <c r="L751" s="21"/>
      <c r="M751" s="21"/>
      <c r="N751" s="22"/>
      <c r="O751" s="22"/>
      <c r="P751" s="17" t="str">
        <f aca="false">IF($A751="","",SUM($G751:$I751))</f>
        <v/>
      </c>
      <c r="Q751" s="17" t="str">
        <f aca="false">IF($A751="","",SUM($J751:$L751))</f>
        <v/>
      </c>
      <c r="R751" s="17" t="str">
        <f aca="false">IF($A751="","",($M751+$Q751)-$P751)</f>
        <v/>
      </c>
      <c r="S751" s="18" t="str">
        <f aca="false">IF(OR($A751="",$P751=0),"",$R751/$P751)</f>
        <v/>
      </c>
      <c r="T751" s="23"/>
      <c r="U751" s="14" t="str">
        <f aca="false">IF($A751="","",IF($M751&gt;0,"Live","Exited"))</f>
        <v/>
      </c>
      <c r="V751" s="20" t="str">
        <f aca="false">IF($A751="","",IF($A751='Client Report'!$C$4,COUNTIFS($A$6:$A751,'Client Report'!$C$4),""))</f>
        <v/>
      </c>
    </row>
    <row r="752" customFormat="false" ht="15" hidden="false" customHeight="false" outlineLevel="0" collapsed="false">
      <c r="A752" s="11"/>
      <c r="B752" s="11"/>
      <c r="C752" s="14" t="str">
        <f aca="false">IF($B752="","",IFERROR(TRIM(LEFT($B752,FIND(" - ",$B752)-1)),"Others"))</f>
        <v/>
      </c>
      <c r="D752" s="11"/>
      <c r="E752" s="11"/>
      <c r="F752" s="12"/>
      <c r="G752" s="21"/>
      <c r="H752" s="21"/>
      <c r="I752" s="21"/>
      <c r="J752" s="21"/>
      <c r="K752" s="21"/>
      <c r="L752" s="21"/>
      <c r="M752" s="21"/>
      <c r="N752" s="22"/>
      <c r="O752" s="22"/>
      <c r="P752" s="17" t="str">
        <f aca="false">IF($A752="","",SUM($G752:$I752))</f>
        <v/>
      </c>
      <c r="Q752" s="17" t="str">
        <f aca="false">IF($A752="","",SUM($J752:$L752))</f>
        <v/>
      </c>
      <c r="R752" s="17" t="str">
        <f aca="false">IF($A752="","",($M752+$Q752)-$P752)</f>
        <v/>
      </c>
      <c r="S752" s="18" t="str">
        <f aca="false">IF(OR($A752="",$P752=0),"",$R752/$P752)</f>
        <v/>
      </c>
      <c r="T752" s="23"/>
      <c r="U752" s="14" t="str">
        <f aca="false">IF($A752="","",IF($M752&gt;0,"Live","Exited"))</f>
        <v/>
      </c>
      <c r="V752" s="20" t="str">
        <f aca="false">IF($A752="","",IF($A752='Client Report'!$C$4,COUNTIFS($A$6:$A752,'Client Report'!$C$4),""))</f>
        <v/>
      </c>
    </row>
    <row r="753" customFormat="false" ht="15" hidden="false" customHeight="false" outlineLevel="0" collapsed="false">
      <c r="A753" s="11"/>
      <c r="B753" s="11"/>
      <c r="C753" s="14" t="str">
        <f aca="false">IF($B753="","",IFERROR(TRIM(LEFT($B753,FIND(" - ",$B753)-1)),"Others"))</f>
        <v/>
      </c>
      <c r="D753" s="11"/>
      <c r="E753" s="11"/>
      <c r="F753" s="12"/>
      <c r="G753" s="21"/>
      <c r="H753" s="21"/>
      <c r="I753" s="21"/>
      <c r="J753" s="21"/>
      <c r="K753" s="21"/>
      <c r="L753" s="21"/>
      <c r="M753" s="21"/>
      <c r="N753" s="22"/>
      <c r="O753" s="22"/>
      <c r="P753" s="17" t="str">
        <f aca="false">IF($A753="","",SUM($G753:$I753))</f>
        <v/>
      </c>
      <c r="Q753" s="17" t="str">
        <f aca="false">IF($A753="","",SUM($J753:$L753))</f>
        <v/>
      </c>
      <c r="R753" s="17" t="str">
        <f aca="false">IF($A753="","",($M753+$Q753)-$P753)</f>
        <v/>
      </c>
      <c r="S753" s="18" t="str">
        <f aca="false">IF(OR($A753="",$P753=0),"",$R753/$P753)</f>
        <v/>
      </c>
      <c r="T753" s="23"/>
      <c r="U753" s="14" t="str">
        <f aca="false">IF($A753="","",IF($M753&gt;0,"Live","Exited"))</f>
        <v/>
      </c>
      <c r="V753" s="20" t="str">
        <f aca="false">IF($A753="","",IF($A753='Client Report'!$C$4,COUNTIFS($A$6:$A753,'Client Report'!$C$4),""))</f>
        <v/>
      </c>
    </row>
    <row r="754" customFormat="false" ht="15" hidden="false" customHeight="false" outlineLevel="0" collapsed="false">
      <c r="A754" s="11"/>
      <c r="B754" s="11"/>
      <c r="C754" s="14" t="str">
        <f aca="false">IF($B754="","",IFERROR(TRIM(LEFT($B754,FIND(" - ",$B754)-1)),"Others"))</f>
        <v/>
      </c>
      <c r="D754" s="11"/>
      <c r="E754" s="11"/>
      <c r="F754" s="12"/>
      <c r="G754" s="21"/>
      <c r="H754" s="21"/>
      <c r="I754" s="21"/>
      <c r="J754" s="21"/>
      <c r="K754" s="21"/>
      <c r="L754" s="21"/>
      <c r="M754" s="21"/>
      <c r="N754" s="22"/>
      <c r="O754" s="22"/>
      <c r="P754" s="17" t="str">
        <f aca="false">IF($A754="","",SUM($G754:$I754))</f>
        <v/>
      </c>
      <c r="Q754" s="17" t="str">
        <f aca="false">IF($A754="","",SUM($J754:$L754))</f>
        <v/>
      </c>
      <c r="R754" s="17" t="str">
        <f aca="false">IF($A754="","",($M754+$Q754)-$P754)</f>
        <v/>
      </c>
      <c r="S754" s="18" t="str">
        <f aca="false">IF(OR($A754="",$P754=0),"",$R754/$P754)</f>
        <v/>
      </c>
      <c r="T754" s="23"/>
      <c r="U754" s="14" t="str">
        <f aca="false">IF($A754="","",IF($M754&gt;0,"Live","Exited"))</f>
        <v/>
      </c>
      <c r="V754" s="20" t="str">
        <f aca="false">IF($A754="","",IF($A754='Client Report'!$C$4,COUNTIFS($A$6:$A754,'Client Report'!$C$4),""))</f>
        <v/>
      </c>
    </row>
    <row r="755" customFormat="false" ht="15" hidden="false" customHeight="false" outlineLevel="0" collapsed="false">
      <c r="A755" s="11"/>
      <c r="B755" s="11"/>
      <c r="C755" s="14" t="str">
        <f aca="false">IF($B755="","",IFERROR(TRIM(LEFT($B755,FIND(" - ",$B755)-1)),"Others"))</f>
        <v/>
      </c>
      <c r="D755" s="11"/>
      <c r="E755" s="11"/>
      <c r="F755" s="12"/>
      <c r="G755" s="21"/>
      <c r="H755" s="21"/>
      <c r="I755" s="21"/>
      <c r="J755" s="21"/>
      <c r="K755" s="21"/>
      <c r="L755" s="21"/>
      <c r="M755" s="21"/>
      <c r="N755" s="22"/>
      <c r="O755" s="22"/>
      <c r="P755" s="17" t="str">
        <f aca="false">IF($A755="","",SUM($G755:$I755))</f>
        <v/>
      </c>
      <c r="Q755" s="17" t="str">
        <f aca="false">IF($A755="","",SUM($J755:$L755))</f>
        <v/>
      </c>
      <c r="R755" s="17" t="str">
        <f aca="false">IF($A755="","",($M755+$Q755)-$P755)</f>
        <v/>
      </c>
      <c r="S755" s="18" t="str">
        <f aca="false">IF(OR($A755="",$P755=0),"",$R755/$P755)</f>
        <v/>
      </c>
      <c r="T755" s="23"/>
      <c r="U755" s="14" t="str">
        <f aca="false">IF($A755="","",IF($M755&gt;0,"Live","Exited"))</f>
        <v/>
      </c>
      <c r="V755" s="20" t="str">
        <f aca="false">IF($A755="","",IF($A755='Client Report'!$C$4,COUNTIFS($A$6:$A755,'Client Report'!$C$4),""))</f>
        <v/>
      </c>
    </row>
    <row r="756" customFormat="false" ht="15" hidden="false" customHeight="false" outlineLevel="0" collapsed="false">
      <c r="A756" s="11"/>
      <c r="B756" s="11"/>
      <c r="C756" s="14" t="str">
        <f aca="false">IF($B756="","",IFERROR(TRIM(LEFT($B756,FIND(" - ",$B756)-1)),"Others"))</f>
        <v/>
      </c>
      <c r="D756" s="11"/>
      <c r="E756" s="11"/>
      <c r="F756" s="12"/>
      <c r="G756" s="21"/>
      <c r="H756" s="21"/>
      <c r="I756" s="21"/>
      <c r="J756" s="21"/>
      <c r="K756" s="21"/>
      <c r="L756" s="21"/>
      <c r="M756" s="21"/>
      <c r="N756" s="22"/>
      <c r="O756" s="22"/>
      <c r="P756" s="17" t="str">
        <f aca="false">IF($A756="","",SUM($G756:$I756))</f>
        <v/>
      </c>
      <c r="Q756" s="17" t="str">
        <f aca="false">IF($A756="","",SUM($J756:$L756))</f>
        <v/>
      </c>
      <c r="R756" s="17" t="str">
        <f aca="false">IF($A756="","",($M756+$Q756)-$P756)</f>
        <v/>
      </c>
      <c r="S756" s="18" t="str">
        <f aca="false">IF(OR($A756="",$P756=0),"",$R756/$P756)</f>
        <v/>
      </c>
      <c r="T756" s="23"/>
      <c r="U756" s="14" t="str">
        <f aca="false">IF($A756="","",IF($M756&gt;0,"Live","Exited"))</f>
        <v/>
      </c>
      <c r="V756" s="20" t="str">
        <f aca="false">IF($A756="","",IF($A756='Client Report'!$C$4,COUNTIFS($A$6:$A756,'Client Report'!$C$4),""))</f>
        <v/>
      </c>
    </row>
    <row r="757" customFormat="false" ht="15" hidden="false" customHeight="false" outlineLevel="0" collapsed="false">
      <c r="A757" s="11"/>
      <c r="B757" s="11"/>
      <c r="C757" s="14" t="str">
        <f aca="false">IF($B757="","",IFERROR(TRIM(LEFT($B757,FIND(" - ",$B757)-1)),"Others"))</f>
        <v/>
      </c>
      <c r="D757" s="11"/>
      <c r="E757" s="11"/>
      <c r="F757" s="12"/>
      <c r="G757" s="21"/>
      <c r="H757" s="21"/>
      <c r="I757" s="21"/>
      <c r="J757" s="21"/>
      <c r="K757" s="21"/>
      <c r="L757" s="21"/>
      <c r="M757" s="21"/>
      <c r="N757" s="22"/>
      <c r="O757" s="22"/>
      <c r="P757" s="17" t="str">
        <f aca="false">IF($A757="","",SUM($G757:$I757))</f>
        <v/>
      </c>
      <c r="Q757" s="17" t="str">
        <f aca="false">IF($A757="","",SUM($J757:$L757))</f>
        <v/>
      </c>
      <c r="R757" s="17" t="str">
        <f aca="false">IF($A757="","",($M757+$Q757)-$P757)</f>
        <v/>
      </c>
      <c r="S757" s="18" t="str">
        <f aca="false">IF(OR($A757="",$P757=0),"",$R757/$P757)</f>
        <v/>
      </c>
      <c r="T757" s="23"/>
      <c r="U757" s="14" t="str">
        <f aca="false">IF($A757="","",IF($M757&gt;0,"Live","Exited"))</f>
        <v/>
      </c>
      <c r="V757" s="20" t="str">
        <f aca="false">IF($A757="","",IF($A757='Client Report'!$C$4,COUNTIFS($A$6:$A757,'Client Report'!$C$4),""))</f>
        <v/>
      </c>
    </row>
    <row r="758" customFormat="false" ht="15" hidden="false" customHeight="false" outlineLevel="0" collapsed="false">
      <c r="A758" s="11"/>
      <c r="B758" s="11"/>
      <c r="C758" s="14" t="str">
        <f aca="false">IF($B758="","",IFERROR(TRIM(LEFT($B758,FIND(" - ",$B758)-1)),"Others"))</f>
        <v/>
      </c>
      <c r="D758" s="11"/>
      <c r="E758" s="11"/>
      <c r="F758" s="12"/>
      <c r="G758" s="21"/>
      <c r="H758" s="21"/>
      <c r="I758" s="21"/>
      <c r="J758" s="21"/>
      <c r="K758" s="21"/>
      <c r="L758" s="21"/>
      <c r="M758" s="21"/>
      <c r="N758" s="22"/>
      <c r="O758" s="22"/>
      <c r="P758" s="17" t="str">
        <f aca="false">IF($A758="","",SUM($G758:$I758))</f>
        <v/>
      </c>
      <c r="Q758" s="17" t="str">
        <f aca="false">IF($A758="","",SUM($J758:$L758))</f>
        <v/>
      </c>
      <c r="R758" s="17" t="str">
        <f aca="false">IF($A758="","",($M758+$Q758)-$P758)</f>
        <v/>
      </c>
      <c r="S758" s="18" t="str">
        <f aca="false">IF(OR($A758="",$P758=0),"",$R758/$P758)</f>
        <v/>
      </c>
      <c r="T758" s="23"/>
      <c r="U758" s="14" t="str">
        <f aca="false">IF($A758="","",IF($M758&gt;0,"Live","Exited"))</f>
        <v/>
      </c>
      <c r="V758" s="20" t="str">
        <f aca="false">IF($A758="","",IF($A758='Client Report'!$C$4,COUNTIFS($A$6:$A758,'Client Report'!$C$4),""))</f>
        <v/>
      </c>
    </row>
    <row r="759" customFormat="false" ht="15" hidden="false" customHeight="false" outlineLevel="0" collapsed="false">
      <c r="A759" s="11"/>
      <c r="B759" s="11"/>
      <c r="C759" s="14" t="str">
        <f aca="false">IF($B759="","",IFERROR(TRIM(LEFT($B759,FIND(" - ",$B759)-1)),"Others"))</f>
        <v/>
      </c>
      <c r="D759" s="11"/>
      <c r="E759" s="11"/>
      <c r="F759" s="12"/>
      <c r="G759" s="21"/>
      <c r="H759" s="21"/>
      <c r="I759" s="21"/>
      <c r="J759" s="21"/>
      <c r="K759" s="21"/>
      <c r="L759" s="21"/>
      <c r="M759" s="21"/>
      <c r="N759" s="22"/>
      <c r="O759" s="22"/>
      <c r="P759" s="17" t="str">
        <f aca="false">IF($A759="","",SUM($G759:$I759))</f>
        <v/>
      </c>
      <c r="Q759" s="17" t="str">
        <f aca="false">IF($A759="","",SUM($J759:$L759))</f>
        <v/>
      </c>
      <c r="R759" s="17" t="str">
        <f aca="false">IF($A759="","",($M759+$Q759)-$P759)</f>
        <v/>
      </c>
      <c r="S759" s="18" t="str">
        <f aca="false">IF(OR($A759="",$P759=0),"",$R759/$P759)</f>
        <v/>
      </c>
      <c r="T759" s="23"/>
      <c r="U759" s="14" t="str">
        <f aca="false">IF($A759="","",IF($M759&gt;0,"Live","Exited"))</f>
        <v/>
      </c>
      <c r="V759" s="20" t="str">
        <f aca="false">IF($A759="","",IF($A759='Client Report'!$C$4,COUNTIFS($A$6:$A759,'Client Report'!$C$4),""))</f>
        <v/>
      </c>
    </row>
    <row r="760" customFormat="false" ht="15" hidden="false" customHeight="false" outlineLevel="0" collapsed="false">
      <c r="A760" s="11"/>
      <c r="B760" s="11"/>
      <c r="C760" s="14" t="str">
        <f aca="false">IF($B760="","",IFERROR(TRIM(LEFT($B760,FIND(" - ",$B760)-1)),"Others"))</f>
        <v/>
      </c>
      <c r="D760" s="11"/>
      <c r="E760" s="11"/>
      <c r="F760" s="12"/>
      <c r="G760" s="21"/>
      <c r="H760" s="21"/>
      <c r="I760" s="21"/>
      <c r="J760" s="21"/>
      <c r="K760" s="21"/>
      <c r="L760" s="21"/>
      <c r="M760" s="21"/>
      <c r="N760" s="22"/>
      <c r="O760" s="22"/>
      <c r="P760" s="17" t="str">
        <f aca="false">IF($A760="","",SUM($G760:$I760))</f>
        <v/>
      </c>
      <c r="Q760" s="17" t="str">
        <f aca="false">IF($A760="","",SUM($J760:$L760))</f>
        <v/>
      </c>
      <c r="R760" s="17" t="str">
        <f aca="false">IF($A760="","",($M760+$Q760)-$P760)</f>
        <v/>
      </c>
      <c r="S760" s="18" t="str">
        <f aca="false">IF(OR($A760="",$P760=0),"",$R760/$P760)</f>
        <v/>
      </c>
      <c r="T760" s="23"/>
      <c r="U760" s="14" t="str">
        <f aca="false">IF($A760="","",IF($M760&gt;0,"Live","Exited"))</f>
        <v/>
      </c>
      <c r="V760" s="20" t="str">
        <f aca="false">IF($A760="","",IF($A760='Client Report'!$C$4,COUNTIFS($A$6:$A760,'Client Report'!$C$4),""))</f>
        <v/>
      </c>
    </row>
    <row r="761" customFormat="false" ht="15" hidden="false" customHeight="false" outlineLevel="0" collapsed="false">
      <c r="A761" s="11"/>
      <c r="B761" s="11"/>
      <c r="C761" s="14" t="str">
        <f aca="false">IF($B761="","",IFERROR(TRIM(LEFT($B761,FIND(" - ",$B761)-1)),"Others"))</f>
        <v/>
      </c>
      <c r="D761" s="11"/>
      <c r="E761" s="11"/>
      <c r="F761" s="12"/>
      <c r="G761" s="21"/>
      <c r="H761" s="21"/>
      <c r="I761" s="21"/>
      <c r="J761" s="21"/>
      <c r="K761" s="21"/>
      <c r="L761" s="21"/>
      <c r="M761" s="21"/>
      <c r="N761" s="22"/>
      <c r="O761" s="22"/>
      <c r="P761" s="17" t="str">
        <f aca="false">IF($A761="","",SUM($G761:$I761))</f>
        <v/>
      </c>
      <c r="Q761" s="17" t="str">
        <f aca="false">IF($A761="","",SUM($J761:$L761))</f>
        <v/>
      </c>
      <c r="R761" s="17" t="str">
        <f aca="false">IF($A761="","",($M761+$Q761)-$P761)</f>
        <v/>
      </c>
      <c r="S761" s="18" t="str">
        <f aca="false">IF(OR($A761="",$P761=0),"",$R761/$P761)</f>
        <v/>
      </c>
      <c r="T761" s="23"/>
      <c r="U761" s="14" t="str">
        <f aca="false">IF($A761="","",IF($M761&gt;0,"Live","Exited"))</f>
        <v/>
      </c>
      <c r="V761" s="20" t="str">
        <f aca="false">IF($A761="","",IF($A761='Client Report'!$C$4,COUNTIFS($A$6:$A761,'Client Report'!$C$4),""))</f>
        <v/>
      </c>
    </row>
    <row r="762" customFormat="false" ht="15" hidden="false" customHeight="false" outlineLevel="0" collapsed="false">
      <c r="A762" s="11"/>
      <c r="B762" s="11"/>
      <c r="C762" s="14" t="str">
        <f aca="false">IF($B762="","",IFERROR(TRIM(LEFT($B762,FIND(" - ",$B762)-1)),"Others"))</f>
        <v/>
      </c>
      <c r="D762" s="11"/>
      <c r="E762" s="11"/>
      <c r="F762" s="12"/>
      <c r="G762" s="21"/>
      <c r="H762" s="21"/>
      <c r="I762" s="21"/>
      <c r="J762" s="21"/>
      <c r="K762" s="21"/>
      <c r="L762" s="21"/>
      <c r="M762" s="21"/>
      <c r="N762" s="22"/>
      <c r="O762" s="22"/>
      <c r="P762" s="17" t="str">
        <f aca="false">IF($A762="","",SUM($G762:$I762))</f>
        <v/>
      </c>
      <c r="Q762" s="17" t="str">
        <f aca="false">IF($A762="","",SUM($J762:$L762))</f>
        <v/>
      </c>
      <c r="R762" s="17" t="str">
        <f aca="false">IF($A762="","",($M762+$Q762)-$P762)</f>
        <v/>
      </c>
      <c r="S762" s="18" t="str">
        <f aca="false">IF(OR($A762="",$P762=0),"",$R762/$P762)</f>
        <v/>
      </c>
      <c r="T762" s="23"/>
      <c r="U762" s="14" t="str">
        <f aca="false">IF($A762="","",IF($M762&gt;0,"Live","Exited"))</f>
        <v/>
      </c>
      <c r="V762" s="20" t="str">
        <f aca="false">IF($A762="","",IF($A762='Client Report'!$C$4,COUNTIFS($A$6:$A762,'Client Report'!$C$4),""))</f>
        <v/>
      </c>
    </row>
    <row r="763" customFormat="false" ht="15" hidden="false" customHeight="false" outlineLevel="0" collapsed="false">
      <c r="A763" s="11"/>
      <c r="B763" s="11"/>
      <c r="C763" s="14" t="str">
        <f aca="false">IF($B763="","",IFERROR(TRIM(LEFT($B763,FIND(" - ",$B763)-1)),"Others"))</f>
        <v/>
      </c>
      <c r="D763" s="11"/>
      <c r="E763" s="11"/>
      <c r="F763" s="12"/>
      <c r="G763" s="21"/>
      <c r="H763" s="21"/>
      <c r="I763" s="21"/>
      <c r="J763" s="21"/>
      <c r="K763" s="21"/>
      <c r="L763" s="21"/>
      <c r="M763" s="21"/>
      <c r="N763" s="22"/>
      <c r="O763" s="22"/>
      <c r="P763" s="17" t="str">
        <f aca="false">IF($A763="","",SUM($G763:$I763))</f>
        <v/>
      </c>
      <c r="Q763" s="17" t="str">
        <f aca="false">IF($A763="","",SUM($J763:$L763))</f>
        <v/>
      </c>
      <c r="R763" s="17" t="str">
        <f aca="false">IF($A763="","",($M763+$Q763)-$P763)</f>
        <v/>
      </c>
      <c r="S763" s="18" t="str">
        <f aca="false">IF(OR($A763="",$P763=0),"",$R763/$P763)</f>
        <v/>
      </c>
      <c r="T763" s="23"/>
      <c r="U763" s="14" t="str">
        <f aca="false">IF($A763="","",IF($M763&gt;0,"Live","Exited"))</f>
        <v/>
      </c>
      <c r="V763" s="20" t="str">
        <f aca="false">IF($A763="","",IF($A763='Client Report'!$C$4,COUNTIFS($A$6:$A763,'Client Report'!$C$4),""))</f>
        <v/>
      </c>
    </row>
    <row r="764" customFormat="false" ht="15" hidden="false" customHeight="false" outlineLevel="0" collapsed="false">
      <c r="A764" s="11"/>
      <c r="B764" s="11"/>
      <c r="C764" s="14" t="str">
        <f aca="false">IF($B764="","",IFERROR(TRIM(LEFT($B764,FIND(" - ",$B764)-1)),"Others"))</f>
        <v/>
      </c>
      <c r="D764" s="11"/>
      <c r="E764" s="11"/>
      <c r="F764" s="12"/>
      <c r="G764" s="21"/>
      <c r="H764" s="21"/>
      <c r="I764" s="21"/>
      <c r="J764" s="21"/>
      <c r="K764" s="21"/>
      <c r="L764" s="21"/>
      <c r="M764" s="21"/>
      <c r="N764" s="22"/>
      <c r="O764" s="22"/>
      <c r="P764" s="17" t="str">
        <f aca="false">IF($A764="","",SUM($G764:$I764))</f>
        <v/>
      </c>
      <c r="Q764" s="17" t="str">
        <f aca="false">IF($A764="","",SUM($J764:$L764))</f>
        <v/>
      </c>
      <c r="R764" s="17" t="str">
        <f aca="false">IF($A764="","",($M764+$Q764)-$P764)</f>
        <v/>
      </c>
      <c r="S764" s="18" t="str">
        <f aca="false">IF(OR($A764="",$P764=0),"",$R764/$P764)</f>
        <v/>
      </c>
      <c r="T764" s="23"/>
      <c r="U764" s="14" t="str">
        <f aca="false">IF($A764="","",IF($M764&gt;0,"Live","Exited"))</f>
        <v/>
      </c>
      <c r="V764" s="20" t="str">
        <f aca="false">IF($A764="","",IF($A764='Client Report'!$C$4,COUNTIFS($A$6:$A764,'Client Report'!$C$4),""))</f>
        <v/>
      </c>
    </row>
    <row r="765" customFormat="false" ht="15" hidden="false" customHeight="false" outlineLevel="0" collapsed="false">
      <c r="A765" s="11"/>
      <c r="B765" s="11"/>
      <c r="C765" s="14" t="str">
        <f aca="false">IF($B765="","",IFERROR(TRIM(LEFT($B765,FIND(" - ",$B765)-1)),"Others"))</f>
        <v/>
      </c>
      <c r="D765" s="11"/>
      <c r="E765" s="11"/>
      <c r="F765" s="12"/>
      <c r="G765" s="21"/>
      <c r="H765" s="21"/>
      <c r="I765" s="21"/>
      <c r="J765" s="21"/>
      <c r="K765" s="21"/>
      <c r="L765" s="21"/>
      <c r="M765" s="21"/>
      <c r="N765" s="22"/>
      <c r="O765" s="22"/>
      <c r="P765" s="17" t="str">
        <f aca="false">IF($A765="","",SUM($G765:$I765))</f>
        <v/>
      </c>
      <c r="Q765" s="17" t="str">
        <f aca="false">IF($A765="","",SUM($J765:$L765))</f>
        <v/>
      </c>
      <c r="R765" s="17" t="str">
        <f aca="false">IF($A765="","",($M765+$Q765)-$P765)</f>
        <v/>
      </c>
      <c r="S765" s="18" t="str">
        <f aca="false">IF(OR($A765="",$P765=0),"",$R765/$P765)</f>
        <v/>
      </c>
      <c r="T765" s="23"/>
      <c r="U765" s="14" t="str">
        <f aca="false">IF($A765="","",IF($M765&gt;0,"Live","Exited"))</f>
        <v/>
      </c>
      <c r="V765" s="20" t="str">
        <f aca="false">IF($A765="","",IF($A765='Client Report'!$C$4,COUNTIFS($A$6:$A765,'Client Report'!$C$4),""))</f>
        <v/>
      </c>
    </row>
    <row r="766" customFormat="false" ht="15" hidden="false" customHeight="false" outlineLevel="0" collapsed="false">
      <c r="A766" s="11"/>
      <c r="B766" s="11"/>
      <c r="C766" s="14" t="str">
        <f aca="false">IF($B766="","",IFERROR(TRIM(LEFT($B766,FIND(" - ",$B766)-1)),"Others"))</f>
        <v/>
      </c>
      <c r="D766" s="11"/>
      <c r="E766" s="11"/>
      <c r="F766" s="12"/>
      <c r="G766" s="21"/>
      <c r="H766" s="21"/>
      <c r="I766" s="21"/>
      <c r="J766" s="21"/>
      <c r="K766" s="21"/>
      <c r="L766" s="21"/>
      <c r="M766" s="21"/>
      <c r="N766" s="22"/>
      <c r="O766" s="22"/>
      <c r="P766" s="17" t="str">
        <f aca="false">IF($A766="","",SUM($G766:$I766))</f>
        <v/>
      </c>
      <c r="Q766" s="17" t="str">
        <f aca="false">IF($A766="","",SUM($J766:$L766))</f>
        <v/>
      </c>
      <c r="R766" s="17" t="str">
        <f aca="false">IF($A766="","",($M766+$Q766)-$P766)</f>
        <v/>
      </c>
      <c r="S766" s="18" t="str">
        <f aca="false">IF(OR($A766="",$P766=0),"",$R766/$P766)</f>
        <v/>
      </c>
      <c r="T766" s="23"/>
      <c r="U766" s="14" t="str">
        <f aca="false">IF($A766="","",IF($M766&gt;0,"Live","Exited"))</f>
        <v/>
      </c>
      <c r="V766" s="20" t="str">
        <f aca="false">IF($A766="","",IF($A766='Client Report'!$C$4,COUNTIFS($A$6:$A766,'Client Report'!$C$4),""))</f>
        <v/>
      </c>
    </row>
    <row r="767" customFormat="false" ht="15" hidden="false" customHeight="false" outlineLevel="0" collapsed="false">
      <c r="A767" s="11"/>
      <c r="B767" s="11"/>
      <c r="C767" s="14" t="str">
        <f aca="false">IF($B767="","",IFERROR(TRIM(LEFT($B767,FIND(" - ",$B767)-1)),"Others"))</f>
        <v/>
      </c>
      <c r="D767" s="11"/>
      <c r="E767" s="11"/>
      <c r="F767" s="12"/>
      <c r="G767" s="21"/>
      <c r="H767" s="21"/>
      <c r="I767" s="21"/>
      <c r="J767" s="21"/>
      <c r="K767" s="21"/>
      <c r="L767" s="21"/>
      <c r="M767" s="21"/>
      <c r="N767" s="22"/>
      <c r="O767" s="22"/>
      <c r="P767" s="17" t="str">
        <f aca="false">IF($A767="","",SUM($G767:$I767))</f>
        <v/>
      </c>
      <c r="Q767" s="17" t="str">
        <f aca="false">IF($A767="","",SUM($J767:$L767))</f>
        <v/>
      </c>
      <c r="R767" s="17" t="str">
        <f aca="false">IF($A767="","",($M767+$Q767)-$P767)</f>
        <v/>
      </c>
      <c r="S767" s="18" t="str">
        <f aca="false">IF(OR($A767="",$P767=0),"",$R767/$P767)</f>
        <v/>
      </c>
      <c r="T767" s="23"/>
      <c r="U767" s="14" t="str">
        <f aca="false">IF($A767="","",IF($M767&gt;0,"Live","Exited"))</f>
        <v/>
      </c>
      <c r="V767" s="20" t="str">
        <f aca="false">IF($A767="","",IF($A767='Client Report'!$C$4,COUNTIFS($A$6:$A767,'Client Report'!$C$4),""))</f>
        <v/>
      </c>
    </row>
    <row r="768" customFormat="false" ht="15" hidden="false" customHeight="false" outlineLevel="0" collapsed="false">
      <c r="A768" s="11"/>
      <c r="B768" s="11"/>
      <c r="C768" s="14" t="str">
        <f aca="false">IF($B768="","",IFERROR(TRIM(LEFT($B768,FIND(" - ",$B768)-1)),"Others"))</f>
        <v/>
      </c>
      <c r="D768" s="11"/>
      <c r="E768" s="11"/>
      <c r="F768" s="12"/>
      <c r="G768" s="21"/>
      <c r="H768" s="21"/>
      <c r="I768" s="21"/>
      <c r="J768" s="21"/>
      <c r="K768" s="21"/>
      <c r="L768" s="21"/>
      <c r="M768" s="21"/>
      <c r="N768" s="22"/>
      <c r="O768" s="22"/>
      <c r="P768" s="17" t="str">
        <f aca="false">IF($A768="","",SUM($G768:$I768))</f>
        <v/>
      </c>
      <c r="Q768" s="17" t="str">
        <f aca="false">IF($A768="","",SUM($J768:$L768))</f>
        <v/>
      </c>
      <c r="R768" s="17" t="str">
        <f aca="false">IF($A768="","",($M768+$Q768)-$P768)</f>
        <v/>
      </c>
      <c r="S768" s="18" t="str">
        <f aca="false">IF(OR($A768="",$P768=0),"",$R768/$P768)</f>
        <v/>
      </c>
      <c r="T768" s="23"/>
      <c r="U768" s="14" t="str">
        <f aca="false">IF($A768="","",IF($M768&gt;0,"Live","Exited"))</f>
        <v/>
      </c>
      <c r="V768" s="20" t="str">
        <f aca="false">IF($A768="","",IF($A768='Client Report'!$C$4,COUNTIFS($A$6:$A768,'Client Report'!$C$4),""))</f>
        <v/>
      </c>
    </row>
    <row r="769" customFormat="false" ht="15" hidden="false" customHeight="false" outlineLevel="0" collapsed="false">
      <c r="A769" s="11"/>
      <c r="B769" s="11"/>
      <c r="C769" s="14" t="str">
        <f aca="false">IF($B769="","",IFERROR(TRIM(LEFT($B769,FIND(" - ",$B769)-1)),"Others"))</f>
        <v/>
      </c>
      <c r="D769" s="11"/>
      <c r="E769" s="11"/>
      <c r="F769" s="12"/>
      <c r="G769" s="21"/>
      <c r="H769" s="21"/>
      <c r="I769" s="21"/>
      <c r="J769" s="21"/>
      <c r="K769" s="21"/>
      <c r="L769" s="21"/>
      <c r="M769" s="21"/>
      <c r="N769" s="22"/>
      <c r="O769" s="22"/>
      <c r="P769" s="17" t="str">
        <f aca="false">IF($A769="","",SUM($G769:$I769))</f>
        <v/>
      </c>
      <c r="Q769" s="17" t="str">
        <f aca="false">IF($A769="","",SUM($J769:$L769))</f>
        <v/>
      </c>
      <c r="R769" s="17" t="str">
        <f aca="false">IF($A769="","",($M769+$Q769)-$P769)</f>
        <v/>
      </c>
      <c r="S769" s="18" t="str">
        <f aca="false">IF(OR($A769="",$P769=0),"",$R769/$P769)</f>
        <v/>
      </c>
      <c r="T769" s="23"/>
      <c r="U769" s="14" t="str">
        <f aca="false">IF($A769="","",IF($M769&gt;0,"Live","Exited"))</f>
        <v/>
      </c>
      <c r="V769" s="20" t="str">
        <f aca="false">IF($A769="","",IF($A769='Client Report'!$C$4,COUNTIFS($A$6:$A769,'Client Report'!$C$4),""))</f>
        <v/>
      </c>
    </row>
    <row r="770" customFormat="false" ht="15" hidden="false" customHeight="false" outlineLevel="0" collapsed="false">
      <c r="A770" s="11"/>
      <c r="B770" s="11"/>
      <c r="C770" s="14" t="str">
        <f aca="false">IF($B770="","",IFERROR(TRIM(LEFT($B770,FIND(" - ",$B770)-1)),"Others"))</f>
        <v/>
      </c>
      <c r="D770" s="11"/>
      <c r="E770" s="11"/>
      <c r="F770" s="12"/>
      <c r="G770" s="21"/>
      <c r="H770" s="21"/>
      <c r="I770" s="21"/>
      <c r="J770" s="21"/>
      <c r="K770" s="21"/>
      <c r="L770" s="21"/>
      <c r="M770" s="21"/>
      <c r="N770" s="22"/>
      <c r="O770" s="22"/>
      <c r="P770" s="17" t="str">
        <f aca="false">IF($A770="","",SUM($G770:$I770))</f>
        <v/>
      </c>
      <c r="Q770" s="17" t="str">
        <f aca="false">IF($A770="","",SUM($J770:$L770))</f>
        <v/>
      </c>
      <c r="R770" s="17" t="str">
        <f aca="false">IF($A770="","",($M770+$Q770)-$P770)</f>
        <v/>
      </c>
      <c r="S770" s="18" t="str">
        <f aca="false">IF(OR($A770="",$P770=0),"",$R770/$P770)</f>
        <v/>
      </c>
      <c r="T770" s="23"/>
      <c r="U770" s="14" t="str">
        <f aca="false">IF($A770="","",IF($M770&gt;0,"Live","Exited"))</f>
        <v/>
      </c>
      <c r="V770" s="20" t="str">
        <f aca="false">IF($A770="","",IF($A770='Client Report'!$C$4,COUNTIFS($A$6:$A770,'Client Report'!$C$4),""))</f>
        <v/>
      </c>
    </row>
    <row r="771" customFormat="false" ht="15" hidden="false" customHeight="false" outlineLevel="0" collapsed="false">
      <c r="A771" s="11"/>
      <c r="B771" s="11"/>
      <c r="C771" s="14" t="str">
        <f aca="false">IF($B771="","",IFERROR(TRIM(LEFT($B771,FIND(" - ",$B771)-1)),"Others"))</f>
        <v/>
      </c>
      <c r="D771" s="11"/>
      <c r="E771" s="11"/>
      <c r="F771" s="12"/>
      <c r="G771" s="21"/>
      <c r="H771" s="21"/>
      <c r="I771" s="21"/>
      <c r="J771" s="21"/>
      <c r="K771" s="21"/>
      <c r="L771" s="21"/>
      <c r="M771" s="21"/>
      <c r="N771" s="22"/>
      <c r="O771" s="22"/>
      <c r="P771" s="17" t="str">
        <f aca="false">IF($A771="","",SUM($G771:$I771))</f>
        <v/>
      </c>
      <c r="Q771" s="17" t="str">
        <f aca="false">IF($A771="","",SUM($J771:$L771))</f>
        <v/>
      </c>
      <c r="R771" s="17" t="str">
        <f aca="false">IF($A771="","",($M771+$Q771)-$P771)</f>
        <v/>
      </c>
      <c r="S771" s="18" t="str">
        <f aca="false">IF(OR($A771="",$P771=0),"",$R771/$P771)</f>
        <v/>
      </c>
      <c r="T771" s="23"/>
      <c r="U771" s="14" t="str">
        <f aca="false">IF($A771="","",IF($M771&gt;0,"Live","Exited"))</f>
        <v/>
      </c>
      <c r="V771" s="20" t="str">
        <f aca="false">IF($A771="","",IF($A771='Client Report'!$C$4,COUNTIFS($A$6:$A771,'Client Report'!$C$4),""))</f>
        <v/>
      </c>
    </row>
    <row r="772" customFormat="false" ht="15" hidden="false" customHeight="false" outlineLevel="0" collapsed="false">
      <c r="A772" s="11"/>
      <c r="B772" s="11"/>
      <c r="C772" s="14" t="str">
        <f aca="false">IF($B772="","",IFERROR(TRIM(LEFT($B772,FIND(" - ",$B772)-1)),"Others"))</f>
        <v/>
      </c>
      <c r="D772" s="11"/>
      <c r="E772" s="11"/>
      <c r="F772" s="12"/>
      <c r="G772" s="21"/>
      <c r="H772" s="21"/>
      <c r="I772" s="21"/>
      <c r="J772" s="21"/>
      <c r="K772" s="21"/>
      <c r="L772" s="21"/>
      <c r="M772" s="21"/>
      <c r="N772" s="22"/>
      <c r="O772" s="22"/>
      <c r="P772" s="17" t="str">
        <f aca="false">IF($A772="","",SUM($G772:$I772))</f>
        <v/>
      </c>
      <c r="Q772" s="17" t="str">
        <f aca="false">IF($A772="","",SUM($J772:$L772))</f>
        <v/>
      </c>
      <c r="R772" s="17" t="str">
        <f aca="false">IF($A772="","",($M772+$Q772)-$P772)</f>
        <v/>
      </c>
      <c r="S772" s="18" t="str">
        <f aca="false">IF(OR($A772="",$P772=0),"",$R772/$P772)</f>
        <v/>
      </c>
      <c r="T772" s="23"/>
      <c r="U772" s="14" t="str">
        <f aca="false">IF($A772="","",IF($M772&gt;0,"Live","Exited"))</f>
        <v/>
      </c>
      <c r="V772" s="20" t="str">
        <f aca="false">IF($A772="","",IF($A772='Client Report'!$C$4,COUNTIFS($A$6:$A772,'Client Report'!$C$4),""))</f>
        <v/>
      </c>
    </row>
    <row r="773" customFormat="false" ht="15" hidden="false" customHeight="false" outlineLevel="0" collapsed="false">
      <c r="A773" s="11"/>
      <c r="B773" s="11"/>
      <c r="C773" s="14" t="str">
        <f aca="false">IF($B773="","",IFERROR(TRIM(LEFT($B773,FIND(" - ",$B773)-1)),"Others"))</f>
        <v/>
      </c>
      <c r="D773" s="11"/>
      <c r="E773" s="11"/>
      <c r="F773" s="12"/>
      <c r="G773" s="21"/>
      <c r="H773" s="21"/>
      <c r="I773" s="21"/>
      <c r="J773" s="21"/>
      <c r="K773" s="21"/>
      <c r="L773" s="21"/>
      <c r="M773" s="21"/>
      <c r="N773" s="22"/>
      <c r="O773" s="22"/>
      <c r="P773" s="17" t="str">
        <f aca="false">IF($A773="","",SUM($G773:$I773))</f>
        <v/>
      </c>
      <c r="Q773" s="17" t="str">
        <f aca="false">IF($A773="","",SUM($J773:$L773))</f>
        <v/>
      </c>
      <c r="R773" s="17" t="str">
        <f aca="false">IF($A773="","",($M773+$Q773)-$P773)</f>
        <v/>
      </c>
      <c r="S773" s="18" t="str">
        <f aca="false">IF(OR($A773="",$P773=0),"",$R773/$P773)</f>
        <v/>
      </c>
      <c r="T773" s="23"/>
      <c r="U773" s="14" t="str">
        <f aca="false">IF($A773="","",IF($M773&gt;0,"Live","Exited"))</f>
        <v/>
      </c>
      <c r="V773" s="20" t="str">
        <f aca="false">IF($A773="","",IF($A773='Client Report'!$C$4,COUNTIFS($A$6:$A773,'Client Report'!$C$4),""))</f>
        <v/>
      </c>
    </row>
    <row r="774" customFormat="false" ht="15" hidden="false" customHeight="false" outlineLevel="0" collapsed="false">
      <c r="A774" s="11"/>
      <c r="B774" s="11"/>
      <c r="C774" s="14" t="str">
        <f aca="false">IF($B774="","",IFERROR(TRIM(LEFT($B774,FIND(" - ",$B774)-1)),"Others"))</f>
        <v/>
      </c>
      <c r="D774" s="11"/>
      <c r="E774" s="11"/>
      <c r="F774" s="12"/>
      <c r="G774" s="21"/>
      <c r="H774" s="21"/>
      <c r="I774" s="21"/>
      <c r="J774" s="21"/>
      <c r="K774" s="21"/>
      <c r="L774" s="21"/>
      <c r="M774" s="21"/>
      <c r="N774" s="22"/>
      <c r="O774" s="22"/>
      <c r="P774" s="17" t="str">
        <f aca="false">IF($A774="","",SUM($G774:$I774))</f>
        <v/>
      </c>
      <c r="Q774" s="17" t="str">
        <f aca="false">IF($A774="","",SUM($J774:$L774))</f>
        <v/>
      </c>
      <c r="R774" s="17" t="str">
        <f aca="false">IF($A774="","",($M774+$Q774)-$P774)</f>
        <v/>
      </c>
      <c r="S774" s="18" t="str">
        <f aca="false">IF(OR($A774="",$P774=0),"",$R774/$P774)</f>
        <v/>
      </c>
      <c r="T774" s="23"/>
      <c r="U774" s="14" t="str">
        <f aca="false">IF($A774="","",IF($M774&gt;0,"Live","Exited"))</f>
        <v/>
      </c>
      <c r="V774" s="20" t="str">
        <f aca="false">IF($A774="","",IF($A774='Client Report'!$C$4,COUNTIFS($A$6:$A774,'Client Report'!$C$4),""))</f>
        <v/>
      </c>
    </row>
    <row r="775" customFormat="false" ht="15" hidden="false" customHeight="false" outlineLevel="0" collapsed="false">
      <c r="A775" s="11"/>
      <c r="B775" s="11"/>
      <c r="C775" s="14" t="str">
        <f aca="false">IF($B775="","",IFERROR(TRIM(LEFT($B775,FIND(" - ",$B775)-1)),"Others"))</f>
        <v/>
      </c>
      <c r="D775" s="11"/>
      <c r="E775" s="11"/>
      <c r="F775" s="12"/>
      <c r="G775" s="21"/>
      <c r="H775" s="21"/>
      <c r="I775" s="21"/>
      <c r="J775" s="21"/>
      <c r="K775" s="21"/>
      <c r="L775" s="21"/>
      <c r="M775" s="21"/>
      <c r="N775" s="22"/>
      <c r="O775" s="22"/>
      <c r="P775" s="17" t="str">
        <f aca="false">IF($A775="","",SUM($G775:$I775))</f>
        <v/>
      </c>
      <c r="Q775" s="17" t="str">
        <f aca="false">IF($A775="","",SUM($J775:$L775))</f>
        <v/>
      </c>
      <c r="R775" s="17" t="str">
        <f aca="false">IF($A775="","",($M775+$Q775)-$P775)</f>
        <v/>
      </c>
      <c r="S775" s="18" t="str">
        <f aca="false">IF(OR($A775="",$P775=0),"",$R775/$P775)</f>
        <v/>
      </c>
      <c r="T775" s="23"/>
      <c r="U775" s="14" t="str">
        <f aca="false">IF($A775="","",IF($M775&gt;0,"Live","Exited"))</f>
        <v/>
      </c>
      <c r="V775" s="20" t="str">
        <f aca="false">IF($A775="","",IF($A775='Client Report'!$C$4,COUNTIFS($A$6:$A775,'Client Report'!$C$4),""))</f>
        <v/>
      </c>
    </row>
    <row r="776" customFormat="false" ht="15" hidden="false" customHeight="false" outlineLevel="0" collapsed="false">
      <c r="A776" s="11"/>
      <c r="B776" s="11"/>
      <c r="C776" s="14" t="str">
        <f aca="false">IF($B776="","",IFERROR(TRIM(LEFT($B776,FIND(" - ",$B776)-1)),"Others"))</f>
        <v/>
      </c>
      <c r="D776" s="11"/>
      <c r="E776" s="11"/>
      <c r="F776" s="12"/>
      <c r="G776" s="21"/>
      <c r="H776" s="21"/>
      <c r="I776" s="21"/>
      <c r="J776" s="21"/>
      <c r="K776" s="21"/>
      <c r="L776" s="21"/>
      <c r="M776" s="21"/>
      <c r="N776" s="22"/>
      <c r="O776" s="22"/>
      <c r="P776" s="17" t="str">
        <f aca="false">IF($A776="","",SUM($G776:$I776))</f>
        <v/>
      </c>
      <c r="Q776" s="17" t="str">
        <f aca="false">IF($A776="","",SUM($J776:$L776))</f>
        <v/>
      </c>
      <c r="R776" s="17" t="str">
        <f aca="false">IF($A776="","",($M776+$Q776)-$P776)</f>
        <v/>
      </c>
      <c r="S776" s="18" t="str">
        <f aca="false">IF(OR($A776="",$P776=0),"",$R776/$P776)</f>
        <v/>
      </c>
      <c r="T776" s="23"/>
      <c r="U776" s="14" t="str">
        <f aca="false">IF($A776="","",IF($M776&gt;0,"Live","Exited"))</f>
        <v/>
      </c>
      <c r="V776" s="20" t="str">
        <f aca="false">IF($A776="","",IF($A776='Client Report'!$C$4,COUNTIFS($A$6:$A776,'Client Report'!$C$4),""))</f>
        <v/>
      </c>
    </row>
    <row r="777" customFormat="false" ht="15" hidden="false" customHeight="false" outlineLevel="0" collapsed="false">
      <c r="A777" s="11"/>
      <c r="B777" s="11"/>
      <c r="C777" s="14" t="str">
        <f aca="false">IF($B777="","",IFERROR(TRIM(LEFT($B777,FIND(" - ",$B777)-1)),"Others"))</f>
        <v/>
      </c>
      <c r="D777" s="11"/>
      <c r="E777" s="11"/>
      <c r="F777" s="12"/>
      <c r="G777" s="21"/>
      <c r="H777" s="21"/>
      <c r="I777" s="21"/>
      <c r="J777" s="21"/>
      <c r="K777" s="21"/>
      <c r="L777" s="21"/>
      <c r="M777" s="21"/>
      <c r="N777" s="22"/>
      <c r="O777" s="22"/>
      <c r="P777" s="17" t="str">
        <f aca="false">IF($A777="","",SUM($G777:$I777))</f>
        <v/>
      </c>
      <c r="Q777" s="17" t="str">
        <f aca="false">IF($A777="","",SUM($J777:$L777))</f>
        <v/>
      </c>
      <c r="R777" s="17" t="str">
        <f aca="false">IF($A777="","",($M777+$Q777)-$P777)</f>
        <v/>
      </c>
      <c r="S777" s="18" t="str">
        <f aca="false">IF(OR($A777="",$P777=0),"",$R777/$P777)</f>
        <v/>
      </c>
      <c r="T777" s="23"/>
      <c r="U777" s="14" t="str">
        <f aca="false">IF($A777="","",IF($M777&gt;0,"Live","Exited"))</f>
        <v/>
      </c>
      <c r="V777" s="20" t="str">
        <f aca="false">IF($A777="","",IF($A777='Client Report'!$C$4,COUNTIFS($A$6:$A777,'Client Report'!$C$4),""))</f>
        <v/>
      </c>
    </row>
    <row r="778" customFormat="false" ht="15" hidden="false" customHeight="false" outlineLevel="0" collapsed="false">
      <c r="A778" s="11"/>
      <c r="B778" s="11"/>
      <c r="C778" s="14" t="str">
        <f aca="false">IF($B778="","",IFERROR(TRIM(LEFT($B778,FIND(" - ",$B778)-1)),"Others"))</f>
        <v/>
      </c>
      <c r="D778" s="11"/>
      <c r="E778" s="11"/>
      <c r="F778" s="12"/>
      <c r="G778" s="21"/>
      <c r="H778" s="21"/>
      <c r="I778" s="21"/>
      <c r="J778" s="21"/>
      <c r="K778" s="21"/>
      <c r="L778" s="21"/>
      <c r="M778" s="21"/>
      <c r="N778" s="22"/>
      <c r="O778" s="22"/>
      <c r="P778" s="17" t="str">
        <f aca="false">IF($A778="","",SUM($G778:$I778))</f>
        <v/>
      </c>
      <c r="Q778" s="17" t="str">
        <f aca="false">IF($A778="","",SUM($J778:$L778))</f>
        <v/>
      </c>
      <c r="R778" s="17" t="str">
        <f aca="false">IF($A778="","",($M778+$Q778)-$P778)</f>
        <v/>
      </c>
      <c r="S778" s="18" t="str">
        <f aca="false">IF(OR($A778="",$P778=0),"",$R778/$P778)</f>
        <v/>
      </c>
      <c r="T778" s="23"/>
      <c r="U778" s="14" t="str">
        <f aca="false">IF($A778="","",IF($M778&gt;0,"Live","Exited"))</f>
        <v/>
      </c>
      <c r="V778" s="20" t="str">
        <f aca="false">IF($A778="","",IF($A778='Client Report'!$C$4,COUNTIFS($A$6:$A778,'Client Report'!$C$4),""))</f>
        <v/>
      </c>
    </row>
    <row r="779" customFormat="false" ht="15" hidden="false" customHeight="false" outlineLevel="0" collapsed="false">
      <c r="A779" s="11"/>
      <c r="B779" s="11"/>
      <c r="C779" s="14" t="str">
        <f aca="false">IF($B779="","",IFERROR(TRIM(LEFT($B779,FIND(" - ",$B779)-1)),"Others"))</f>
        <v/>
      </c>
      <c r="D779" s="11"/>
      <c r="E779" s="11"/>
      <c r="F779" s="12"/>
      <c r="G779" s="21"/>
      <c r="H779" s="21"/>
      <c r="I779" s="21"/>
      <c r="J779" s="21"/>
      <c r="K779" s="21"/>
      <c r="L779" s="21"/>
      <c r="M779" s="21"/>
      <c r="N779" s="22"/>
      <c r="O779" s="22"/>
      <c r="P779" s="17" t="str">
        <f aca="false">IF($A779="","",SUM($G779:$I779))</f>
        <v/>
      </c>
      <c r="Q779" s="17" t="str">
        <f aca="false">IF($A779="","",SUM($J779:$L779))</f>
        <v/>
      </c>
      <c r="R779" s="17" t="str">
        <f aca="false">IF($A779="","",($M779+$Q779)-$P779)</f>
        <v/>
      </c>
      <c r="S779" s="18" t="str">
        <f aca="false">IF(OR($A779="",$P779=0),"",$R779/$P779)</f>
        <v/>
      </c>
      <c r="T779" s="23"/>
      <c r="U779" s="14" t="str">
        <f aca="false">IF($A779="","",IF($M779&gt;0,"Live","Exited"))</f>
        <v/>
      </c>
      <c r="V779" s="20" t="str">
        <f aca="false">IF($A779="","",IF($A779='Client Report'!$C$4,COUNTIFS($A$6:$A779,'Client Report'!$C$4),""))</f>
        <v/>
      </c>
    </row>
    <row r="780" customFormat="false" ht="15" hidden="false" customHeight="false" outlineLevel="0" collapsed="false">
      <c r="A780" s="11"/>
      <c r="B780" s="11"/>
      <c r="C780" s="14" t="str">
        <f aca="false">IF($B780="","",IFERROR(TRIM(LEFT($B780,FIND(" - ",$B780)-1)),"Others"))</f>
        <v/>
      </c>
      <c r="D780" s="11"/>
      <c r="E780" s="11"/>
      <c r="F780" s="12"/>
      <c r="G780" s="21"/>
      <c r="H780" s="21"/>
      <c r="I780" s="21"/>
      <c r="J780" s="21"/>
      <c r="K780" s="21"/>
      <c r="L780" s="21"/>
      <c r="M780" s="21"/>
      <c r="N780" s="22"/>
      <c r="O780" s="22"/>
      <c r="P780" s="17" t="str">
        <f aca="false">IF($A780="","",SUM($G780:$I780))</f>
        <v/>
      </c>
      <c r="Q780" s="17" t="str">
        <f aca="false">IF($A780="","",SUM($J780:$L780))</f>
        <v/>
      </c>
      <c r="R780" s="17" t="str">
        <f aca="false">IF($A780="","",($M780+$Q780)-$P780)</f>
        <v/>
      </c>
      <c r="S780" s="18" t="str">
        <f aca="false">IF(OR($A780="",$P780=0),"",$R780/$P780)</f>
        <v/>
      </c>
      <c r="T780" s="23"/>
      <c r="U780" s="14" t="str">
        <f aca="false">IF($A780="","",IF($M780&gt;0,"Live","Exited"))</f>
        <v/>
      </c>
      <c r="V780" s="20" t="str">
        <f aca="false">IF($A780="","",IF($A780='Client Report'!$C$4,COUNTIFS($A$6:$A780,'Client Report'!$C$4),""))</f>
        <v/>
      </c>
    </row>
    <row r="781" customFormat="false" ht="15" hidden="false" customHeight="false" outlineLevel="0" collapsed="false">
      <c r="A781" s="11"/>
      <c r="B781" s="11"/>
      <c r="C781" s="14" t="str">
        <f aca="false">IF($B781="","",IFERROR(TRIM(LEFT($B781,FIND(" - ",$B781)-1)),"Others"))</f>
        <v/>
      </c>
      <c r="D781" s="11"/>
      <c r="E781" s="11"/>
      <c r="F781" s="12"/>
      <c r="G781" s="21"/>
      <c r="H781" s="21"/>
      <c r="I781" s="21"/>
      <c r="J781" s="21"/>
      <c r="K781" s="21"/>
      <c r="L781" s="21"/>
      <c r="M781" s="21"/>
      <c r="N781" s="22"/>
      <c r="O781" s="22"/>
      <c r="P781" s="17" t="str">
        <f aca="false">IF($A781="","",SUM($G781:$I781))</f>
        <v/>
      </c>
      <c r="Q781" s="17" t="str">
        <f aca="false">IF($A781="","",SUM($J781:$L781))</f>
        <v/>
      </c>
      <c r="R781" s="17" t="str">
        <f aca="false">IF($A781="","",($M781+$Q781)-$P781)</f>
        <v/>
      </c>
      <c r="S781" s="18" t="str">
        <f aca="false">IF(OR($A781="",$P781=0),"",$R781/$P781)</f>
        <v/>
      </c>
      <c r="T781" s="23"/>
      <c r="U781" s="14" t="str">
        <f aca="false">IF($A781="","",IF($M781&gt;0,"Live","Exited"))</f>
        <v/>
      </c>
      <c r="V781" s="20" t="str">
        <f aca="false">IF($A781="","",IF($A781='Client Report'!$C$4,COUNTIFS($A$6:$A781,'Client Report'!$C$4),""))</f>
        <v/>
      </c>
    </row>
    <row r="782" customFormat="false" ht="15" hidden="false" customHeight="false" outlineLevel="0" collapsed="false">
      <c r="A782" s="11"/>
      <c r="B782" s="11"/>
      <c r="C782" s="14" t="str">
        <f aca="false">IF($B782="","",IFERROR(TRIM(LEFT($B782,FIND(" - ",$B782)-1)),"Others"))</f>
        <v/>
      </c>
      <c r="D782" s="11"/>
      <c r="E782" s="11"/>
      <c r="F782" s="12"/>
      <c r="G782" s="21"/>
      <c r="H782" s="21"/>
      <c r="I782" s="21"/>
      <c r="J782" s="21"/>
      <c r="K782" s="21"/>
      <c r="L782" s="21"/>
      <c r="M782" s="21"/>
      <c r="N782" s="22"/>
      <c r="O782" s="22"/>
      <c r="P782" s="17" t="str">
        <f aca="false">IF($A782="","",SUM($G782:$I782))</f>
        <v/>
      </c>
      <c r="Q782" s="17" t="str">
        <f aca="false">IF($A782="","",SUM($J782:$L782))</f>
        <v/>
      </c>
      <c r="R782" s="17" t="str">
        <f aca="false">IF($A782="","",($M782+$Q782)-$P782)</f>
        <v/>
      </c>
      <c r="S782" s="18" t="str">
        <f aca="false">IF(OR($A782="",$P782=0),"",$R782/$P782)</f>
        <v/>
      </c>
      <c r="T782" s="23"/>
      <c r="U782" s="14" t="str">
        <f aca="false">IF($A782="","",IF($M782&gt;0,"Live","Exited"))</f>
        <v/>
      </c>
      <c r="V782" s="20" t="str">
        <f aca="false">IF($A782="","",IF($A782='Client Report'!$C$4,COUNTIFS($A$6:$A782,'Client Report'!$C$4),""))</f>
        <v/>
      </c>
    </row>
    <row r="783" customFormat="false" ht="15" hidden="false" customHeight="false" outlineLevel="0" collapsed="false">
      <c r="A783" s="11"/>
      <c r="B783" s="11"/>
      <c r="C783" s="14" t="str">
        <f aca="false">IF($B783="","",IFERROR(TRIM(LEFT($B783,FIND(" - ",$B783)-1)),"Others"))</f>
        <v/>
      </c>
      <c r="D783" s="11"/>
      <c r="E783" s="11"/>
      <c r="F783" s="12"/>
      <c r="G783" s="21"/>
      <c r="H783" s="21"/>
      <c r="I783" s="21"/>
      <c r="J783" s="21"/>
      <c r="K783" s="21"/>
      <c r="L783" s="21"/>
      <c r="M783" s="21"/>
      <c r="N783" s="22"/>
      <c r="O783" s="22"/>
      <c r="P783" s="17" t="str">
        <f aca="false">IF($A783="","",SUM($G783:$I783))</f>
        <v/>
      </c>
      <c r="Q783" s="17" t="str">
        <f aca="false">IF($A783="","",SUM($J783:$L783))</f>
        <v/>
      </c>
      <c r="R783" s="17" t="str">
        <f aca="false">IF($A783="","",($M783+$Q783)-$P783)</f>
        <v/>
      </c>
      <c r="S783" s="18" t="str">
        <f aca="false">IF(OR($A783="",$P783=0),"",$R783/$P783)</f>
        <v/>
      </c>
      <c r="T783" s="23"/>
      <c r="U783" s="14" t="str">
        <f aca="false">IF($A783="","",IF($M783&gt;0,"Live","Exited"))</f>
        <v/>
      </c>
      <c r="V783" s="20" t="str">
        <f aca="false">IF($A783="","",IF($A783='Client Report'!$C$4,COUNTIFS($A$6:$A783,'Client Report'!$C$4),""))</f>
        <v/>
      </c>
    </row>
    <row r="784" customFormat="false" ht="15" hidden="false" customHeight="false" outlineLevel="0" collapsed="false">
      <c r="A784" s="11"/>
      <c r="B784" s="11"/>
      <c r="C784" s="14" t="str">
        <f aca="false">IF($B784="","",IFERROR(TRIM(LEFT($B784,FIND(" - ",$B784)-1)),"Others"))</f>
        <v/>
      </c>
      <c r="D784" s="11"/>
      <c r="E784" s="11"/>
      <c r="F784" s="12"/>
      <c r="G784" s="21"/>
      <c r="H784" s="21"/>
      <c r="I784" s="21"/>
      <c r="J784" s="21"/>
      <c r="K784" s="21"/>
      <c r="L784" s="21"/>
      <c r="M784" s="21"/>
      <c r="N784" s="22"/>
      <c r="O784" s="22"/>
      <c r="P784" s="17" t="str">
        <f aca="false">IF($A784="","",SUM($G784:$I784))</f>
        <v/>
      </c>
      <c r="Q784" s="17" t="str">
        <f aca="false">IF($A784="","",SUM($J784:$L784))</f>
        <v/>
      </c>
      <c r="R784" s="17" t="str">
        <f aca="false">IF($A784="","",($M784+$Q784)-$P784)</f>
        <v/>
      </c>
      <c r="S784" s="18" t="str">
        <f aca="false">IF(OR($A784="",$P784=0),"",$R784/$P784)</f>
        <v/>
      </c>
      <c r="T784" s="23"/>
      <c r="U784" s="14" t="str">
        <f aca="false">IF($A784="","",IF($M784&gt;0,"Live","Exited"))</f>
        <v/>
      </c>
      <c r="V784" s="20" t="str">
        <f aca="false">IF($A784="","",IF($A784='Client Report'!$C$4,COUNTIFS($A$6:$A784,'Client Report'!$C$4),""))</f>
        <v/>
      </c>
    </row>
    <row r="785" customFormat="false" ht="15" hidden="false" customHeight="false" outlineLevel="0" collapsed="false">
      <c r="A785" s="11"/>
      <c r="B785" s="11"/>
      <c r="C785" s="14" t="str">
        <f aca="false">IF($B785="","",IFERROR(TRIM(LEFT($B785,FIND(" - ",$B785)-1)),"Others"))</f>
        <v/>
      </c>
      <c r="D785" s="11"/>
      <c r="E785" s="11"/>
      <c r="F785" s="12"/>
      <c r="G785" s="21"/>
      <c r="H785" s="21"/>
      <c r="I785" s="21"/>
      <c r="J785" s="21"/>
      <c r="K785" s="21"/>
      <c r="L785" s="21"/>
      <c r="M785" s="21"/>
      <c r="N785" s="22"/>
      <c r="O785" s="22"/>
      <c r="P785" s="17" t="str">
        <f aca="false">IF($A785="","",SUM($G785:$I785))</f>
        <v/>
      </c>
      <c r="Q785" s="17" t="str">
        <f aca="false">IF($A785="","",SUM($J785:$L785))</f>
        <v/>
      </c>
      <c r="R785" s="17" t="str">
        <f aca="false">IF($A785="","",($M785+$Q785)-$P785)</f>
        <v/>
      </c>
      <c r="S785" s="18" t="str">
        <f aca="false">IF(OR($A785="",$P785=0),"",$R785/$P785)</f>
        <v/>
      </c>
      <c r="T785" s="23"/>
      <c r="U785" s="14" t="str">
        <f aca="false">IF($A785="","",IF($M785&gt;0,"Live","Exited"))</f>
        <v/>
      </c>
      <c r="V785" s="20" t="str">
        <f aca="false">IF($A785="","",IF($A785='Client Report'!$C$4,COUNTIFS($A$6:$A785,'Client Report'!$C$4),""))</f>
        <v/>
      </c>
    </row>
    <row r="786" customFormat="false" ht="15" hidden="false" customHeight="false" outlineLevel="0" collapsed="false">
      <c r="A786" s="11"/>
      <c r="B786" s="11"/>
      <c r="C786" s="14" t="str">
        <f aca="false">IF($B786="","",IFERROR(TRIM(LEFT($B786,FIND(" - ",$B786)-1)),"Others"))</f>
        <v/>
      </c>
      <c r="D786" s="11"/>
      <c r="E786" s="11"/>
      <c r="F786" s="12"/>
      <c r="G786" s="21"/>
      <c r="H786" s="21"/>
      <c r="I786" s="21"/>
      <c r="J786" s="21"/>
      <c r="K786" s="21"/>
      <c r="L786" s="21"/>
      <c r="M786" s="21"/>
      <c r="N786" s="22"/>
      <c r="O786" s="22"/>
      <c r="P786" s="17" t="str">
        <f aca="false">IF($A786="","",SUM($G786:$I786))</f>
        <v/>
      </c>
      <c r="Q786" s="17" t="str">
        <f aca="false">IF($A786="","",SUM($J786:$L786))</f>
        <v/>
      </c>
      <c r="R786" s="17" t="str">
        <f aca="false">IF($A786="","",($M786+$Q786)-$P786)</f>
        <v/>
      </c>
      <c r="S786" s="18" t="str">
        <f aca="false">IF(OR($A786="",$P786=0),"",$R786/$P786)</f>
        <v/>
      </c>
      <c r="T786" s="23"/>
      <c r="U786" s="14" t="str">
        <f aca="false">IF($A786="","",IF($M786&gt;0,"Live","Exited"))</f>
        <v/>
      </c>
      <c r="V786" s="20" t="str">
        <f aca="false">IF($A786="","",IF($A786='Client Report'!$C$4,COUNTIFS($A$6:$A786,'Client Report'!$C$4),""))</f>
        <v/>
      </c>
    </row>
    <row r="787" customFormat="false" ht="15" hidden="false" customHeight="false" outlineLevel="0" collapsed="false">
      <c r="A787" s="11"/>
      <c r="B787" s="11"/>
      <c r="C787" s="14" t="str">
        <f aca="false">IF($B787="","",IFERROR(TRIM(LEFT($B787,FIND(" - ",$B787)-1)),"Others"))</f>
        <v/>
      </c>
      <c r="D787" s="11"/>
      <c r="E787" s="11"/>
      <c r="F787" s="12"/>
      <c r="G787" s="21"/>
      <c r="H787" s="21"/>
      <c r="I787" s="21"/>
      <c r="J787" s="21"/>
      <c r="K787" s="21"/>
      <c r="L787" s="21"/>
      <c r="M787" s="21"/>
      <c r="N787" s="22"/>
      <c r="O787" s="22"/>
      <c r="P787" s="17" t="str">
        <f aca="false">IF($A787="","",SUM($G787:$I787))</f>
        <v/>
      </c>
      <c r="Q787" s="17" t="str">
        <f aca="false">IF($A787="","",SUM($J787:$L787))</f>
        <v/>
      </c>
      <c r="R787" s="17" t="str">
        <f aca="false">IF($A787="","",($M787+$Q787)-$P787)</f>
        <v/>
      </c>
      <c r="S787" s="18" t="str">
        <f aca="false">IF(OR($A787="",$P787=0),"",$R787/$P787)</f>
        <v/>
      </c>
      <c r="T787" s="23"/>
      <c r="U787" s="14" t="str">
        <f aca="false">IF($A787="","",IF($M787&gt;0,"Live","Exited"))</f>
        <v/>
      </c>
      <c r="V787" s="20" t="str">
        <f aca="false">IF($A787="","",IF($A787='Client Report'!$C$4,COUNTIFS($A$6:$A787,'Client Report'!$C$4),""))</f>
        <v/>
      </c>
    </row>
    <row r="788" customFormat="false" ht="15" hidden="false" customHeight="false" outlineLevel="0" collapsed="false">
      <c r="A788" s="11"/>
      <c r="B788" s="11"/>
      <c r="C788" s="14" t="str">
        <f aca="false">IF($B788="","",IFERROR(TRIM(LEFT($B788,FIND(" - ",$B788)-1)),"Others"))</f>
        <v/>
      </c>
      <c r="D788" s="11"/>
      <c r="E788" s="11"/>
      <c r="F788" s="12"/>
      <c r="G788" s="21"/>
      <c r="H788" s="21"/>
      <c r="I788" s="21"/>
      <c r="J788" s="21"/>
      <c r="K788" s="21"/>
      <c r="L788" s="21"/>
      <c r="M788" s="21"/>
      <c r="N788" s="22"/>
      <c r="O788" s="22"/>
      <c r="P788" s="17" t="str">
        <f aca="false">IF($A788="","",SUM($G788:$I788))</f>
        <v/>
      </c>
      <c r="Q788" s="17" t="str">
        <f aca="false">IF($A788="","",SUM($J788:$L788))</f>
        <v/>
      </c>
      <c r="R788" s="17" t="str">
        <f aca="false">IF($A788="","",($M788+$Q788)-$P788)</f>
        <v/>
      </c>
      <c r="S788" s="18" t="str">
        <f aca="false">IF(OR($A788="",$P788=0),"",$R788/$P788)</f>
        <v/>
      </c>
      <c r="T788" s="23"/>
      <c r="U788" s="14" t="str">
        <f aca="false">IF($A788="","",IF($M788&gt;0,"Live","Exited"))</f>
        <v/>
      </c>
      <c r="V788" s="20" t="str">
        <f aca="false">IF($A788="","",IF($A788='Client Report'!$C$4,COUNTIFS($A$6:$A788,'Client Report'!$C$4),""))</f>
        <v/>
      </c>
    </row>
    <row r="789" customFormat="false" ht="15" hidden="false" customHeight="false" outlineLevel="0" collapsed="false">
      <c r="A789" s="11"/>
      <c r="B789" s="11"/>
      <c r="C789" s="14" t="str">
        <f aca="false">IF($B789="","",IFERROR(TRIM(LEFT($B789,FIND(" - ",$B789)-1)),"Others"))</f>
        <v/>
      </c>
      <c r="D789" s="11"/>
      <c r="E789" s="11"/>
      <c r="F789" s="12"/>
      <c r="G789" s="21"/>
      <c r="H789" s="21"/>
      <c r="I789" s="21"/>
      <c r="J789" s="21"/>
      <c r="K789" s="21"/>
      <c r="L789" s="21"/>
      <c r="M789" s="21"/>
      <c r="N789" s="22"/>
      <c r="O789" s="22"/>
      <c r="P789" s="17" t="str">
        <f aca="false">IF($A789="","",SUM($G789:$I789))</f>
        <v/>
      </c>
      <c r="Q789" s="17" t="str">
        <f aca="false">IF($A789="","",SUM($J789:$L789))</f>
        <v/>
      </c>
      <c r="R789" s="17" t="str">
        <f aca="false">IF($A789="","",($M789+$Q789)-$P789)</f>
        <v/>
      </c>
      <c r="S789" s="18" t="str">
        <f aca="false">IF(OR($A789="",$P789=0),"",$R789/$P789)</f>
        <v/>
      </c>
      <c r="T789" s="23"/>
      <c r="U789" s="14" t="str">
        <f aca="false">IF($A789="","",IF($M789&gt;0,"Live","Exited"))</f>
        <v/>
      </c>
      <c r="V789" s="20" t="str">
        <f aca="false">IF($A789="","",IF($A789='Client Report'!$C$4,COUNTIFS($A$6:$A789,'Client Report'!$C$4),""))</f>
        <v/>
      </c>
    </row>
    <row r="790" customFormat="false" ht="15" hidden="false" customHeight="false" outlineLevel="0" collapsed="false">
      <c r="A790" s="11"/>
      <c r="B790" s="11"/>
      <c r="C790" s="14" t="str">
        <f aca="false">IF($B790="","",IFERROR(TRIM(LEFT($B790,FIND(" - ",$B790)-1)),"Others"))</f>
        <v/>
      </c>
      <c r="D790" s="11"/>
      <c r="E790" s="11"/>
      <c r="F790" s="12"/>
      <c r="G790" s="21"/>
      <c r="H790" s="21"/>
      <c r="I790" s="21"/>
      <c r="J790" s="21"/>
      <c r="K790" s="21"/>
      <c r="L790" s="21"/>
      <c r="M790" s="21"/>
      <c r="N790" s="22"/>
      <c r="O790" s="22"/>
      <c r="P790" s="17" t="str">
        <f aca="false">IF($A790="","",SUM($G790:$I790))</f>
        <v/>
      </c>
      <c r="Q790" s="17" t="str">
        <f aca="false">IF($A790="","",SUM($J790:$L790))</f>
        <v/>
      </c>
      <c r="R790" s="17" t="str">
        <f aca="false">IF($A790="","",($M790+$Q790)-$P790)</f>
        <v/>
      </c>
      <c r="S790" s="18" t="str">
        <f aca="false">IF(OR($A790="",$P790=0),"",$R790/$P790)</f>
        <v/>
      </c>
      <c r="T790" s="23"/>
      <c r="U790" s="14" t="str">
        <f aca="false">IF($A790="","",IF($M790&gt;0,"Live","Exited"))</f>
        <v/>
      </c>
      <c r="V790" s="20" t="str">
        <f aca="false">IF($A790="","",IF($A790='Client Report'!$C$4,COUNTIFS($A$6:$A790,'Client Report'!$C$4),""))</f>
        <v/>
      </c>
    </row>
    <row r="791" customFormat="false" ht="15" hidden="false" customHeight="false" outlineLevel="0" collapsed="false">
      <c r="A791" s="11"/>
      <c r="B791" s="11"/>
      <c r="C791" s="14" t="str">
        <f aca="false">IF($B791="","",IFERROR(TRIM(LEFT($B791,FIND(" - ",$B791)-1)),"Others"))</f>
        <v/>
      </c>
      <c r="D791" s="11"/>
      <c r="E791" s="11"/>
      <c r="F791" s="12"/>
      <c r="G791" s="21"/>
      <c r="H791" s="21"/>
      <c r="I791" s="21"/>
      <c r="J791" s="21"/>
      <c r="K791" s="21"/>
      <c r="L791" s="21"/>
      <c r="M791" s="21"/>
      <c r="N791" s="22"/>
      <c r="O791" s="22"/>
      <c r="P791" s="17" t="str">
        <f aca="false">IF($A791="","",SUM($G791:$I791))</f>
        <v/>
      </c>
      <c r="Q791" s="17" t="str">
        <f aca="false">IF($A791="","",SUM($J791:$L791))</f>
        <v/>
      </c>
      <c r="R791" s="17" t="str">
        <f aca="false">IF($A791="","",($M791+$Q791)-$P791)</f>
        <v/>
      </c>
      <c r="S791" s="18" t="str">
        <f aca="false">IF(OR($A791="",$P791=0),"",$R791/$P791)</f>
        <v/>
      </c>
      <c r="T791" s="23"/>
      <c r="U791" s="14" t="str">
        <f aca="false">IF($A791="","",IF($M791&gt;0,"Live","Exited"))</f>
        <v/>
      </c>
      <c r="V791" s="20" t="str">
        <f aca="false">IF($A791="","",IF($A791='Client Report'!$C$4,COUNTIFS($A$6:$A791,'Client Report'!$C$4),""))</f>
        <v/>
      </c>
    </row>
    <row r="792" customFormat="false" ht="15" hidden="false" customHeight="false" outlineLevel="0" collapsed="false">
      <c r="A792" s="11"/>
      <c r="B792" s="11"/>
      <c r="C792" s="14" t="str">
        <f aca="false">IF($B792="","",IFERROR(TRIM(LEFT($B792,FIND(" - ",$B792)-1)),"Others"))</f>
        <v/>
      </c>
      <c r="D792" s="11"/>
      <c r="E792" s="11"/>
      <c r="F792" s="12"/>
      <c r="G792" s="21"/>
      <c r="H792" s="21"/>
      <c r="I792" s="21"/>
      <c r="J792" s="21"/>
      <c r="K792" s="21"/>
      <c r="L792" s="21"/>
      <c r="M792" s="21"/>
      <c r="N792" s="22"/>
      <c r="O792" s="22"/>
      <c r="P792" s="17" t="str">
        <f aca="false">IF($A792="","",SUM($G792:$I792))</f>
        <v/>
      </c>
      <c r="Q792" s="17" t="str">
        <f aca="false">IF($A792="","",SUM($J792:$L792))</f>
        <v/>
      </c>
      <c r="R792" s="17" t="str">
        <f aca="false">IF($A792="","",($M792+$Q792)-$P792)</f>
        <v/>
      </c>
      <c r="S792" s="18" t="str">
        <f aca="false">IF(OR($A792="",$P792=0),"",$R792/$P792)</f>
        <v/>
      </c>
      <c r="T792" s="23"/>
      <c r="U792" s="14" t="str">
        <f aca="false">IF($A792="","",IF($M792&gt;0,"Live","Exited"))</f>
        <v/>
      </c>
      <c r="V792" s="20" t="str">
        <f aca="false">IF($A792="","",IF($A792='Client Report'!$C$4,COUNTIFS($A$6:$A792,'Client Report'!$C$4),""))</f>
        <v/>
      </c>
    </row>
    <row r="793" customFormat="false" ht="15" hidden="false" customHeight="false" outlineLevel="0" collapsed="false">
      <c r="A793" s="11"/>
      <c r="B793" s="11"/>
      <c r="C793" s="14" t="str">
        <f aca="false">IF($B793="","",IFERROR(TRIM(LEFT($B793,FIND(" - ",$B793)-1)),"Others"))</f>
        <v/>
      </c>
      <c r="D793" s="11"/>
      <c r="E793" s="11"/>
      <c r="F793" s="12"/>
      <c r="G793" s="21"/>
      <c r="H793" s="21"/>
      <c r="I793" s="21"/>
      <c r="J793" s="21"/>
      <c r="K793" s="21"/>
      <c r="L793" s="21"/>
      <c r="M793" s="21"/>
      <c r="N793" s="22"/>
      <c r="O793" s="22"/>
      <c r="P793" s="17" t="str">
        <f aca="false">IF($A793="","",SUM($G793:$I793))</f>
        <v/>
      </c>
      <c r="Q793" s="17" t="str">
        <f aca="false">IF($A793="","",SUM($J793:$L793))</f>
        <v/>
      </c>
      <c r="R793" s="17" t="str">
        <f aca="false">IF($A793="","",($M793+$Q793)-$P793)</f>
        <v/>
      </c>
      <c r="S793" s="18" t="str">
        <f aca="false">IF(OR($A793="",$P793=0),"",$R793/$P793)</f>
        <v/>
      </c>
      <c r="T793" s="23"/>
      <c r="U793" s="14" t="str">
        <f aca="false">IF($A793="","",IF($M793&gt;0,"Live","Exited"))</f>
        <v/>
      </c>
      <c r="V793" s="20" t="str">
        <f aca="false">IF($A793="","",IF($A793='Client Report'!$C$4,COUNTIFS($A$6:$A793,'Client Report'!$C$4),""))</f>
        <v/>
      </c>
    </row>
    <row r="794" customFormat="false" ht="15" hidden="false" customHeight="false" outlineLevel="0" collapsed="false">
      <c r="A794" s="11"/>
      <c r="B794" s="11"/>
      <c r="C794" s="14" t="str">
        <f aca="false">IF($B794="","",IFERROR(TRIM(LEFT($B794,FIND(" - ",$B794)-1)),"Others"))</f>
        <v/>
      </c>
      <c r="D794" s="11"/>
      <c r="E794" s="11"/>
      <c r="F794" s="12"/>
      <c r="G794" s="21"/>
      <c r="H794" s="21"/>
      <c r="I794" s="21"/>
      <c r="J794" s="21"/>
      <c r="K794" s="21"/>
      <c r="L794" s="21"/>
      <c r="M794" s="21"/>
      <c r="N794" s="22"/>
      <c r="O794" s="22"/>
      <c r="P794" s="17" t="str">
        <f aca="false">IF($A794="","",SUM($G794:$I794))</f>
        <v/>
      </c>
      <c r="Q794" s="17" t="str">
        <f aca="false">IF($A794="","",SUM($J794:$L794))</f>
        <v/>
      </c>
      <c r="R794" s="17" t="str">
        <f aca="false">IF($A794="","",($M794+$Q794)-$P794)</f>
        <v/>
      </c>
      <c r="S794" s="18" t="str">
        <f aca="false">IF(OR($A794="",$P794=0),"",$R794/$P794)</f>
        <v/>
      </c>
      <c r="T794" s="23"/>
      <c r="U794" s="14" t="str">
        <f aca="false">IF($A794="","",IF($M794&gt;0,"Live","Exited"))</f>
        <v/>
      </c>
      <c r="V794" s="20" t="str">
        <f aca="false">IF($A794="","",IF($A794='Client Report'!$C$4,COUNTIFS($A$6:$A794,'Client Report'!$C$4),""))</f>
        <v/>
      </c>
    </row>
    <row r="795" customFormat="false" ht="15" hidden="false" customHeight="false" outlineLevel="0" collapsed="false">
      <c r="A795" s="11"/>
      <c r="B795" s="11"/>
      <c r="C795" s="14" t="str">
        <f aca="false">IF($B795="","",IFERROR(TRIM(LEFT($B795,FIND(" - ",$B795)-1)),"Others"))</f>
        <v/>
      </c>
      <c r="D795" s="11"/>
      <c r="E795" s="11"/>
      <c r="F795" s="12"/>
      <c r="G795" s="21"/>
      <c r="H795" s="21"/>
      <c r="I795" s="21"/>
      <c r="J795" s="21"/>
      <c r="K795" s="21"/>
      <c r="L795" s="21"/>
      <c r="M795" s="21"/>
      <c r="N795" s="22"/>
      <c r="O795" s="22"/>
      <c r="P795" s="17" t="str">
        <f aca="false">IF($A795="","",SUM($G795:$I795))</f>
        <v/>
      </c>
      <c r="Q795" s="17" t="str">
        <f aca="false">IF($A795="","",SUM($J795:$L795))</f>
        <v/>
      </c>
      <c r="R795" s="17" t="str">
        <f aca="false">IF($A795="","",($M795+$Q795)-$P795)</f>
        <v/>
      </c>
      <c r="S795" s="18" t="str">
        <f aca="false">IF(OR($A795="",$P795=0),"",$R795/$P795)</f>
        <v/>
      </c>
      <c r="T795" s="23"/>
      <c r="U795" s="14" t="str">
        <f aca="false">IF($A795="","",IF($M795&gt;0,"Live","Exited"))</f>
        <v/>
      </c>
      <c r="V795" s="20" t="str">
        <f aca="false">IF($A795="","",IF($A795='Client Report'!$C$4,COUNTIFS($A$6:$A795,'Client Report'!$C$4),""))</f>
        <v/>
      </c>
    </row>
    <row r="796" customFormat="false" ht="15" hidden="false" customHeight="false" outlineLevel="0" collapsed="false">
      <c r="A796" s="11"/>
      <c r="B796" s="11"/>
      <c r="C796" s="14" t="str">
        <f aca="false">IF($B796="","",IFERROR(TRIM(LEFT($B796,FIND(" - ",$B796)-1)),"Others"))</f>
        <v/>
      </c>
      <c r="D796" s="11"/>
      <c r="E796" s="11"/>
      <c r="F796" s="12"/>
      <c r="G796" s="21"/>
      <c r="H796" s="21"/>
      <c r="I796" s="21"/>
      <c r="J796" s="21"/>
      <c r="K796" s="21"/>
      <c r="L796" s="21"/>
      <c r="M796" s="21"/>
      <c r="N796" s="22"/>
      <c r="O796" s="22"/>
      <c r="P796" s="17" t="str">
        <f aca="false">IF($A796="","",SUM($G796:$I796))</f>
        <v/>
      </c>
      <c r="Q796" s="17" t="str">
        <f aca="false">IF($A796="","",SUM($J796:$L796))</f>
        <v/>
      </c>
      <c r="R796" s="17" t="str">
        <f aca="false">IF($A796="","",($M796+$Q796)-$P796)</f>
        <v/>
      </c>
      <c r="S796" s="18" t="str">
        <f aca="false">IF(OR($A796="",$P796=0),"",$R796/$P796)</f>
        <v/>
      </c>
      <c r="T796" s="23"/>
      <c r="U796" s="14" t="str">
        <f aca="false">IF($A796="","",IF($M796&gt;0,"Live","Exited"))</f>
        <v/>
      </c>
      <c r="V796" s="20" t="str">
        <f aca="false">IF($A796="","",IF($A796='Client Report'!$C$4,COUNTIFS($A$6:$A796,'Client Report'!$C$4),""))</f>
        <v/>
      </c>
    </row>
    <row r="797" customFormat="false" ht="15" hidden="false" customHeight="false" outlineLevel="0" collapsed="false">
      <c r="A797" s="11"/>
      <c r="B797" s="11"/>
      <c r="C797" s="14" t="str">
        <f aca="false">IF($B797="","",IFERROR(TRIM(LEFT($B797,FIND(" - ",$B797)-1)),"Others"))</f>
        <v/>
      </c>
      <c r="D797" s="11"/>
      <c r="E797" s="11"/>
      <c r="F797" s="12"/>
      <c r="G797" s="21"/>
      <c r="H797" s="21"/>
      <c r="I797" s="21"/>
      <c r="J797" s="21"/>
      <c r="K797" s="21"/>
      <c r="L797" s="21"/>
      <c r="M797" s="21"/>
      <c r="N797" s="22"/>
      <c r="O797" s="22"/>
      <c r="P797" s="17" t="str">
        <f aca="false">IF($A797="","",SUM($G797:$I797))</f>
        <v/>
      </c>
      <c r="Q797" s="17" t="str">
        <f aca="false">IF($A797="","",SUM($J797:$L797))</f>
        <v/>
      </c>
      <c r="R797" s="17" t="str">
        <f aca="false">IF($A797="","",($M797+$Q797)-$P797)</f>
        <v/>
      </c>
      <c r="S797" s="18" t="str">
        <f aca="false">IF(OR($A797="",$P797=0),"",$R797/$P797)</f>
        <v/>
      </c>
      <c r="T797" s="23"/>
      <c r="U797" s="14" t="str">
        <f aca="false">IF($A797="","",IF($M797&gt;0,"Live","Exited"))</f>
        <v/>
      </c>
      <c r="V797" s="20" t="str">
        <f aca="false">IF($A797="","",IF($A797='Client Report'!$C$4,COUNTIFS($A$6:$A797,'Client Report'!$C$4),""))</f>
        <v/>
      </c>
    </row>
    <row r="798" customFormat="false" ht="15" hidden="false" customHeight="false" outlineLevel="0" collapsed="false">
      <c r="A798" s="11"/>
      <c r="B798" s="11"/>
      <c r="C798" s="14" t="str">
        <f aca="false">IF($B798="","",IFERROR(TRIM(LEFT($B798,FIND(" - ",$B798)-1)),"Others"))</f>
        <v/>
      </c>
      <c r="D798" s="11"/>
      <c r="E798" s="11"/>
      <c r="F798" s="12"/>
      <c r="G798" s="21"/>
      <c r="H798" s="21"/>
      <c r="I798" s="21"/>
      <c r="J798" s="21"/>
      <c r="K798" s="21"/>
      <c r="L798" s="21"/>
      <c r="M798" s="21"/>
      <c r="N798" s="22"/>
      <c r="O798" s="22"/>
      <c r="P798" s="17" t="str">
        <f aca="false">IF($A798="","",SUM($G798:$I798))</f>
        <v/>
      </c>
      <c r="Q798" s="17" t="str">
        <f aca="false">IF($A798="","",SUM($J798:$L798))</f>
        <v/>
      </c>
      <c r="R798" s="17" t="str">
        <f aca="false">IF($A798="","",($M798+$Q798)-$P798)</f>
        <v/>
      </c>
      <c r="S798" s="18" t="str">
        <f aca="false">IF(OR($A798="",$P798=0),"",$R798/$P798)</f>
        <v/>
      </c>
      <c r="T798" s="23"/>
      <c r="U798" s="14" t="str">
        <f aca="false">IF($A798="","",IF($M798&gt;0,"Live","Exited"))</f>
        <v/>
      </c>
      <c r="V798" s="20" t="str">
        <f aca="false">IF($A798="","",IF($A798='Client Report'!$C$4,COUNTIFS($A$6:$A798,'Client Report'!$C$4),""))</f>
        <v/>
      </c>
    </row>
    <row r="799" customFormat="false" ht="15" hidden="false" customHeight="false" outlineLevel="0" collapsed="false">
      <c r="A799" s="11"/>
      <c r="B799" s="11"/>
      <c r="C799" s="14" t="str">
        <f aca="false">IF($B799="","",IFERROR(TRIM(LEFT($B799,FIND(" - ",$B799)-1)),"Others"))</f>
        <v/>
      </c>
      <c r="D799" s="11"/>
      <c r="E799" s="11"/>
      <c r="F799" s="12"/>
      <c r="G799" s="21"/>
      <c r="H799" s="21"/>
      <c r="I799" s="21"/>
      <c r="J799" s="21"/>
      <c r="K799" s="21"/>
      <c r="L799" s="21"/>
      <c r="M799" s="21"/>
      <c r="N799" s="22"/>
      <c r="O799" s="22"/>
      <c r="P799" s="17" t="str">
        <f aca="false">IF($A799="","",SUM($G799:$I799))</f>
        <v/>
      </c>
      <c r="Q799" s="17" t="str">
        <f aca="false">IF($A799="","",SUM($J799:$L799))</f>
        <v/>
      </c>
      <c r="R799" s="17" t="str">
        <f aca="false">IF($A799="","",($M799+$Q799)-$P799)</f>
        <v/>
      </c>
      <c r="S799" s="18" t="str">
        <f aca="false">IF(OR($A799="",$P799=0),"",$R799/$P799)</f>
        <v/>
      </c>
      <c r="T799" s="23"/>
      <c r="U799" s="14" t="str">
        <f aca="false">IF($A799="","",IF($M799&gt;0,"Live","Exited"))</f>
        <v/>
      </c>
      <c r="V799" s="20" t="str">
        <f aca="false">IF($A799="","",IF($A799='Client Report'!$C$4,COUNTIFS($A$6:$A799,'Client Report'!$C$4),""))</f>
        <v/>
      </c>
    </row>
    <row r="800" customFormat="false" ht="15" hidden="false" customHeight="false" outlineLevel="0" collapsed="false">
      <c r="A800" s="11"/>
      <c r="B800" s="11"/>
      <c r="C800" s="14" t="str">
        <f aca="false">IF($B800="","",IFERROR(TRIM(LEFT($B800,FIND(" - ",$B800)-1)),"Others"))</f>
        <v/>
      </c>
      <c r="D800" s="11"/>
      <c r="E800" s="11"/>
      <c r="F800" s="12"/>
      <c r="G800" s="21"/>
      <c r="H800" s="21"/>
      <c r="I800" s="21"/>
      <c r="J800" s="21"/>
      <c r="K800" s="21"/>
      <c r="L800" s="21"/>
      <c r="M800" s="21"/>
      <c r="N800" s="22"/>
      <c r="O800" s="22"/>
      <c r="P800" s="17" t="str">
        <f aca="false">IF($A800="","",SUM($G800:$I800))</f>
        <v/>
      </c>
      <c r="Q800" s="17" t="str">
        <f aca="false">IF($A800="","",SUM($J800:$L800))</f>
        <v/>
      </c>
      <c r="R800" s="17" t="str">
        <f aca="false">IF($A800="","",($M800+$Q800)-$P800)</f>
        <v/>
      </c>
      <c r="S800" s="18" t="str">
        <f aca="false">IF(OR($A800="",$P800=0),"",$R800/$P800)</f>
        <v/>
      </c>
      <c r="T800" s="23"/>
      <c r="U800" s="14" t="str">
        <f aca="false">IF($A800="","",IF($M800&gt;0,"Live","Exited"))</f>
        <v/>
      </c>
      <c r="V800" s="20" t="str">
        <f aca="false">IF($A800="","",IF($A800='Client Report'!$C$4,COUNTIFS($A$6:$A800,'Client Report'!$C$4),""))</f>
        <v/>
      </c>
    </row>
    <row r="801" customFormat="false" ht="15" hidden="false" customHeight="false" outlineLevel="0" collapsed="false">
      <c r="A801" s="11"/>
      <c r="B801" s="11"/>
      <c r="C801" s="14" t="str">
        <f aca="false">IF($B801="","",IFERROR(TRIM(LEFT($B801,FIND(" - ",$B801)-1)),"Others"))</f>
        <v/>
      </c>
      <c r="D801" s="11"/>
      <c r="E801" s="11"/>
      <c r="F801" s="12"/>
      <c r="G801" s="21"/>
      <c r="H801" s="21"/>
      <c r="I801" s="21"/>
      <c r="J801" s="21"/>
      <c r="K801" s="21"/>
      <c r="L801" s="21"/>
      <c r="M801" s="21"/>
      <c r="N801" s="22"/>
      <c r="O801" s="22"/>
      <c r="P801" s="17" t="str">
        <f aca="false">IF($A801="","",SUM($G801:$I801))</f>
        <v/>
      </c>
      <c r="Q801" s="17" t="str">
        <f aca="false">IF($A801="","",SUM($J801:$L801))</f>
        <v/>
      </c>
      <c r="R801" s="17" t="str">
        <f aca="false">IF($A801="","",($M801+$Q801)-$P801)</f>
        <v/>
      </c>
      <c r="S801" s="18" t="str">
        <f aca="false">IF(OR($A801="",$P801=0),"",$R801/$P801)</f>
        <v/>
      </c>
      <c r="T801" s="23"/>
      <c r="U801" s="14" t="str">
        <f aca="false">IF($A801="","",IF($M801&gt;0,"Live","Exited"))</f>
        <v/>
      </c>
      <c r="V801" s="20" t="str">
        <f aca="false">IF($A801="","",IF($A801='Client Report'!$C$4,COUNTIFS($A$6:$A801,'Client Report'!$C$4),""))</f>
        <v/>
      </c>
    </row>
    <row r="802" customFormat="false" ht="15" hidden="false" customHeight="false" outlineLevel="0" collapsed="false">
      <c r="A802" s="11"/>
      <c r="B802" s="11"/>
      <c r="C802" s="14" t="str">
        <f aca="false">IF($B802="","",IFERROR(TRIM(LEFT($B802,FIND(" - ",$B802)-1)),"Others"))</f>
        <v/>
      </c>
      <c r="D802" s="11"/>
      <c r="E802" s="11"/>
      <c r="F802" s="12"/>
      <c r="G802" s="21"/>
      <c r="H802" s="21"/>
      <c r="I802" s="21"/>
      <c r="J802" s="21"/>
      <c r="K802" s="21"/>
      <c r="L802" s="21"/>
      <c r="M802" s="21"/>
      <c r="N802" s="22"/>
      <c r="O802" s="22"/>
      <c r="P802" s="17" t="str">
        <f aca="false">IF($A802="","",SUM($G802:$I802))</f>
        <v/>
      </c>
      <c r="Q802" s="17" t="str">
        <f aca="false">IF($A802="","",SUM($J802:$L802))</f>
        <v/>
      </c>
      <c r="R802" s="17" t="str">
        <f aca="false">IF($A802="","",($M802+$Q802)-$P802)</f>
        <v/>
      </c>
      <c r="S802" s="18" t="str">
        <f aca="false">IF(OR($A802="",$P802=0),"",$R802/$P802)</f>
        <v/>
      </c>
      <c r="T802" s="23"/>
      <c r="U802" s="14" t="str">
        <f aca="false">IF($A802="","",IF($M802&gt;0,"Live","Exited"))</f>
        <v/>
      </c>
      <c r="V802" s="20" t="str">
        <f aca="false">IF($A802="","",IF($A802='Client Report'!$C$4,COUNTIFS($A$6:$A802,'Client Report'!$C$4),""))</f>
        <v/>
      </c>
    </row>
    <row r="803" customFormat="false" ht="15" hidden="false" customHeight="false" outlineLevel="0" collapsed="false">
      <c r="A803" s="11"/>
      <c r="B803" s="11"/>
      <c r="C803" s="14" t="str">
        <f aca="false">IF($B803="","",IFERROR(TRIM(LEFT($B803,FIND(" - ",$B803)-1)),"Others"))</f>
        <v/>
      </c>
      <c r="D803" s="11"/>
      <c r="E803" s="11"/>
      <c r="F803" s="12"/>
      <c r="G803" s="21"/>
      <c r="H803" s="21"/>
      <c r="I803" s="21"/>
      <c r="J803" s="21"/>
      <c r="K803" s="21"/>
      <c r="L803" s="21"/>
      <c r="M803" s="21"/>
      <c r="N803" s="22"/>
      <c r="O803" s="22"/>
      <c r="P803" s="17" t="str">
        <f aca="false">IF($A803="","",SUM($G803:$I803))</f>
        <v/>
      </c>
      <c r="Q803" s="17" t="str">
        <f aca="false">IF($A803="","",SUM($J803:$L803))</f>
        <v/>
      </c>
      <c r="R803" s="17" t="str">
        <f aca="false">IF($A803="","",($M803+$Q803)-$P803)</f>
        <v/>
      </c>
      <c r="S803" s="18" t="str">
        <f aca="false">IF(OR($A803="",$P803=0),"",$R803/$P803)</f>
        <v/>
      </c>
      <c r="T803" s="23"/>
      <c r="U803" s="14" t="str">
        <f aca="false">IF($A803="","",IF($M803&gt;0,"Live","Exited"))</f>
        <v/>
      </c>
      <c r="V803" s="20" t="str">
        <f aca="false">IF($A803="","",IF($A803='Client Report'!$C$4,COUNTIFS($A$6:$A803,'Client Report'!$C$4),""))</f>
        <v/>
      </c>
    </row>
    <row r="804" customFormat="false" ht="15" hidden="false" customHeight="false" outlineLevel="0" collapsed="false">
      <c r="A804" s="11"/>
      <c r="B804" s="11"/>
      <c r="C804" s="14" t="str">
        <f aca="false">IF($B804="","",IFERROR(TRIM(LEFT($B804,FIND(" - ",$B804)-1)),"Others"))</f>
        <v/>
      </c>
      <c r="D804" s="11"/>
      <c r="E804" s="11"/>
      <c r="F804" s="12"/>
      <c r="G804" s="21"/>
      <c r="H804" s="21"/>
      <c r="I804" s="21"/>
      <c r="J804" s="21"/>
      <c r="K804" s="21"/>
      <c r="L804" s="21"/>
      <c r="M804" s="21"/>
      <c r="N804" s="22"/>
      <c r="O804" s="22"/>
      <c r="P804" s="17" t="str">
        <f aca="false">IF($A804="","",SUM($G804:$I804))</f>
        <v/>
      </c>
      <c r="Q804" s="17" t="str">
        <f aca="false">IF($A804="","",SUM($J804:$L804))</f>
        <v/>
      </c>
      <c r="R804" s="17" t="str">
        <f aca="false">IF($A804="","",($M804+$Q804)-$P804)</f>
        <v/>
      </c>
      <c r="S804" s="18" t="str">
        <f aca="false">IF(OR($A804="",$P804=0),"",$R804/$P804)</f>
        <v/>
      </c>
      <c r="T804" s="23"/>
      <c r="U804" s="14" t="str">
        <f aca="false">IF($A804="","",IF($M804&gt;0,"Live","Exited"))</f>
        <v/>
      </c>
      <c r="V804" s="20" t="str">
        <f aca="false">IF($A804="","",IF($A804='Client Report'!$C$4,COUNTIFS($A$6:$A804,'Client Report'!$C$4),""))</f>
        <v/>
      </c>
    </row>
    <row r="805" customFormat="false" ht="15" hidden="false" customHeight="false" outlineLevel="0" collapsed="false">
      <c r="A805" s="11"/>
      <c r="B805" s="11"/>
      <c r="C805" s="14" t="str">
        <f aca="false">IF($B805="","",IFERROR(TRIM(LEFT($B805,FIND(" - ",$B805)-1)),"Others"))</f>
        <v/>
      </c>
      <c r="D805" s="11"/>
      <c r="E805" s="11"/>
      <c r="F805" s="12"/>
      <c r="G805" s="21"/>
      <c r="H805" s="21"/>
      <c r="I805" s="21"/>
      <c r="J805" s="21"/>
      <c r="K805" s="21"/>
      <c r="L805" s="21"/>
      <c r="M805" s="21"/>
      <c r="N805" s="22"/>
      <c r="O805" s="22"/>
      <c r="P805" s="17" t="str">
        <f aca="false">IF($A805="","",SUM($G805:$I805))</f>
        <v/>
      </c>
      <c r="Q805" s="17" t="str">
        <f aca="false">IF($A805="","",SUM($J805:$L805))</f>
        <v/>
      </c>
      <c r="R805" s="17" t="str">
        <f aca="false">IF($A805="","",($M805+$Q805)-$P805)</f>
        <v/>
      </c>
      <c r="S805" s="18" t="str">
        <f aca="false">IF(OR($A805="",$P805=0),"",$R805/$P805)</f>
        <v/>
      </c>
      <c r="T805" s="23"/>
      <c r="U805" s="14" t="str">
        <f aca="false">IF($A805="","",IF($M805&gt;0,"Live","Exited"))</f>
        <v/>
      </c>
      <c r="V805" s="20" t="str">
        <f aca="false">IF($A805="","",IF($A805='Client Report'!$C$4,COUNTIFS($A$6:$A805,'Client Report'!$C$4),""))</f>
        <v/>
      </c>
    </row>
    <row r="806" customFormat="false" ht="15" hidden="false" customHeight="false" outlineLevel="0" collapsed="false">
      <c r="A806" s="11"/>
      <c r="B806" s="11"/>
      <c r="C806" s="14" t="str">
        <f aca="false">IF($B806="","",IFERROR(TRIM(LEFT($B806,FIND(" - ",$B806)-1)),"Others"))</f>
        <v/>
      </c>
      <c r="D806" s="11"/>
      <c r="E806" s="11"/>
      <c r="F806" s="12"/>
      <c r="G806" s="21"/>
      <c r="H806" s="21"/>
      <c r="I806" s="21"/>
      <c r="J806" s="21"/>
      <c r="K806" s="21"/>
      <c r="L806" s="21"/>
      <c r="M806" s="21"/>
      <c r="N806" s="22"/>
      <c r="O806" s="22"/>
      <c r="P806" s="17" t="str">
        <f aca="false">IF($A806="","",SUM($G806:$I806))</f>
        <v/>
      </c>
      <c r="Q806" s="17" t="str">
        <f aca="false">IF($A806="","",SUM($J806:$L806))</f>
        <v/>
      </c>
      <c r="R806" s="17" t="str">
        <f aca="false">IF($A806="","",($M806+$Q806)-$P806)</f>
        <v/>
      </c>
      <c r="S806" s="18" t="str">
        <f aca="false">IF(OR($A806="",$P806=0),"",$R806/$P806)</f>
        <v/>
      </c>
      <c r="T806" s="23"/>
      <c r="U806" s="14" t="str">
        <f aca="false">IF($A806="","",IF($M806&gt;0,"Live","Exited"))</f>
        <v/>
      </c>
      <c r="V806" s="20" t="str">
        <f aca="false">IF($A806="","",IF($A806='Client Report'!$C$4,COUNTIFS($A$6:$A806,'Client Report'!$C$4),""))</f>
        <v/>
      </c>
    </row>
    <row r="807" customFormat="false" ht="15" hidden="false" customHeight="false" outlineLevel="0" collapsed="false">
      <c r="A807" s="11"/>
      <c r="B807" s="11"/>
      <c r="C807" s="14" t="str">
        <f aca="false">IF($B807="","",IFERROR(TRIM(LEFT($B807,FIND(" - ",$B807)-1)),"Others"))</f>
        <v/>
      </c>
      <c r="D807" s="11"/>
      <c r="E807" s="11"/>
      <c r="F807" s="12"/>
      <c r="G807" s="21"/>
      <c r="H807" s="21"/>
      <c r="I807" s="21"/>
      <c r="J807" s="21"/>
      <c r="K807" s="21"/>
      <c r="L807" s="21"/>
      <c r="M807" s="21"/>
      <c r="N807" s="22"/>
      <c r="O807" s="22"/>
      <c r="P807" s="17" t="str">
        <f aca="false">IF($A807="","",SUM($G807:$I807))</f>
        <v/>
      </c>
      <c r="Q807" s="17" t="str">
        <f aca="false">IF($A807="","",SUM($J807:$L807))</f>
        <v/>
      </c>
      <c r="R807" s="17" t="str">
        <f aca="false">IF($A807="","",($M807+$Q807)-$P807)</f>
        <v/>
      </c>
      <c r="S807" s="18" t="str">
        <f aca="false">IF(OR($A807="",$P807=0),"",$R807/$P807)</f>
        <v/>
      </c>
      <c r="T807" s="23"/>
      <c r="U807" s="14" t="str">
        <f aca="false">IF($A807="","",IF($M807&gt;0,"Live","Exited"))</f>
        <v/>
      </c>
      <c r="V807" s="20" t="str">
        <f aca="false">IF($A807="","",IF($A807='Client Report'!$C$4,COUNTIFS($A$6:$A807,'Client Report'!$C$4),""))</f>
        <v/>
      </c>
    </row>
    <row r="808" customFormat="false" ht="15" hidden="false" customHeight="false" outlineLevel="0" collapsed="false">
      <c r="A808" s="11"/>
      <c r="B808" s="11"/>
      <c r="C808" s="14" t="str">
        <f aca="false">IF($B808="","",IFERROR(TRIM(LEFT($B808,FIND(" - ",$B808)-1)),"Others"))</f>
        <v/>
      </c>
      <c r="D808" s="11"/>
      <c r="E808" s="11"/>
      <c r="F808" s="12"/>
      <c r="G808" s="21"/>
      <c r="H808" s="21"/>
      <c r="I808" s="21"/>
      <c r="J808" s="21"/>
      <c r="K808" s="21"/>
      <c r="L808" s="21"/>
      <c r="M808" s="21"/>
      <c r="N808" s="22"/>
      <c r="O808" s="22"/>
      <c r="P808" s="17" t="str">
        <f aca="false">IF($A808="","",SUM($G808:$I808))</f>
        <v/>
      </c>
      <c r="Q808" s="17" t="str">
        <f aca="false">IF($A808="","",SUM($J808:$L808))</f>
        <v/>
      </c>
      <c r="R808" s="17" t="str">
        <f aca="false">IF($A808="","",($M808+$Q808)-$P808)</f>
        <v/>
      </c>
      <c r="S808" s="18" t="str">
        <f aca="false">IF(OR($A808="",$P808=0),"",$R808/$P808)</f>
        <v/>
      </c>
      <c r="T808" s="23"/>
      <c r="U808" s="14" t="str">
        <f aca="false">IF($A808="","",IF($M808&gt;0,"Live","Exited"))</f>
        <v/>
      </c>
      <c r="V808" s="20" t="str">
        <f aca="false">IF($A808="","",IF($A808='Client Report'!$C$4,COUNTIFS($A$6:$A808,'Client Report'!$C$4),""))</f>
        <v/>
      </c>
    </row>
    <row r="809" customFormat="false" ht="15" hidden="false" customHeight="false" outlineLevel="0" collapsed="false">
      <c r="A809" s="11"/>
      <c r="B809" s="11"/>
      <c r="C809" s="14" t="str">
        <f aca="false">IF($B809="","",IFERROR(TRIM(LEFT($B809,FIND(" - ",$B809)-1)),"Others"))</f>
        <v/>
      </c>
      <c r="D809" s="11"/>
      <c r="E809" s="11"/>
      <c r="F809" s="12"/>
      <c r="G809" s="21"/>
      <c r="H809" s="21"/>
      <c r="I809" s="21"/>
      <c r="J809" s="21"/>
      <c r="K809" s="21"/>
      <c r="L809" s="21"/>
      <c r="M809" s="21"/>
      <c r="N809" s="22"/>
      <c r="O809" s="22"/>
      <c r="P809" s="17" t="str">
        <f aca="false">IF($A809="","",SUM($G809:$I809))</f>
        <v/>
      </c>
      <c r="Q809" s="17" t="str">
        <f aca="false">IF($A809="","",SUM($J809:$L809))</f>
        <v/>
      </c>
      <c r="R809" s="17" t="str">
        <f aca="false">IF($A809="","",($M809+$Q809)-$P809)</f>
        <v/>
      </c>
      <c r="S809" s="18" t="str">
        <f aca="false">IF(OR($A809="",$P809=0),"",$R809/$P809)</f>
        <v/>
      </c>
      <c r="T809" s="23"/>
      <c r="U809" s="14" t="str">
        <f aca="false">IF($A809="","",IF($M809&gt;0,"Live","Exited"))</f>
        <v/>
      </c>
      <c r="V809" s="20" t="str">
        <f aca="false">IF($A809="","",IF($A809='Client Report'!$C$4,COUNTIFS($A$6:$A809,'Client Report'!$C$4),""))</f>
        <v/>
      </c>
    </row>
    <row r="810" customFormat="false" ht="15" hidden="false" customHeight="false" outlineLevel="0" collapsed="false">
      <c r="A810" s="11"/>
      <c r="B810" s="11"/>
      <c r="C810" s="14" t="str">
        <f aca="false">IF($B810="","",IFERROR(TRIM(LEFT($B810,FIND(" - ",$B810)-1)),"Others"))</f>
        <v/>
      </c>
      <c r="D810" s="11"/>
      <c r="E810" s="11"/>
      <c r="F810" s="12"/>
      <c r="G810" s="21"/>
      <c r="H810" s="21"/>
      <c r="I810" s="21"/>
      <c r="J810" s="21"/>
      <c r="K810" s="21"/>
      <c r="L810" s="21"/>
      <c r="M810" s="21"/>
      <c r="N810" s="22"/>
      <c r="O810" s="22"/>
      <c r="P810" s="17" t="str">
        <f aca="false">IF($A810="","",SUM($G810:$I810))</f>
        <v/>
      </c>
      <c r="Q810" s="17" t="str">
        <f aca="false">IF($A810="","",SUM($J810:$L810))</f>
        <v/>
      </c>
      <c r="R810" s="17" t="str">
        <f aca="false">IF($A810="","",($M810+$Q810)-$P810)</f>
        <v/>
      </c>
      <c r="S810" s="18" t="str">
        <f aca="false">IF(OR($A810="",$P810=0),"",$R810/$P810)</f>
        <v/>
      </c>
      <c r="T810" s="23"/>
      <c r="U810" s="14" t="str">
        <f aca="false">IF($A810="","",IF($M810&gt;0,"Live","Exited"))</f>
        <v/>
      </c>
      <c r="V810" s="20" t="str">
        <f aca="false">IF($A810="","",IF($A810='Client Report'!$C$4,COUNTIFS($A$6:$A810,'Client Report'!$C$4),""))</f>
        <v/>
      </c>
    </row>
    <row r="811" customFormat="false" ht="15" hidden="false" customHeight="false" outlineLevel="0" collapsed="false">
      <c r="A811" s="11"/>
      <c r="B811" s="11"/>
      <c r="C811" s="14" t="str">
        <f aca="false">IF($B811="","",IFERROR(TRIM(LEFT($B811,FIND(" - ",$B811)-1)),"Others"))</f>
        <v/>
      </c>
      <c r="D811" s="11"/>
      <c r="E811" s="11"/>
      <c r="F811" s="12"/>
      <c r="G811" s="21"/>
      <c r="H811" s="21"/>
      <c r="I811" s="21"/>
      <c r="J811" s="21"/>
      <c r="K811" s="21"/>
      <c r="L811" s="21"/>
      <c r="M811" s="21"/>
      <c r="N811" s="22"/>
      <c r="O811" s="22"/>
      <c r="P811" s="17" t="str">
        <f aca="false">IF($A811="","",SUM($G811:$I811))</f>
        <v/>
      </c>
      <c r="Q811" s="17" t="str">
        <f aca="false">IF($A811="","",SUM($J811:$L811))</f>
        <v/>
      </c>
      <c r="R811" s="17" t="str">
        <f aca="false">IF($A811="","",($M811+$Q811)-$P811)</f>
        <v/>
      </c>
      <c r="S811" s="18" t="str">
        <f aca="false">IF(OR($A811="",$P811=0),"",$R811/$P811)</f>
        <v/>
      </c>
      <c r="T811" s="23"/>
      <c r="U811" s="14" t="str">
        <f aca="false">IF($A811="","",IF($M811&gt;0,"Live","Exited"))</f>
        <v/>
      </c>
      <c r="V811" s="20" t="str">
        <f aca="false">IF($A811="","",IF($A811='Client Report'!$C$4,COUNTIFS($A$6:$A811,'Client Report'!$C$4),""))</f>
        <v/>
      </c>
    </row>
    <row r="812" customFormat="false" ht="15" hidden="false" customHeight="false" outlineLevel="0" collapsed="false">
      <c r="A812" s="11"/>
      <c r="B812" s="11"/>
      <c r="C812" s="14" t="str">
        <f aca="false">IF($B812="","",IFERROR(TRIM(LEFT($B812,FIND(" - ",$B812)-1)),"Others"))</f>
        <v/>
      </c>
      <c r="D812" s="11"/>
      <c r="E812" s="11"/>
      <c r="F812" s="12"/>
      <c r="G812" s="21"/>
      <c r="H812" s="21"/>
      <c r="I812" s="21"/>
      <c r="J812" s="21"/>
      <c r="K812" s="21"/>
      <c r="L812" s="21"/>
      <c r="M812" s="21"/>
      <c r="N812" s="22"/>
      <c r="O812" s="22"/>
      <c r="P812" s="17" t="str">
        <f aca="false">IF($A812="","",SUM($G812:$I812))</f>
        <v/>
      </c>
      <c r="Q812" s="17" t="str">
        <f aca="false">IF($A812="","",SUM($J812:$L812))</f>
        <v/>
      </c>
      <c r="R812" s="17" t="str">
        <f aca="false">IF($A812="","",($M812+$Q812)-$P812)</f>
        <v/>
      </c>
      <c r="S812" s="18" t="str">
        <f aca="false">IF(OR($A812="",$P812=0),"",$R812/$P812)</f>
        <v/>
      </c>
      <c r="T812" s="23"/>
      <c r="U812" s="14" t="str">
        <f aca="false">IF($A812="","",IF($M812&gt;0,"Live","Exited"))</f>
        <v/>
      </c>
      <c r="V812" s="20" t="str">
        <f aca="false">IF($A812="","",IF($A812='Client Report'!$C$4,COUNTIFS($A$6:$A812,'Client Report'!$C$4),""))</f>
        <v/>
      </c>
    </row>
    <row r="813" customFormat="false" ht="15" hidden="false" customHeight="false" outlineLevel="0" collapsed="false">
      <c r="A813" s="11"/>
      <c r="B813" s="11"/>
      <c r="C813" s="14" t="str">
        <f aca="false">IF($B813="","",IFERROR(TRIM(LEFT($B813,FIND(" - ",$B813)-1)),"Others"))</f>
        <v/>
      </c>
      <c r="D813" s="11"/>
      <c r="E813" s="11"/>
      <c r="F813" s="12"/>
      <c r="G813" s="21"/>
      <c r="H813" s="21"/>
      <c r="I813" s="21"/>
      <c r="J813" s="21"/>
      <c r="K813" s="21"/>
      <c r="L813" s="21"/>
      <c r="M813" s="21"/>
      <c r="N813" s="22"/>
      <c r="O813" s="22"/>
      <c r="P813" s="17" t="str">
        <f aca="false">IF($A813="","",SUM($G813:$I813))</f>
        <v/>
      </c>
      <c r="Q813" s="17" t="str">
        <f aca="false">IF($A813="","",SUM($J813:$L813))</f>
        <v/>
      </c>
      <c r="R813" s="17" t="str">
        <f aca="false">IF($A813="","",($M813+$Q813)-$P813)</f>
        <v/>
      </c>
      <c r="S813" s="18" t="str">
        <f aca="false">IF(OR($A813="",$P813=0),"",$R813/$P813)</f>
        <v/>
      </c>
      <c r="T813" s="23"/>
      <c r="U813" s="14" t="str">
        <f aca="false">IF($A813="","",IF($M813&gt;0,"Live","Exited"))</f>
        <v/>
      </c>
      <c r="V813" s="20" t="str">
        <f aca="false">IF($A813="","",IF($A813='Client Report'!$C$4,COUNTIFS($A$6:$A813,'Client Report'!$C$4),""))</f>
        <v/>
      </c>
    </row>
    <row r="814" customFormat="false" ht="15" hidden="false" customHeight="false" outlineLevel="0" collapsed="false">
      <c r="A814" s="11"/>
      <c r="B814" s="11"/>
      <c r="C814" s="14" t="str">
        <f aca="false">IF($B814="","",IFERROR(TRIM(LEFT($B814,FIND(" - ",$B814)-1)),"Others"))</f>
        <v/>
      </c>
      <c r="D814" s="11"/>
      <c r="E814" s="11"/>
      <c r="F814" s="12"/>
      <c r="G814" s="21"/>
      <c r="H814" s="21"/>
      <c r="I814" s="21"/>
      <c r="J814" s="21"/>
      <c r="K814" s="21"/>
      <c r="L814" s="21"/>
      <c r="M814" s="21"/>
      <c r="N814" s="22"/>
      <c r="O814" s="22"/>
      <c r="P814" s="17" t="str">
        <f aca="false">IF($A814="","",SUM($G814:$I814))</f>
        <v/>
      </c>
      <c r="Q814" s="17" t="str">
        <f aca="false">IF($A814="","",SUM($J814:$L814))</f>
        <v/>
      </c>
      <c r="R814" s="17" t="str">
        <f aca="false">IF($A814="","",($M814+$Q814)-$P814)</f>
        <v/>
      </c>
      <c r="S814" s="18" t="str">
        <f aca="false">IF(OR($A814="",$P814=0),"",$R814/$P814)</f>
        <v/>
      </c>
      <c r="T814" s="23"/>
      <c r="U814" s="14" t="str">
        <f aca="false">IF($A814="","",IF($M814&gt;0,"Live","Exited"))</f>
        <v/>
      </c>
      <c r="V814" s="20" t="str">
        <f aca="false">IF($A814="","",IF($A814='Client Report'!$C$4,COUNTIFS($A$6:$A814,'Client Report'!$C$4),""))</f>
        <v/>
      </c>
    </row>
    <row r="815" customFormat="false" ht="15" hidden="false" customHeight="false" outlineLevel="0" collapsed="false">
      <c r="A815" s="11"/>
      <c r="B815" s="11"/>
      <c r="C815" s="14" t="str">
        <f aca="false">IF($B815="","",IFERROR(TRIM(LEFT($B815,FIND(" - ",$B815)-1)),"Others"))</f>
        <v/>
      </c>
      <c r="D815" s="11"/>
      <c r="E815" s="11"/>
      <c r="F815" s="12"/>
      <c r="G815" s="21"/>
      <c r="H815" s="21"/>
      <c r="I815" s="21"/>
      <c r="J815" s="21"/>
      <c r="K815" s="21"/>
      <c r="L815" s="21"/>
      <c r="M815" s="21"/>
      <c r="N815" s="22"/>
      <c r="O815" s="22"/>
      <c r="P815" s="17" t="str">
        <f aca="false">IF($A815="","",SUM($G815:$I815))</f>
        <v/>
      </c>
      <c r="Q815" s="17" t="str">
        <f aca="false">IF($A815="","",SUM($J815:$L815))</f>
        <v/>
      </c>
      <c r="R815" s="17" t="str">
        <f aca="false">IF($A815="","",($M815+$Q815)-$P815)</f>
        <v/>
      </c>
      <c r="S815" s="18" t="str">
        <f aca="false">IF(OR($A815="",$P815=0),"",$R815/$P815)</f>
        <v/>
      </c>
      <c r="T815" s="23"/>
      <c r="U815" s="14" t="str">
        <f aca="false">IF($A815="","",IF($M815&gt;0,"Live","Exited"))</f>
        <v/>
      </c>
      <c r="V815" s="20" t="str">
        <f aca="false">IF($A815="","",IF($A815='Client Report'!$C$4,COUNTIFS($A$6:$A815,'Client Report'!$C$4),""))</f>
        <v/>
      </c>
    </row>
    <row r="816" customFormat="false" ht="15" hidden="false" customHeight="false" outlineLevel="0" collapsed="false">
      <c r="A816" s="11"/>
      <c r="B816" s="11"/>
      <c r="C816" s="14" t="str">
        <f aca="false">IF($B816="","",IFERROR(TRIM(LEFT($B816,FIND(" - ",$B816)-1)),"Others"))</f>
        <v/>
      </c>
      <c r="D816" s="11"/>
      <c r="E816" s="11"/>
      <c r="F816" s="12"/>
      <c r="G816" s="21"/>
      <c r="H816" s="21"/>
      <c r="I816" s="21"/>
      <c r="J816" s="21"/>
      <c r="K816" s="21"/>
      <c r="L816" s="21"/>
      <c r="M816" s="21"/>
      <c r="N816" s="22"/>
      <c r="O816" s="22"/>
      <c r="P816" s="17" t="str">
        <f aca="false">IF($A816="","",SUM($G816:$I816))</f>
        <v/>
      </c>
      <c r="Q816" s="17" t="str">
        <f aca="false">IF($A816="","",SUM($J816:$L816))</f>
        <v/>
      </c>
      <c r="R816" s="17" t="str">
        <f aca="false">IF($A816="","",($M816+$Q816)-$P816)</f>
        <v/>
      </c>
      <c r="S816" s="18" t="str">
        <f aca="false">IF(OR($A816="",$P816=0),"",$R816/$P816)</f>
        <v/>
      </c>
      <c r="T816" s="23"/>
      <c r="U816" s="14" t="str">
        <f aca="false">IF($A816="","",IF($M816&gt;0,"Live","Exited"))</f>
        <v/>
      </c>
      <c r="V816" s="20" t="str">
        <f aca="false">IF($A816="","",IF($A816='Client Report'!$C$4,COUNTIFS($A$6:$A816,'Client Report'!$C$4),""))</f>
        <v/>
      </c>
    </row>
    <row r="817" customFormat="false" ht="15" hidden="false" customHeight="false" outlineLevel="0" collapsed="false">
      <c r="A817" s="11"/>
      <c r="B817" s="11"/>
      <c r="C817" s="14" t="str">
        <f aca="false">IF($B817="","",IFERROR(TRIM(LEFT($B817,FIND(" - ",$B817)-1)),"Others"))</f>
        <v/>
      </c>
      <c r="D817" s="11"/>
      <c r="E817" s="11"/>
      <c r="F817" s="12"/>
      <c r="G817" s="21"/>
      <c r="H817" s="21"/>
      <c r="I817" s="21"/>
      <c r="J817" s="21"/>
      <c r="K817" s="21"/>
      <c r="L817" s="21"/>
      <c r="M817" s="21"/>
      <c r="N817" s="22"/>
      <c r="O817" s="22"/>
      <c r="P817" s="17" t="str">
        <f aca="false">IF($A817="","",SUM($G817:$I817))</f>
        <v/>
      </c>
      <c r="Q817" s="17" t="str">
        <f aca="false">IF($A817="","",SUM($J817:$L817))</f>
        <v/>
      </c>
      <c r="R817" s="17" t="str">
        <f aca="false">IF($A817="","",($M817+$Q817)-$P817)</f>
        <v/>
      </c>
      <c r="S817" s="18" t="str">
        <f aca="false">IF(OR($A817="",$P817=0),"",$R817/$P817)</f>
        <v/>
      </c>
      <c r="T817" s="23"/>
      <c r="U817" s="14" t="str">
        <f aca="false">IF($A817="","",IF($M817&gt;0,"Live","Exited"))</f>
        <v/>
      </c>
      <c r="V817" s="20" t="str">
        <f aca="false">IF($A817="","",IF($A817='Client Report'!$C$4,COUNTIFS($A$6:$A817,'Client Report'!$C$4),""))</f>
        <v/>
      </c>
    </row>
    <row r="818" customFormat="false" ht="15" hidden="false" customHeight="false" outlineLevel="0" collapsed="false">
      <c r="A818" s="11"/>
      <c r="B818" s="11"/>
      <c r="C818" s="14" t="str">
        <f aca="false">IF($B818="","",IFERROR(TRIM(LEFT($B818,FIND(" - ",$B818)-1)),"Others"))</f>
        <v/>
      </c>
      <c r="D818" s="11"/>
      <c r="E818" s="11"/>
      <c r="F818" s="12"/>
      <c r="G818" s="21"/>
      <c r="H818" s="21"/>
      <c r="I818" s="21"/>
      <c r="J818" s="21"/>
      <c r="K818" s="21"/>
      <c r="L818" s="21"/>
      <c r="M818" s="21"/>
      <c r="N818" s="22"/>
      <c r="O818" s="22"/>
      <c r="P818" s="17" t="str">
        <f aca="false">IF($A818="","",SUM($G818:$I818))</f>
        <v/>
      </c>
      <c r="Q818" s="17" t="str">
        <f aca="false">IF($A818="","",SUM($J818:$L818))</f>
        <v/>
      </c>
      <c r="R818" s="17" t="str">
        <f aca="false">IF($A818="","",($M818+$Q818)-$P818)</f>
        <v/>
      </c>
      <c r="S818" s="18" t="str">
        <f aca="false">IF(OR($A818="",$P818=0),"",$R818/$P818)</f>
        <v/>
      </c>
      <c r="T818" s="23"/>
      <c r="U818" s="14" t="str">
        <f aca="false">IF($A818="","",IF($M818&gt;0,"Live","Exited"))</f>
        <v/>
      </c>
      <c r="V818" s="20" t="str">
        <f aca="false">IF($A818="","",IF($A818='Client Report'!$C$4,COUNTIFS($A$6:$A818,'Client Report'!$C$4),""))</f>
        <v/>
      </c>
    </row>
    <row r="819" customFormat="false" ht="15" hidden="false" customHeight="false" outlineLevel="0" collapsed="false">
      <c r="A819" s="11"/>
      <c r="B819" s="11"/>
      <c r="C819" s="14" t="str">
        <f aca="false">IF($B819="","",IFERROR(TRIM(LEFT($B819,FIND(" - ",$B819)-1)),"Others"))</f>
        <v/>
      </c>
      <c r="D819" s="11"/>
      <c r="E819" s="11"/>
      <c r="F819" s="12"/>
      <c r="G819" s="21"/>
      <c r="H819" s="21"/>
      <c r="I819" s="21"/>
      <c r="J819" s="21"/>
      <c r="K819" s="21"/>
      <c r="L819" s="21"/>
      <c r="M819" s="21"/>
      <c r="N819" s="22"/>
      <c r="O819" s="22"/>
      <c r="P819" s="17" t="str">
        <f aca="false">IF($A819="","",SUM($G819:$I819))</f>
        <v/>
      </c>
      <c r="Q819" s="17" t="str">
        <f aca="false">IF($A819="","",SUM($J819:$L819))</f>
        <v/>
      </c>
      <c r="R819" s="17" t="str">
        <f aca="false">IF($A819="","",($M819+$Q819)-$P819)</f>
        <v/>
      </c>
      <c r="S819" s="18" t="str">
        <f aca="false">IF(OR($A819="",$P819=0),"",$R819/$P819)</f>
        <v/>
      </c>
      <c r="T819" s="23"/>
      <c r="U819" s="14" t="str">
        <f aca="false">IF($A819="","",IF($M819&gt;0,"Live","Exited"))</f>
        <v/>
      </c>
      <c r="V819" s="20" t="str">
        <f aca="false">IF($A819="","",IF($A819='Client Report'!$C$4,COUNTIFS($A$6:$A819,'Client Report'!$C$4),""))</f>
        <v/>
      </c>
    </row>
    <row r="820" customFormat="false" ht="15" hidden="false" customHeight="false" outlineLevel="0" collapsed="false">
      <c r="A820" s="11"/>
      <c r="B820" s="11"/>
      <c r="C820" s="14" t="str">
        <f aca="false">IF($B820="","",IFERROR(TRIM(LEFT($B820,FIND(" - ",$B820)-1)),"Others"))</f>
        <v/>
      </c>
      <c r="D820" s="11"/>
      <c r="E820" s="11"/>
      <c r="F820" s="12"/>
      <c r="G820" s="21"/>
      <c r="H820" s="21"/>
      <c r="I820" s="21"/>
      <c r="J820" s="21"/>
      <c r="K820" s="21"/>
      <c r="L820" s="21"/>
      <c r="M820" s="21"/>
      <c r="N820" s="22"/>
      <c r="O820" s="22"/>
      <c r="P820" s="17" t="str">
        <f aca="false">IF($A820="","",SUM($G820:$I820))</f>
        <v/>
      </c>
      <c r="Q820" s="17" t="str">
        <f aca="false">IF($A820="","",SUM($J820:$L820))</f>
        <v/>
      </c>
      <c r="R820" s="17" t="str">
        <f aca="false">IF($A820="","",($M820+$Q820)-$P820)</f>
        <v/>
      </c>
      <c r="S820" s="18" t="str">
        <f aca="false">IF(OR($A820="",$P820=0),"",$R820/$P820)</f>
        <v/>
      </c>
      <c r="T820" s="23"/>
      <c r="U820" s="14" t="str">
        <f aca="false">IF($A820="","",IF($M820&gt;0,"Live","Exited"))</f>
        <v/>
      </c>
      <c r="V820" s="20" t="str">
        <f aca="false">IF($A820="","",IF($A820='Client Report'!$C$4,COUNTIFS($A$6:$A820,'Client Report'!$C$4),""))</f>
        <v/>
      </c>
    </row>
    <row r="821" customFormat="false" ht="15" hidden="false" customHeight="false" outlineLevel="0" collapsed="false">
      <c r="A821" s="11"/>
      <c r="B821" s="11"/>
      <c r="C821" s="14" t="str">
        <f aca="false">IF($B821="","",IFERROR(TRIM(LEFT($B821,FIND(" - ",$B821)-1)),"Others"))</f>
        <v/>
      </c>
      <c r="D821" s="11"/>
      <c r="E821" s="11"/>
      <c r="F821" s="12"/>
      <c r="G821" s="21"/>
      <c r="H821" s="21"/>
      <c r="I821" s="21"/>
      <c r="J821" s="21"/>
      <c r="K821" s="21"/>
      <c r="L821" s="21"/>
      <c r="M821" s="21"/>
      <c r="N821" s="22"/>
      <c r="O821" s="22"/>
      <c r="P821" s="17" t="str">
        <f aca="false">IF($A821="","",SUM($G821:$I821))</f>
        <v/>
      </c>
      <c r="Q821" s="17" t="str">
        <f aca="false">IF($A821="","",SUM($J821:$L821))</f>
        <v/>
      </c>
      <c r="R821" s="17" t="str">
        <f aca="false">IF($A821="","",($M821+$Q821)-$P821)</f>
        <v/>
      </c>
      <c r="S821" s="18" t="str">
        <f aca="false">IF(OR($A821="",$P821=0),"",$R821/$P821)</f>
        <v/>
      </c>
      <c r="T821" s="23"/>
      <c r="U821" s="14" t="str">
        <f aca="false">IF($A821="","",IF($M821&gt;0,"Live","Exited"))</f>
        <v/>
      </c>
      <c r="V821" s="20" t="str">
        <f aca="false">IF($A821="","",IF($A821='Client Report'!$C$4,COUNTIFS($A$6:$A821,'Client Report'!$C$4),""))</f>
        <v/>
      </c>
    </row>
    <row r="822" customFormat="false" ht="15" hidden="false" customHeight="false" outlineLevel="0" collapsed="false">
      <c r="A822" s="11"/>
      <c r="B822" s="11"/>
      <c r="C822" s="14" t="str">
        <f aca="false">IF($B822="","",IFERROR(TRIM(LEFT($B822,FIND(" - ",$B822)-1)),"Others"))</f>
        <v/>
      </c>
      <c r="D822" s="11"/>
      <c r="E822" s="11"/>
      <c r="F822" s="12"/>
      <c r="G822" s="21"/>
      <c r="H822" s="21"/>
      <c r="I822" s="21"/>
      <c r="J822" s="21"/>
      <c r="K822" s="21"/>
      <c r="L822" s="21"/>
      <c r="M822" s="21"/>
      <c r="N822" s="22"/>
      <c r="O822" s="22"/>
      <c r="P822" s="17" t="str">
        <f aca="false">IF($A822="","",SUM($G822:$I822))</f>
        <v/>
      </c>
      <c r="Q822" s="17" t="str">
        <f aca="false">IF($A822="","",SUM($J822:$L822))</f>
        <v/>
      </c>
      <c r="R822" s="17" t="str">
        <f aca="false">IF($A822="","",($M822+$Q822)-$P822)</f>
        <v/>
      </c>
      <c r="S822" s="18" t="str">
        <f aca="false">IF(OR($A822="",$P822=0),"",$R822/$P822)</f>
        <v/>
      </c>
      <c r="T822" s="23"/>
      <c r="U822" s="14" t="str">
        <f aca="false">IF($A822="","",IF($M822&gt;0,"Live","Exited"))</f>
        <v/>
      </c>
      <c r="V822" s="20" t="str">
        <f aca="false">IF($A822="","",IF($A822='Client Report'!$C$4,COUNTIFS($A$6:$A822,'Client Report'!$C$4),""))</f>
        <v/>
      </c>
    </row>
    <row r="823" customFormat="false" ht="15" hidden="false" customHeight="false" outlineLevel="0" collapsed="false">
      <c r="A823" s="11"/>
      <c r="B823" s="11"/>
      <c r="C823" s="14" t="str">
        <f aca="false">IF($B823="","",IFERROR(TRIM(LEFT($B823,FIND(" - ",$B823)-1)),"Others"))</f>
        <v/>
      </c>
      <c r="D823" s="11"/>
      <c r="E823" s="11"/>
      <c r="F823" s="12"/>
      <c r="G823" s="21"/>
      <c r="H823" s="21"/>
      <c r="I823" s="21"/>
      <c r="J823" s="21"/>
      <c r="K823" s="21"/>
      <c r="L823" s="21"/>
      <c r="M823" s="21"/>
      <c r="N823" s="22"/>
      <c r="O823" s="22"/>
      <c r="P823" s="17" t="str">
        <f aca="false">IF($A823="","",SUM($G823:$I823))</f>
        <v/>
      </c>
      <c r="Q823" s="17" t="str">
        <f aca="false">IF($A823="","",SUM($J823:$L823))</f>
        <v/>
      </c>
      <c r="R823" s="17" t="str">
        <f aca="false">IF($A823="","",($M823+$Q823)-$P823)</f>
        <v/>
      </c>
      <c r="S823" s="18" t="str">
        <f aca="false">IF(OR($A823="",$P823=0),"",$R823/$P823)</f>
        <v/>
      </c>
      <c r="T823" s="23"/>
      <c r="U823" s="14" t="str">
        <f aca="false">IF($A823="","",IF($M823&gt;0,"Live","Exited"))</f>
        <v/>
      </c>
      <c r="V823" s="20" t="str">
        <f aca="false">IF($A823="","",IF($A823='Client Report'!$C$4,COUNTIFS($A$6:$A823,'Client Report'!$C$4),""))</f>
        <v/>
      </c>
    </row>
    <row r="824" customFormat="false" ht="15" hidden="false" customHeight="false" outlineLevel="0" collapsed="false">
      <c r="A824" s="11"/>
      <c r="B824" s="11"/>
      <c r="C824" s="14" t="str">
        <f aca="false">IF($B824="","",IFERROR(TRIM(LEFT($B824,FIND(" - ",$B824)-1)),"Others"))</f>
        <v/>
      </c>
      <c r="D824" s="11"/>
      <c r="E824" s="11"/>
      <c r="F824" s="12"/>
      <c r="G824" s="21"/>
      <c r="H824" s="21"/>
      <c r="I824" s="21"/>
      <c r="J824" s="21"/>
      <c r="K824" s="21"/>
      <c r="L824" s="21"/>
      <c r="M824" s="21"/>
      <c r="N824" s="22"/>
      <c r="O824" s="22"/>
      <c r="P824" s="17" t="str">
        <f aca="false">IF($A824="","",SUM($G824:$I824))</f>
        <v/>
      </c>
      <c r="Q824" s="17" t="str">
        <f aca="false">IF($A824="","",SUM($J824:$L824))</f>
        <v/>
      </c>
      <c r="R824" s="17" t="str">
        <f aca="false">IF($A824="","",($M824+$Q824)-$P824)</f>
        <v/>
      </c>
      <c r="S824" s="18" t="str">
        <f aca="false">IF(OR($A824="",$P824=0),"",$R824/$P824)</f>
        <v/>
      </c>
      <c r="T824" s="23"/>
      <c r="U824" s="14" t="str">
        <f aca="false">IF($A824="","",IF($M824&gt;0,"Live","Exited"))</f>
        <v/>
      </c>
      <c r="V824" s="20" t="str">
        <f aca="false">IF($A824="","",IF($A824='Client Report'!$C$4,COUNTIFS($A$6:$A824,'Client Report'!$C$4),""))</f>
        <v/>
      </c>
    </row>
    <row r="825" customFormat="false" ht="15" hidden="false" customHeight="false" outlineLevel="0" collapsed="false">
      <c r="A825" s="11"/>
      <c r="B825" s="11"/>
      <c r="C825" s="14" t="str">
        <f aca="false">IF($B825="","",IFERROR(TRIM(LEFT($B825,FIND(" - ",$B825)-1)),"Others"))</f>
        <v/>
      </c>
      <c r="D825" s="11"/>
      <c r="E825" s="11"/>
      <c r="F825" s="12"/>
      <c r="G825" s="21"/>
      <c r="H825" s="21"/>
      <c r="I825" s="21"/>
      <c r="J825" s="21"/>
      <c r="K825" s="21"/>
      <c r="L825" s="21"/>
      <c r="M825" s="21"/>
      <c r="N825" s="22"/>
      <c r="O825" s="22"/>
      <c r="P825" s="17" t="str">
        <f aca="false">IF($A825="","",SUM($G825:$I825))</f>
        <v/>
      </c>
      <c r="Q825" s="17" t="str">
        <f aca="false">IF($A825="","",SUM($J825:$L825))</f>
        <v/>
      </c>
      <c r="R825" s="17" t="str">
        <f aca="false">IF($A825="","",($M825+$Q825)-$P825)</f>
        <v/>
      </c>
      <c r="S825" s="18" t="str">
        <f aca="false">IF(OR($A825="",$P825=0),"",$R825/$P825)</f>
        <v/>
      </c>
      <c r="T825" s="23"/>
      <c r="U825" s="14" t="str">
        <f aca="false">IF($A825="","",IF($M825&gt;0,"Live","Exited"))</f>
        <v/>
      </c>
      <c r="V825" s="20" t="str">
        <f aca="false">IF($A825="","",IF($A825='Client Report'!$C$4,COUNTIFS($A$6:$A825,'Client Report'!$C$4),""))</f>
        <v/>
      </c>
    </row>
    <row r="826" customFormat="false" ht="15" hidden="false" customHeight="false" outlineLevel="0" collapsed="false">
      <c r="A826" s="11"/>
      <c r="B826" s="11"/>
      <c r="C826" s="14" t="str">
        <f aca="false">IF($B826="","",IFERROR(TRIM(LEFT($B826,FIND(" - ",$B826)-1)),"Others"))</f>
        <v/>
      </c>
      <c r="D826" s="11"/>
      <c r="E826" s="11"/>
      <c r="F826" s="12"/>
      <c r="G826" s="21"/>
      <c r="H826" s="21"/>
      <c r="I826" s="21"/>
      <c r="J826" s="21"/>
      <c r="K826" s="21"/>
      <c r="L826" s="21"/>
      <c r="M826" s="21"/>
      <c r="N826" s="22"/>
      <c r="O826" s="22"/>
      <c r="P826" s="17" t="str">
        <f aca="false">IF($A826="","",SUM($G826:$I826))</f>
        <v/>
      </c>
      <c r="Q826" s="17" t="str">
        <f aca="false">IF($A826="","",SUM($J826:$L826))</f>
        <v/>
      </c>
      <c r="R826" s="17" t="str">
        <f aca="false">IF($A826="","",($M826+$Q826)-$P826)</f>
        <v/>
      </c>
      <c r="S826" s="18" t="str">
        <f aca="false">IF(OR($A826="",$P826=0),"",$R826/$P826)</f>
        <v/>
      </c>
      <c r="T826" s="23"/>
      <c r="U826" s="14" t="str">
        <f aca="false">IF($A826="","",IF($M826&gt;0,"Live","Exited"))</f>
        <v/>
      </c>
      <c r="V826" s="20" t="str">
        <f aca="false">IF($A826="","",IF($A826='Client Report'!$C$4,COUNTIFS($A$6:$A826,'Client Report'!$C$4),""))</f>
        <v/>
      </c>
    </row>
    <row r="827" customFormat="false" ht="15" hidden="false" customHeight="false" outlineLevel="0" collapsed="false">
      <c r="A827" s="11"/>
      <c r="B827" s="11"/>
      <c r="C827" s="14" t="str">
        <f aca="false">IF($B827="","",IFERROR(TRIM(LEFT($B827,FIND(" - ",$B827)-1)),"Others"))</f>
        <v/>
      </c>
      <c r="D827" s="11"/>
      <c r="E827" s="11"/>
      <c r="F827" s="12"/>
      <c r="G827" s="21"/>
      <c r="H827" s="21"/>
      <c r="I827" s="21"/>
      <c r="J827" s="21"/>
      <c r="K827" s="21"/>
      <c r="L827" s="21"/>
      <c r="M827" s="21"/>
      <c r="N827" s="22"/>
      <c r="O827" s="22"/>
      <c r="P827" s="17" t="str">
        <f aca="false">IF($A827="","",SUM($G827:$I827))</f>
        <v/>
      </c>
      <c r="Q827" s="17" t="str">
        <f aca="false">IF($A827="","",SUM($J827:$L827))</f>
        <v/>
      </c>
      <c r="R827" s="17" t="str">
        <f aca="false">IF($A827="","",($M827+$Q827)-$P827)</f>
        <v/>
      </c>
      <c r="S827" s="18" t="str">
        <f aca="false">IF(OR($A827="",$P827=0),"",$R827/$P827)</f>
        <v/>
      </c>
      <c r="T827" s="23"/>
      <c r="U827" s="14" t="str">
        <f aca="false">IF($A827="","",IF($M827&gt;0,"Live","Exited"))</f>
        <v/>
      </c>
      <c r="V827" s="20" t="str">
        <f aca="false">IF($A827="","",IF($A827='Client Report'!$C$4,COUNTIFS($A$6:$A827,'Client Report'!$C$4),""))</f>
        <v/>
      </c>
    </row>
    <row r="828" customFormat="false" ht="15" hidden="false" customHeight="false" outlineLevel="0" collapsed="false">
      <c r="A828" s="11"/>
      <c r="B828" s="11"/>
      <c r="C828" s="14" t="str">
        <f aca="false">IF($B828="","",IFERROR(TRIM(LEFT($B828,FIND(" - ",$B828)-1)),"Others"))</f>
        <v/>
      </c>
      <c r="D828" s="11"/>
      <c r="E828" s="11"/>
      <c r="F828" s="12"/>
      <c r="G828" s="21"/>
      <c r="H828" s="21"/>
      <c r="I828" s="21"/>
      <c r="J828" s="21"/>
      <c r="K828" s="21"/>
      <c r="L828" s="21"/>
      <c r="M828" s="21"/>
      <c r="N828" s="22"/>
      <c r="O828" s="22"/>
      <c r="P828" s="17" t="str">
        <f aca="false">IF($A828="","",SUM($G828:$I828))</f>
        <v/>
      </c>
      <c r="Q828" s="17" t="str">
        <f aca="false">IF($A828="","",SUM($J828:$L828))</f>
        <v/>
      </c>
      <c r="R828" s="17" t="str">
        <f aca="false">IF($A828="","",($M828+$Q828)-$P828)</f>
        <v/>
      </c>
      <c r="S828" s="18" t="str">
        <f aca="false">IF(OR($A828="",$P828=0),"",$R828/$P828)</f>
        <v/>
      </c>
      <c r="T828" s="23"/>
      <c r="U828" s="14" t="str">
        <f aca="false">IF($A828="","",IF($M828&gt;0,"Live","Exited"))</f>
        <v/>
      </c>
      <c r="V828" s="20" t="str">
        <f aca="false">IF($A828="","",IF($A828='Client Report'!$C$4,COUNTIFS($A$6:$A828,'Client Report'!$C$4),""))</f>
        <v/>
      </c>
    </row>
    <row r="829" customFormat="false" ht="15" hidden="false" customHeight="false" outlineLevel="0" collapsed="false">
      <c r="A829" s="11"/>
      <c r="B829" s="11"/>
      <c r="C829" s="14" t="str">
        <f aca="false">IF($B829="","",IFERROR(TRIM(LEFT($B829,FIND(" - ",$B829)-1)),"Others"))</f>
        <v/>
      </c>
      <c r="D829" s="11"/>
      <c r="E829" s="11"/>
      <c r="F829" s="12"/>
      <c r="G829" s="21"/>
      <c r="H829" s="21"/>
      <c r="I829" s="21"/>
      <c r="J829" s="21"/>
      <c r="K829" s="21"/>
      <c r="L829" s="21"/>
      <c r="M829" s="21"/>
      <c r="N829" s="22"/>
      <c r="O829" s="22"/>
      <c r="P829" s="17" t="str">
        <f aca="false">IF($A829="","",SUM($G829:$I829))</f>
        <v/>
      </c>
      <c r="Q829" s="17" t="str">
        <f aca="false">IF($A829="","",SUM($J829:$L829))</f>
        <v/>
      </c>
      <c r="R829" s="17" t="str">
        <f aca="false">IF($A829="","",($M829+$Q829)-$P829)</f>
        <v/>
      </c>
      <c r="S829" s="18" t="str">
        <f aca="false">IF(OR($A829="",$P829=0),"",$R829/$P829)</f>
        <v/>
      </c>
      <c r="T829" s="23"/>
      <c r="U829" s="14" t="str">
        <f aca="false">IF($A829="","",IF($M829&gt;0,"Live","Exited"))</f>
        <v/>
      </c>
      <c r="V829" s="20" t="str">
        <f aca="false">IF($A829="","",IF($A829='Client Report'!$C$4,COUNTIFS($A$6:$A829,'Client Report'!$C$4),""))</f>
        <v/>
      </c>
    </row>
    <row r="830" customFormat="false" ht="15" hidden="false" customHeight="false" outlineLevel="0" collapsed="false">
      <c r="A830" s="11"/>
      <c r="B830" s="11"/>
      <c r="C830" s="14" t="str">
        <f aca="false">IF($B830="","",IFERROR(TRIM(LEFT($B830,FIND(" - ",$B830)-1)),"Others"))</f>
        <v/>
      </c>
      <c r="D830" s="11"/>
      <c r="E830" s="11"/>
      <c r="F830" s="12"/>
      <c r="G830" s="21"/>
      <c r="H830" s="21"/>
      <c r="I830" s="21"/>
      <c r="J830" s="21"/>
      <c r="K830" s="21"/>
      <c r="L830" s="21"/>
      <c r="M830" s="21"/>
      <c r="N830" s="22"/>
      <c r="O830" s="22"/>
      <c r="P830" s="17" t="str">
        <f aca="false">IF($A830="","",SUM($G830:$I830))</f>
        <v/>
      </c>
      <c r="Q830" s="17" t="str">
        <f aca="false">IF($A830="","",SUM($J830:$L830))</f>
        <v/>
      </c>
      <c r="R830" s="17" t="str">
        <f aca="false">IF($A830="","",($M830+$Q830)-$P830)</f>
        <v/>
      </c>
      <c r="S830" s="18" t="str">
        <f aca="false">IF(OR($A830="",$P830=0),"",$R830/$P830)</f>
        <v/>
      </c>
      <c r="T830" s="23"/>
      <c r="U830" s="14" t="str">
        <f aca="false">IF($A830="","",IF($M830&gt;0,"Live","Exited"))</f>
        <v/>
      </c>
      <c r="V830" s="20" t="str">
        <f aca="false">IF($A830="","",IF($A830='Client Report'!$C$4,COUNTIFS($A$6:$A830,'Client Report'!$C$4),""))</f>
        <v/>
      </c>
    </row>
    <row r="831" customFormat="false" ht="15" hidden="false" customHeight="false" outlineLevel="0" collapsed="false">
      <c r="A831" s="11"/>
      <c r="B831" s="11"/>
      <c r="C831" s="14" t="str">
        <f aca="false">IF($B831="","",IFERROR(TRIM(LEFT($B831,FIND(" - ",$B831)-1)),"Others"))</f>
        <v/>
      </c>
      <c r="D831" s="11"/>
      <c r="E831" s="11"/>
      <c r="F831" s="12"/>
      <c r="G831" s="21"/>
      <c r="H831" s="21"/>
      <c r="I831" s="21"/>
      <c r="J831" s="21"/>
      <c r="K831" s="21"/>
      <c r="L831" s="21"/>
      <c r="M831" s="21"/>
      <c r="N831" s="22"/>
      <c r="O831" s="22"/>
      <c r="P831" s="17" t="str">
        <f aca="false">IF($A831="","",SUM($G831:$I831))</f>
        <v/>
      </c>
      <c r="Q831" s="17" t="str">
        <f aca="false">IF($A831="","",SUM($J831:$L831))</f>
        <v/>
      </c>
      <c r="R831" s="17" t="str">
        <f aca="false">IF($A831="","",($M831+$Q831)-$P831)</f>
        <v/>
      </c>
      <c r="S831" s="18" t="str">
        <f aca="false">IF(OR($A831="",$P831=0),"",$R831/$P831)</f>
        <v/>
      </c>
      <c r="T831" s="23"/>
      <c r="U831" s="14" t="str">
        <f aca="false">IF($A831="","",IF($M831&gt;0,"Live","Exited"))</f>
        <v/>
      </c>
      <c r="V831" s="20" t="str">
        <f aca="false">IF($A831="","",IF($A831='Client Report'!$C$4,COUNTIFS($A$6:$A831,'Client Report'!$C$4),""))</f>
        <v/>
      </c>
    </row>
    <row r="832" customFormat="false" ht="15" hidden="false" customHeight="false" outlineLevel="0" collapsed="false">
      <c r="A832" s="11"/>
      <c r="B832" s="11"/>
      <c r="C832" s="14" t="str">
        <f aca="false">IF($B832="","",IFERROR(TRIM(LEFT($B832,FIND(" - ",$B832)-1)),"Others"))</f>
        <v/>
      </c>
      <c r="D832" s="11"/>
      <c r="E832" s="11"/>
      <c r="F832" s="12"/>
      <c r="G832" s="21"/>
      <c r="H832" s="21"/>
      <c r="I832" s="21"/>
      <c r="J832" s="21"/>
      <c r="K832" s="21"/>
      <c r="L832" s="21"/>
      <c r="M832" s="21"/>
      <c r="N832" s="22"/>
      <c r="O832" s="22"/>
      <c r="P832" s="17" t="str">
        <f aca="false">IF($A832="","",SUM($G832:$I832))</f>
        <v/>
      </c>
      <c r="Q832" s="17" t="str">
        <f aca="false">IF($A832="","",SUM($J832:$L832))</f>
        <v/>
      </c>
      <c r="R832" s="17" t="str">
        <f aca="false">IF($A832="","",($M832+$Q832)-$P832)</f>
        <v/>
      </c>
      <c r="S832" s="18" t="str">
        <f aca="false">IF(OR($A832="",$P832=0),"",$R832/$P832)</f>
        <v/>
      </c>
      <c r="T832" s="23"/>
      <c r="U832" s="14" t="str">
        <f aca="false">IF($A832="","",IF($M832&gt;0,"Live","Exited"))</f>
        <v/>
      </c>
      <c r="V832" s="20" t="str">
        <f aca="false">IF($A832="","",IF($A832='Client Report'!$C$4,COUNTIFS($A$6:$A832,'Client Report'!$C$4),""))</f>
        <v/>
      </c>
    </row>
    <row r="833" customFormat="false" ht="15" hidden="false" customHeight="false" outlineLevel="0" collapsed="false">
      <c r="A833" s="11"/>
      <c r="B833" s="11"/>
      <c r="C833" s="14" t="str">
        <f aca="false">IF($B833="","",IFERROR(TRIM(LEFT($B833,FIND(" - ",$B833)-1)),"Others"))</f>
        <v/>
      </c>
      <c r="D833" s="11"/>
      <c r="E833" s="11"/>
      <c r="F833" s="12"/>
      <c r="G833" s="21"/>
      <c r="H833" s="21"/>
      <c r="I833" s="21"/>
      <c r="J833" s="21"/>
      <c r="K833" s="21"/>
      <c r="L833" s="21"/>
      <c r="M833" s="21"/>
      <c r="N833" s="22"/>
      <c r="O833" s="22"/>
      <c r="P833" s="17" t="str">
        <f aca="false">IF($A833="","",SUM($G833:$I833))</f>
        <v/>
      </c>
      <c r="Q833" s="17" t="str">
        <f aca="false">IF($A833="","",SUM($J833:$L833))</f>
        <v/>
      </c>
      <c r="R833" s="17" t="str">
        <f aca="false">IF($A833="","",($M833+$Q833)-$P833)</f>
        <v/>
      </c>
      <c r="S833" s="18" t="str">
        <f aca="false">IF(OR($A833="",$P833=0),"",$R833/$P833)</f>
        <v/>
      </c>
      <c r="T833" s="23"/>
      <c r="U833" s="14" t="str">
        <f aca="false">IF($A833="","",IF($M833&gt;0,"Live","Exited"))</f>
        <v/>
      </c>
      <c r="V833" s="20" t="str">
        <f aca="false">IF($A833="","",IF($A833='Client Report'!$C$4,COUNTIFS($A$6:$A833,'Client Report'!$C$4),""))</f>
        <v/>
      </c>
    </row>
    <row r="834" customFormat="false" ht="15" hidden="false" customHeight="false" outlineLevel="0" collapsed="false">
      <c r="A834" s="11"/>
      <c r="B834" s="11"/>
      <c r="C834" s="14" t="str">
        <f aca="false">IF($B834="","",IFERROR(TRIM(LEFT($B834,FIND(" - ",$B834)-1)),"Others"))</f>
        <v/>
      </c>
      <c r="D834" s="11"/>
      <c r="E834" s="11"/>
      <c r="F834" s="12"/>
      <c r="G834" s="21"/>
      <c r="H834" s="21"/>
      <c r="I834" s="21"/>
      <c r="J834" s="21"/>
      <c r="K834" s="21"/>
      <c r="L834" s="21"/>
      <c r="M834" s="21"/>
      <c r="N834" s="22"/>
      <c r="O834" s="22"/>
      <c r="P834" s="17" t="str">
        <f aca="false">IF($A834="","",SUM($G834:$I834))</f>
        <v/>
      </c>
      <c r="Q834" s="17" t="str">
        <f aca="false">IF($A834="","",SUM($J834:$L834))</f>
        <v/>
      </c>
      <c r="R834" s="17" t="str">
        <f aca="false">IF($A834="","",($M834+$Q834)-$P834)</f>
        <v/>
      </c>
      <c r="S834" s="18" t="str">
        <f aca="false">IF(OR($A834="",$P834=0),"",$R834/$P834)</f>
        <v/>
      </c>
      <c r="T834" s="23"/>
      <c r="U834" s="14" t="str">
        <f aca="false">IF($A834="","",IF($M834&gt;0,"Live","Exited"))</f>
        <v/>
      </c>
      <c r="V834" s="20" t="str">
        <f aca="false">IF($A834="","",IF($A834='Client Report'!$C$4,COUNTIFS($A$6:$A834,'Client Report'!$C$4),""))</f>
        <v/>
      </c>
    </row>
    <row r="835" customFormat="false" ht="15" hidden="false" customHeight="false" outlineLevel="0" collapsed="false">
      <c r="A835" s="11"/>
      <c r="B835" s="11"/>
      <c r="C835" s="14" t="str">
        <f aca="false">IF($B835="","",IFERROR(TRIM(LEFT($B835,FIND(" - ",$B835)-1)),"Others"))</f>
        <v/>
      </c>
      <c r="D835" s="11"/>
      <c r="E835" s="11"/>
      <c r="F835" s="12"/>
      <c r="G835" s="21"/>
      <c r="H835" s="21"/>
      <c r="I835" s="21"/>
      <c r="J835" s="21"/>
      <c r="K835" s="21"/>
      <c r="L835" s="21"/>
      <c r="M835" s="21"/>
      <c r="N835" s="22"/>
      <c r="O835" s="22"/>
      <c r="P835" s="17" t="str">
        <f aca="false">IF($A835="","",SUM($G835:$I835))</f>
        <v/>
      </c>
      <c r="Q835" s="17" t="str">
        <f aca="false">IF($A835="","",SUM($J835:$L835))</f>
        <v/>
      </c>
      <c r="R835" s="17" t="str">
        <f aca="false">IF($A835="","",($M835+$Q835)-$P835)</f>
        <v/>
      </c>
      <c r="S835" s="18" t="str">
        <f aca="false">IF(OR($A835="",$P835=0),"",$R835/$P835)</f>
        <v/>
      </c>
      <c r="T835" s="23"/>
      <c r="U835" s="14" t="str">
        <f aca="false">IF($A835="","",IF($M835&gt;0,"Live","Exited"))</f>
        <v/>
      </c>
      <c r="V835" s="20" t="str">
        <f aca="false">IF($A835="","",IF($A835='Client Report'!$C$4,COUNTIFS($A$6:$A835,'Client Report'!$C$4),""))</f>
        <v/>
      </c>
    </row>
    <row r="836" customFormat="false" ht="15" hidden="false" customHeight="false" outlineLevel="0" collapsed="false">
      <c r="A836" s="11"/>
      <c r="B836" s="11"/>
      <c r="C836" s="14" t="str">
        <f aca="false">IF($B836="","",IFERROR(TRIM(LEFT($B836,FIND(" - ",$B836)-1)),"Others"))</f>
        <v/>
      </c>
      <c r="D836" s="11"/>
      <c r="E836" s="11"/>
      <c r="F836" s="12"/>
      <c r="G836" s="21"/>
      <c r="H836" s="21"/>
      <c r="I836" s="21"/>
      <c r="J836" s="21"/>
      <c r="K836" s="21"/>
      <c r="L836" s="21"/>
      <c r="M836" s="21"/>
      <c r="N836" s="22"/>
      <c r="O836" s="22"/>
      <c r="P836" s="17" t="str">
        <f aca="false">IF($A836="","",SUM($G836:$I836))</f>
        <v/>
      </c>
      <c r="Q836" s="17" t="str">
        <f aca="false">IF($A836="","",SUM($J836:$L836))</f>
        <v/>
      </c>
      <c r="R836" s="17" t="str">
        <f aca="false">IF($A836="","",($M836+$Q836)-$P836)</f>
        <v/>
      </c>
      <c r="S836" s="18" t="str">
        <f aca="false">IF(OR($A836="",$P836=0),"",$R836/$P836)</f>
        <v/>
      </c>
      <c r="T836" s="23"/>
      <c r="U836" s="14" t="str">
        <f aca="false">IF($A836="","",IF($M836&gt;0,"Live","Exited"))</f>
        <v/>
      </c>
      <c r="V836" s="20" t="str">
        <f aca="false">IF($A836="","",IF($A836='Client Report'!$C$4,COUNTIFS($A$6:$A836,'Client Report'!$C$4),""))</f>
        <v/>
      </c>
    </row>
    <row r="837" customFormat="false" ht="15" hidden="false" customHeight="false" outlineLevel="0" collapsed="false">
      <c r="A837" s="11"/>
      <c r="B837" s="11"/>
      <c r="C837" s="14" t="str">
        <f aca="false">IF($B837="","",IFERROR(TRIM(LEFT($B837,FIND(" - ",$B837)-1)),"Others"))</f>
        <v/>
      </c>
      <c r="D837" s="11"/>
      <c r="E837" s="11"/>
      <c r="F837" s="12"/>
      <c r="G837" s="21"/>
      <c r="H837" s="21"/>
      <c r="I837" s="21"/>
      <c r="J837" s="21"/>
      <c r="K837" s="21"/>
      <c r="L837" s="21"/>
      <c r="M837" s="21"/>
      <c r="N837" s="22"/>
      <c r="O837" s="22"/>
      <c r="P837" s="17" t="str">
        <f aca="false">IF($A837="","",SUM($G837:$I837))</f>
        <v/>
      </c>
      <c r="Q837" s="17" t="str">
        <f aca="false">IF($A837="","",SUM($J837:$L837))</f>
        <v/>
      </c>
      <c r="R837" s="17" t="str">
        <f aca="false">IF($A837="","",($M837+$Q837)-$P837)</f>
        <v/>
      </c>
      <c r="S837" s="18" t="str">
        <f aca="false">IF(OR($A837="",$P837=0),"",$R837/$P837)</f>
        <v/>
      </c>
      <c r="T837" s="23"/>
      <c r="U837" s="14" t="str">
        <f aca="false">IF($A837="","",IF($M837&gt;0,"Live","Exited"))</f>
        <v/>
      </c>
      <c r="V837" s="20" t="str">
        <f aca="false">IF($A837="","",IF($A837='Client Report'!$C$4,COUNTIFS($A$6:$A837,'Client Report'!$C$4),""))</f>
        <v/>
      </c>
    </row>
    <row r="838" customFormat="false" ht="15" hidden="false" customHeight="false" outlineLevel="0" collapsed="false">
      <c r="A838" s="11"/>
      <c r="B838" s="11"/>
      <c r="C838" s="14" t="str">
        <f aca="false">IF($B838="","",IFERROR(TRIM(LEFT($B838,FIND(" - ",$B838)-1)),"Others"))</f>
        <v/>
      </c>
      <c r="D838" s="11"/>
      <c r="E838" s="11"/>
      <c r="F838" s="12"/>
      <c r="G838" s="21"/>
      <c r="H838" s="21"/>
      <c r="I838" s="21"/>
      <c r="J838" s="21"/>
      <c r="K838" s="21"/>
      <c r="L838" s="21"/>
      <c r="M838" s="21"/>
      <c r="N838" s="22"/>
      <c r="O838" s="22"/>
      <c r="P838" s="17" t="str">
        <f aca="false">IF($A838="","",SUM($G838:$I838))</f>
        <v/>
      </c>
      <c r="Q838" s="17" t="str">
        <f aca="false">IF($A838="","",SUM($J838:$L838))</f>
        <v/>
      </c>
      <c r="R838" s="17" t="str">
        <f aca="false">IF($A838="","",($M838+$Q838)-$P838)</f>
        <v/>
      </c>
      <c r="S838" s="18" t="str">
        <f aca="false">IF(OR($A838="",$P838=0),"",$R838/$P838)</f>
        <v/>
      </c>
      <c r="T838" s="23"/>
      <c r="U838" s="14" t="str">
        <f aca="false">IF($A838="","",IF($M838&gt;0,"Live","Exited"))</f>
        <v/>
      </c>
      <c r="V838" s="20" t="str">
        <f aca="false">IF($A838="","",IF($A838='Client Report'!$C$4,COUNTIFS($A$6:$A838,'Client Report'!$C$4),""))</f>
        <v/>
      </c>
    </row>
    <row r="839" customFormat="false" ht="15" hidden="false" customHeight="false" outlineLevel="0" collapsed="false">
      <c r="A839" s="11"/>
      <c r="B839" s="11"/>
      <c r="C839" s="14" t="str">
        <f aca="false">IF($B839="","",IFERROR(TRIM(LEFT($B839,FIND(" - ",$B839)-1)),"Others"))</f>
        <v/>
      </c>
      <c r="D839" s="11"/>
      <c r="E839" s="11"/>
      <c r="F839" s="12"/>
      <c r="G839" s="21"/>
      <c r="H839" s="21"/>
      <c r="I839" s="21"/>
      <c r="J839" s="21"/>
      <c r="K839" s="21"/>
      <c r="L839" s="21"/>
      <c r="M839" s="21"/>
      <c r="N839" s="22"/>
      <c r="O839" s="22"/>
      <c r="P839" s="17" t="str">
        <f aca="false">IF($A839="","",SUM($G839:$I839))</f>
        <v/>
      </c>
      <c r="Q839" s="17" t="str">
        <f aca="false">IF($A839="","",SUM($J839:$L839))</f>
        <v/>
      </c>
      <c r="R839" s="17" t="str">
        <f aca="false">IF($A839="","",($M839+$Q839)-$P839)</f>
        <v/>
      </c>
      <c r="S839" s="18" t="str">
        <f aca="false">IF(OR($A839="",$P839=0),"",$R839/$P839)</f>
        <v/>
      </c>
      <c r="T839" s="23"/>
      <c r="U839" s="14" t="str">
        <f aca="false">IF($A839="","",IF($M839&gt;0,"Live","Exited"))</f>
        <v/>
      </c>
      <c r="V839" s="20" t="str">
        <f aca="false">IF($A839="","",IF($A839='Client Report'!$C$4,COUNTIFS($A$6:$A839,'Client Report'!$C$4),""))</f>
        <v/>
      </c>
    </row>
    <row r="840" customFormat="false" ht="15" hidden="false" customHeight="false" outlineLevel="0" collapsed="false">
      <c r="A840" s="11"/>
      <c r="B840" s="11"/>
      <c r="C840" s="14" t="str">
        <f aca="false">IF($B840="","",IFERROR(TRIM(LEFT($B840,FIND(" - ",$B840)-1)),"Others"))</f>
        <v/>
      </c>
      <c r="D840" s="11"/>
      <c r="E840" s="11"/>
      <c r="F840" s="12"/>
      <c r="G840" s="21"/>
      <c r="H840" s="21"/>
      <c r="I840" s="21"/>
      <c r="J840" s="21"/>
      <c r="K840" s="21"/>
      <c r="L840" s="21"/>
      <c r="M840" s="21"/>
      <c r="N840" s="22"/>
      <c r="O840" s="22"/>
      <c r="P840" s="17" t="str">
        <f aca="false">IF($A840="","",SUM($G840:$I840))</f>
        <v/>
      </c>
      <c r="Q840" s="17" t="str">
        <f aca="false">IF($A840="","",SUM($J840:$L840))</f>
        <v/>
      </c>
      <c r="R840" s="17" t="str">
        <f aca="false">IF($A840="","",($M840+$Q840)-$P840)</f>
        <v/>
      </c>
      <c r="S840" s="18" t="str">
        <f aca="false">IF(OR($A840="",$P840=0),"",$R840/$P840)</f>
        <v/>
      </c>
      <c r="T840" s="23"/>
      <c r="U840" s="14" t="str">
        <f aca="false">IF($A840="","",IF($M840&gt;0,"Live","Exited"))</f>
        <v/>
      </c>
      <c r="V840" s="20" t="str">
        <f aca="false">IF($A840="","",IF($A840='Client Report'!$C$4,COUNTIFS($A$6:$A840,'Client Report'!$C$4),""))</f>
        <v/>
      </c>
    </row>
    <row r="841" customFormat="false" ht="15" hidden="false" customHeight="false" outlineLevel="0" collapsed="false">
      <c r="A841" s="11"/>
      <c r="B841" s="11"/>
      <c r="C841" s="14" t="str">
        <f aca="false">IF($B841="","",IFERROR(TRIM(LEFT($B841,FIND(" - ",$B841)-1)),"Others"))</f>
        <v/>
      </c>
      <c r="D841" s="11"/>
      <c r="E841" s="11"/>
      <c r="F841" s="12"/>
      <c r="G841" s="21"/>
      <c r="H841" s="21"/>
      <c r="I841" s="21"/>
      <c r="J841" s="21"/>
      <c r="K841" s="21"/>
      <c r="L841" s="21"/>
      <c r="M841" s="21"/>
      <c r="N841" s="22"/>
      <c r="O841" s="22"/>
      <c r="P841" s="17" t="str">
        <f aca="false">IF($A841="","",SUM($G841:$I841))</f>
        <v/>
      </c>
      <c r="Q841" s="17" t="str">
        <f aca="false">IF($A841="","",SUM($J841:$L841))</f>
        <v/>
      </c>
      <c r="R841" s="17" t="str">
        <f aca="false">IF($A841="","",($M841+$Q841)-$P841)</f>
        <v/>
      </c>
      <c r="S841" s="18" t="str">
        <f aca="false">IF(OR($A841="",$P841=0),"",$R841/$P841)</f>
        <v/>
      </c>
      <c r="T841" s="23"/>
      <c r="U841" s="14" t="str">
        <f aca="false">IF($A841="","",IF($M841&gt;0,"Live","Exited"))</f>
        <v/>
      </c>
      <c r="V841" s="20" t="str">
        <f aca="false">IF($A841="","",IF($A841='Client Report'!$C$4,COUNTIFS($A$6:$A841,'Client Report'!$C$4),""))</f>
        <v/>
      </c>
    </row>
    <row r="842" customFormat="false" ht="15" hidden="false" customHeight="false" outlineLevel="0" collapsed="false">
      <c r="A842" s="11"/>
      <c r="B842" s="11"/>
      <c r="C842" s="14" t="str">
        <f aca="false">IF($B842="","",IFERROR(TRIM(LEFT($B842,FIND(" - ",$B842)-1)),"Others"))</f>
        <v/>
      </c>
      <c r="D842" s="11"/>
      <c r="E842" s="11"/>
      <c r="F842" s="12"/>
      <c r="G842" s="21"/>
      <c r="H842" s="21"/>
      <c r="I842" s="21"/>
      <c r="J842" s="21"/>
      <c r="K842" s="21"/>
      <c r="L842" s="21"/>
      <c r="M842" s="21"/>
      <c r="N842" s="22"/>
      <c r="O842" s="22"/>
      <c r="P842" s="17" t="str">
        <f aca="false">IF($A842="","",SUM($G842:$I842))</f>
        <v/>
      </c>
      <c r="Q842" s="17" t="str">
        <f aca="false">IF($A842="","",SUM($J842:$L842))</f>
        <v/>
      </c>
      <c r="R842" s="17" t="str">
        <f aca="false">IF($A842="","",($M842+$Q842)-$P842)</f>
        <v/>
      </c>
      <c r="S842" s="18" t="str">
        <f aca="false">IF(OR($A842="",$P842=0),"",$R842/$P842)</f>
        <v/>
      </c>
      <c r="T842" s="23"/>
      <c r="U842" s="14" t="str">
        <f aca="false">IF($A842="","",IF($M842&gt;0,"Live","Exited"))</f>
        <v/>
      </c>
      <c r="V842" s="20" t="str">
        <f aca="false">IF($A842="","",IF($A842='Client Report'!$C$4,COUNTIFS($A$6:$A842,'Client Report'!$C$4),""))</f>
        <v/>
      </c>
    </row>
    <row r="843" customFormat="false" ht="15" hidden="false" customHeight="false" outlineLevel="0" collapsed="false">
      <c r="A843" s="11"/>
      <c r="B843" s="11"/>
      <c r="C843" s="14" t="str">
        <f aca="false">IF($B843="","",IFERROR(TRIM(LEFT($B843,FIND(" - ",$B843)-1)),"Others"))</f>
        <v/>
      </c>
      <c r="D843" s="11"/>
      <c r="E843" s="11"/>
      <c r="F843" s="12"/>
      <c r="G843" s="21"/>
      <c r="H843" s="21"/>
      <c r="I843" s="21"/>
      <c r="J843" s="21"/>
      <c r="K843" s="21"/>
      <c r="L843" s="21"/>
      <c r="M843" s="21"/>
      <c r="N843" s="22"/>
      <c r="O843" s="22"/>
      <c r="P843" s="17" t="str">
        <f aca="false">IF($A843="","",SUM($G843:$I843))</f>
        <v/>
      </c>
      <c r="Q843" s="17" t="str">
        <f aca="false">IF($A843="","",SUM($J843:$L843))</f>
        <v/>
      </c>
      <c r="R843" s="17" t="str">
        <f aca="false">IF($A843="","",($M843+$Q843)-$P843)</f>
        <v/>
      </c>
      <c r="S843" s="18" t="str">
        <f aca="false">IF(OR($A843="",$P843=0),"",$R843/$P843)</f>
        <v/>
      </c>
      <c r="T843" s="23"/>
      <c r="U843" s="14" t="str">
        <f aca="false">IF($A843="","",IF($M843&gt;0,"Live","Exited"))</f>
        <v/>
      </c>
      <c r="V843" s="20" t="str">
        <f aca="false">IF($A843="","",IF($A843='Client Report'!$C$4,COUNTIFS($A$6:$A843,'Client Report'!$C$4),""))</f>
        <v/>
      </c>
    </row>
    <row r="844" customFormat="false" ht="15" hidden="false" customHeight="false" outlineLevel="0" collapsed="false">
      <c r="A844" s="11"/>
      <c r="B844" s="11"/>
      <c r="C844" s="14" t="str">
        <f aca="false">IF($B844="","",IFERROR(TRIM(LEFT($B844,FIND(" - ",$B844)-1)),"Others"))</f>
        <v/>
      </c>
      <c r="D844" s="11"/>
      <c r="E844" s="11"/>
      <c r="F844" s="12"/>
      <c r="G844" s="21"/>
      <c r="H844" s="21"/>
      <c r="I844" s="21"/>
      <c r="J844" s="21"/>
      <c r="K844" s="21"/>
      <c r="L844" s="21"/>
      <c r="M844" s="21"/>
      <c r="N844" s="22"/>
      <c r="O844" s="22"/>
      <c r="P844" s="17" t="str">
        <f aca="false">IF($A844="","",SUM($G844:$I844))</f>
        <v/>
      </c>
      <c r="Q844" s="17" t="str">
        <f aca="false">IF($A844="","",SUM($J844:$L844))</f>
        <v/>
      </c>
      <c r="R844" s="17" t="str">
        <f aca="false">IF($A844="","",($M844+$Q844)-$P844)</f>
        <v/>
      </c>
      <c r="S844" s="18" t="str">
        <f aca="false">IF(OR($A844="",$P844=0),"",$R844/$P844)</f>
        <v/>
      </c>
      <c r="T844" s="23"/>
      <c r="U844" s="14" t="str">
        <f aca="false">IF($A844="","",IF($M844&gt;0,"Live","Exited"))</f>
        <v/>
      </c>
      <c r="V844" s="20" t="str">
        <f aca="false">IF($A844="","",IF($A844='Client Report'!$C$4,COUNTIFS($A$6:$A844,'Client Report'!$C$4),""))</f>
        <v/>
      </c>
    </row>
    <row r="845" customFormat="false" ht="15" hidden="false" customHeight="false" outlineLevel="0" collapsed="false">
      <c r="A845" s="11"/>
      <c r="B845" s="11"/>
      <c r="C845" s="14" t="str">
        <f aca="false">IF($B845="","",IFERROR(TRIM(LEFT($B845,FIND(" - ",$B845)-1)),"Others"))</f>
        <v/>
      </c>
      <c r="D845" s="11"/>
      <c r="E845" s="11"/>
      <c r="F845" s="12"/>
      <c r="G845" s="21"/>
      <c r="H845" s="21"/>
      <c r="I845" s="21"/>
      <c r="J845" s="21"/>
      <c r="K845" s="21"/>
      <c r="L845" s="21"/>
      <c r="M845" s="21"/>
      <c r="N845" s="22"/>
      <c r="O845" s="22"/>
      <c r="P845" s="17" t="str">
        <f aca="false">IF($A845="","",SUM($G845:$I845))</f>
        <v/>
      </c>
      <c r="Q845" s="17" t="str">
        <f aca="false">IF($A845="","",SUM($J845:$L845))</f>
        <v/>
      </c>
      <c r="R845" s="17" t="str">
        <f aca="false">IF($A845="","",($M845+$Q845)-$P845)</f>
        <v/>
      </c>
      <c r="S845" s="18" t="str">
        <f aca="false">IF(OR($A845="",$P845=0),"",$R845/$P845)</f>
        <v/>
      </c>
      <c r="T845" s="23"/>
      <c r="U845" s="14" t="str">
        <f aca="false">IF($A845="","",IF($M845&gt;0,"Live","Exited"))</f>
        <v/>
      </c>
      <c r="V845" s="20" t="str">
        <f aca="false">IF($A845="","",IF($A845='Client Report'!$C$4,COUNTIFS($A$6:$A845,'Client Report'!$C$4),""))</f>
        <v/>
      </c>
    </row>
    <row r="846" customFormat="false" ht="15" hidden="false" customHeight="false" outlineLevel="0" collapsed="false">
      <c r="A846" s="11"/>
      <c r="B846" s="11"/>
      <c r="C846" s="14" t="str">
        <f aca="false">IF($B846="","",IFERROR(TRIM(LEFT($B846,FIND(" - ",$B846)-1)),"Others"))</f>
        <v/>
      </c>
      <c r="D846" s="11"/>
      <c r="E846" s="11"/>
      <c r="F846" s="12"/>
      <c r="G846" s="21"/>
      <c r="H846" s="21"/>
      <c r="I846" s="21"/>
      <c r="J846" s="21"/>
      <c r="K846" s="21"/>
      <c r="L846" s="21"/>
      <c r="M846" s="21"/>
      <c r="N846" s="22"/>
      <c r="O846" s="22"/>
      <c r="P846" s="17" t="str">
        <f aca="false">IF($A846="","",SUM($G846:$I846))</f>
        <v/>
      </c>
      <c r="Q846" s="17" t="str">
        <f aca="false">IF($A846="","",SUM($J846:$L846))</f>
        <v/>
      </c>
      <c r="R846" s="17" t="str">
        <f aca="false">IF($A846="","",($M846+$Q846)-$P846)</f>
        <v/>
      </c>
      <c r="S846" s="18" t="str">
        <f aca="false">IF(OR($A846="",$P846=0),"",$R846/$P846)</f>
        <v/>
      </c>
      <c r="T846" s="23"/>
      <c r="U846" s="14" t="str">
        <f aca="false">IF($A846="","",IF($M846&gt;0,"Live","Exited"))</f>
        <v/>
      </c>
      <c r="V846" s="20" t="str">
        <f aca="false">IF($A846="","",IF($A846='Client Report'!$C$4,COUNTIFS($A$6:$A846,'Client Report'!$C$4),""))</f>
        <v/>
      </c>
    </row>
    <row r="847" customFormat="false" ht="15" hidden="false" customHeight="false" outlineLevel="0" collapsed="false">
      <c r="A847" s="11"/>
      <c r="B847" s="11"/>
      <c r="C847" s="14" t="str">
        <f aca="false">IF($B847="","",IFERROR(TRIM(LEFT($B847,FIND(" - ",$B847)-1)),"Others"))</f>
        <v/>
      </c>
      <c r="D847" s="11"/>
      <c r="E847" s="11"/>
      <c r="F847" s="12"/>
      <c r="G847" s="21"/>
      <c r="H847" s="21"/>
      <c r="I847" s="21"/>
      <c r="J847" s="21"/>
      <c r="K847" s="21"/>
      <c r="L847" s="21"/>
      <c r="M847" s="21"/>
      <c r="N847" s="22"/>
      <c r="O847" s="22"/>
      <c r="P847" s="17" t="str">
        <f aca="false">IF($A847="","",SUM($G847:$I847))</f>
        <v/>
      </c>
      <c r="Q847" s="17" t="str">
        <f aca="false">IF($A847="","",SUM($J847:$L847))</f>
        <v/>
      </c>
      <c r="R847" s="17" t="str">
        <f aca="false">IF($A847="","",($M847+$Q847)-$P847)</f>
        <v/>
      </c>
      <c r="S847" s="18" t="str">
        <f aca="false">IF(OR($A847="",$P847=0),"",$R847/$P847)</f>
        <v/>
      </c>
      <c r="T847" s="23"/>
      <c r="U847" s="14" t="str">
        <f aca="false">IF($A847="","",IF($M847&gt;0,"Live","Exited"))</f>
        <v/>
      </c>
      <c r="V847" s="20" t="str">
        <f aca="false">IF($A847="","",IF($A847='Client Report'!$C$4,COUNTIFS($A$6:$A847,'Client Report'!$C$4),""))</f>
        <v/>
      </c>
    </row>
    <row r="848" customFormat="false" ht="15" hidden="false" customHeight="false" outlineLevel="0" collapsed="false">
      <c r="A848" s="11"/>
      <c r="B848" s="11"/>
      <c r="C848" s="14" t="str">
        <f aca="false">IF($B848="","",IFERROR(TRIM(LEFT($B848,FIND(" - ",$B848)-1)),"Others"))</f>
        <v/>
      </c>
      <c r="D848" s="11"/>
      <c r="E848" s="11"/>
      <c r="F848" s="12"/>
      <c r="G848" s="21"/>
      <c r="H848" s="21"/>
      <c r="I848" s="21"/>
      <c r="J848" s="21"/>
      <c r="K848" s="21"/>
      <c r="L848" s="21"/>
      <c r="M848" s="21"/>
      <c r="N848" s="22"/>
      <c r="O848" s="22"/>
      <c r="P848" s="17" t="str">
        <f aca="false">IF($A848="","",SUM($G848:$I848))</f>
        <v/>
      </c>
      <c r="Q848" s="17" t="str">
        <f aca="false">IF($A848="","",SUM($J848:$L848))</f>
        <v/>
      </c>
      <c r="R848" s="17" t="str">
        <f aca="false">IF($A848="","",($M848+$Q848)-$P848)</f>
        <v/>
      </c>
      <c r="S848" s="18" t="str">
        <f aca="false">IF(OR($A848="",$P848=0),"",$R848/$P848)</f>
        <v/>
      </c>
      <c r="T848" s="23"/>
      <c r="U848" s="14" t="str">
        <f aca="false">IF($A848="","",IF($M848&gt;0,"Live","Exited"))</f>
        <v/>
      </c>
      <c r="V848" s="20" t="str">
        <f aca="false">IF($A848="","",IF($A848='Client Report'!$C$4,COUNTIFS($A$6:$A848,'Client Report'!$C$4),""))</f>
        <v/>
      </c>
    </row>
    <row r="849" customFormat="false" ht="15" hidden="false" customHeight="false" outlineLevel="0" collapsed="false">
      <c r="A849" s="11"/>
      <c r="B849" s="11"/>
      <c r="C849" s="14" t="str">
        <f aca="false">IF($B849="","",IFERROR(TRIM(LEFT($B849,FIND(" - ",$B849)-1)),"Others"))</f>
        <v/>
      </c>
      <c r="D849" s="11"/>
      <c r="E849" s="11"/>
      <c r="F849" s="12"/>
      <c r="G849" s="21"/>
      <c r="H849" s="21"/>
      <c r="I849" s="21"/>
      <c r="J849" s="21"/>
      <c r="K849" s="21"/>
      <c r="L849" s="21"/>
      <c r="M849" s="21"/>
      <c r="N849" s="22"/>
      <c r="O849" s="22"/>
      <c r="P849" s="17" t="str">
        <f aca="false">IF($A849="","",SUM($G849:$I849))</f>
        <v/>
      </c>
      <c r="Q849" s="17" t="str">
        <f aca="false">IF($A849="","",SUM($J849:$L849))</f>
        <v/>
      </c>
      <c r="R849" s="17" t="str">
        <f aca="false">IF($A849="","",($M849+$Q849)-$P849)</f>
        <v/>
      </c>
      <c r="S849" s="18" t="str">
        <f aca="false">IF(OR($A849="",$P849=0),"",$R849/$P849)</f>
        <v/>
      </c>
      <c r="T849" s="23"/>
      <c r="U849" s="14" t="str">
        <f aca="false">IF($A849="","",IF($M849&gt;0,"Live","Exited"))</f>
        <v/>
      </c>
      <c r="V849" s="20" t="str">
        <f aca="false">IF($A849="","",IF($A849='Client Report'!$C$4,COUNTIFS($A$6:$A849,'Client Report'!$C$4),""))</f>
        <v/>
      </c>
    </row>
    <row r="850" customFormat="false" ht="15" hidden="false" customHeight="false" outlineLevel="0" collapsed="false">
      <c r="A850" s="11"/>
      <c r="B850" s="11"/>
      <c r="C850" s="14" t="str">
        <f aca="false">IF($B850="","",IFERROR(TRIM(LEFT($B850,FIND(" - ",$B850)-1)),"Others"))</f>
        <v/>
      </c>
      <c r="D850" s="11"/>
      <c r="E850" s="11"/>
      <c r="F850" s="12"/>
      <c r="G850" s="21"/>
      <c r="H850" s="21"/>
      <c r="I850" s="21"/>
      <c r="J850" s="21"/>
      <c r="K850" s="21"/>
      <c r="L850" s="21"/>
      <c r="M850" s="21"/>
      <c r="N850" s="22"/>
      <c r="O850" s="22"/>
      <c r="P850" s="17" t="str">
        <f aca="false">IF($A850="","",SUM($G850:$I850))</f>
        <v/>
      </c>
      <c r="Q850" s="17" t="str">
        <f aca="false">IF($A850="","",SUM($J850:$L850))</f>
        <v/>
      </c>
      <c r="R850" s="17" t="str">
        <f aca="false">IF($A850="","",($M850+$Q850)-$P850)</f>
        <v/>
      </c>
      <c r="S850" s="18" t="str">
        <f aca="false">IF(OR($A850="",$P850=0),"",$R850/$P850)</f>
        <v/>
      </c>
      <c r="T850" s="23"/>
      <c r="U850" s="14" t="str">
        <f aca="false">IF($A850="","",IF($M850&gt;0,"Live","Exited"))</f>
        <v/>
      </c>
      <c r="V850" s="20" t="str">
        <f aca="false">IF($A850="","",IF($A850='Client Report'!$C$4,COUNTIFS($A$6:$A850,'Client Report'!$C$4),""))</f>
        <v/>
      </c>
    </row>
    <row r="851" customFormat="false" ht="15" hidden="false" customHeight="false" outlineLevel="0" collapsed="false">
      <c r="A851" s="11"/>
      <c r="B851" s="11"/>
      <c r="C851" s="14" t="str">
        <f aca="false">IF($B851="","",IFERROR(TRIM(LEFT($B851,FIND(" - ",$B851)-1)),"Others"))</f>
        <v/>
      </c>
      <c r="D851" s="11"/>
      <c r="E851" s="11"/>
      <c r="F851" s="12"/>
      <c r="G851" s="21"/>
      <c r="H851" s="21"/>
      <c r="I851" s="21"/>
      <c r="J851" s="21"/>
      <c r="K851" s="21"/>
      <c r="L851" s="21"/>
      <c r="M851" s="21"/>
      <c r="N851" s="22"/>
      <c r="O851" s="22"/>
      <c r="P851" s="17" t="str">
        <f aca="false">IF($A851="","",SUM($G851:$I851))</f>
        <v/>
      </c>
      <c r="Q851" s="17" t="str">
        <f aca="false">IF($A851="","",SUM($J851:$L851))</f>
        <v/>
      </c>
      <c r="R851" s="17" t="str">
        <f aca="false">IF($A851="","",($M851+$Q851)-$P851)</f>
        <v/>
      </c>
      <c r="S851" s="18" t="str">
        <f aca="false">IF(OR($A851="",$P851=0),"",$R851/$P851)</f>
        <v/>
      </c>
      <c r="T851" s="23"/>
      <c r="U851" s="14" t="str">
        <f aca="false">IF($A851="","",IF($M851&gt;0,"Live","Exited"))</f>
        <v/>
      </c>
      <c r="V851" s="20" t="str">
        <f aca="false">IF($A851="","",IF($A851='Client Report'!$C$4,COUNTIFS($A$6:$A851,'Client Report'!$C$4),""))</f>
        <v/>
      </c>
    </row>
    <row r="852" customFormat="false" ht="15" hidden="false" customHeight="false" outlineLevel="0" collapsed="false">
      <c r="A852" s="11"/>
      <c r="B852" s="11"/>
      <c r="C852" s="14" t="str">
        <f aca="false">IF($B852="","",IFERROR(TRIM(LEFT($B852,FIND(" - ",$B852)-1)),"Others"))</f>
        <v/>
      </c>
      <c r="D852" s="11"/>
      <c r="E852" s="11"/>
      <c r="F852" s="12"/>
      <c r="G852" s="21"/>
      <c r="H852" s="21"/>
      <c r="I852" s="21"/>
      <c r="J852" s="21"/>
      <c r="K852" s="21"/>
      <c r="L852" s="21"/>
      <c r="M852" s="21"/>
      <c r="N852" s="22"/>
      <c r="O852" s="22"/>
      <c r="P852" s="17" t="str">
        <f aca="false">IF($A852="","",SUM($G852:$I852))</f>
        <v/>
      </c>
      <c r="Q852" s="17" t="str">
        <f aca="false">IF($A852="","",SUM($J852:$L852))</f>
        <v/>
      </c>
      <c r="R852" s="17" t="str">
        <f aca="false">IF($A852="","",($M852+$Q852)-$P852)</f>
        <v/>
      </c>
      <c r="S852" s="18" t="str">
        <f aca="false">IF(OR($A852="",$P852=0),"",$R852/$P852)</f>
        <v/>
      </c>
      <c r="T852" s="23"/>
      <c r="U852" s="14" t="str">
        <f aca="false">IF($A852="","",IF($M852&gt;0,"Live","Exited"))</f>
        <v/>
      </c>
      <c r="V852" s="20" t="str">
        <f aca="false">IF($A852="","",IF($A852='Client Report'!$C$4,COUNTIFS($A$6:$A852,'Client Report'!$C$4),""))</f>
        <v/>
      </c>
    </row>
    <row r="853" customFormat="false" ht="15" hidden="false" customHeight="false" outlineLevel="0" collapsed="false">
      <c r="A853" s="11"/>
      <c r="B853" s="11"/>
      <c r="C853" s="14" t="str">
        <f aca="false">IF($B853="","",IFERROR(TRIM(LEFT($B853,FIND(" - ",$B853)-1)),"Others"))</f>
        <v/>
      </c>
      <c r="D853" s="11"/>
      <c r="E853" s="11"/>
      <c r="F853" s="12"/>
      <c r="G853" s="21"/>
      <c r="H853" s="21"/>
      <c r="I853" s="21"/>
      <c r="J853" s="21"/>
      <c r="K853" s="21"/>
      <c r="L853" s="21"/>
      <c r="M853" s="21"/>
      <c r="N853" s="22"/>
      <c r="O853" s="22"/>
      <c r="P853" s="17" t="str">
        <f aca="false">IF($A853="","",SUM($G853:$I853))</f>
        <v/>
      </c>
      <c r="Q853" s="17" t="str">
        <f aca="false">IF($A853="","",SUM($J853:$L853))</f>
        <v/>
      </c>
      <c r="R853" s="17" t="str">
        <f aca="false">IF($A853="","",($M853+$Q853)-$P853)</f>
        <v/>
      </c>
      <c r="S853" s="18" t="str">
        <f aca="false">IF(OR($A853="",$P853=0),"",$R853/$P853)</f>
        <v/>
      </c>
      <c r="T853" s="23"/>
      <c r="U853" s="14" t="str">
        <f aca="false">IF($A853="","",IF($M853&gt;0,"Live","Exited"))</f>
        <v/>
      </c>
      <c r="V853" s="20" t="str">
        <f aca="false">IF($A853="","",IF($A853='Client Report'!$C$4,COUNTIFS($A$6:$A853,'Client Report'!$C$4),""))</f>
        <v/>
      </c>
    </row>
    <row r="854" customFormat="false" ht="15" hidden="false" customHeight="false" outlineLevel="0" collapsed="false">
      <c r="A854" s="11"/>
      <c r="B854" s="11"/>
      <c r="C854" s="14" t="str">
        <f aca="false">IF($B854="","",IFERROR(TRIM(LEFT($B854,FIND(" - ",$B854)-1)),"Others"))</f>
        <v/>
      </c>
      <c r="D854" s="11"/>
      <c r="E854" s="11"/>
      <c r="F854" s="12"/>
      <c r="G854" s="21"/>
      <c r="H854" s="21"/>
      <c r="I854" s="21"/>
      <c r="J854" s="21"/>
      <c r="K854" s="21"/>
      <c r="L854" s="21"/>
      <c r="M854" s="21"/>
      <c r="N854" s="22"/>
      <c r="O854" s="22"/>
      <c r="P854" s="17" t="str">
        <f aca="false">IF($A854="","",SUM($G854:$I854))</f>
        <v/>
      </c>
      <c r="Q854" s="17" t="str">
        <f aca="false">IF($A854="","",SUM($J854:$L854))</f>
        <v/>
      </c>
      <c r="R854" s="17" t="str">
        <f aca="false">IF($A854="","",($M854+$Q854)-$P854)</f>
        <v/>
      </c>
      <c r="S854" s="18" t="str">
        <f aca="false">IF(OR($A854="",$P854=0),"",$R854/$P854)</f>
        <v/>
      </c>
      <c r="T854" s="23"/>
      <c r="U854" s="14" t="str">
        <f aca="false">IF($A854="","",IF($M854&gt;0,"Live","Exited"))</f>
        <v/>
      </c>
      <c r="V854" s="20" t="str">
        <f aca="false">IF($A854="","",IF($A854='Client Report'!$C$4,COUNTIFS($A$6:$A854,'Client Report'!$C$4),""))</f>
        <v/>
      </c>
    </row>
    <row r="855" customFormat="false" ht="15" hidden="false" customHeight="false" outlineLevel="0" collapsed="false">
      <c r="A855" s="11"/>
      <c r="B855" s="11"/>
      <c r="C855" s="14" t="str">
        <f aca="false">IF($B855="","",IFERROR(TRIM(LEFT($B855,FIND(" - ",$B855)-1)),"Others"))</f>
        <v/>
      </c>
      <c r="D855" s="11"/>
      <c r="E855" s="11"/>
      <c r="F855" s="12"/>
      <c r="G855" s="21"/>
      <c r="H855" s="21"/>
      <c r="I855" s="21"/>
      <c r="J855" s="21"/>
      <c r="K855" s="21"/>
      <c r="L855" s="21"/>
      <c r="M855" s="21"/>
      <c r="N855" s="22"/>
      <c r="O855" s="22"/>
      <c r="P855" s="17" t="str">
        <f aca="false">IF($A855="","",SUM($G855:$I855))</f>
        <v/>
      </c>
      <c r="Q855" s="17" t="str">
        <f aca="false">IF($A855="","",SUM($J855:$L855))</f>
        <v/>
      </c>
      <c r="R855" s="17" t="str">
        <f aca="false">IF($A855="","",($M855+$Q855)-$P855)</f>
        <v/>
      </c>
      <c r="S855" s="18" t="str">
        <f aca="false">IF(OR($A855="",$P855=0),"",$R855/$P855)</f>
        <v/>
      </c>
      <c r="T855" s="23"/>
      <c r="U855" s="14" t="str">
        <f aca="false">IF($A855="","",IF($M855&gt;0,"Live","Exited"))</f>
        <v/>
      </c>
      <c r="V855" s="20" t="str">
        <f aca="false">IF($A855="","",IF($A855='Client Report'!$C$4,COUNTIFS($A$6:$A855,'Client Report'!$C$4),""))</f>
        <v/>
      </c>
    </row>
    <row r="856" customFormat="false" ht="15" hidden="false" customHeight="false" outlineLevel="0" collapsed="false">
      <c r="A856" s="11"/>
      <c r="B856" s="11"/>
      <c r="C856" s="14" t="str">
        <f aca="false">IF($B856="","",IFERROR(TRIM(LEFT($B856,FIND(" - ",$B856)-1)),"Others"))</f>
        <v/>
      </c>
      <c r="D856" s="11"/>
      <c r="E856" s="11"/>
      <c r="F856" s="12"/>
      <c r="G856" s="21"/>
      <c r="H856" s="21"/>
      <c r="I856" s="21"/>
      <c r="J856" s="21"/>
      <c r="K856" s="21"/>
      <c r="L856" s="21"/>
      <c r="M856" s="21"/>
      <c r="N856" s="22"/>
      <c r="O856" s="22"/>
      <c r="P856" s="17" t="str">
        <f aca="false">IF($A856="","",SUM($G856:$I856))</f>
        <v/>
      </c>
      <c r="Q856" s="17" t="str">
        <f aca="false">IF($A856="","",SUM($J856:$L856))</f>
        <v/>
      </c>
      <c r="R856" s="17" t="str">
        <f aca="false">IF($A856="","",($M856+$Q856)-$P856)</f>
        <v/>
      </c>
      <c r="S856" s="18" t="str">
        <f aca="false">IF(OR($A856="",$P856=0),"",$R856/$P856)</f>
        <v/>
      </c>
      <c r="T856" s="23"/>
      <c r="U856" s="14" t="str">
        <f aca="false">IF($A856="","",IF($M856&gt;0,"Live","Exited"))</f>
        <v/>
      </c>
      <c r="V856" s="20" t="str">
        <f aca="false">IF($A856="","",IF($A856='Client Report'!$C$4,COUNTIFS($A$6:$A856,'Client Report'!$C$4),""))</f>
        <v/>
      </c>
    </row>
    <row r="857" customFormat="false" ht="15" hidden="false" customHeight="false" outlineLevel="0" collapsed="false">
      <c r="A857" s="11"/>
      <c r="B857" s="11"/>
      <c r="C857" s="14" t="str">
        <f aca="false">IF($B857="","",IFERROR(TRIM(LEFT($B857,FIND(" - ",$B857)-1)),"Others"))</f>
        <v/>
      </c>
      <c r="D857" s="11"/>
      <c r="E857" s="11"/>
      <c r="F857" s="12"/>
      <c r="G857" s="21"/>
      <c r="H857" s="21"/>
      <c r="I857" s="21"/>
      <c r="J857" s="21"/>
      <c r="K857" s="21"/>
      <c r="L857" s="21"/>
      <c r="M857" s="21"/>
      <c r="N857" s="22"/>
      <c r="O857" s="22"/>
      <c r="P857" s="17" t="str">
        <f aca="false">IF($A857="","",SUM($G857:$I857))</f>
        <v/>
      </c>
      <c r="Q857" s="17" t="str">
        <f aca="false">IF($A857="","",SUM($J857:$L857))</f>
        <v/>
      </c>
      <c r="R857" s="17" t="str">
        <f aca="false">IF($A857="","",($M857+$Q857)-$P857)</f>
        <v/>
      </c>
      <c r="S857" s="18" t="str">
        <f aca="false">IF(OR($A857="",$P857=0),"",$R857/$P857)</f>
        <v/>
      </c>
      <c r="T857" s="23"/>
      <c r="U857" s="14" t="str">
        <f aca="false">IF($A857="","",IF($M857&gt;0,"Live","Exited"))</f>
        <v/>
      </c>
      <c r="V857" s="20" t="str">
        <f aca="false">IF($A857="","",IF($A857='Client Report'!$C$4,COUNTIFS($A$6:$A857,'Client Report'!$C$4),""))</f>
        <v/>
      </c>
    </row>
    <row r="858" customFormat="false" ht="15" hidden="false" customHeight="false" outlineLevel="0" collapsed="false">
      <c r="A858" s="11"/>
      <c r="B858" s="11"/>
      <c r="C858" s="14" t="str">
        <f aca="false">IF($B858="","",IFERROR(TRIM(LEFT($B858,FIND(" - ",$B858)-1)),"Others"))</f>
        <v/>
      </c>
      <c r="D858" s="11"/>
      <c r="E858" s="11"/>
      <c r="F858" s="12"/>
      <c r="G858" s="21"/>
      <c r="H858" s="21"/>
      <c r="I858" s="21"/>
      <c r="J858" s="21"/>
      <c r="K858" s="21"/>
      <c r="L858" s="21"/>
      <c r="M858" s="21"/>
      <c r="N858" s="22"/>
      <c r="O858" s="22"/>
      <c r="P858" s="17" t="str">
        <f aca="false">IF($A858="","",SUM($G858:$I858))</f>
        <v/>
      </c>
      <c r="Q858" s="17" t="str">
        <f aca="false">IF($A858="","",SUM($J858:$L858))</f>
        <v/>
      </c>
      <c r="R858" s="17" t="str">
        <f aca="false">IF($A858="","",($M858+$Q858)-$P858)</f>
        <v/>
      </c>
      <c r="S858" s="18" t="str">
        <f aca="false">IF(OR($A858="",$P858=0),"",$R858/$P858)</f>
        <v/>
      </c>
      <c r="T858" s="23"/>
      <c r="U858" s="14" t="str">
        <f aca="false">IF($A858="","",IF($M858&gt;0,"Live","Exited"))</f>
        <v/>
      </c>
      <c r="V858" s="20" t="str">
        <f aca="false">IF($A858="","",IF($A858='Client Report'!$C$4,COUNTIFS($A$6:$A858,'Client Report'!$C$4),""))</f>
        <v/>
      </c>
    </row>
    <row r="859" customFormat="false" ht="15" hidden="false" customHeight="false" outlineLevel="0" collapsed="false">
      <c r="A859" s="11"/>
      <c r="B859" s="11"/>
      <c r="C859" s="14" t="str">
        <f aca="false">IF($B859="","",IFERROR(TRIM(LEFT($B859,FIND(" - ",$B859)-1)),"Others"))</f>
        <v/>
      </c>
      <c r="D859" s="11"/>
      <c r="E859" s="11"/>
      <c r="F859" s="12"/>
      <c r="G859" s="21"/>
      <c r="H859" s="21"/>
      <c r="I859" s="21"/>
      <c r="J859" s="21"/>
      <c r="K859" s="21"/>
      <c r="L859" s="21"/>
      <c r="M859" s="21"/>
      <c r="N859" s="22"/>
      <c r="O859" s="22"/>
      <c r="P859" s="17" t="str">
        <f aca="false">IF($A859="","",SUM($G859:$I859))</f>
        <v/>
      </c>
      <c r="Q859" s="17" t="str">
        <f aca="false">IF($A859="","",SUM($J859:$L859))</f>
        <v/>
      </c>
      <c r="R859" s="17" t="str">
        <f aca="false">IF($A859="","",($M859+$Q859)-$P859)</f>
        <v/>
      </c>
      <c r="S859" s="18" t="str">
        <f aca="false">IF(OR($A859="",$P859=0),"",$R859/$P859)</f>
        <v/>
      </c>
      <c r="T859" s="23"/>
      <c r="U859" s="14" t="str">
        <f aca="false">IF($A859="","",IF($M859&gt;0,"Live","Exited"))</f>
        <v/>
      </c>
      <c r="V859" s="20" t="str">
        <f aca="false">IF($A859="","",IF($A859='Client Report'!$C$4,COUNTIFS($A$6:$A859,'Client Report'!$C$4),""))</f>
        <v/>
      </c>
    </row>
    <row r="860" customFormat="false" ht="15" hidden="false" customHeight="false" outlineLevel="0" collapsed="false">
      <c r="A860" s="11"/>
      <c r="B860" s="11"/>
      <c r="C860" s="14" t="str">
        <f aca="false">IF($B860="","",IFERROR(TRIM(LEFT($B860,FIND(" - ",$B860)-1)),"Others"))</f>
        <v/>
      </c>
      <c r="D860" s="11"/>
      <c r="E860" s="11"/>
      <c r="F860" s="12"/>
      <c r="G860" s="21"/>
      <c r="H860" s="21"/>
      <c r="I860" s="21"/>
      <c r="J860" s="21"/>
      <c r="K860" s="21"/>
      <c r="L860" s="21"/>
      <c r="M860" s="21"/>
      <c r="N860" s="22"/>
      <c r="O860" s="22"/>
      <c r="P860" s="17" t="str">
        <f aca="false">IF($A860="","",SUM($G860:$I860))</f>
        <v/>
      </c>
      <c r="Q860" s="17" t="str">
        <f aca="false">IF($A860="","",SUM($J860:$L860))</f>
        <v/>
      </c>
      <c r="R860" s="17" t="str">
        <f aca="false">IF($A860="","",($M860+$Q860)-$P860)</f>
        <v/>
      </c>
      <c r="S860" s="18" t="str">
        <f aca="false">IF(OR($A860="",$P860=0),"",$R860/$P860)</f>
        <v/>
      </c>
      <c r="T860" s="23"/>
      <c r="U860" s="14" t="str">
        <f aca="false">IF($A860="","",IF($M860&gt;0,"Live","Exited"))</f>
        <v/>
      </c>
      <c r="V860" s="20" t="str">
        <f aca="false">IF($A860="","",IF($A860='Client Report'!$C$4,COUNTIFS($A$6:$A860,'Client Report'!$C$4),""))</f>
        <v/>
      </c>
    </row>
    <row r="861" customFormat="false" ht="15" hidden="false" customHeight="false" outlineLevel="0" collapsed="false">
      <c r="A861" s="11"/>
      <c r="B861" s="11"/>
      <c r="C861" s="14" t="str">
        <f aca="false">IF($B861="","",IFERROR(TRIM(LEFT($B861,FIND(" - ",$B861)-1)),"Others"))</f>
        <v/>
      </c>
      <c r="D861" s="11"/>
      <c r="E861" s="11"/>
      <c r="F861" s="12"/>
      <c r="G861" s="21"/>
      <c r="H861" s="21"/>
      <c r="I861" s="21"/>
      <c r="J861" s="21"/>
      <c r="K861" s="21"/>
      <c r="L861" s="21"/>
      <c r="M861" s="21"/>
      <c r="N861" s="22"/>
      <c r="O861" s="22"/>
      <c r="P861" s="17" t="str">
        <f aca="false">IF($A861="","",SUM($G861:$I861))</f>
        <v/>
      </c>
      <c r="Q861" s="17" t="str">
        <f aca="false">IF($A861="","",SUM($J861:$L861))</f>
        <v/>
      </c>
      <c r="R861" s="17" t="str">
        <f aca="false">IF($A861="","",($M861+$Q861)-$P861)</f>
        <v/>
      </c>
      <c r="S861" s="18" t="str">
        <f aca="false">IF(OR($A861="",$P861=0),"",$R861/$P861)</f>
        <v/>
      </c>
      <c r="T861" s="23"/>
      <c r="U861" s="14" t="str">
        <f aca="false">IF($A861="","",IF($M861&gt;0,"Live","Exited"))</f>
        <v/>
      </c>
      <c r="V861" s="20" t="str">
        <f aca="false">IF($A861="","",IF($A861='Client Report'!$C$4,COUNTIFS($A$6:$A861,'Client Report'!$C$4),""))</f>
        <v/>
      </c>
    </row>
    <row r="862" customFormat="false" ht="15" hidden="false" customHeight="false" outlineLevel="0" collapsed="false">
      <c r="A862" s="11"/>
      <c r="B862" s="11"/>
      <c r="C862" s="14" t="str">
        <f aca="false">IF($B862="","",IFERROR(TRIM(LEFT($B862,FIND(" - ",$B862)-1)),"Others"))</f>
        <v/>
      </c>
      <c r="D862" s="11"/>
      <c r="E862" s="11"/>
      <c r="F862" s="12"/>
      <c r="G862" s="21"/>
      <c r="H862" s="21"/>
      <c r="I862" s="21"/>
      <c r="J862" s="21"/>
      <c r="K862" s="21"/>
      <c r="L862" s="21"/>
      <c r="M862" s="21"/>
      <c r="N862" s="22"/>
      <c r="O862" s="22"/>
      <c r="P862" s="17" t="str">
        <f aca="false">IF($A862="","",SUM($G862:$I862))</f>
        <v/>
      </c>
      <c r="Q862" s="17" t="str">
        <f aca="false">IF($A862="","",SUM($J862:$L862))</f>
        <v/>
      </c>
      <c r="R862" s="17" t="str">
        <f aca="false">IF($A862="","",($M862+$Q862)-$P862)</f>
        <v/>
      </c>
      <c r="S862" s="18" t="str">
        <f aca="false">IF(OR($A862="",$P862=0),"",$R862/$P862)</f>
        <v/>
      </c>
      <c r="T862" s="23"/>
      <c r="U862" s="14" t="str">
        <f aca="false">IF($A862="","",IF($M862&gt;0,"Live","Exited"))</f>
        <v/>
      </c>
      <c r="V862" s="20" t="str">
        <f aca="false">IF($A862="","",IF($A862='Client Report'!$C$4,COUNTIFS($A$6:$A862,'Client Report'!$C$4),""))</f>
        <v/>
      </c>
    </row>
    <row r="863" customFormat="false" ht="15" hidden="false" customHeight="false" outlineLevel="0" collapsed="false">
      <c r="A863" s="11"/>
      <c r="B863" s="11"/>
      <c r="C863" s="14" t="str">
        <f aca="false">IF($B863="","",IFERROR(TRIM(LEFT($B863,FIND(" - ",$B863)-1)),"Others"))</f>
        <v/>
      </c>
      <c r="D863" s="11"/>
      <c r="E863" s="11"/>
      <c r="F863" s="12"/>
      <c r="G863" s="21"/>
      <c r="H863" s="21"/>
      <c r="I863" s="21"/>
      <c r="J863" s="21"/>
      <c r="K863" s="21"/>
      <c r="L863" s="21"/>
      <c r="M863" s="21"/>
      <c r="N863" s="22"/>
      <c r="O863" s="22"/>
      <c r="P863" s="17" t="str">
        <f aca="false">IF($A863="","",SUM($G863:$I863))</f>
        <v/>
      </c>
      <c r="Q863" s="17" t="str">
        <f aca="false">IF($A863="","",SUM($J863:$L863))</f>
        <v/>
      </c>
      <c r="R863" s="17" t="str">
        <f aca="false">IF($A863="","",($M863+$Q863)-$P863)</f>
        <v/>
      </c>
      <c r="S863" s="18" t="str">
        <f aca="false">IF(OR($A863="",$P863=0),"",$R863/$P863)</f>
        <v/>
      </c>
      <c r="T863" s="23"/>
      <c r="U863" s="14" t="str">
        <f aca="false">IF($A863="","",IF($M863&gt;0,"Live","Exited"))</f>
        <v/>
      </c>
      <c r="V863" s="20" t="str">
        <f aca="false">IF($A863="","",IF($A863='Client Report'!$C$4,COUNTIFS($A$6:$A863,'Client Report'!$C$4),""))</f>
        <v/>
      </c>
    </row>
    <row r="864" customFormat="false" ht="15" hidden="false" customHeight="false" outlineLevel="0" collapsed="false">
      <c r="A864" s="11"/>
      <c r="B864" s="11"/>
      <c r="C864" s="14" t="str">
        <f aca="false">IF($B864="","",IFERROR(TRIM(LEFT($B864,FIND(" - ",$B864)-1)),"Others"))</f>
        <v/>
      </c>
      <c r="D864" s="11"/>
      <c r="E864" s="11"/>
      <c r="F864" s="12"/>
      <c r="G864" s="21"/>
      <c r="H864" s="21"/>
      <c r="I864" s="21"/>
      <c r="J864" s="21"/>
      <c r="K864" s="21"/>
      <c r="L864" s="21"/>
      <c r="M864" s="21"/>
      <c r="N864" s="22"/>
      <c r="O864" s="22"/>
      <c r="P864" s="17" t="str">
        <f aca="false">IF($A864="","",SUM($G864:$I864))</f>
        <v/>
      </c>
      <c r="Q864" s="17" t="str">
        <f aca="false">IF($A864="","",SUM($J864:$L864))</f>
        <v/>
      </c>
      <c r="R864" s="17" t="str">
        <f aca="false">IF($A864="","",($M864+$Q864)-$P864)</f>
        <v/>
      </c>
      <c r="S864" s="18" t="str">
        <f aca="false">IF(OR($A864="",$P864=0),"",$R864/$P864)</f>
        <v/>
      </c>
      <c r="T864" s="23"/>
      <c r="U864" s="14" t="str">
        <f aca="false">IF($A864="","",IF($M864&gt;0,"Live","Exited"))</f>
        <v/>
      </c>
      <c r="V864" s="20" t="str">
        <f aca="false">IF($A864="","",IF($A864='Client Report'!$C$4,COUNTIFS($A$6:$A864,'Client Report'!$C$4),""))</f>
        <v/>
      </c>
    </row>
    <row r="865" customFormat="false" ht="15" hidden="false" customHeight="false" outlineLevel="0" collapsed="false">
      <c r="A865" s="11"/>
      <c r="B865" s="11"/>
      <c r="C865" s="14" t="str">
        <f aca="false">IF($B865="","",IFERROR(TRIM(LEFT($B865,FIND(" - ",$B865)-1)),"Others"))</f>
        <v/>
      </c>
      <c r="D865" s="11"/>
      <c r="E865" s="11"/>
      <c r="F865" s="12"/>
      <c r="G865" s="21"/>
      <c r="H865" s="21"/>
      <c r="I865" s="21"/>
      <c r="J865" s="21"/>
      <c r="K865" s="21"/>
      <c r="L865" s="21"/>
      <c r="M865" s="21"/>
      <c r="N865" s="22"/>
      <c r="O865" s="22"/>
      <c r="P865" s="17" t="str">
        <f aca="false">IF($A865="","",SUM($G865:$I865))</f>
        <v/>
      </c>
      <c r="Q865" s="17" t="str">
        <f aca="false">IF($A865="","",SUM($J865:$L865))</f>
        <v/>
      </c>
      <c r="R865" s="17" t="str">
        <f aca="false">IF($A865="","",($M865+$Q865)-$P865)</f>
        <v/>
      </c>
      <c r="S865" s="18" t="str">
        <f aca="false">IF(OR($A865="",$P865=0),"",$R865/$P865)</f>
        <v/>
      </c>
      <c r="T865" s="23"/>
      <c r="U865" s="14" t="str">
        <f aca="false">IF($A865="","",IF($M865&gt;0,"Live","Exited"))</f>
        <v/>
      </c>
      <c r="V865" s="20" t="str">
        <f aca="false">IF($A865="","",IF($A865='Client Report'!$C$4,COUNTIFS($A$6:$A865,'Client Report'!$C$4),""))</f>
        <v/>
      </c>
    </row>
    <row r="866" customFormat="false" ht="15" hidden="false" customHeight="false" outlineLevel="0" collapsed="false">
      <c r="A866" s="11"/>
      <c r="B866" s="11"/>
      <c r="C866" s="14" t="str">
        <f aca="false">IF($B866="","",IFERROR(TRIM(LEFT($B866,FIND(" - ",$B866)-1)),"Others"))</f>
        <v/>
      </c>
      <c r="D866" s="11"/>
      <c r="E866" s="11"/>
      <c r="F866" s="12"/>
      <c r="G866" s="21"/>
      <c r="H866" s="21"/>
      <c r="I866" s="21"/>
      <c r="J866" s="21"/>
      <c r="K866" s="21"/>
      <c r="L866" s="21"/>
      <c r="M866" s="21"/>
      <c r="N866" s="22"/>
      <c r="O866" s="22"/>
      <c r="P866" s="17" t="str">
        <f aca="false">IF($A866="","",SUM($G866:$I866))</f>
        <v/>
      </c>
      <c r="Q866" s="17" t="str">
        <f aca="false">IF($A866="","",SUM($J866:$L866))</f>
        <v/>
      </c>
      <c r="R866" s="17" t="str">
        <f aca="false">IF($A866="","",($M866+$Q866)-$P866)</f>
        <v/>
      </c>
      <c r="S866" s="18" t="str">
        <f aca="false">IF(OR($A866="",$P866=0),"",$R866/$P866)</f>
        <v/>
      </c>
      <c r="T866" s="23"/>
      <c r="U866" s="14" t="str">
        <f aca="false">IF($A866="","",IF($M866&gt;0,"Live","Exited"))</f>
        <v/>
      </c>
      <c r="V866" s="20" t="str">
        <f aca="false">IF($A866="","",IF($A866='Client Report'!$C$4,COUNTIFS($A$6:$A866,'Client Report'!$C$4),""))</f>
        <v/>
      </c>
    </row>
    <row r="867" customFormat="false" ht="15" hidden="false" customHeight="false" outlineLevel="0" collapsed="false">
      <c r="A867" s="11"/>
      <c r="B867" s="11"/>
      <c r="C867" s="14" t="str">
        <f aca="false">IF($B867="","",IFERROR(TRIM(LEFT($B867,FIND(" - ",$B867)-1)),"Others"))</f>
        <v/>
      </c>
      <c r="D867" s="11"/>
      <c r="E867" s="11"/>
      <c r="F867" s="12"/>
      <c r="G867" s="21"/>
      <c r="H867" s="21"/>
      <c r="I867" s="21"/>
      <c r="J867" s="21"/>
      <c r="K867" s="21"/>
      <c r="L867" s="21"/>
      <c r="M867" s="21"/>
      <c r="N867" s="22"/>
      <c r="O867" s="22"/>
      <c r="P867" s="17" t="str">
        <f aca="false">IF($A867="","",SUM($G867:$I867))</f>
        <v/>
      </c>
      <c r="Q867" s="17" t="str">
        <f aca="false">IF($A867="","",SUM($J867:$L867))</f>
        <v/>
      </c>
      <c r="R867" s="17" t="str">
        <f aca="false">IF($A867="","",($M867+$Q867)-$P867)</f>
        <v/>
      </c>
      <c r="S867" s="18" t="str">
        <f aca="false">IF(OR($A867="",$P867=0),"",$R867/$P867)</f>
        <v/>
      </c>
      <c r="T867" s="23"/>
      <c r="U867" s="14" t="str">
        <f aca="false">IF($A867="","",IF($M867&gt;0,"Live","Exited"))</f>
        <v/>
      </c>
      <c r="V867" s="20" t="str">
        <f aca="false">IF($A867="","",IF($A867='Client Report'!$C$4,COUNTIFS($A$6:$A867,'Client Report'!$C$4),""))</f>
        <v/>
      </c>
    </row>
    <row r="868" customFormat="false" ht="15" hidden="false" customHeight="false" outlineLevel="0" collapsed="false">
      <c r="A868" s="11"/>
      <c r="B868" s="11"/>
      <c r="C868" s="14" t="str">
        <f aca="false">IF($B868="","",IFERROR(TRIM(LEFT($B868,FIND(" - ",$B868)-1)),"Others"))</f>
        <v/>
      </c>
      <c r="D868" s="11"/>
      <c r="E868" s="11"/>
      <c r="F868" s="12"/>
      <c r="G868" s="21"/>
      <c r="H868" s="21"/>
      <c r="I868" s="21"/>
      <c r="J868" s="21"/>
      <c r="K868" s="21"/>
      <c r="L868" s="21"/>
      <c r="M868" s="21"/>
      <c r="N868" s="22"/>
      <c r="O868" s="22"/>
      <c r="P868" s="17" t="str">
        <f aca="false">IF($A868="","",SUM($G868:$I868))</f>
        <v/>
      </c>
      <c r="Q868" s="17" t="str">
        <f aca="false">IF($A868="","",SUM($J868:$L868))</f>
        <v/>
      </c>
      <c r="R868" s="17" t="str">
        <f aca="false">IF($A868="","",($M868+$Q868)-$P868)</f>
        <v/>
      </c>
      <c r="S868" s="18" t="str">
        <f aca="false">IF(OR($A868="",$P868=0),"",$R868/$P868)</f>
        <v/>
      </c>
      <c r="T868" s="23"/>
      <c r="U868" s="14" t="str">
        <f aca="false">IF($A868="","",IF($M868&gt;0,"Live","Exited"))</f>
        <v/>
      </c>
      <c r="V868" s="20" t="str">
        <f aca="false">IF($A868="","",IF($A868='Client Report'!$C$4,COUNTIFS($A$6:$A868,'Client Report'!$C$4),""))</f>
        <v/>
      </c>
    </row>
    <row r="869" customFormat="false" ht="15" hidden="false" customHeight="false" outlineLevel="0" collapsed="false">
      <c r="A869" s="11"/>
      <c r="B869" s="11"/>
      <c r="C869" s="14" t="str">
        <f aca="false">IF($B869="","",IFERROR(TRIM(LEFT($B869,FIND(" - ",$B869)-1)),"Others"))</f>
        <v/>
      </c>
      <c r="D869" s="11"/>
      <c r="E869" s="11"/>
      <c r="F869" s="12"/>
      <c r="G869" s="21"/>
      <c r="H869" s="21"/>
      <c r="I869" s="21"/>
      <c r="J869" s="21"/>
      <c r="K869" s="21"/>
      <c r="L869" s="21"/>
      <c r="M869" s="21"/>
      <c r="N869" s="22"/>
      <c r="O869" s="22"/>
      <c r="P869" s="17" t="str">
        <f aca="false">IF($A869="","",SUM($G869:$I869))</f>
        <v/>
      </c>
      <c r="Q869" s="17" t="str">
        <f aca="false">IF($A869="","",SUM($J869:$L869))</f>
        <v/>
      </c>
      <c r="R869" s="17" t="str">
        <f aca="false">IF($A869="","",($M869+$Q869)-$P869)</f>
        <v/>
      </c>
      <c r="S869" s="18" t="str">
        <f aca="false">IF(OR($A869="",$P869=0),"",$R869/$P869)</f>
        <v/>
      </c>
      <c r="T869" s="23"/>
      <c r="U869" s="14" t="str">
        <f aca="false">IF($A869="","",IF($M869&gt;0,"Live","Exited"))</f>
        <v/>
      </c>
      <c r="V869" s="20" t="str">
        <f aca="false">IF($A869="","",IF($A869='Client Report'!$C$4,COUNTIFS($A$6:$A869,'Client Report'!$C$4),""))</f>
        <v/>
      </c>
    </row>
    <row r="870" customFormat="false" ht="15" hidden="false" customHeight="false" outlineLevel="0" collapsed="false">
      <c r="A870" s="11"/>
      <c r="B870" s="11"/>
      <c r="C870" s="14" t="str">
        <f aca="false">IF($B870="","",IFERROR(TRIM(LEFT($B870,FIND(" - ",$B870)-1)),"Others"))</f>
        <v/>
      </c>
      <c r="D870" s="11"/>
      <c r="E870" s="11"/>
      <c r="F870" s="12"/>
      <c r="G870" s="21"/>
      <c r="H870" s="21"/>
      <c r="I870" s="21"/>
      <c r="J870" s="21"/>
      <c r="K870" s="21"/>
      <c r="L870" s="21"/>
      <c r="M870" s="21"/>
      <c r="N870" s="22"/>
      <c r="O870" s="22"/>
      <c r="P870" s="17" t="str">
        <f aca="false">IF($A870="","",SUM($G870:$I870))</f>
        <v/>
      </c>
      <c r="Q870" s="17" t="str">
        <f aca="false">IF($A870="","",SUM($J870:$L870))</f>
        <v/>
      </c>
      <c r="R870" s="17" t="str">
        <f aca="false">IF($A870="","",($M870+$Q870)-$P870)</f>
        <v/>
      </c>
      <c r="S870" s="18" t="str">
        <f aca="false">IF(OR($A870="",$P870=0),"",$R870/$P870)</f>
        <v/>
      </c>
      <c r="T870" s="23"/>
      <c r="U870" s="14" t="str">
        <f aca="false">IF($A870="","",IF($M870&gt;0,"Live","Exited"))</f>
        <v/>
      </c>
      <c r="V870" s="20" t="str">
        <f aca="false">IF($A870="","",IF($A870='Client Report'!$C$4,COUNTIFS($A$6:$A870,'Client Report'!$C$4),""))</f>
        <v/>
      </c>
    </row>
    <row r="871" customFormat="false" ht="15" hidden="false" customHeight="false" outlineLevel="0" collapsed="false">
      <c r="A871" s="11"/>
      <c r="B871" s="11"/>
      <c r="C871" s="14" t="str">
        <f aca="false">IF($B871="","",IFERROR(TRIM(LEFT($B871,FIND(" - ",$B871)-1)),"Others"))</f>
        <v/>
      </c>
      <c r="D871" s="11"/>
      <c r="E871" s="11"/>
      <c r="F871" s="12"/>
      <c r="G871" s="21"/>
      <c r="H871" s="21"/>
      <c r="I871" s="21"/>
      <c r="J871" s="21"/>
      <c r="K871" s="21"/>
      <c r="L871" s="21"/>
      <c r="M871" s="21"/>
      <c r="N871" s="22"/>
      <c r="O871" s="22"/>
      <c r="P871" s="17" t="str">
        <f aca="false">IF($A871="","",SUM($G871:$I871))</f>
        <v/>
      </c>
      <c r="Q871" s="17" t="str">
        <f aca="false">IF($A871="","",SUM($J871:$L871))</f>
        <v/>
      </c>
      <c r="R871" s="17" t="str">
        <f aca="false">IF($A871="","",($M871+$Q871)-$P871)</f>
        <v/>
      </c>
      <c r="S871" s="18" t="str">
        <f aca="false">IF(OR($A871="",$P871=0),"",$R871/$P871)</f>
        <v/>
      </c>
      <c r="T871" s="23"/>
      <c r="U871" s="14" t="str">
        <f aca="false">IF($A871="","",IF($M871&gt;0,"Live","Exited"))</f>
        <v/>
      </c>
      <c r="V871" s="20" t="str">
        <f aca="false">IF($A871="","",IF($A871='Client Report'!$C$4,COUNTIFS($A$6:$A871,'Client Report'!$C$4),""))</f>
        <v/>
      </c>
    </row>
    <row r="872" customFormat="false" ht="15" hidden="false" customHeight="false" outlineLevel="0" collapsed="false">
      <c r="A872" s="11"/>
      <c r="B872" s="11"/>
      <c r="C872" s="14" t="str">
        <f aca="false">IF($B872="","",IFERROR(TRIM(LEFT($B872,FIND(" - ",$B872)-1)),"Others"))</f>
        <v/>
      </c>
      <c r="D872" s="11"/>
      <c r="E872" s="11"/>
      <c r="F872" s="12"/>
      <c r="G872" s="21"/>
      <c r="H872" s="21"/>
      <c r="I872" s="21"/>
      <c r="J872" s="21"/>
      <c r="K872" s="21"/>
      <c r="L872" s="21"/>
      <c r="M872" s="21"/>
      <c r="N872" s="22"/>
      <c r="O872" s="22"/>
      <c r="P872" s="17" t="str">
        <f aca="false">IF($A872="","",SUM($G872:$I872))</f>
        <v/>
      </c>
      <c r="Q872" s="17" t="str">
        <f aca="false">IF($A872="","",SUM($J872:$L872))</f>
        <v/>
      </c>
      <c r="R872" s="17" t="str">
        <f aca="false">IF($A872="","",($M872+$Q872)-$P872)</f>
        <v/>
      </c>
      <c r="S872" s="18" t="str">
        <f aca="false">IF(OR($A872="",$P872=0),"",$R872/$P872)</f>
        <v/>
      </c>
      <c r="T872" s="23"/>
      <c r="U872" s="14" t="str">
        <f aca="false">IF($A872="","",IF($M872&gt;0,"Live","Exited"))</f>
        <v/>
      </c>
      <c r="V872" s="20" t="str">
        <f aca="false">IF($A872="","",IF($A872='Client Report'!$C$4,COUNTIFS($A$6:$A872,'Client Report'!$C$4),""))</f>
        <v/>
      </c>
    </row>
    <row r="873" customFormat="false" ht="15" hidden="false" customHeight="false" outlineLevel="0" collapsed="false">
      <c r="A873" s="11"/>
      <c r="B873" s="11"/>
      <c r="C873" s="14" t="str">
        <f aca="false">IF($B873="","",IFERROR(TRIM(LEFT($B873,FIND(" - ",$B873)-1)),"Others"))</f>
        <v/>
      </c>
      <c r="D873" s="11"/>
      <c r="E873" s="11"/>
      <c r="F873" s="12"/>
      <c r="G873" s="21"/>
      <c r="H873" s="21"/>
      <c r="I873" s="21"/>
      <c r="J873" s="21"/>
      <c r="K873" s="21"/>
      <c r="L873" s="21"/>
      <c r="M873" s="21"/>
      <c r="N873" s="22"/>
      <c r="O873" s="22"/>
      <c r="P873" s="17" t="str">
        <f aca="false">IF($A873="","",SUM($G873:$I873))</f>
        <v/>
      </c>
      <c r="Q873" s="17" t="str">
        <f aca="false">IF($A873="","",SUM($J873:$L873))</f>
        <v/>
      </c>
      <c r="R873" s="17" t="str">
        <f aca="false">IF($A873="","",($M873+$Q873)-$P873)</f>
        <v/>
      </c>
      <c r="S873" s="18" t="str">
        <f aca="false">IF(OR($A873="",$P873=0),"",$R873/$P873)</f>
        <v/>
      </c>
      <c r="T873" s="23"/>
      <c r="U873" s="14" t="str">
        <f aca="false">IF($A873="","",IF($M873&gt;0,"Live","Exited"))</f>
        <v/>
      </c>
      <c r="V873" s="20" t="str">
        <f aca="false">IF($A873="","",IF($A873='Client Report'!$C$4,COUNTIFS($A$6:$A873,'Client Report'!$C$4),""))</f>
        <v/>
      </c>
    </row>
    <row r="874" customFormat="false" ht="15" hidden="false" customHeight="false" outlineLevel="0" collapsed="false">
      <c r="A874" s="11"/>
      <c r="B874" s="11"/>
      <c r="C874" s="14" t="str">
        <f aca="false">IF($B874="","",IFERROR(TRIM(LEFT($B874,FIND(" - ",$B874)-1)),"Others"))</f>
        <v/>
      </c>
      <c r="D874" s="11"/>
      <c r="E874" s="11"/>
      <c r="F874" s="12"/>
      <c r="G874" s="21"/>
      <c r="H874" s="21"/>
      <c r="I874" s="21"/>
      <c r="J874" s="21"/>
      <c r="K874" s="21"/>
      <c r="L874" s="21"/>
      <c r="M874" s="21"/>
      <c r="N874" s="22"/>
      <c r="O874" s="22"/>
      <c r="P874" s="17" t="str">
        <f aca="false">IF($A874="","",SUM($G874:$I874))</f>
        <v/>
      </c>
      <c r="Q874" s="17" t="str">
        <f aca="false">IF($A874="","",SUM($J874:$L874))</f>
        <v/>
      </c>
      <c r="R874" s="17" t="str">
        <f aca="false">IF($A874="","",($M874+$Q874)-$P874)</f>
        <v/>
      </c>
      <c r="S874" s="18" t="str">
        <f aca="false">IF(OR($A874="",$P874=0),"",$R874/$P874)</f>
        <v/>
      </c>
      <c r="T874" s="23"/>
      <c r="U874" s="14" t="str">
        <f aca="false">IF($A874="","",IF($M874&gt;0,"Live","Exited"))</f>
        <v/>
      </c>
      <c r="V874" s="20" t="str">
        <f aca="false">IF($A874="","",IF($A874='Client Report'!$C$4,COUNTIFS($A$6:$A874,'Client Report'!$C$4),""))</f>
        <v/>
      </c>
    </row>
    <row r="875" customFormat="false" ht="15" hidden="false" customHeight="false" outlineLevel="0" collapsed="false">
      <c r="A875" s="11"/>
      <c r="B875" s="11"/>
      <c r="C875" s="14" t="str">
        <f aca="false">IF($B875="","",IFERROR(TRIM(LEFT($B875,FIND(" - ",$B875)-1)),"Others"))</f>
        <v/>
      </c>
      <c r="D875" s="11"/>
      <c r="E875" s="11"/>
      <c r="F875" s="12"/>
      <c r="G875" s="21"/>
      <c r="H875" s="21"/>
      <c r="I875" s="21"/>
      <c r="J875" s="21"/>
      <c r="K875" s="21"/>
      <c r="L875" s="21"/>
      <c r="M875" s="21"/>
      <c r="N875" s="22"/>
      <c r="O875" s="22"/>
      <c r="P875" s="17" t="str">
        <f aca="false">IF($A875="","",SUM($G875:$I875))</f>
        <v/>
      </c>
      <c r="Q875" s="17" t="str">
        <f aca="false">IF($A875="","",SUM($J875:$L875))</f>
        <v/>
      </c>
      <c r="R875" s="17" t="str">
        <f aca="false">IF($A875="","",($M875+$Q875)-$P875)</f>
        <v/>
      </c>
      <c r="S875" s="18" t="str">
        <f aca="false">IF(OR($A875="",$P875=0),"",$R875/$P875)</f>
        <v/>
      </c>
      <c r="T875" s="23"/>
      <c r="U875" s="14" t="str">
        <f aca="false">IF($A875="","",IF($M875&gt;0,"Live","Exited"))</f>
        <v/>
      </c>
      <c r="V875" s="20" t="str">
        <f aca="false">IF($A875="","",IF($A875='Client Report'!$C$4,COUNTIFS($A$6:$A875,'Client Report'!$C$4),""))</f>
        <v/>
      </c>
    </row>
    <row r="876" customFormat="false" ht="15" hidden="false" customHeight="false" outlineLevel="0" collapsed="false">
      <c r="A876" s="11"/>
      <c r="B876" s="11"/>
      <c r="C876" s="14" t="str">
        <f aca="false">IF($B876="","",IFERROR(TRIM(LEFT($B876,FIND(" - ",$B876)-1)),"Others"))</f>
        <v/>
      </c>
      <c r="D876" s="11"/>
      <c r="E876" s="11"/>
      <c r="F876" s="12"/>
      <c r="G876" s="21"/>
      <c r="H876" s="21"/>
      <c r="I876" s="21"/>
      <c r="J876" s="21"/>
      <c r="K876" s="21"/>
      <c r="L876" s="21"/>
      <c r="M876" s="21"/>
      <c r="N876" s="22"/>
      <c r="O876" s="22"/>
      <c r="P876" s="17" t="str">
        <f aca="false">IF($A876="","",SUM($G876:$I876))</f>
        <v/>
      </c>
      <c r="Q876" s="17" t="str">
        <f aca="false">IF($A876="","",SUM($J876:$L876))</f>
        <v/>
      </c>
      <c r="R876" s="17" t="str">
        <f aca="false">IF($A876="","",($M876+$Q876)-$P876)</f>
        <v/>
      </c>
      <c r="S876" s="18" t="str">
        <f aca="false">IF(OR($A876="",$P876=0),"",$R876/$P876)</f>
        <v/>
      </c>
      <c r="T876" s="23"/>
      <c r="U876" s="14" t="str">
        <f aca="false">IF($A876="","",IF($M876&gt;0,"Live","Exited"))</f>
        <v/>
      </c>
      <c r="V876" s="20" t="str">
        <f aca="false">IF($A876="","",IF($A876='Client Report'!$C$4,COUNTIFS($A$6:$A876,'Client Report'!$C$4),""))</f>
        <v/>
      </c>
    </row>
    <row r="877" customFormat="false" ht="15" hidden="false" customHeight="false" outlineLevel="0" collapsed="false">
      <c r="A877" s="11"/>
      <c r="B877" s="11"/>
      <c r="C877" s="14" t="str">
        <f aca="false">IF($B877="","",IFERROR(TRIM(LEFT($B877,FIND(" - ",$B877)-1)),"Others"))</f>
        <v/>
      </c>
      <c r="D877" s="11"/>
      <c r="E877" s="11"/>
      <c r="F877" s="12"/>
      <c r="G877" s="21"/>
      <c r="H877" s="21"/>
      <c r="I877" s="21"/>
      <c r="J877" s="21"/>
      <c r="K877" s="21"/>
      <c r="L877" s="21"/>
      <c r="M877" s="21"/>
      <c r="N877" s="22"/>
      <c r="O877" s="22"/>
      <c r="P877" s="17" t="str">
        <f aca="false">IF($A877="","",SUM($G877:$I877))</f>
        <v/>
      </c>
      <c r="Q877" s="17" t="str">
        <f aca="false">IF($A877="","",SUM($J877:$L877))</f>
        <v/>
      </c>
      <c r="R877" s="17" t="str">
        <f aca="false">IF($A877="","",($M877+$Q877)-$P877)</f>
        <v/>
      </c>
      <c r="S877" s="18" t="str">
        <f aca="false">IF(OR($A877="",$P877=0),"",$R877/$P877)</f>
        <v/>
      </c>
      <c r="T877" s="23"/>
      <c r="U877" s="14" t="str">
        <f aca="false">IF($A877="","",IF($M877&gt;0,"Live","Exited"))</f>
        <v/>
      </c>
      <c r="V877" s="20" t="str">
        <f aca="false">IF($A877="","",IF($A877='Client Report'!$C$4,COUNTIFS($A$6:$A877,'Client Report'!$C$4),""))</f>
        <v/>
      </c>
    </row>
    <row r="878" customFormat="false" ht="15" hidden="false" customHeight="false" outlineLevel="0" collapsed="false">
      <c r="A878" s="11"/>
      <c r="B878" s="11"/>
      <c r="C878" s="14" t="str">
        <f aca="false">IF($B878="","",IFERROR(TRIM(LEFT($B878,FIND(" - ",$B878)-1)),"Others"))</f>
        <v/>
      </c>
      <c r="D878" s="11"/>
      <c r="E878" s="11"/>
      <c r="F878" s="12"/>
      <c r="G878" s="21"/>
      <c r="H878" s="21"/>
      <c r="I878" s="21"/>
      <c r="J878" s="21"/>
      <c r="K878" s="21"/>
      <c r="L878" s="21"/>
      <c r="M878" s="21"/>
      <c r="N878" s="22"/>
      <c r="O878" s="22"/>
      <c r="P878" s="17" t="str">
        <f aca="false">IF($A878="","",SUM($G878:$I878))</f>
        <v/>
      </c>
      <c r="Q878" s="17" t="str">
        <f aca="false">IF($A878="","",SUM($J878:$L878))</f>
        <v/>
      </c>
      <c r="R878" s="17" t="str">
        <f aca="false">IF($A878="","",($M878+$Q878)-$P878)</f>
        <v/>
      </c>
      <c r="S878" s="18" t="str">
        <f aca="false">IF(OR($A878="",$P878=0),"",$R878/$P878)</f>
        <v/>
      </c>
      <c r="T878" s="23"/>
      <c r="U878" s="14" t="str">
        <f aca="false">IF($A878="","",IF($M878&gt;0,"Live","Exited"))</f>
        <v/>
      </c>
      <c r="V878" s="20" t="str">
        <f aca="false">IF($A878="","",IF($A878='Client Report'!$C$4,COUNTIFS($A$6:$A878,'Client Report'!$C$4),""))</f>
        <v/>
      </c>
    </row>
    <row r="879" customFormat="false" ht="15" hidden="false" customHeight="false" outlineLevel="0" collapsed="false">
      <c r="A879" s="11"/>
      <c r="B879" s="11"/>
      <c r="C879" s="14" t="str">
        <f aca="false">IF($B879="","",IFERROR(TRIM(LEFT($B879,FIND(" - ",$B879)-1)),"Others"))</f>
        <v/>
      </c>
      <c r="D879" s="11"/>
      <c r="E879" s="11"/>
      <c r="F879" s="12"/>
      <c r="G879" s="21"/>
      <c r="H879" s="21"/>
      <c r="I879" s="21"/>
      <c r="J879" s="21"/>
      <c r="K879" s="21"/>
      <c r="L879" s="21"/>
      <c r="M879" s="21"/>
      <c r="N879" s="22"/>
      <c r="O879" s="22"/>
      <c r="P879" s="17" t="str">
        <f aca="false">IF($A879="","",SUM($G879:$I879))</f>
        <v/>
      </c>
      <c r="Q879" s="17" t="str">
        <f aca="false">IF($A879="","",SUM($J879:$L879))</f>
        <v/>
      </c>
      <c r="R879" s="17" t="str">
        <f aca="false">IF($A879="","",($M879+$Q879)-$P879)</f>
        <v/>
      </c>
      <c r="S879" s="18" t="str">
        <f aca="false">IF(OR($A879="",$P879=0),"",$R879/$P879)</f>
        <v/>
      </c>
      <c r="T879" s="23"/>
      <c r="U879" s="14" t="str">
        <f aca="false">IF($A879="","",IF($M879&gt;0,"Live","Exited"))</f>
        <v/>
      </c>
      <c r="V879" s="20" t="str">
        <f aca="false">IF($A879="","",IF($A879='Client Report'!$C$4,COUNTIFS($A$6:$A879,'Client Report'!$C$4),""))</f>
        <v/>
      </c>
    </row>
    <row r="880" customFormat="false" ht="15" hidden="false" customHeight="false" outlineLevel="0" collapsed="false">
      <c r="A880" s="11"/>
      <c r="B880" s="11"/>
      <c r="C880" s="14" t="str">
        <f aca="false">IF($B880="","",IFERROR(TRIM(LEFT($B880,FIND(" - ",$B880)-1)),"Others"))</f>
        <v/>
      </c>
      <c r="D880" s="11"/>
      <c r="E880" s="11"/>
      <c r="F880" s="12"/>
      <c r="G880" s="21"/>
      <c r="H880" s="21"/>
      <c r="I880" s="21"/>
      <c r="J880" s="21"/>
      <c r="K880" s="21"/>
      <c r="L880" s="21"/>
      <c r="M880" s="21"/>
      <c r="N880" s="22"/>
      <c r="O880" s="22"/>
      <c r="P880" s="17" t="str">
        <f aca="false">IF($A880="","",SUM($G880:$I880))</f>
        <v/>
      </c>
      <c r="Q880" s="17" t="str">
        <f aca="false">IF($A880="","",SUM($J880:$L880))</f>
        <v/>
      </c>
      <c r="R880" s="17" t="str">
        <f aca="false">IF($A880="","",($M880+$Q880)-$P880)</f>
        <v/>
      </c>
      <c r="S880" s="18" t="str">
        <f aca="false">IF(OR($A880="",$P880=0),"",$R880/$P880)</f>
        <v/>
      </c>
      <c r="T880" s="23"/>
      <c r="U880" s="14" t="str">
        <f aca="false">IF($A880="","",IF($M880&gt;0,"Live","Exited"))</f>
        <v/>
      </c>
      <c r="V880" s="20" t="str">
        <f aca="false">IF($A880="","",IF($A880='Client Report'!$C$4,COUNTIFS($A$6:$A880,'Client Report'!$C$4),""))</f>
        <v/>
      </c>
    </row>
    <row r="881" customFormat="false" ht="15" hidden="false" customHeight="false" outlineLevel="0" collapsed="false">
      <c r="A881" s="11"/>
      <c r="B881" s="11"/>
      <c r="C881" s="14" t="str">
        <f aca="false">IF($B881="","",IFERROR(TRIM(LEFT($B881,FIND(" - ",$B881)-1)),"Others"))</f>
        <v/>
      </c>
      <c r="D881" s="11"/>
      <c r="E881" s="11"/>
      <c r="F881" s="12"/>
      <c r="G881" s="21"/>
      <c r="H881" s="21"/>
      <c r="I881" s="21"/>
      <c r="J881" s="21"/>
      <c r="K881" s="21"/>
      <c r="L881" s="21"/>
      <c r="M881" s="21"/>
      <c r="N881" s="22"/>
      <c r="O881" s="22"/>
      <c r="P881" s="17" t="str">
        <f aca="false">IF($A881="","",SUM($G881:$I881))</f>
        <v/>
      </c>
      <c r="Q881" s="17" t="str">
        <f aca="false">IF($A881="","",SUM($J881:$L881))</f>
        <v/>
      </c>
      <c r="R881" s="17" t="str">
        <f aca="false">IF($A881="","",($M881+$Q881)-$P881)</f>
        <v/>
      </c>
      <c r="S881" s="18" t="str">
        <f aca="false">IF(OR($A881="",$P881=0),"",$R881/$P881)</f>
        <v/>
      </c>
      <c r="T881" s="23"/>
      <c r="U881" s="14" t="str">
        <f aca="false">IF($A881="","",IF($M881&gt;0,"Live","Exited"))</f>
        <v/>
      </c>
      <c r="V881" s="20" t="str">
        <f aca="false">IF($A881="","",IF($A881='Client Report'!$C$4,COUNTIFS($A$6:$A881,'Client Report'!$C$4),""))</f>
        <v/>
      </c>
    </row>
    <row r="882" customFormat="false" ht="15" hidden="false" customHeight="false" outlineLevel="0" collapsed="false">
      <c r="A882" s="11"/>
      <c r="B882" s="11"/>
      <c r="C882" s="14" t="str">
        <f aca="false">IF($B882="","",IFERROR(TRIM(LEFT($B882,FIND(" - ",$B882)-1)),"Others"))</f>
        <v/>
      </c>
      <c r="D882" s="11"/>
      <c r="E882" s="11"/>
      <c r="F882" s="12"/>
      <c r="G882" s="21"/>
      <c r="H882" s="21"/>
      <c r="I882" s="21"/>
      <c r="J882" s="21"/>
      <c r="K882" s="21"/>
      <c r="L882" s="21"/>
      <c r="M882" s="21"/>
      <c r="N882" s="22"/>
      <c r="O882" s="22"/>
      <c r="P882" s="17" t="str">
        <f aca="false">IF($A882="","",SUM($G882:$I882))</f>
        <v/>
      </c>
      <c r="Q882" s="17" t="str">
        <f aca="false">IF($A882="","",SUM($J882:$L882))</f>
        <v/>
      </c>
      <c r="R882" s="17" t="str">
        <f aca="false">IF($A882="","",($M882+$Q882)-$P882)</f>
        <v/>
      </c>
      <c r="S882" s="18" t="str">
        <f aca="false">IF(OR($A882="",$P882=0),"",$R882/$P882)</f>
        <v/>
      </c>
      <c r="T882" s="23"/>
      <c r="U882" s="14" t="str">
        <f aca="false">IF($A882="","",IF($M882&gt;0,"Live","Exited"))</f>
        <v/>
      </c>
      <c r="V882" s="20" t="str">
        <f aca="false">IF($A882="","",IF($A882='Client Report'!$C$4,COUNTIFS($A$6:$A882,'Client Report'!$C$4),""))</f>
        <v/>
      </c>
    </row>
    <row r="883" customFormat="false" ht="15" hidden="false" customHeight="false" outlineLevel="0" collapsed="false">
      <c r="A883" s="11"/>
      <c r="B883" s="11"/>
      <c r="C883" s="14" t="str">
        <f aca="false">IF($B883="","",IFERROR(TRIM(LEFT($B883,FIND(" - ",$B883)-1)),"Others"))</f>
        <v/>
      </c>
      <c r="D883" s="11"/>
      <c r="E883" s="11"/>
      <c r="F883" s="12"/>
      <c r="G883" s="21"/>
      <c r="H883" s="21"/>
      <c r="I883" s="21"/>
      <c r="J883" s="21"/>
      <c r="K883" s="21"/>
      <c r="L883" s="21"/>
      <c r="M883" s="21"/>
      <c r="N883" s="22"/>
      <c r="O883" s="22"/>
      <c r="P883" s="17" t="str">
        <f aca="false">IF($A883="","",SUM($G883:$I883))</f>
        <v/>
      </c>
      <c r="Q883" s="17" t="str">
        <f aca="false">IF($A883="","",SUM($J883:$L883))</f>
        <v/>
      </c>
      <c r="R883" s="17" t="str">
        <f aca="false">IF($A883="","",($M883+$Q883)-$P883)</f>
        <v/>
      </c>
      <c r="S883" s="18" t="str">
        <f aca="false">IF(OR($A883="",$P883=0),"",$R883/$P883)</f>
        <v/>
      </c>
      <c r="T883" s="23"/>
      <c r="U883" s="14" t="str">
        <f aca="false">IF($A883="","",IF($M883&gt;0,"Live","Exited"))</f>
        <v/>
      </c>
      <c r="V883" s="20" t="str">
        <f aca="false">IF($A883="","",IF($A883='Client Report'!$C$4,COUNTIFS($A$6:$A883,'Client Report'!$C$4),""))</f>
        <v/>
      </c>
    </row>
    <row r="884" customFormat="false" ht="15" hidden="false" customHeight="false" outlineLevel="0" collapsed="false">
      <c r="A884" s="11"/>
      <c r="B884" s="11"/>
      <c r="C884" s="14" t="str">
        <f aca="false">IF($B884="","",IFERROR(TRIM(LEFT($B884,FIND(" - ",$B884)-1)),"Others"))</f>
        <v/>
      </c>
      <c r="D884" s="11"/>
      <c r="E884" s="11"/>
      <c r="F884" s="12"/>
      <c r="G884" s="21"/>
      <c r="H884" s="21"/>
      <c r="I884" s="21"/>
      <c r="J884" s="21"/>
      <c r="K884" s="21"/>
      <c r="L884" s="21"/>
      <c r="M884" s="21"/>
      <c r="N884" s="22"/>
      <c r="O884" s="22"/>
      <c r="P884" s="17" t="str">
        <f aca="false">IF($A884="","",SUM($G884:$I884))</f>
        <v/>
      </c>
      <c r="Q884" s="17" t="str">
        <f aca="false">IF($A884="","",SUM($J884:$L884))</f>
        <v/>
      </c>
      <c r="R884" s="17" t="str">
        <f aca="false">IF($A884="","",($M884+$Q884)-$P884)</f>
        <v/>
      </c>
      <c r="S884" s="18" t="str">
        <f aca="false">IF(OR($A884="",$P884=0),"",$R884/$P884)</f>
        <v/>
      </c>
      <c r="T884" s="23"/>
      <c r="U884" s="14" t="str">
        <f aca="false">IF($A884="","",IF($M884&gt;0,"Live","Exited"))</f>
        <v/>
      </c>
      <c r="V884" s="20" t="str">
        <f aca="false">IF($A884="","",IF($A884='Client Report'!$C$4,COUNTIFS($A$6:$A884,'Client Report'!$C$4),""))</f>
        <v/>
      </c>
    </row>
    <row r="885" customFormat="false" ht="15" hidden="false" customHeight="false" outlineLevel="0" collapsed="false">
      <c r="A885" s="11"/>
      <c r="B885" s="11"/>
      <c r="C885" s="14" t="str">
        <f aca="false">IF($B885="","",IFERROR(TRIM(LEFT($B885,FIND(" - ",$B885)-1)),"Others"))</f>
        <v/>
      </c>
      <c r="D885" s="11"/>
      <c r="E885" s="11"/>
      <c r="F885" s="12"/>
      <c r="G885" s="21"/>
      <c r="H885" s="21"/>
      <c r="I885" s="21"/>
      <c r="J885" s="21"/>
      <c r="K885" s="21"/>
      <c r="L885" s="21"/>
      <c r="M885" s="21"/>
      <c r="N885" s="22"/>
      <c r="O885" s="22"/>
      <c r="P885" s="17" t="str">
        <f aca="false">IF($A885="","",SUM($G885:$I885))</f>
        <v/>
      </c>
      <c r="Q885" s="17" t="str">
        <f aca="false">IF($A885="","",SUM($J885:$L885))</f>
        <v/>
      </c>
      <c r="R885" s="17" t="str">
        <f aca="false">IF($A885="","",($M885+$Q885)-$P885)</f>
        <v/>
      </c>
      <c r="S885" s="18" t="str">
        <f aca="false">IF(OR($A885="",$P885=0),"",$R885/$P885)</f>
        <v/>
      </c>
      <c r="T885" s="23"/>
      <c r="U885" s="14" t="str">
        <f aca="false">IF($A885="","",IF($M885&gt;0,"Live","Exited"))</f>
        <v/>
      </c>
      <c r="V885" s="20" t="str">
        <f aca="false">IF($A885="","",IF($A885='Client Report'!$C$4,COUNTIFS($A$6:$A885,'Client Report'!$C$4),""))</f>
        <v/>
      </c>
    </row>
    <row r="886" customFormat="false" ht="15" hidden="false" customHeight="false" outlineLevel="0" collapsed="false">
      <c r="A886" s="11"/>
      <c r="B886" s="11"/>
      <c r="C886" s="14" t="str">
        <f aca="false">IF($B886="","",IFERROR(TRIM(LEFT($B886,FIND(" - ",$B886)-1)),"Others"))</f>
        <v/>
      </c>
      <c r="D886" s="11"/>
      <c r="E886" s="11"/>
      <c r="F886" s="12"/>
      <c r="G886" s="21"/>
      <c r="H886" s="21"/>
      <c r="I886" s="21"/>
      <c r="J886" s="21"/>
      <c r="K886" s="21"/>
      <c r="L886" s="21"/>
      <c r="M886" s="21"/>
      <c r="N886" s="22"/>
      <c r="O886" s="22"/>
      <c r="P886" s="17" t="str">
        <f aca="false">IF($A886="","",SUM($G886:$I886))</f>
        <v/>
      </c>
      <c r="Q886" s="17" t="str">
        <f aca="false">IF($A886="","",SUM($J886:$L886))</f>
        <v/>
      </c>
      <c r="R886" s="17" t="str">
        <f aca="false">IF($A886="","",($M886+$Q886)-$P886)</f>
        <v/>
      </c>
      <c r="S886" s="18" t="str">
        <f aca="false">IF(OR($A886="",$P886=0),"",$R886/$P886)</f>
        <v/>
      </c>
      <c r="T886" s="23"/>
      <c r="U886" s="14" t="str">
        <f aca="false">IF($A886="","",IF($M886&gt;0,"Live","Exited"))</f>
        <v/>
      </c>
      <c r="V886" s="20" t="str">
        <f aca="false">IF($A886="","",IF($A886='Client Report'!$C$4,COUNTIFS($A$6:$A886,'Client Report'!$C$4),""))</f>
        <v/>
      </c>
    </row>
    <row r="887" customFormat="false" ht="15" hidden="false" customHeight="false" outlineLevel="0" collapsed="false">
      <c r="A887" s="11"/>
      <c r="B887" s="11"/>
      <c r="C887" s="14" t="str">
        <f aca="false">IF($B887="","",IFERROR(TRIM(LEFT($B887,FIND(" - ",$B887)-1)),"Others"))</f>
        <v/>
      </c>
      <c r="D887" s="11"/>
      <c r="E887" s="11"/>
      <c r="F887" s="12"/>
      <c r="G887" s="21"/>
      <c r="H887" s="21"/>
      <c r="I887" s="21"/>
      <c r="J887" s="21"/>
      <c r="K887" s="21"/>
      <c r="L887" s="21"/>
      <c r="M887" s="21"/>
      <c r="N887" s="22"/>
      <c r="O887" s="22"/>
      <c r="P887" s="17" t="str">
        <f aca="false">IF($A887="","",SUM($G887:$I887))</f>
        <v/>
      </c>
      <c r="Q887" s="17" t="str">
        <f aca="false">IF($A887="","",SUM($J887:$L887))</f>
        <v/>
      </c>
      <c r="R887" s="17" t="str">
        <f aca="false">IF($A887="","",($M887+$Q887)-$P887)</f>
        <v/>
      </c>
      <c r="S887" s="18" t="str">
        <f aca="false">IF(OR($A887="",$P887=0),"",$R887/$P887)</f>
        <v/>
      </c>
      <c r="T887" s="23"/>
      <c r="U887" s="14" t="str">
        <f aca="false">IF($A887="","",IF($M887&gt;0,"Live","Exited"))</f>
        <v/>
      </c>
      <c r="V887" s="20" t="str">
        <f aca="false">IF($A887="","",IF($A887='Client Report'!$C$4,COUNTIFS($A$6:$A887,'Client Report'!$C$4),""))</f>
        <v/>
      </c>
    </row>
    <row r="888" customFormat="false" ht="15" hidden="false" customHeight="false" outlineLevel="0" collapsed="false">
      <c r="A888" s="11"/>
      <c r="B888" s="11"/>
      <c r="C888" s="14" t="str">
        <f aca="false">IF($B888="","",IFERROR(TRIM(LEFT($B888,FIND(" - ",$B888)-1)),"Others"))</f>
        <v/>
      </c>
      <c r="D888" s="11"/>
      <c r="E888" s="11"/>
      <c r="F888" s="12"/>
      <c r="G888" s="21"/>
      <c r="H888" s="21"/>
      <c r="I888" s="21"/>
      <c r="J888" s="21"/>
      <c r="K888" s="21"/>
      <c r="L888" s="21"/>
      <c r="M888" s="21"/>
      <c r="N888" s="22"/>
      <c r="O888" s="22"/>
      <c r="P888" s="17" t="str">
        <f aca="false">IF($A888="","",SUM($G888:$I888))</f>
        <v/>
      </c>
      <c r="Q888" s="17" t="str">
        <f aca="false">IF($A888="","",SUM($J888:$L888))</f>
        <v/>
      </c>
      <c r="R888" s="17" t="str">
        <f aca="false">IF($A888="","",($M888+$Q888)-$P888)</f>
        <v/>
      </c>
      <c r="S888" s="18" t="str">
        <f aca="false">IF(OR($A888="",$P888=0),"",$R888/$P888)</f>
        <v/>
      </c>
      <c r="T888" s="23"/>
      <c r="U888" s="14" t="str">
        <f aca="false">IF($A888="","",IF($M888&gt;0,"Live","Exited"))</f>
        <v/>
      </c>
      <c r="V888" s="20" t="str">
        <f aca="false">IF($A888="","",IF($A888='Client Report'!$C$4,COUNTIFS($A$6:$A888,'Client Report'!$C$4),""))</f>
        <v/>
      </c>
    </row>
    <row r="889" customFormat="false" ht="15" hidden="false" customHeight="false" outlineLevel="0" collapsed="false">
      <c r="A889" s="11"/>
      <c r="B889" s="11"/>
      <c r="C889" s="14" t="str">
        <f aca="false">IF($B889="","",IFERROR(TRIM(LEFT($B889,FIND(" - ",$B889)-1)),"Others"))</f>
        <v/>
      </c>
      <c r="D889" s="11"/>
      <c r="E889" s="11"/>
      <c r="F889" s="12"/>
      <c r="G889" s="21"/>
      <c r="H889" s="21"/>
      <c r="I889" s="21"/>
      <c r="J889" s="21"/>
      <c r="K889" s="21"/>
      <c r="L889" s="21"/>
      <c r="M889" s="21"/>
      <c r="N889" s="22"/>
      <c r="O889" s="22"/>
      <c r="P889" s="17" t="str">
        <f aca="false">IF($A889="","",SUM($G889:$I889))</f>
        <v/>
      </c>
      <c r="Q889" s="17" t="str">
        <f aca="false">IF($A889="","",SUM($J889:$L889))</f>
        <v/>
      </c>
      <c r="R889" s="17" t="str">
        <f aca="false">IF($A889="","",($M889+$Q889)-$P889)</f>
        <v/>
      </c>
      <c r="S889" s="18" t="str">
        <f aca="false">IF(OR($A889="",$P889=0),"",$R889/$P889)</f>
        <v/>
      </c>
      <c r="T889" s="23"/>
      <c r="U889" s="14" t="str">
        <f aca="false">IF($A889="","",IF($M889&gt;0,"Live","Exited"))</f>
        <v/>
      </c>
      <c r="V889" s="20" t="str">
        <f aca="false">IF($A889="","",IF($A889='Client Report'!$C$4,COUNTIFS($A$6:$A889,'Client Report'!$C$4),""))</f>
        <v/>
      </c>
    </row>
    <row r="890" customFormat="false" ht="15" hidden="false" customHeight="false" outlineLevel="0" collapsed="false">
      <c r="A890" s="11"/>
      <c r="B890" s="11"/>
      <c r="C890" s="14" t="str">
        <f aca="false">IF($B890="","",IFERROR(TRIM(LEFT($B890,FIND(" - ",$B890)-1)),"Others"))</f>
        <v/>
      </c>
      <c r="D890" s="11"/>
      <c r="E890" s="11"/>
      <c r="F890" s="12"/>
      <c r="G890" s="21"/>
      <c r="H890" s="21"/>
      <c r="I890" s="21"/>
      <c r="J890" s="21"/>
      <c r="K890" s="21"/>
      <c r="L890" s="21"/>
      <c r="M890" s="21"/>
      <c r="N890" s="22"/>
      <c r="O890" s="22"/>
      <c r="P890" s="17" t="str">
        <f aca="false">IF($A890="","",SUM($G890:$I890))</f>
        <v/>
      </c>
      <c r="Q890" s="17" t="str">
        <f aca="false">IF($A890="","",SUM($J890:$L890))</f>
        <v/>
      </c>
      <c r="R890" s="17" t="str">
        <f aca="false">IF($A890="","",($M890+$Q890)-$P890)</f>
        <v/>
      </c>
      <c r="S890" s="18" t="str">
        <f aca="false">IF(OR($A890="",$P890=0),"",$R890/$P890)</f>
        <v/>
      </c>
      <c r="T890" s="23"/>
      <c r="U890" s="14" t="str">
        <f aca="false">IF($A890="","",IF($M890&gt;0,"Live","Exited"))</f>
        <v/>
      </c>
      <c r="V890" s="20" t="str">
        <f aca="false">IF($A890="","",IF($A890='Client Report'!$C$4,COUNTIFS($A$6:$A890,'Client Report'!$C$4),""))</f>
        <v/>
      </c>
    </row>
    <row r="891" customFormat="false" ht="15" hidden="false" customHeight="false" outlineLevel="0" collapsed="false">
      <c r="A891" s="11"/>
      <c r="B891" s="11"/>
      <c r="C891" s="14" t="str">
        <f aca="false">IF($B891="","",IFERROR(TRIM(LEFT($B891,FIND(" - ",$B891)-1)),"Others"))</f>
        <v/>
      </c>
      <c r="D891" s="11"/>
      <c r="E891" s="11"/>
      <c r="F891" s="12"/>
      <c r="G891" s="21"/>
      <c r="H891" s="21"/>
      <c r="I891" s="21"/>
      <c r="J891" s="21"/>
      <c r="K891" s="21"/>
      <c r="L891" s="21"/>
      <c r="M891" s="21"/>
      <c r="N891" s="22"/>
      <c r="O891" s="22"/>
      <c r="P891" s="17" t="str">
        <f aca="false">IF($A891="","",SUM($G891:$I891))</f>
        <v/>
      </c>
      <c r="Q891" s="17" t="str">
        <f aca="false">IF($A891="","",SUM($J891:$L891))</f>
        <v/>
      </c>
      <c r="R891" s="17" t="str">
        <f aca="false">IF($A891="","",($M891+$Q891)-$P891)</f>
        <v/>
      </c>
      <c r="S891" s="18" t="str">
        <f aca="false">IF(OR($A891="",$P891=0),"",$R891/$P891)</f>
        <v/>
      </c>
      <c r="T891" s="23"/>
      <c r="U891" s="14" t="str">
        <f aca="false">IF($A891="","",IF($M891&gt;0,"Live","Exited"))</f>
        <v/>
      </c>
      <c r="V891" s="20" t="str">
        <f aca="false">IF($A891="","",IF($A891='Client Report'!$C$4,COUNTIFS($A$6:$A891,'Client Report'!$C$4),""))</f>
        <v/>
      </c>
    </row>
    <row r="892" customFormat="false" ht="15" hidden="false" customHeight="false" outlineLevel="0" collapsed="false">
      <c r="A892" s="11"/>
      <c r="B892" s="11"/>
      <c r="C892" s="14" t="str">
        <f aca="false">IF($B892="","",IFERROR(TRIM(LEFT($B892,FIND(" - ",$B892)-1)),"Others"))</f>
        <v/>
      </c>
      <c r="D892" s="11"/>
      <c r="E892" s="11"/>
      <c r="F892" s="12"/>
      <c r="G892" s="21"/>
      <c r="H892" s="21"/>
      <c r="I892" s="21"/>
      <c r="J892" s="21"/>
      <c r="K892" s="21"/>
      <c r="L892" s="21"/>
      <c r="M892" s="21"/>
      <c r="N892" s="22"/>
      <c r="O892" s="22"/>
      <c r="P892" s="17" t="str">
        <f aca="false">IF($A892="","",SUM($G892:$I892))</f>
        <v/>
      </c>
      <c r="Q892" s="17" t="str">
        <f aca="false">IF($A892="","",SUM($J892:$L892))</f>
        <v/>
      </c>
      <c r="R892" s="17" t="str">
        <f aca="false">IF($A892="","",($M892+$Q892)-$P892)</f>
        <v/>
      </c>
      <c r="S892" s="18" t="str">
        <f aca="false">IF(OR($A892="",$P892=0),"",$R892/$P892)</f>
        <v/>
      </c>
      <c r="T892" s="23"/>
      <c r="U892" s="14" t="str">
        <f aca="false">IF($A892="","",IF($M892&gt;0,"Live","Exited"))</f>
        <v/>
      </c>
      <c r="V892" s="20" t="str">
        <f aca="false">IF($A892="","",IF($A892='Client Report'!$C$4,COUNTIFS($A$6:$A892,'Client Report'!$C$4),""))</f>
        <v/>
      </c>
    </row>
    <row r="893" customFormat="false" ht="15" hidden="false" customHeight="false" outlineLevel="0" collapsed="false">
      <c r="A893" s="11"/>
      <c r="B893" s="11"/>
      <c r="C893" s="14" t="str">
        <f aca="false">IF($B893="","",IFERROR(TRIM(LEFT($B893,FIND(" - ",$B893)-1)),"Others"))</f>
        <v/>
      </c>
      <c r="D893" s="11"/>
      <c r="E893" s="11"/>
      <c r="F893" s="12"/>
      <c r="G893" s="21"/>
      <c r="H893" s="21"/>
      <c r="I893" s="21"/>
      <c r="J893" s="21"/>
      <c r="K893" s="21"/>
      <c r="L893" s="21"/>
      <c r="M893" s="21"/>
      <c r="N893" s="22"/>
      <c r="O893" s="22"/>
      <c r="P893" s="17" t="str">
        <f aca="false">IF($A893="","",SUM($G893:$I893))</f>
        <v/>
      </c>
      <c r="Q893" s="17" t="str">
        <f aca="false">IF($A893="","",SUM($J893:$L893))</f>
        <v/>
      </c>
      <c r="R893" s="17" t="str">
        <f aca="false">IF($A893="","",($M893+$Q893)-$P893)</f>
        <v/>
      </c>
      <c r="S893" s="18" t="str">
        <f aca="false">IF(OR($A893="",$P893=0),"",$R893/$P893)</f>
        <v/>
      </c>
      <c r="T893" s="23"/>
      <c r="U893" s="14" t="str">
        <f aca="false">IF($A893="","",IF($M893&gt;0,"Live","Exited"))</f>
        <v/>
      </c>
      <c r="V893" s="20" t="str">
        <f aca="false">IF($A893="","",IF($A893='Client Report'!$C$4,COUNTIFS($A$6:$A893,'Client Report'!$C$4),""))</f>
        <v/>
      </c>
    </row>
    <row r="894" customFormat="false" ht="15" hidden="false" customHeight="false" outlineLevel="0" collapsed="false">
      <c r="A894" s="11"/>
      <c r="B894" s="11"/>
      <c r="C894" s="14" t="str">
        <f aca="false">IF($B894="","",IFERROR(TRIM(LEFT($B894,FIND(" - ",$B894)-1)),"Others"))</f>
        <v/>
      </c>
      <c r="D894" s="11"/>
      <c r="E894" s="11"/>
      <c r="F894" s="12"/>
      <c r="G894" s="21"/>
      <c r="H894" s="21"/>
      <c r="I894" s="21"/>
      <c r="J894" s="21"/>
      <c r="K894" s="21"/>
      <c r="L894" s="21"/>
      <c r="M894" s="21"/>
      <c r="N894" s="22"/>
      <c r="O894" s="22"/>
      <c r="P894" s="17" t="str">
        <f aca="false">IF($A894="","",SUM($G894:$I894))</f>
        <v/>
      </c>
      <c r="Q894" s="17" t="str">
        <f aca="false">IF($A894="","",SUM($J894:$L894))</f>
        <v/>
      </c>
      <c r="R894" s="17" t="str">
        <f aca="false">IF($A894="","",($M894+$Q894)-$P894)</f>
        <v/>
      </c>
      <c r="S894" s="18" t="str">
        <f aca="false">IF(OR($A894="",$P894=0),"",$R894/$P894)</f>
        <v/>
      </c>
      <c r="T894" s="23"/>
      <c r="U894" s="14" t="str">
        <f aca="false">IF($A894="","",IF($M894&gt;0,"Live","Exited"))</f>
        <v/>
      </c>
      <c r="V894" s="20" t="str">
        <f aca="false">IF($A894="","",IF($A894='Client Report'!$C$4,COUNTIFS($A$6:$A894,'Client Report'!$C$4),""))</f>
        <v/>
      </c>
    </row>
    <row r="895" customFormat="false" ht="15" hidden="false" customHeight="false" outlineLevel="0" collapsed="false">
      <c r="A895" s="11"/>
      <c r="B895" s="11"/>
      <c r="C895" s="14" t="str">
        <f aca="false">IF($B895="","",IFERROR(TRIM(LEFT($B895,FIND(" - ",$B895)-1)),"Others"))</f>
        <v/>
      </c>
      <c r="D895" s="11"/>
      <c r="E895" s="11"/>
      <c r="F895" s="12"/>
      <c r="G895" s="21"/>
      <c r="H895" s="21"/>
      <c r="I895" s="21"/>
      <c r="J895" s="21"/>
      <c r="K895" s="21"/>
      <c r="L895" s="21"/>
      <c r="M895" s="21"/>
      <c r="N895" s="22"/>
      <c r="O895" s="22"/>
      <c r="P895" s="17" t="str">
        <f aca="false">IF($A895="","",SUM($G895:$I895))</f>
        <v/>
      </c>
      <c r="Q895" s="17" t="str">
        <f aca="false">IF($A895="","",SUM($J895:$L895))</f>
        <v/>
      </c>
      <c r="R895" s="17" t="str">
        <f aca="false">IF($A895="","",($M895+$Q895)-$P895)</f>
        <v/>
      </c>
      <c r="S895" s="18" t="str">
        <f aca="false">IF(OR($A895="",$P895=0),"",$R895/$P895)</f>
        <v/>
      </c>
      <c r="T895" s="23"/>
      <c r="U895" s="14" t="str">
        <f aca="false">IF($A895="","",IF($M895&gt;0,"Live","Exited"))</f>
        <v/>
      </c>
      <c r="V895" s="20" t="str">
        <f aca="false">IF($A895="","",IF($A895='Client Report'!$C$4,COUNTIFS($A$6:$A895,'Client Report'!$C$4),""))</f>
        <v/>
      </c>
    </row>
    <row r="896" customFormat="false" ht="15" hidden="false" customHeight="false" outlineLevel="0" collapsed="false">
      <c r="A896" s="11"/>
      <c r="B896" s="11"/>
      <c r="C896" s="14" t="str">
        <f aca="false">IF($B896="","",IFERROR(TRIM(LEFT($B896,FIND(" - ",$B896)-1)),"Others"))</f>
        <v/>
      </c>
      <c r="D896" s="11"/>
      <c r="E896" s="11"/>
      <c r="F896" s="12"/>
      <c r="G896" s="21"/>
      <c r="H896" s="21"/>
      <c r="I896" s="21"/>
      <c r="J896" s="21"/>
      <c r="K896" s="21"/>
      <c r="L896" s="21"/>
      <c r="M896" s="21"/>
      <c r="N896" s="22"/>
      <c r="O896" s="22"/>
      <c r="P896" s="17" t="str">
        <f aca="false">IF($A896="","",SUM($G896:$I896))</f>
        <v/>
      </c>
      <c r="Q896" s="17" t="str">
        <f aca="false">IF($A896="","",SUM($J896:$L896))</f>
        <v/>
      </c>
      <c r="R896" s="17" t="str">
        <f aca="false">IF($A896="","",($M896+$Q896)-$P896)</f>
        <v/>
      </c>
      <c r="S896" s="18" t="str">
        <f aca="false">IF(OR($A896="",$P896=0),"",$R896/$P896)</f>
        <v/>
      </c>
      <c r="T896" s="23"/>
      <c r="U896" s="14" t="str">
        <f aca="false">IF($A896="","",IF($M896&gt;0,"Live","Exited"))</f>
        <v/>
      </c>
      <c r="V896" s="20" t="str">
        <f aca="false">IF($A896="","",IF($A896='Client Report'!$C$4,COUNTIFS($A$6:$A896,'Client Report'!$C$4),""))</f>
        <v/>
      </c>
    </row>
    <row r="897" customFormat="false" ht="15" hidden="false" customHeight="false" outlineLevel="0" collapsed="false">
      <c r="A897" s="11"/>
      <c r="B897" s="11"/>
      <c r="C897" s="14" t="str">
        <f aca="false">IF($B897="","",IFERROR(TRIM(LEFT($B897,FIND(" - ",$B897)-1)),"Others"))</f>
        <v/>
      </c>
      <c r="D897" s="11"/>
      <c r="E897" s="11"/>
      <c r="F897" s="12"/>
      <c r="G897" s="21"/>
      <c r="H897" s="21"/>
      <c r="I897" s="21"/>
      <c r="J897" s="21"/>
      <c r="K897" s="21"/>
      <c r="L897" s="21"/>
      <c r="M897" s="21"/>
      <c r="N897" s="22"/>
      <c r="O897" s="22"/>
      <c r="P897" s="17" t="str">
        <f aca="false">IF($A897="","",SUM($G897:$I897))</f>
        <v/>
      </c>
      <c r="Q897" s="17" t="str">
        <f aca="false">IF($A897="","",SUM($J897:$L897))</f>
        <v/>
      </c>
      <c r="R897" s="17" t="str">
        <f aca="false">IF($A897="","",($M897+$Q897)-$P897)</f>
        <v/>
      </c>
      <c r="S897" s="18" t="str">
        <f aca="false">IF(OR($A897="",$P897=0),"",$R897/$P897)</f>
        <v/>
      </c>
      <c r="T897" s="23"/>
      <c r="U897" s="14" t="str">
        <f aca="false">IF($A897="","",IF($M897&gt;0,"Live","Exited"))</f>
        <v/>
      </c>
      <c r="V897" s="20" t="str">
        <f aca="false">IF($A897="","",IF($A897='Client Report'!$C$4,COUNTIFS($A$6:$A897,'Client Report'!$C$4),""))</f>
        <v/>
      </c>
    </row>
    <row r="898" customFormat="false" ht="15" hidden="false" customHeight="false" outlineLevel="0" collapsed="false">
      <c r="A898" s="11"/>
      <c r="B898" s="11"/>
      <c r="C898" s="14" t="str">
        <f aca="false">IF($B898="","",IFERROR(TRIM(LEFT($B898,FIND(" - ",$B898)-1)),"Others"))</f>
        <v/>
      </c>
      <c r="D898" s="11"/>
      <c r="E898" s="11"/>
      <c r="F898" s="12"/>
      <c r="G898" s="21"/>
      <c r="H898" s="21"/>
      <c r="I898" s="21"/>
      <c r="J898" s="21"/>
      <c r="K898" s="21"/>
      <c r="L898" s="21"/>
      <c r="M898" s="21"/>
      <c r="N898" s="22"/>
      <c r="O898" s="22"/>
      <c r="P898" s="17" t="str">
        <f aca="false">IF($A898="","",SUM($G898:$I898))</f>
        <v/>
      </c>
      <c r="Q898" s="17" t="str">
        <f aca="false">IF($A898="","",SUM($J898:$L898))</f>
        <v/>
      </c>
      <c r="R898" s="17" t="str">
        <f aca="false">IF($A898="","",($M898+$Q898)-$P898)</f>
        <v/>
      </c>
      <c r="S898" s="18" t="str">
        <f aca="false">IF(OR($A898="",$P898=0),"",$R898/$P898)</f>
        <v/>
      </c>
      <c r="T898" s="23"/>
      <c r="U898" s="14" t="str">
        <f aca="false">IF($A898="","",IF($M898&gt;0,"Live","Exited"))</f>
        <v/>
      </c>
      <c r="V898" s="20" t="str">
        <f aca="false">IF($A898="","",IF($A898='Client Report'!$C$4,COUNTIFS($A$6:$A898,'Client Report'!$C$4),""))</f>
        <v/>
      </c>
    </row>
    <row r="899" customFormat="false" ht="15" hidden="false" customHeight="false" outlineLevel="0" collapsed="false">
      <c r="A899" s="11"/>
      <c r="B899" s="11"/>
      <c r="C899" s="14" t="str">
        <f aca="false">IF($B899="","",IFERROR(TRIM(LEFT($B899,FIND(" - ",$B899)-1)),"Others"))</f>
        <v/>
      </c>
      <c r="D899" s="11"/>
      <c r="E899" s="11"/>
      <c r="F899" s="12"/>
      <c r="G899" s="21"/>
      <c r="H899" s="21"/>
      <c r="I899" s="21"/>
      <c r="J899" s="21"/>
      <c r="K899" s="21"/>
      <c r="L899" s="21"/>
      <c r="M899" s="21"/>
      <c r="N899" s="22"/>
      <c r="O899" s="22"/>
      <c r="P899" s="17" t="str">
        <f aca="false">IF($A899="","",SUM($G899:$I899))</f>
        <v/>
      </c>
      <c r="Q899" s="17" t="str">
        <f aca="false">IF($A899="","",SUM($J899:$L899))</f>
        <v/>
      </c>
      <c r="R899" s="17" t="str">
        <f aca="false">IF($A899="","",($M899+$Q899)-$P899)</f>
        <v/>
      </c>
      <c r="S899" s="18" t="str">
        <f aca="false">IF(OR($A899="",$P899=0),"",$R899/$P899)</f>
        <v/>
      </c>
      <c r="T899" s="23"/>
      <c r="U899" s="14" t="str">
        <f aca="false">IF($A899="","",IF($M899&gt;0,"Live","Exited"))</f>
        <v/>
      </c>
      <c r="V899" s="20" t="str">
        <f aca="false">IF($A899="","",IF($A899='Client Report'!$C$4,COUNTIFS($A$6:$A899,'Client Report'!$C$4),""))</f>
        <v/>
      </c>
    </row>
    <row r="900" customFormat="false" ht="15" hidden="false" customHeight="false" outlineLevel="0" collapsed="false">
      <c r="A900" s="11"/>
      <c r="B900" s="11"/>
      <c r="C900" s="14" t="str">
        <f aca="false">IF($B900="","",IFERROR(TRIM(LEFT($B900,FIND(" - ",$B900)-1)),"Others"))</f>
        <v/>
      </c>
      <c r="D900" s="11"/>
      <c r="E900" s="11"/>
      <c r="F900" s="12"/>
      <c r="G900" s="21"/>
      <c r="H900" s="21"/>
      <c r="I900" s="21"/>
      <c r="J900" s="21"/>
      <c r="K900" s="21"/>
      <c r="L900" s="21"/>
      <c r="M900" s="21"/>
      <c r="N900" s="22"/>
      <c r="O900" s="22"/>
      <c r="P900" s="17" t="str">
        <f aca="false">IF($A900="","",SUM($G900:$I900))</f>
        <v/>
      </c>
      <c r="Q900" s="17" t="str">
        <f aca="false">IF($A900="","",SUM($J900:$L900))</f>
        <v/>
      </c>
      <c r="R900" s="17" t="str">
        <f aca="false">IF($A900="","",($M900+$Q900)-$P900)</f>
        <v/>
      </c>
      <c r="S900" s="18" t="str">
        <f aca="false">IF(OR($A900="",$P900=0),"",$R900/$P900)</f>
        <v/>
      </c>
      <c r="T900" s="23"/>
      <c r="U900" s="14" t="str">
        <f aca="false">IF($A900="","",IF($M900&gt;0,"Live","Exited"))</f>
        <v/>
      </c>
      <c r="V900" s="20" t="str">
        <f aca="false">IF($A900="","",IF($A900='Client Report'!$C$4,COUNTIFS($A$6:$A900,'Client Report'!$C$4),""))</f>
        <v/>
      </c>
    </row>
    <row r="901" customFormat="false" ht="15" hidden="false" customHeight="false" outlineLevel="0" collapsed="false">
      <c r="A901" s="11"/>
      <c r="B901" s="11"/>
      <c r="C901" s="14" t="str">
        <f aca="false">IF($B901="","",IFERROR(TRIM(LEFT($B901,FIND(" - ",$B901)-1)),"Others"))</f>
        <v/>
      </c>
      <c r="D901" s="11"/>
      <c r="E901" s="11"/>
      <c r="F901" s="12"/>
      <c r="G901" s="21"/>
      <c r="H901" s="21"/>
      <c r="I901" s="21"/>
      <c r="J901" s="21"/>
      <c r="K901" s="21"/>
      <c r="L901" s="21"/>
      <c r="M901" s="21"/>
      <c r="N901" s="22"/>
      <c r="O901" s="22"/>
      <c r="P901" s="17" t="str">
        <f aca="false">IF($A901="","",SUM($G901:$I901))</f>
        <v/>
      </c>
      <c r="Q901" s="17" t="str">
        <f aca="false">IF($A901="","",SUM($J901:$L901))</f>
        <v/>
      </c>
      <c r="R901" s="17" t="str">
        <f aca="false">IF($A901="","",($M901+$Q901)-$P901)</f>
        <v/>
      </c>
      <c r="S901" s="18" t="str">
        <f aca="false">IF(OR($A901="",$P901=0),"",$R901/$P901)</f>
        <v/>
      </c>
      <c r="T901" s="23"/>
      <c r="U901" s="14" t="str">
        <f aca="false">IF($A901="","",IF($M901&gt;0,"Live","Exited"))</f>
        <v/>
      </c>
      <c r="V901" s="20" t="str">
        <f aca="false">IF($A901="","",IF($A901='Client Report'!$C$4,COUNTIFS($A$6:$A901,'Client Report'!$C$4),""))</f>
        <v/>
      </c>
    </row>
    <row r="902" customFormat="false" ht="15" hidden="false" customHeight="false" outlineLevel="0" collapsed="false">
      <c r="A902" s="11"/>
      <c r="B902" s="11"/>
      <c r="C902" s="14" t="str">
        <f aca="false">IF($B902="","",IFERROR(TRIM(LEFT($B902,FIND(" - ",$B902)-1)),"Others"))</f>
        <v/>
      </c>
      <c r="D902" s="11"/>
      <c r="E902" s="11"/>
      <c r="F902" s="12"/>
      <c r="G902" s="21"/>
      <c r="H902" s="21"/>
      <c r="I902" s="21"/>
      <c r="J902" s="21"/>
      <c r="K902" s="21"/>
      <c r="L902" s="21"/>
      <c r="M902" s="21"/>
      <c r="N902" s="22"/>
      <c r="O902" s="22"/>
      <c r="P902" s="17" t="str">
        <f aca="false">IF($A902="","",SUM($G902:$I902))</f>
        <v/>
      </c>
      <c r="Q902" s="17" t="str">
        <f aca="false">IF($A902="","",SUM($J902:$L902))</f>
        <v/>
      </c>
      <c r="R902" s="17" t="str">
        <f aca="false">IF($A902="","",($M902+$Q902)-$P902)</f>
        <v/>
      </c>
      <c r="S902" s="18" t="str">
        <f aca="false">IF(OR($A902="",$P902=0),"",$R902/$P902)</f>
        <v/>
      </c>
      <c r="T902" s="23"/>
      <c r="U902" s="14" t="str">
        <f aca="false">IF($A902="","",IF($M902&gt;0,"Live","Exited"))</f>
        <v/>
      </c>
      <c r="V902" s="20" t="str">
        <f aca="false">IF($A902="","",IF($A902='Client Report'!$C$4,COUNTIFS($A$6:$A902,'Client Report'!$C$4),""))</f>
        <v/>
      </c>
    </row>
    <row r="903" customFormat="false" ht="15" hidden="false" customHeight="false" outlineLevel="0" collapsed="false">
      <c r="A903" s="11"/>
      <c r="B903" s="11"/>
      <c r="C903" s="14" t="str">
        <f aca="false">IF($B903="","",IFERROR(TRIM(LEFT($B903,FIND(" - ",$B903)-1)),"Others"))</f>
        <v/>
      </c>
      <c r="D903" s="11"/>
      <c r="E903" s="11"/>
      <c r="F903" s="12"/>
      <c r="G903" s="21"/>
      <c r="H903" s="21"/>
      <c r="I903" s="21"/>
      <c r="J903" s="21"/>
      <c r="K903" s="21"/>
      <c r="L903" s="21"/>
      <c r="M903" s="21"/>
      <c r="N903" s="22"/>
      <c r="O903" s="22"/>
      <c r="P903" s="17" t="str">
        <f aca="false">IF($A903="","",SUM($G903:$I903))</f>
        <v/>
      </c>
      <c r="Q903" s="17" t="str">
        <f aca="false">IF($A903="","",SUM($J903:$L903))</f>
        <v/>
      </c>
      <c r="R903" s="17" t="str">
        <f aca="false">IF($A903="","",($M903+$Q903)-$P903)</f>
        <v/>
      </c>
      <c r="S903" s="18" t="str">
        <f aca="false">IF(OR($A903="",$P903=0),"",$R903/$P903)</f>
        <v/>
      </c>
      <c r="T903" s="23"/>
      <c r="U903" s="14" t="str">
        <f aca="false">IF($A903="","",IF($M903&gt;0,"Live","Exited"))</f>
        <v/>
      </c>
      <c r="V903" s="20" t="str">
        <f aca="false">IF($A903="","",IF($A903='Client Report'!$C$4,COUNTIFS($A$6:$A903,'Client Report'!$C$4),""))</f>
        <v/>
      </c>
    </row>
    <row r="904" customFormat="false" ht="15" hidden="false" customHeight="false" outlineLevel="0" collapsed="false">
      <c r="A904" s="11"/>
      <c r="B904" s="11"/>
      <c r="C904" s="14" t="str">
        <f aca="false">IF($B904="","",IFERROR(TRIM(LEFT($B904,FIND(" - ",$B904)-1)),"Others"))</f>
        <v/>
      </c>
      <c r="D904" s="11"/>
      <c r="E904" s="11"/>
      <c r="F904" s="12"/>
      <c r="G904" s="21"/>
      <c r="H904" s="21"/>
      <c r="I904" s="21"/>
      <c r="J904" s="21"/>
      <c r="K904" s="21"/>
      <c r="L904" s="21"/>
      <c r="M904" s="21"/>
      <c r="N904" s="22"/>
      <c r="O904" s="22"/>
      <c r="P904" s="17" t="str">
        <f aca="false">IF($A904="","",SUM($G904:$I904))</f>
        <v/>
      </c>
      <c r="Q904" s="17" t="str">
        <f aca="false">IF($A904="","",SUM($J904:$L904))</f>
        <v/>
      </c>
      <c r="R904" s="17" t="str">
        <f aca="false">IF($A904="","",($M904+$Q904)-$P904)</f>
        <v/>
      </c>
      <c r="S904" s="18" t="str">
        <f aca="false">IF(OR($A904="",$P904=0),"",$R904/$P904)</f>
        <v/>
      </c>
      <c r="T904" s="23"/>
      <c r="U904" s="14" t="str">
        <f aca="false">IF($A904="","",IF($M904&gt;0,"Live","Exited"))</f>
        <v/>
      </c>
      <c r="V904" s="20" t="str">
        <f aca="false">IF($A904="","",IF($A904='Client Report'!$C$4,COUNTIFS($A$6:$A904,'Client Report'!$C$4),""))</f>
        <v/>
      </c>
    </row>
    <row r="905" customFormat="false" ht="15" hidden="false" customHeight="false" outlineLevel="0" collapsed="false">
      <c r="A905" s="11"/>
      <c r="B905" s="11"/>
      <c r="C905" s="14" t="str">
        <f aca="false">IF($B905="","",IFERROR(TRIM(LEFT($B905,FIND(" - ",$B905)-1)),"Others"))</f>
        <v/>
      </c>
      <c r="D905" s="11"/>
      <c r="E905" s="11"/>
      <c r="F905" s="12"/>
      <c r="G905" s="21"/>
      <c r="H905" s="21"/>
      <c r="I905" s="21"/>
      <c r="J905" s="21"/>
      <c r="K905" s="21"/>
      <c r="L905" s="21"/>
      <c r="M905" s="21"/>
      <c r="N905" s="22"/>
      <c r="O905" s="22"/>
      <c r="P905" s="17" t="str">
        <f aca="false">IF($A905="","",SUM($G905:$I905))</f>
        <v/>
      </c>
      <c r="Q905" s="17" t="str">
        <f aca="false">IF($A905="","",SUM($J905:$L905))</f>
        <v/>
      </c>
      <c r="R905" s="17" t="str">
        <f aca="false">IF($A905="","",($M905+$Q905)-$P905)</f>
        <v/>
      </c>
      <c r="S905" s="18" t="str">
        <f aca="false">IF(OR($A905="",$P905=0),"",$R905/$P905)</f>
        <v/>
      </c>
      <c r="T905" s="23"/>
      <c r="U905" s="14" t="str">
        <f aca="false">IF($A905="","",IF($M905&gt;0,"Live","Exited"))</f>
        <v/>
      </c>
      <c r="V905" s="20" t="str">
        <f aca="false">IF($A905="","",IF($A905='Client Report'!$C$4,COUNTIFS($A$6:$A905,'Client Report'!$C$4),""))</f>
        <v/>
      </c>
    </row>
    <row r="906" customFormat="false" ht="15" hidden="false" customHeight="false" outlineLevel="0" collapsed="false">
      <c r="A906" s="11"/>
      <c r="B906" s="11"/>
      <c r="C906" s="14" t="str">
        <f aca="false">IF($B906="","",IFERROR(TRIM(LEFT($B906,FIND(" - ",$B906)-1)),"Others"))</f>
        <v/>
      </c>
      <c r="D906" s="11"/>
      <c r="E906" s="11"/>
      <c r="F906" s="12"/>
      <c r="G906" s="21"/>
      <c r="H906" s="21"/>
      <c r="I906" s="21"/>
      <c r="J906" s="21"/>
      <c r="K906" s="21"/>
      <c r="L906" s="21"/>
      <c r="M906" s="21"/>
      <c r="N906" s="22"/>
      <c r="O906" s="22"/>
      <c r="P906" s="17" t="str">
        <f aca="false">IF($A906="","",SUM($G906:$I906))</f>
        <v/>
      </c>
      <c r="Q906" s="17" t="str">
        <f aca="false">IF($A906="","",SUM($J906:$L906))</f>
        <v/>
      </c>
      <c r="R906" s="17" t="str">
        <f aca="false">IF($A906="","",($M906+$Q906)-$P906)</f>
        <v/>
      </c>
      <c r="S906" s="18" t="str">
        <f aca="false">IF(OR($A906="",$P906=0),"",$R906/$P906)</f>
        <v/>
      </c>
      <c r="T906" s="23"/>
      <c r="U906" s="14" t="str">
        <f aca="false">IF($A906="","",IF($M906&gt;0,"Live","Exited"))</f>
        <v/>
      </c>
      <c r="V906" s="20" t="str">
        <f aca="false">IF($A906="","",IF($A906='Client Report'!$C$4,COUNTIFS($A$6:$A906,'Client Report'!$C$4),""))</f>
        <v/>
      </c>
    </row>
    <row r="907" customFormat="false" ht="15" hidden="false" customHeight="false" outlineLevel="0" collapsed="false">
      <c r="A907" s="11"/>
      <c r="B907" s="11"/>
      <c r="C907" s="14" t="str">
        <f aca="false">IF($B907="","",IFERROR(TRIM(LEFT($B907,FIND(" - ",$B907)-1)),"Others"))</f>
        <v/>
      </c>
      <c r="D907" s="11"/>
      <c r="E907" s="11"/>
      <c r="F907" s="12"/>
      <c r="G907" s="21"/>
      <c r="H907" s="21"/>
      <c r="I907" s="21"/>
      <c r="J907" s="21"/>
      <c r="K907" s="21"/>
      <c r="L907" s="21"/>
      <c r="M907" s="21"/>
      <c r="N907" s="22"/>
      <c r="O907" s="22"/>
      <c r="P907" s="17" t="str">
        <f aca="false">IF($A907="","",SUM($G907:$I907))</f>
        <v/>
      </c>
      <c r="Q907" s="17" t="str">
        <f aca="false">IF($A907="","",SUM($J907:$L907))</f>
        <v/>
      </c>
      <c r="R907" s="17" t="str">
        <f aca="false">IF($A907="","",($M907+$Q907)-$P907)</f>
        <v/>
      </c>
      <c r="S907" s="18" t="str">
        <f aca="false">IF(OR($A907="",$P907=0),"",$R907/$P907)</f>
        <v/>
      </c>
      <c r="T907" s="23"/>
      <c r="U907" s="14" t="str">
        <f aca="false">IF($A907="","",IF($M907&gt;0,"Live","Exited"))</f>
        <v/>
      </c>
      <c r="V907" s="20" t="str">
        <f aca="false">IF($A907="","",IF($A907='Client Report'!$C$4,COUNTIFS($A$6:$A907,'Client Report'!$C$4),""))</f>
        <v/>
      </c>
    </row>
    <row r="908" customFormat="false" ht="15" hidden="false" customHeight="false" outlineLevel="0" collapsed="false">
      <c r="A908" s="11"/>
      <c r="B908" s="11"/>
      <c r="C908" s="14" t="str">
        <f aca="false">IF($B908="","",IFERROR(TRIM(LEFT($B908,FIND(" - ",$B908)-1)),"Others"))</f>
        <v/>
      </c>
      <c r="D908" s="11"/>
      <c r="E908" s="11"/>
      <c r="F908" s="12"/>
      <c r="G908" s="21"/>
      <c r="H908" s="21"/>
      <c r="I908" s="21"/>
      <c r="J908" s="21"/>
      <c r="K908" s="21"/>
      <c r="L908" s="21"/>
      <c r="M908" s="21"/>
      <c r="N908" s="22"/>
      <c r="O908" s="22"/>
      <c r="P908" s="17" t="str">
        <f aca="false">IF($A908="","",SUM($G908:$I908))</f>
        <v/>
      </c>
      <c r="Q908" s="17" t="str">
        <f aca="false">IF($A908="","",SUM($J908:$L908))</f>
        <v/>
      </c>
      <c r="R908" s="17" t="str">
        <f aca="false">IF($A908="","",($M908+$Q908)-$P908)</f>
        <v/>
      </c>
      <c r="S908" s="18" t="str">
        <f aca="false">IF(OR($A908="",$P908=0),"",$R908/$P908)</f>
        <v/>
      </c>
      <c r="T908" s="23"/>
      <c r="U908" s="14" t="str">
        <f aca="false">IF($A908="","",IF($M908&gt;0,"Live","Exited"))</f>
        <v/>
      </c>
      <c r="V908" s="20" t="str">
        <f aca="false">IF($A908="","",IF($A908='Client Report'!$C$4,COUNTIFS($A$6:$A908,'Client Report'!$C$4),""))</f>
        <v/>
      </c>
    </row>
    <row r="909" customFormat="false" ht="15" hidden="false" customHeight="false" outlineLevel="0" collapsed="false">
      <c r="A909" s="11"/>
      <c r="B909" s="11"/>
      <c r="C909" s="14" t="str">
        <f aca="false">IF($B909="","",IFERROR(TRIM(LEFT($B909,FIND(" - ",$B909)-1)),"Others"))</f>
        <v/>
      </c>
      <c r="D909" s="11"/>
      <c r="E909" s="11"/>
      <c r="F909" s="12"/>
      <c r="G909" s="21"/>
      <c r="H909" s="21"/>
      <c r="I909" s="21"/>
      <c r="J909" s="21"/>
      <c r="K909" s="21"/>
      <c r="L909" s="21"/>
      <c r="M909" s="21"/>
      <c r="N909" s="22"/>
      <c r="O909" s="22"/>
      <c r="P909" s="17" t="str">
        <f aca="false">IF($A909="","",SUM($G909:$I909))</f>
        <v/>
      </c>
      <c r="Q909" s="17" t="str">
        <f aca="false">IF($A909="","",SUM($J909:$L909))</f>
        <v/>
      </c>
      <c r="R909" s="17" t="str">
        <f aca="false">IF($A909="","",($M909+$Q909)-$P909)</f>
        <v/>
      </c>
      <c r="S909" s="18" t="str">
        <f aca="false">IF(OR($A909="",$P909=0),"",$R909/$P909)</f>
        <v/>
      </c>
      <c r="T909" s="23"/>
      <c r="U909" s="14" t="str">
        <f aca="false">IF($A909="","",IF($M909&gt;0,"Live","Exited"))</f>
        <v/>
      </c>
      <c r="V909" s="20" t="str">
        <f aca="false">IF($A909="","",IF($A909='Client Report'!$C$4,COUNTIFS($A$6:$A909,'Client Report'!$C$4),""))</f>
        <v/>
      </c>
    </row>
    <row r="910" customFormat="false" ht="15" hidden="false" customHeight="false" outlineLevel="0" collapsed="false">
      <c r="A910" s="11"/>
      <c r="B910" s="11"/>
      <c r="C910" s="14" t="str">
        <f aca="false">IF($B910="","",IFERROR(TRIM(LEFT($B910,FIND(" - ",$B910)-1)),"Others"))</f>
        <v/>
      </c>
      <c r="D910" s="11"/>
      <c r="E910" s="11"/>
      <c r="F910" s="12"/>
      <c r="G910" s="21"/>
      <c r="H910" s="21"/>
      <c r="I910" s="21"/>
      <c r="J910" s="21"/>
      <c r="K910" s="21"/>
      <c r="L910" s="21"/>
      <c r="M910" s="21"/>
      <c r="N910" s="22"/>
      <c r="O910" s="22"/>
      <c r="P910" s="17" t="str">
        <f aca="false">IF($A910="","",SUM($G910:$I910))</f>
        <v/>
      </c>
      <c r="Q910" s="17" t="str">
        <f aca="false">IF($A910="","",SUM($J910:$L910))</f>
        <v/>
      </c>
      <c r="R910" s="17" t="str">
        <f aca="false">IF($A910="","",($M910+$Q910)-$P910)</f>
        <v/>
      </c>
      <c r="S910" s="18" t="str">
        <f aca="false">IF(OR($A910="",$P910=0),"",$R910/$P910)</f>
        <v/>
      </c>
      <c r="T910" s="23"/>
      <c r="U910" s="14" t="str">
        <f aca="false">IF($A910="","",IF($M910&gt;0,"Live","Exited"))</f>
        <v/>
      </c>
      <c r="V910" s="20" t="str">
        <f aca="false">IF($A910="","",IF($A910='Client Report'!$C$4,COUNTIFS($A$6:$A910,'Client Report'!$C$4),""))</f>
        <v/>
      </c>
    </row>
    <row r="911" customFormat="false" ht="15" hidden="false" customHeight="false" outlineLevel="0" collapsed="false">
      <c r="A911" s="11"/>
      <c r="B911" s="11"/>
      <c r="C911" s="14" t="str">
        <f aca="false">IF($B911="","",IFERROR(TRIM(LEFT($B911,FIND(" - ",$B911)-1)),"Others"))</f>
        <v/>
      </c>
      <c r="D911" s="11"/>
      <c r="E911" s="11"/>
      <c r="F911" s="12"/>
      <c r="G911" s="21"/>
      <c r="H911" s="21"/>
      <c r="I911" s="21"/>
      <c r="J911" s="21"/>
      <c r="K911" s="21"/>
      <c r="L911" s="21"/>
      <c r="M911" s="21"/>
      <c r="N911" s="22"/>
      <c r="O911" s="22"/>
      <c r="P911" s="17" t="str">
        <f aca="false">IF($A911="","",SUM($G911:$I911))</f>
        <v/>
      </c>
      <c r="Q911" s="17" t="str">
        <f aca="false">IF($A911="","",SUM($J911:$L911))</f>
        <v/>
      </c>
      <c r="R911" s="17" t="str">
        <f aca="false">IF($A911="","",($M911+$Q911)-$P911)</f>
        <v/>
      </c>
      <c r="S911" s="18" t="str">
        <f aca="false">IF(OR($A911="",$P911=0),"",$R911/$P911)</f>
        <v/>
      </c>
      <c r="T911" s="23"/>
      <c r="U911" s="14" t="str">
        <f aca="false">IF($A911="","",IF($M911&gt;0,"Live","Exited"))</f>
        <v/>
      </c>
      <c r="V911" s="20" t="str">
        <f aca="false">IF($A911="","",IF($A911='Client Report'!$C$4,COUNTIFS($A$6:$A911,'Client Report'!$C$4),""))</f>
        <v/>
      </c>
    </row>
    <row r="912" customFormat="false" ht="15" hidden="false" customHeight="false" outlineLevel="0" collapsed="false">
      <c r="A912" s="11"/>
      <c r="B912" s="11"/>
      <c r="C912" s="14" t="str">
        <f aca="false">IF($B912="","",IFERROR(TRIM(LEFT($B912,FIND(" - ",$B912)-1)),"Others"))</f>
        <v/>
      </c>
      <c r="D912" s="11"/>
      <c r="E912" s="11"/>
      <c r="F912" s="12"/>
      <c r="G912" s="21"/>
      <c r="H912" s="21"/>
      <c r="I912" s="21"/>
      <c r="J912" s="21"/>
      <c r="K912" s="21"/>
      <c r="L912" s="21"/>
      <c r="M912" s="21"/>
      <c r="N912" s="22"/>
      <c r="O912" s="22"/>
      <c r="P912" s="17" t="str">
        <f aca="false">IF($A912="","",SUM($G912:$I912))</f>
        <v/>
      </c>
      <c r="Q912" s="17" t="str">
        <f aca="false">IF($A912="","",SUM($J912:$L912))</f>
        <v/>
      </c>
      <c r="R912" s="17" t="str">
        <f aca="false">IF($A912="","",($M912+$Q912)-$P912)</f>
        <v/>
      </c>
      <c r="S912" s="18" t="str">
        <f aca="false">IF(OR($A912="",$P912=0),"",$R912/$P912)</f>
        <v/>
      </c>
      <c r="T912" s="23"/>
      <c r="U912" s="14" t="str">
        <f aca="false">IF($A912="","",IF($M912&gt;0,"Live","Exited"))</f>
        <v/>
      </c>
      <c r="V912" s="20" t="str">
        <f aca="false">IF($A912="","",IF($A912='Client Report'!$C$4,COUNTIFS($A$6:$A912,'Client Report'!$C$4),""))</f>
        <v/>
      </c>
    </row>
    <row r="913" customFormat="false" ht="15" hidden="false" customHeight="false" outlineLevel="0" collapsed="false">
      <c r="A913" s="11"/>
      <c r="B913" s="11"/>
      <c r="C913" s="14" t="str">
        <f aca="false">IF($B913="","",IFERROR(TRIM(LEFT($B913,FIND(" - ",$B913)-1)),"Others"))</f>
        <v/>
      </c>
      <c r="D913" s="11"/>
      <c r="E913" s="11"/>
      <c r="F913" s="12"/>
      <c r="G913" s="21"/>
      <c r="H913" s="21"/>
      <c r="I913" s="21"/>
      <c r="J913" s="21"/>
      <c r="K913" s="21"/>
      <c r="L913" s="21"/>
      <c r="M913" s="21"/>
      <c r="N913" s="22"/>
      <c r="O913" s="22"/>
      <c r="P913" s="17" t="str">
        <f aca="false">IF($A913="","",SUM($G913:$I913))</f>
        <v/>
      </c>
      <c r="Q913" s="17" t="str">
        <f aca="false">IF($A913="","",SUM($J913:$L913))</f>
        <v/>
      </c>
      <c r="R913" s="17" t="str">
        <f aca="false">IF($A913="","",($M913+$Q913)-$P913)</f>
        <v/>
      </c>
      <c r="S913" s="18" t="str">
        <f aca="false">IF(OR($A913="",$P913=0),"",$R913/$P913)</f>
        <v/>
      </c>
      <c r="T913" s="23"/>
      <c r="U913" s="14" t="str">
        <f aca="false">IF($A913="","",IF($M913&gt;0,"Live","Exited"))</f>
        <v/>
      </c>
      <c r="V913" s="20" t="str">
        <f aca="false">IF($A913="","",IF($A913='Client Report'!$C$4,COUNTIFS($A$6:$A913,'Client Report'!$C$4),""))</f>
        <v/>
      </c>
    </row>
    <row r="914" customFormat="false" ht="15" hidden="false" customHeight="false" outlineLevel="0" collapsed="false">
      <c r="A914" s="11"/>
      <c r="B914" s="11"/>
      <c r="C914" s="14" t="str">
        <f aca="false">IF($B914="","",IFERROR(TRIM(LEFT($B914,FIND(" - ",$B914)-1)),"Others"))</f>
        <v/>
      </c>
      <c r="D914" s="11"/>
      <c r="E914" s="11"/>
      <c r="F914" s="12"/>
      <c r="G914" s="21"/>
      <c r="H914" s="21"/>
      <c r="I914" s="21"/>
      <c r="J914" s="21"/>
      <c r="K914" s="21"/>
      <c r="L914" s="21"/>
      <c r="M914" s="21"/>
      <c r="N914" s="22"/>
      <c r="O914" s="22"/>
      <c r="P914" s="17" t="str">
        <f aca="false">IF($A914="","",SUM($G914:$I914))</f>
        <v/>
      </c>
      <c r="Q914" s="17" t="str">
        <f aca="false">IF($A914="","",SUM($J914:$L914))</f>
        <v/>
      </c>
      <c r="R914" s="17" t="str">
        <f aca="false">IF($A914="","",($M914+$Q914)-$P914)</f>
        <v/>
      </c>
      <c r="S914" s="18" t="str">
        <f aca="false">IF(OR($A914="",$P914=0),"",$R914/$P914)</f>
        <v/>
      </c>
      <c r="T914" s="23"/>
      <c r="U914" s="14" t="str">
        <f aca="false">IF($A914="","",IF($M914&gt;0,"Live","Exited"))</f>
        <v/>
      </c>
      <c r="V914" s="20" t="str">
        <f aca="false">IF($A914="","",IF($A914='Client Report'!$C$4,COUNTIFS($A$6:$A914,'Client Report'!$C$4),""))</f>
        <v/>
      </c>
    </row>
    <row r="915" customFormat="false" ht="15" hidden="false" customHeight="false" outlineLevel="0" collapsed="false">
      <c r="A915" s="11"/>
      <c r="B915" s="11"/>
      <c r="C915" s="14" t="str">
        <f aca="false">IF($B915="","",IFERROR(TRIM(LEFT($B915,FIND(" - ",$B915)-1)),"Others"))</f>
        <v/>
      </c>
      <c r="D915" s="11"/>
      <c r="E915" s="11"/>
      <c r="F915" s="12"/>
      <c r="G915" s="21"/>
      <c r="H915" s="21"/>
      <c r="I915" s="21"/>
      <c r="J915" s="21"/>
      <c r="K915" s="21"/>
      <c r="L915" s="21"/>
      <c r="M915" s="21"/>
      <c r="N915" s="22"/>
      <c r="O915" s="22"/>
      <c r="P915" s="17" t="str">
        <f aca="false">IF($A915="","",SUM($G915:$I915))</f>
        <v/>
      </c>
      <c r="Q915" s="17" t="str">
        <f aca="false">IF($A915="","",SUM($J915:$L915))</f>
        <v/>
      </c>
      <c r="R915" s="17" t="str">
        <f aca="false">IF($A915="","",($M915+$Q915)-$P915)</f>
        <v/>
      </c>
      <c r="S915" s="18" t="str">
        <f aca="false">IF(OR($A915="",$P915=0),"",$R915/$P915)</f>
        <v/>
      </c>
      <c r="T915" s="23"/>
      <c r="U915" s="14" t="str">
        <f aca="false">IF($A915="","",IF($M915&gt;0,"Live","Exited"))</f>
        <v/>
      </c>
      <c r="V915" s="20" t="str">
        <f aca="false">IF($A915="","",IF($A915='Client Report'!$C$4,COUNTIFS($A$6:$A915,'Client Report'!$C$4),""))</f>
        <v/>
      </c>
    </row>
    <row r="916" customFormat="false" ht="15" hidden="false" customHeight="false" outlineLevel="0" collapsed="false">
      <c r="A916" s="11"/>
      <c r="B916" s="11"/>
      <c r="C916" s="14" t="str">
        <f aca="false">IF($B916="","",IFERROR(TRIM(LEFT($B916,FIND(" - ",$B916)-1)),"Others"))</f>
        <v/>
      </c>
      <c r="D916" s="11"/>
      <c r="E916" s="11"/>
      <c r="F916" s="12"/>
      <c r="G916" s="21"/>
      <c r="H916" s="21"/>
      <c r="I916" s="21"/>
      <c r="J916" s="21"/>
      <c r="K916" s="21"/>
      <c r="L916" s="21"/>
      <c r="M916" s="21"/>
      <c r="N916" s="22"/>
      <c r="O916" s="22"/>
      <c r="P916" s="17" t="str">
        <f aca="false">IF($A916="","",SUM($G916:$I916))</f>
        <v/>
      </c>
      <c r="Q916" s="17" t="str">
        <f aca="false">IF($A916="","",SUM($J916:$L916))</f>
        <v/>
      </c>
      <c r="R916" s="17" t="str">
        <f aca="false">IF($A916="","",($M916+$Q916)-$P916)</f>
        <v/>
      </c>
      <c r="S916" s="18" t="str">
        <f aca="false">IF(OR($A916="",$P916=0),"",$R916/$P916)</f>
        <v/>
      </c>
      <c r="T916" s="23"/>
      <c r="U916" s="14" t="str">
        <f aca="false">IF($A916="","",IF($M916&gt;0,"Live","Exited"))</f>
        <v/>
      </c>
      <c r="V916" s="20" t="str">
        <f aca="false">IF($A916="","",IF($A916='Client Report'!$C$4,COUNTIFS($A$6:$A916,'Client Report'!$C$4),""))</f>
        <v/>
      </c>
    </row>
    <row r="917" customFormat="false" ht="15" hidden="false" customHeight="false" outlineLevel="0" collapsed="false">
      <c r="A917" s="11"/>
      <c r="B917" s="11"/>
      <c r="C917" s="14" t="str">
        <f aca="false">IF($B917="","",IFERROR(TRIM(LEFT($B917,FIND(" - ",$B917)-1)),"Others"))</f>
        <v/>
      </c>
      <c r="D917" s="11"/>
      <c r="E917" s="11"/>
      <c r="F917" s="12"/>
      <c r="G917" s="21"/>
      <c r="H917" s="21"/>
      <c r="I917" s="21"/>
      <c r="J917" s="21"/>
      <c r="K917" s="21"/>
      <c r="L917" s="21"/>
      <c r="M917" s="21"/>
      <c r="N917" s="22"/>
      <c r="O917" s="22"/>
      <c r="P917" s="17" t="str">
        <f aca="false">IF($A917="","",SUM($G917:$I917))</f>
        <v/>
      </c>
      <c r="Q917" s="17" t="str">
        <f aca="false">IF($A917="","",SUM($J917:$L917))</f>
        <v/>
      </c>
      <c r="R917" s="17" t="str">
        <f aca="false">IF($A917="","",($M917+$Q917)-$P917)</f>
        <v/>
      </c>
      <c r="S917" s="18" t="str">
        <f aca="false">IF(OR($A917="",$P917=0),"",$R917/$P917)</f>
        <v/>
      </c>
      <c r="T917" s="23"/>
      <c r="U917" s="14" t="str">
        <f aca="false">IF($A917="","",IF($M917&gt;0,"Live","Exited"))</f>
        <v/>
      </c>
      <c r="V917" s="20" t="str">
        <f aca="false">IF($A917="","",IF($A917='Client Report'!$C$4,COUNTIFS($A$6:$A917,'Client Report'!$C$4),""))</f>
        <v/>
      </c>
    </row>
    <row r="918" customFormat="false" ht="15" hidden="false" customHeight="false" outlineLevel="0" collapsed="false">
      <c r="A918" s="11"/>
      <c r="B918" s="11"/>
      <c r="C918" s="14" t="str">
        <f aca="false">IF($B918="","",IFERROR(TRIM(LEFT($B918,FIND(" - ",$B918)-1)),"Others"))</f>
        <v/>
      </c>
      <c r="D918" s="11"/>
      <c r="E918" s="11"/>
      <c r="F918" s="12"/>
      <c r="G918" s="21"/>
      <c r="H918" s="21"/>
      <c r="I918" s="21"/>
      <c r="J918" s="21"/>
      <c r="K918" s="21"/>
      <c r="L918" s="21"/>
      <c r="M918" s="21"/>
      <c r="N918" s="22"/>
      <c r="O918" s="22"/>
      <c r="P918" s="17" t="str">
        <f aca="false">IF($A918="","",SUM($G918:$I918))</f>
        <v/>
      </c>
      <c r="Q918" s="17" t="str">
        <f aca="false">IF($A918="","",SUM($J918:$L918))</f>
        <v/>
      </c>
      <c r="R918" s="17" t="str">
        <f aca="false">IF($A918="","",($M918+$Q918)-$P918)</f>
        <v/>
      </c>
      <c r="S918" s="18" t="str">
        <f aca="false">IF(OR($A918="",$P918=0),"",$R918/$P918)</f>
        <v/>
      </c>
      <c r="T918" s="23"/>
      <c r="U918" s="14" t="str">
        <f aca="false">IF($A918="","",IF($M918&gt;0,"Live","Exited"))</f>
        <v/>
      </c>
      <c r="V918" s="20" t="str">
        <f aca="false">IF($A918="","",IF($A918='Client Report'!$C$4,COUNTIFS($A$6:$A918,'Client Report'!$C$4),""))</f>
        <v/>
      </c>
    </row>
    <row r="919" customFormat="false" ht="15" hidden="false" customHeight="false" outlineLevel="0" collapsed="false">
      <c r="A919" s="11"/>
      <c r="B919" s="11"/>
      <c r="C919" s="14" t="str">
        <f aca="false">IF($B919="","",IFERROR(TRIM(LEFT($B919,FIND(" - ",$B919)-1)),"Others"))</f>
        <v/>
      </c>
      <c r="D919" s="11"/>
      <c r="E919" s="11"/>
      <c r="F919" s="12"/>
      <c r="G919" s="21"/>
      <c r="H919" s="21"/>
      <c r="I919" s="21"/>
      <c r="J919" s="21"/>
      <c r="K919" s="21"/>
      <c r="L919" s="21"/>
      <c r="M919" s="21"/>
      <c r="N919" s="22"/>
      <c r="O919" s="22"/>
      <c r="P919" s="17" t="str">
        <f aca="false">IF($A919="","",SUM($G919:$I919))</f>
        <v/>
      </c>
      <c r="Q919" s="17" t="str">
        <f aca="false">IF($A919="","",SUM($J919:$L919))</f>
        <v/>
      </c>
      <c r="R919" s="17" t="str">
        <f aca="false">IF($A919="","",($M919+$Q919)-$P919)</f>
        <v/>
      </c>
      <c r="S919" s="18" t="str">
        <f aca="false">IF(OR($A919="",$P919=0),"",$R919/$P919)</f>
        <v/>
      </c>
      <c r="T919" s="23"/>
      <c r="U919" s="14" t="str">
        <f aca="false">IF($A919="","",IF($M919&gt;0,"Live","Exited"))</f>
        <v/>
      </c>
      <c r="V919" s="20" t="str">
        <f aca="false">IF($A919="","",IF($A919='Client Report'!$C$4,COUNTIFS($A$6:$A919,'Client Report'!$C$4),""))</f>
        <v/>
      </c>
    </row>
    <row r="920" customFormat="false" ht="15" hidden="false" customHeight="false" outlineLevel="0" collapsed="false">
      <c r="A920" s="11"/>
      <c r="B920" s="11"/>
      <c r="C920" s="14" t="str">
        <f aca="false">IF($B920="","",IFERROR(TRIM(LEFT($B920,FIND(" - ",$B920)-1)),"Others"))</f>
        <v/>
      </c>
      <c r="D920" s="11"/>
      <c r="E920" s="11"/>
      <c r="F920" s="12"/>
      <c r="G920" s="21"/>
      <c r="H920" s="21"/>
      <c r="I920" s="21"/>
      <c r="J920" s="21"/>
      <c r="K920" s="21"/>
      <c r="L920" s="21"/>
      <c r="M920" s="21"/>
      <c r="N920" s="22"/>
      <c r="O920" s="22"/>
      <c r="P920" s="17" t="str">
        <f aca="false">IF($A920="","",SUM($G920:$I920))</f>
        <v/>
      </c>
      <c r="Q920" s="17" t="str">
        <f aca="false">IF($A920="","",SUM($J920:$L920))</f>
        <v/>
      </c>
      <c r="R920" s="17" t="str">
        <f aca="false">IF($A920="","",($M920+$Q920)-$P920)</f>
        <v/>
      </c>
      <c r="S920" s="18" t="str">
        <f aca="false">IF(OR($A920="",$P920=0),"",$R920/$P920)</f>
        <v/>
      </c>
      <c r="T920" s="23"/>
      <c r="U920" s="14" t="str">
        <f aca="false">IF($A920="","",IF($M920&gt;0,"Live","Exited"))</f>
        <v/>
      </c>
      <c r="V920" s="20" t="str">
        <f aca="false">IF($A920="","",IF($A920='Client Report'!$C$4,COUNTIFS($A$6:$A920,'Client Report'!$C$4),""))</f>
        <v/>
      </c>
    </row>
    <row r="921" customFormat="false" ht="15" hidden="false" customHeight="false" outlineLevel="0" collapsed="false">
      <c r="A921" s="11"/>
      <c r="B921" s="11"/>
      <c r="C921" s="14" t="str">
        <f aca="false">IF($B921="","",IFERROR(TRIM(LEFT($B921,FIND(" - ",$B921)-1)),"Others"))</f>
        <v/>
      </c>
      <c r="D921" s="11"/>
      <c r="E921" s="11"/>
      <c r="F921" s="12"/>
      <c r="G921" s="21"/>
      <c r="H921" s="21"/>
      <c r="I921" s="21"/>
      <c r="J921" s="21"/>
      <c r="K921" s="21"/>
      <c r="L921" s="21"/>
      <c r="M921" s="21"/>
      <c r="N921" s="22"/>
      <c r="O921" s="22"/>
      <c r="P921" s="17" t="str">
        <f aca="false">IF($A921="","",SUM($G921:$I921))</f>
        <v/>
      </c>
      <c r="Q921" s="17" t="str">
        <f aca="false">IF($A921="","",SUM($J921:$L921))</f>
        <v/>
      </c>
      <c r="R921" s="17" t="str">
        <f aca="false">IF($A921="","",($M921+$Q921)-$P921)</f>
        <v/>
      </c>
      <c r="S921" s="18" t="str">
        <f aca="false">IF(OR($A921="",$P921=0),"",$R921/$P921)</f>
        <v/>
      </c>
      <c r="T921" s="23"/>
      <c r="U921" s="14" t="str">
        <f aca="false">IF($A921="","",IF($M921&gt;0,"Live","Exited"))</f>
        <v/>
      </c>
      <c r="V921" s="20" t="str">
        <f aca="false">IF($A921="","",IF($A921='Client Report'!$C$4,COUNTIFS($A$6:$A921,'Client Report'!$C$4),""))</f>
        <v/>
      </c>
    </row>
    <row r="922" customFormat="false" ht="15" hidden="false" customHeight="false" outlineLevel="0" collapsed="false">
      <c r="A922" s="11"/>
      <c r="B922" s="11"/>
      <c r="C922" s="14" t="str">
        <f aca="false">IF($B922="","",IFERROR(TRIM(LEFT($B922,FIND(" - ",$B922)-1)),"Others"))</f>
        <v/>
      </c>
      <c r="D922" s="11"/>
      <c r="E922" s="11"/>
      <c r="F922" s="12"/>
      <c r="G922" s="21"/>
      <c r="H922" s="21"/>
      <c r="I922" s="21"/>
      <c r="J922" s="21"/>
      <c r="K922" s="21"/>
      <c r="L922" s="21"/>
      <c r="M922" s="21"/>
      <c r="N922" s="22"/>
      <c r="O922" s="22"/>
      <c r="P922" s="17" t="str">
        <f aca="false">IF($A922="","",SUM($G922:$I922))</f>
        <v/>
      </c>
      <c r="Q922" s="17" t="str">
        <f aca="false">IF($A922="","",SUM($J922:$L922))</f>
        <v/>
      </c>
      <c r="R922" s="17" t="str">
        <f aca="false">IF($A922="","",($M922+$Q922)-$P922)</f>
        <v/>
      </c>
      <c r="S922" s="18" t="str">
        <f aca="false">IF(OR($A922="",$P922=0),"",$R922/$P922)</f>
        <v/>
      </c>
      <c r="T922" s="23"/>
      <c r="U922" s="14" t="str">
        <f aca="false">IF($A922="","",IF($M922&gt;0,"Live","Exited"))</f>
        <v/>
      </c>
      <c r="V922" s="20" t="str">
        <f aca="false">IF($A922="","",IF($A922='Client Report'!$C$4,COUNTIFS($A$6:$A922,'Client Report'!$C$4),""))</f>
        <v/>
      </c>
    </row>
    <row r="923" customFormat="false" ht="15" hidden="false" customHeight="false" outlineLevel="0" collapsed="false">
      <c r="A923" s="11"/>
      <c r="B923" s="11"/>
      <c r="C923" s="14" t="str">
        <f aca="false">IF($B923="","",IFERROR(TRIM(LEFT($B923,FIND(" - ",$B923)-1)),"Others"))</f>
        <v/>
      </c>
      <c r="D923" s="11"/>
      <c r="E923" s="11"/>
      <c r="F923" s="12"/>
      <c r="G923" s="21"/>
      <c r="H923" s="21"/>
      <c r="I923" s="21"/>
      <c r="J923" s="21"/>
      <c r="K923" s="21"/>
      <c r="L923" s="21"/>
      <c r="M923" s="21"/>
      <c r="N923" s="22"/>
      <c r="O923" s="22"/>
      <c r="P923" s="17" t="str">
        <f aca="false">IF($A923="","",SUM($G923:$I923))</f>
        <v/>
      </c>
      <c r="Q923" s="17" t="str">
        <f aca="false">IF($A923="","",SUM($J923:$L923))</f>
        <v/>
      </c>
      <c r="R923" s="17" t="str">
        <f aca="false">IF($A923="","",($M923+$Q923)-$P923)</f>
        <v/>
      </c>
      <c r="S923" s="18" t="str">
        <f aca="false">IF(OR($A923="",$P923=0),"",$R923/$P923)</f>
        <v/>
      </c>
      <c r="T923" s="23"/>
      <c r="U923" s="14" t="str">
        <f aca="false">IF($A923="","",IF($M923&gt;0,"Live","Exited"))</f>
        <v/>
      </c>
      <c r="V923" s="20" t="str">
        <f aca="false">IF($A923="","",IF($A923='Client Report'!$C$4,COUNTIFS($A$6:$A923,'Client Report'!$C$4),""))</f>
        <v/>
      </c>
    </row>
    <row r="924" customFormat="false" ht="15" hidden="false" customHeight="false" outlineLevel="0" collapsed="false">
      <c r="A924" s="11"/>
      <c r="B924" s="11"/>
      <c r="C924" s="14" t="str">
        <f aca="false">IF($B924="","",IFERROR(TRIM(LEFT($B924,FIND(" - ",$B924)-1)),"Others"))</f>
        <v/>
      </c>
      <c r="D924" s="11"/>
      <c r="E924" s="11"/>
      <c r="F924" s="12"/>
      <c r="G924" s="21"/>
      <c r="H924" s="21"/>
      <c r="I924" s="21"/>
      <c r="J924" s="21"/>
      <c r="K924" s="21"/>
      <c r="L924" s="21"/>
      <c r="M924" s="21"/>
      <c r="N924" s="22"/>
      <c r="O924" s="22"/>
      <c r="P924" s="17" t="str">
        <f aca="false">IF($A924="","",SUM($G924:$I924))</f>
        <v/>
      </c>
      <c r="Q924" s="17" t="str">
        <f aca="false">IF($A924="","",SUM($J924:$L924))</f>
        <v/>
      </c>
      <c r="R924" s="17" t="str">
        <f aca="false">IF($A924="","",($M924+$Q924)-$P924)</f>
        <v/>
      </c>
      <c r="S924" s="18" t="str">
        <f aca="false">IF(OR($A924="",$P924=0),"",$R924/$P924)</f>
        <v/>
      </c>
      <c r="T924" s="23"/>
      <c r="U924" s="14" t="str">
        <f aca="false">IF($A924="","",IF($M924&gt;0,"Live","Exited"))</f>
        <v/>
      </c>
      <c r="V924" s="20" t="str">
        <f aca="false">IF($A924="","",IF($A924='Client Report'!$C$4,COUNTIFS($A$6:$A924,'Client Report'!$C$4),""))</f>
        <v/>
      </c>
    </row>
    <row r="925" customFormat="false" ht="15" hidden="false" customHeight="false" outlineLevel="0" collapsed="false">
      <c r="A925" s="11"/>
      <c r="B925" s="11"/>
      <c r="C925" s="14" t="str">
        <f aca="false">IF($B925="","",IFERROR(TRIM(LEFT($B925,FIND(" - ",$B925)-1)),"Others"))</f>
        <v/>
      </c>
      <c r="D925" s="11"/>
      <c r="E925" s="11"/>
      <c r="F925" s="12"/>
      <c r="G925" s="21"/>
      <c r="H925" s="21"/>
      <c r="I925" s="21"/>
      <c r="J925" s="21"/>
      <c r="K925" s="21"/>
      <c r="L925" s="21"/>
      <c r="M925" s="21"/>
      <c r="N925" s="22"/>
      <c r="O925" s="22"/>
      <c r="P925" s="17" t="str">
        <f aca="false">IF($A925="","",SUM($G925:$I925))</f>
        <v/>
      </c>
      <c r="Q925" s="17" t="str">
        <f aca="false">IF($A925="","",SUM($J925:$L925))</f>
        <v/>
      </c>
      <c r="R925" s="17" t="str">
        <f aca="false">IF($A925="","",($M925+$Q925)-$P925)</f>
        <v/>
      </c>
      <c r="S925" s="18" t="str">
        <f aca="false">IF(OR($A925="",$P925=0),"",$R925/$P925)</f>
        <v/>
      </c>
      <c r="T925" s="23"/>
      <c r="U925" s="14" t="str">
        <f aca="false">IF($A925="","",IF($M925&gt;0,"Live","Exited"))</f>
        <v/>
      </c>
      <c r="V925" s="20" t="str">
        <f aca="false">IF($A925="","",IF($A925='Client Report'!$C$4,COUNTIFS($A$6:$A925,'Client Report'!$C$4),""))</f>
        <v/>
      </c>
    </row>
    <row r="926" customFormat="false" ht="15" hidden="false" customHeight="false" outlineLevel="0" collapsed="false">
      <c r="A926" s="11"/>
      <c r="B926" s="11"/>
      <c r="C926" s="14" t="str">
        <f aca="false">IF($B926="","",IFERROR(TRIM(LEFT($B926,FIND(" - ",$B926)-1)),"Others"))</f>
        <v/>
      </c>
      <c r="D926" s="11"/>
      <c r="E926" s="11"/>
      <c r="F926" s="12"/>
      <c r="G926" s="21"/>
      <c r="H926" s="21"/>
      <c r="I926" s="21"/>
      <c r="J926" s="21"/>
      <c r="K926" s="21"/>
      <c r="L926" s="21"/>
      <c r="M926" s="21"/>
      <c r="N926" s="22"/>
      <c r="O926" s="22"/>
      <c r="P926" s="17" t="str">
        <f aca="false">IF($A926="","",SUM($G926:$I926))</f>
        <v/>
      </c>
      <c r="Q926" s="17" t="str">
        <f aca="false">IF($A926="","",SUM($J926:$L926))</f>
        <v/>
      </c>
      <c r="R926" s="17" t="str">
        <f aca="false">IF($A926="","",($M926+$Q926)-$P926)</f>
        <v/>
      </c>
      <c r="S926" s="18" t="str">
        <f aca="false">IF(OR($A926="",$P926=0),"",$R926/$P926)</f>
        <v/>
      </c>
      <c r="T926" s="23"/>
      <c r="U926" s="14" t="str">
        <f aca="false">IF($A926="","",IF($M926&gt;0,"Live","Exited"))</f>
        <v/>
      </c>
      <c r="V926" s="20" t="str">
        <f aca="false">IF($A926="","",IF($A926='Client Report'!$C$4,COUNTIFS($A$6:$A926,'Client Report'!$C$4),""))</f>
        <v/>
      </c>
    </row>
    <row r="927" customFormat="false" ht="15" hidden="false" customHeight="false" outlineLevel="0" collapsed="false">
      <c r="A927" s="11"/>
      <c r="B927" s="11"/>
      <c r="C927" s="14" t="str">
        <f aca="false">IF($B927="","",IFERROR(TRIM(LEFT($B927,FIND(" - ",$B927)-1)),"Others"))</f>
        <v/>
      </c>
      <c r="D927" s="11"/>
      <c r="E927" s="11"/>
      <c r="F927" s="12"/>
      <c r="G927" s="21"/>
      <c r="H927" s="21"/>
      <c r="I927" s="21"/>
      <c r="J927" s="21"/>
      <c r="K927" s="21"/>
      <c r="L927" s="21"/>
      <c r="M927" s="21"/>
      <c r="N927" s="22"/>
      <c r="O927" s="22"/>
      <c r="P927" s="17" t="str">
        <f aca="false">IF($A927="","",SUM($G927:$I927))</f>
        <v/>
      </c>
      <c r="Q927" s="17" t="str">
        <f aca="false">IF($A927="","",SUM($J927:$L927))</f>
        <v/>
      </c>
      <c r="R927" s="17" t="str">
        <f aca="false">IF($A927="","",($M927+$Q927)-$P927)</f>
        <v/>
      </c>
      <c r="S927" s="18" t="str">
        <f aca="false">IF(OR($A927="",$P927=0),"",$R927/$P927)</f>
        <v/>
      </c>
      <c r="T927" s="23"/>
      <c r="U927" s="14" t="str">
        <f aca="false">IF($A927="","",IF($M927&gt;0,"Live","Exited"))</f>
        <v/>
      </c>
      <c r="V927" s="20" t="str">
        <f aca="false">IF($A927="","",IF($A927='Client Report'!$C$4,COUNTIFS($A$6:$A927,'Client Report'!$C$4),""))</f>
        <v/>
      </c>
    </row>
    <row r="928" customFormat="false" ht="15" hidden="false" customHeight="false" outlineLevel="0" collapsed="false">
      <c r="A928" s="11"/>
      <c r="B928" s="11"/>
      <c r="C928" s="14" t="str">
        <f aca="false">IF($B928="","",IFERROR(TRIM(LEFT($B928,FIND(" - ",$B928)-1)),"Others"))</f>
        <v/>
      </c>
      <c r="D928" s="11"/>
      <c r="E928" s="11"/>
      <c r="F928" s="12"/>
      <c r="G928" s="21"/>
      <c r="H928" s="21"/>
      <c r="I928" s="21"/>
      <c r="J928" s="21"/>
      <c r="K928" s="21"/>
      <c r="L928" s="21"/>
      <c r="M928" s="21"/>
      <c r="N928" s="22"/>
      <c r="O928" s="22"/>
      <c r="P928" s="17" t="str">
        <f aca="false">IF($A928="","",SUM($G928:$I928))</f>
        <v/>
      </c>
      <c r="Q928" s="17" t="str">
        <f aca="false">IF($A928="","",SUM($J928:$L928))</f>
        <v/>
      </c>
      <c r="R928" s="17" t="str">
        <f aca="false">IF($A928="","",($M928+$Q928)-$P928)</f>
        <v/>
      </c>
      <c r="S928" s="18" t="str">
        <f aca="false">IF(OR($A928="",$P928=0),"",$R928/$P928)</f>
        <v/>
      </c>
      <c r="T928" s="23"/>
      <c r="U928" s="14" t="str">
        <f aca="false">IF($A928="","",IF($M928&gt;0,"Live","Exited"))</f>
        <v/>
      </c>
      <c r="V928" s="20" t="str">
        <f aca="false">IF($A928="","",IF($A928='Client Report'!$C$4,COUNTIFS($A$6:$A928,'Client Report'!$C$4),""))</f>
        <v/>
      </c>
    </row>
    <row r="929" customFormat="false" ht="15" hidden="false" customHeight="false" outlineLevel="0" collapsed="false">
      <c r="A929" s="11"/>
      <c r="B929" s="11"/>
      <c r="C929" s="14" t="str">
        <f aca="false">IF($B929="","",IFERROR(TRIM(LEFT($B929,FIND(" - ",$B929)-1)),"Others"))</f>
        <v/>
      </c>
      <c r="D929" s="11"/>
      <c r="E929" s="11"/>
      <c r="F929" s="12"/>
      <c r="G929" s="21"/>
      <c r="H929" s="21"/>
      <c r="I929" s="21"/>
      <c r="J929" s="21"/>
      <c r="K929" s="21"/>
      <c r="L929" s="21"/>
      <c r="M929" s="21"/>
      <c r="N929" s="22"/>
      <c r="O929" s="22"/>
      <c r="P929" s="17" t="str">
        <f aca="false">IF($A929="","",SUM($G929:$I929))</f>
        <v/>
      </c>
      <c r="Q929" s="17" t="str">
        <f aca="false">IF($A929="","",SUM($J929:$L929))</f>
        <v/>
      </c>
      <c r="R929" s="17" t="str">
        <f aca="false">IF($A929="","",($M929+$Q929)-$P929)</f>
        <v/>
      </c>
      <c r="S929" s="18" t="str">
        <f aca="false">IF(OR($A929="",$P929=0),"",$R929/$P929)</f>
        <v/>
      </c>
      <c r="T929" s="23"/>
      <c r="U929" s="14" t="str">
        <f aca="false">IF($A929="","",IF($M929&gt;0,"Live","Exited"))</f>
        <v/>
      </c>
      <c r="V929" s="20" t="str">
        <f aca="false">IF($A929="","",IF($A929='Client Report'!$C$4,COUNTIFS($A$6:$A929,'Client Report'!$C$4),""))</f>
        <v/>
      </c>
    </row>
    <row r="930" customFormat="false" ht="15" hidden="false" customHeight="false" outlineLevel="0" collapsed="false">
      <c r="A930" s="11"/>
      <c r="B930" s="11"/>
      <c r="C930" s="14" t="str">
        <f aca="false">IF($B930="","",IFERROR(TRIM(LEFT($B930,FIND(" - ",$B930)-1)),"Others"))</f>
        <v/>
      </c>
      <c r="D930" s="11"/>
      <c r="E930" s="11"/>
      <c r="F930" s="12"/>
      <c r="G930" s="21"/>
      <c r="H930" s="21"/>
      <c r="I930" s="21"/>
      <c r="J930" s="21"/>
      <c r="K930" s="21"/>
      <c r="L930" s="21"/>
      <c r="M930" s="21"/>
      <c r="N930" s="22"/>
      <c r="O930" s="22"/>
      <c r="P930" s="17" t="str">
        <f aca="false">IF($A930="","",SUM($G930:$I930))</f>
        <v/>
      </c>
      <c r="Q930" s="17" t="str">
        <f aca="false">IF($A930="","",SUM($J930:$L930))</f>
        <v/>
      </c>
      <c r="R930" s="17" t="str">
        <f aca="false">IF($A930="","",($M930+$Q930)-$P930)</f>
        <v/>
      </c>
      <c r="S930" s="18" t="str">
        <f aca="false">IF(OR($A930="",$P930=0),"",$R930/$P930)</f>
        <v/>
      </c>
      <c r="T930" s="23"/>
      <c r="U930" s="14" t="str">
        <f aca="false">IF($A930="","",IF($M930&gt;0,"Live","Exited"))</f>
        <v/>
      </c>
      <c r="V930" s="20" t="str">
        <f aca="false">IF($A930="","",IF($A930='Client Report'!$C$4,COUNTIFS($A$6:$A930,'Client Report'!$C$4),""))</f>
        <v/>
      </c>
    </row>
    <row r="931" customFormat="false" ht="15" hidden="false" customHeight="false" outlineLevel="0" collapsed="false">
      <c r="A931" s="11"/>
      <c r="B931" s="11"/>
      <c r="C931" s="14" t="str">
        <f aca="false">IF($B931="","",IFERROR(TRIM(LEFT($B931,FIND(" - ",$B931)-1)),"Others"))</f>
        <v/>
      </c>
      <c r="D931" s="11"/>
      <c r="E931" s="11"/>
      <c r="F931" s="12"/>
      <c r="G931" s="21"/>
      <c r="H931" s="21"/>
      <c r="I931" s="21"/>
      <c r="J931" s="21"/>
      <c r="K931" s="21"/>
      <c r="L931" s="21"/>
      <c r="M931" s="21"/>
      <c r="N931" s="22"/>
      <c r="O931" s="22"/>
      <c r="P931" s="17" t="str">
        <f aca="false">IF($A931="","",SUM($G931:$I931))</f>
        <v/>
      </c>
      <c r="Q931" s="17" t="str">
        <f aca="false">IF($A931="","",SUM($J931:$L931))</f>
        <v/>
      </c>
      <c r="R931" s="17" t="str">
        <f aca="false">IF($A931="","",($M931+$Q931)-$P931)</f>
        <v/>
      </c>
      <c r="S931" s="18" t="str">
        <f aca="false">IF(OR($A931="",$P931=0),"",$R931/$P931)</f>
        <v/>
      </c>
      <c r="T931" s="23"/>
      <c r="U931" s="14" t="str">
        <f aca="false">IF($A931="","",IF($M931&gt;0,"Live","Exited"))</f>
        <v/>
      </c>
      <c r="V931" s="20" t="str">
        <f aca="false">IF($A931="","",IF($A931='Client Report'!$C$4,COUNTIFS($A$6:$A931,'Client Report'!$C$4),""))</f>
        <v/>
      </c>
    </row>
    <row r="932" customFormat="false" ht="15" hidden="false" customHeight="false" outlineLevel="0" collapsed="false">
      <c r="A932" s="11"/>
      <c r="B932" s="11"/>
      <c r="C932" s="14" t="str">
        <f aca="false">IF($B932="","",IFERROR(TRIM(LEFT($B932,FIND(" - ",$B932)-1)),"Others"))</f>
        <v/>
      </c>
      <c r="D932" s="11"/>
      <c r="E932" s="11"/>
      <c r="F932" s="12"/>
      <c r="G932" s="21"/>
      <c r="H932" s="21"/>
      <c r="I932" s="21"/>
      <c r="J932" s="21"/>
      <c r="K932" s="21"/>
      <c r="L932" s="21"/>
      <c r="M932" s="21"/>
      <c r="N932" s="22"/>
      <c r="O932" s="22"/>
      <c r="P932" s="17" t="str">
        <f aca="false">IF($A932="","",SUM($G932:$I932))</f>
        <v/>
      </c>
      <c r="Q932" s="17" t="str">
        <f aca="false">IF($A932="","",SUM($J932:$L932))</f>
        <v/>
      </c>
      <c r="R932" s="17" t="str">
        <f aca="false">IF($A932="","",($M932+$Q932)-$P932)</f>
        <v/>
      </c>
      <c r="S932" s="18" t="str">
        <f aca="false">IF(OR($A932="",$P932=0),"",$R932/$P932)</f>
        <v/>
      </c>
      <c r="T932" s="23"/>
      <c r="U932" s="14" t="str">
        <f aca="false">IF($A932="","",IF($M932&gt;0,"Live","Exited"))</f>
        <v/>
      </c>
      <c r="V932" s="20" t="str">
        <f aca="false">IF($A932="","",IF($A932='Client Report'!$C$4,COUNTIFS($A$6:$A932,'Client Report'!$C$4),""))</f>
        <v/>
      </c>
    </row>
    <row r="933" customFormat="false" ht="15" hidden="false" customHeight="false" outlineLevel="0" collapsed="false">
      <c r="A933" s="11"/>
      <c r="B933" s="11"/>
      <c r="C933" s="14" t="str">
        <f aca="false">IF($B933="","",IFERROR(TRIM(LEFT($B933,FIND(" - ",$B933)-1)),"Others"))</f>
        <v/>
      </c>
      <c r="D933" s="11"/>
      <c r="E933" s="11"/>
      <c r="F933" s="12"/>
      <c r="G933" s="21"/>
      <c r="H933" s="21"/>
      <c r="I933" s="21"/>
      <c r="J933" s="21"/>
      <c r="K933" s="21"/>
      <c r="L933" s="21"/>
      <c r="M933" s="21"/>
      <c r="N933" s="22"/>
      <c r="O933" s="22"/>
      <c r="P933" s="17" t="str">
        <f aca="false">IF($A933="","",SUM($G933:$I933))</f>
        <v/>
      </c>
      <c r="Q933" s="17" t="str">
        <f aca="false">IF($A933="","",SUM($J933:$L933))</f>
        <v/>
      </c>
      <c r="R933" s="17" t="str">
        <f aca="false">IF($A933="","",($M933+$Q933)-$P933)</f>
        <v/>
      </c>
      <c r="S933" s="18" t="str">
        <f aca="false">IF(OR($A933="",$P933=0),"",$R933/$P933)</f>
        <v/>
      </c>
      <c r="T933" s="23"/>
      <c r="U933" s="14" t="str">
        <f aca="false">IF($A933="","",IF($M933&gt;0,"Live","Exited"))</f>
        <v/>
      </c>
      <c r="V933" s="20" t="str">
        <f aca="false">IF($A933="","",IF($A933='Client Report'!$C$4,COUNTIFS($A$6:$A933,'Client Report'!$C$4),""))</f>
        <v/>
      </c>
    </row>
    <row r="934" customFormat="false" ht="15" hidden="false" customHeight="false" outlineLevel="0" collapsed="false">
      <c r="A934" s="11"/>
      <c r="B934" s="11"/>
      <c r="C934" s="14" t="str">
        <f aca="false">IF($B934="","",IFERROR(TRIM(LEFT($B934,FIND(" - ",$B934)-1)),"Others"))</f>
        <v/>
      </c>
      <c r="D934" s="11"/>
      <c r="E934" s="11"/>
      <c r="F934" s="12"/>
      <c r="G934" s="21"/>
      <c r="H934" s="21"/>
      <c r="I934" s="21"/>
      <c r="J934" s="21"/>
      <c r="K934" s="21"/>
      <c r="L934" s="21"/>
      <c r="M934" s="21"/>
      <c r="N934" s="22"/>
      <c r="O934" s="22"/>
      <c r="P934" s="17" t="str">
        <f aca="false">IF($A934="","",SUM($G934:$I934))</f>
        <v/>
      </c>
      <c r="Q934" s="17" t="str">
        <f aca="false">IF($A934="","",SUM($J934:$L934))</f>
        <v/>
      </c>
      <c r="R934" s="17" t="str">
        <f aca="false">IF($A934="","",($M934+$Q934)-$P934)</f>
        <v/>
      </c>
      <c r="S934" s="18" t="str">
        <f aca="false">IF(OR($A934="",$P934=0),"",$R934/$P934)</f>
        <v/>
      </c>
      <c r="T934" s="23"/>
      <c r="U934" s="14" t="str">
        <f aca="false">IF($A934="","",IF($M934&gt;0,"Live","Exited"))</f>
        <v/>
      </c>
      <c r="V934" s="20" t="str">
        <f aca="false">IF($A934="","",IF($A934='Client Report'!$C$4,COUNTIFS($A$6:$A934,'Client Report'!$C$4),""))</f>
        <v/>
      </c>
    </row>
    <row r="935" customFormat="false" ht="15" hidden="false" customHeight="false" outlineLevel="0" collapsed="false">
      <c r="A935" s="11"/>
      <c r="B935" s="11"/>
      <c r="C935" s="14" t="str">
        <f aca="false">IF($B935="","",IFERROR(TRIM(LEFT($B935,FIND(" - ",$B935)-1)),"Others"))</f>
        <v/>
      </c>
      <c r="D935" s="11"/>
      <c r="E935" s="11"/>
      <c r="F935" s="12"/>
      <c r="G935" s="21"/>
      <c r="H935" s="21"/>
      <c r="I935" s="21"/>
      <c r="J935" s="21"/>
      <c r="K935" s="21"/>
      <c r="L935" s="21"/>
      <c r="M935" s="21"/>
      <c r="N935" s="22"/>
      <c r="O935" s="22"/>
      <c r="P935" s="17" t="str">
        <f aca="false">IF($A935="","",SUM($G935:$I935))</f>
        <v/>
      </c>
      <c r="Q935" s="17" t="str">
        <f aca="false">IF($A935="","",SUM($J935:$L935))</f>
        <v/>
      </c>
      <c r="R935" s="17" t="str">
        <f aca="false">IF($A935="","",($M935+$Q935)-$P935)</f>
        <v/>
      </c>
      <c r="S935" s="18" t="str">
        <f aca="false">IF(OR($A935="",$P935=0),"",$R935/$P935)</f>
        <v/>
      </c>
      <c r="T935" s="23"/>
      <c r="U935" s="14" t="str">
        <f aca="false">IF($A935="","",IF($M935&gt;0,"Live","Exited"))</f>
        <v/>
      </c>
      <c r="V935" s="20" t="str">
        <f aca="false">IF($A935="","",IF($A935='Client Report'!$C$4,COUNTIFS($A$6:$A935,'Client Report'!$C$4),""))</f>
        <v/>
      </c>
    </row>
    <row r="936" customFormat="false" ht="15" hidden="false" customHeight="false" outlineLevel="0" collapsed="false">
      <c r="A936" s="11"/>
      <c r="B936" s="11"/>
      <c r="C936" s="14" t="str">
        <f aca="false">IF($B936="","",IFERROR(TRIM(LEFT($B936,FIND(" - ",$B936)-1)),"Others"))</f>
        <v/>
      </c>
      <c r="D936" s="11"/>
      <c r="E936" s="11"/>
      <c r="F936" s="12"/>
      <c r="G936" s="21"/>
      <c r="H936" s="21"/>
      <c r="I936" s="21"/>
      <c r="J936" s="21"/>
      <c r="K936" s="21"/>
      <c r="L936" s="21"/>
      <c r="M936" s="21"/>
      <c r="N936" s="22"/>
      <c r="O936" s="22"/>
      <c r="P936" s="17" t="str">
        <f aca="false">IF($A936="","",SUM($G936:$I936))</f>
        <v/>
      </c>
      <c r="Q936" s="17" t="str">
        <f aca="false">IF($A936="","",SUM($J936:$L936))</f>
        <v/>
      </c>
      <c r="R936" s="17" t="str">
        <f aca="false">IF($A936="","",($M936+$Q936)-$P936)</f>
        <v/>
      </c>
      <c r="S936" s="18" t="str">
        <f aca="false">IF(OR($A936="",$P936=0),"",$R936/$P936)</f>
        <v/>
      </c>
      <c r="T936" s="23"/>
      <c r="U936" s="14" t="str">
        <f aca="false">IF($A936="","",IF($M936&gt;0,"Live","Exited"))</f>
        <v/>
      </c>
      <c r="V936" s="20" t="str">
        <f aca="false">IF($A936="","",IF($A936='Client Report'!$C$4,COUNTIFS($A$6:$A936,'Client Report'!$C$4),""))</f>
        <v/>
      </c>
    </row>
    <row r="937" customFormat="false" ht="15" hidden="false" customHeight="false" outlineLevel="0" collapsed="false">
      <c r="A937" s="11"/>
      <c r="B937" s="11"/>
      <c r="C937" s="14" t="str">
        <f aca="false">IF($B937="","",IFERROR(TRIM(LEFT($B937,FIND(" - ",$B937)-1)),"Others"))</f>
        <v/>
      </c>
      <c r="D937" s="11"/>
      <c r="E937" s="11"/>
      <c r="F937" s="12"/>
      <c r="G937" s="21"/>
      <c r="H937" s="21"/>
      <c r="I937" s="21"/>
      <c r="J937" s="21"/>
      <c r="K937" s="21"/>
      <c r="L937" s="21"/>
      <c r="M937" s="21"/>
      <c r="N937" s="22"/>
      <c r="O937" s="22"/>
      <c r="P937" s="17" t="str">
        <f aca="false">IF($A937="","",SUM($G937:$I937))</f>
        <v/>
      </c>
      <c r="Q937" s="17" t="str">
        <f aca="false">IF($A937="","",SUM($J937:$L937))</f>
        <v/>
      </c>
      <c r="R937" s="17" t="str">
        <f aca="false">IF($A937="","",($M937+$Q937)-$P937)</f>
        <v/>
      </c>
      <c r="S937" s="18" t="str">
        <f aca="false">IF(OR($A937="",$P937=0),"",$R937/$P937)</f>
        <v/>
      </c>
      <c r="T937" s="23"/>
      <c r="U937" s="14" t="str">
        <f aca="false">IF($A937="","",IF($M937&gt;0,"Live","Exited"))</f>
        <v/>
      </c>
      <c r="V937" s="20" t="str">
        <f aca="false">IF($A937="","",IF($A937='Client Report'!$C$4,COUNTIFS($A$6:$A937,'Client Report'!$C$4),""))</f>
        <v/>
      </c>
    </row>
    <row r="938" customFormat="false" ht="15" hidden="false" customHeight="false" outlineLevel="0" collapsed="false">
      <c r="A938" s="11"/>
      <c r="B938" s="11"/>
      <c r="C938" s="14" t="str">
        <f aca="false">IF($B938="","",IFERROR(TRIM(LEFT($B938,FIND(" - ",$B938)-1)),"Others"))</f>
        <v/>
      </c>
      <c r="D938" s="11"/>
      <c r="E938" s="11"/>
      <c r="F938" s="12"/>
      <c r="G938" s="21"/>
      <c r="H938" s="21"/>
      <c r="I938" s="21"/>
      <c r="J938" s="21"/>
      <c r="K938" s="21"/>
      <c r="L938" s="21"/>
      <c r="M938" s="21"/>
      <c r="N938" s="22"/>
      <c r="O938" s="22"/>
      <c r="P938" s="17" t="str">
        <f aca="false">IF($A938="","",SUM($G938:$I938))</f>
        <v/>
      </c>
      <c r="Q938" s="17" t="str">
        <f aca="false">IF($A938="","",SUM($J938:$L938))</f>
        <v/>
      </c>
      <c r="R938" s="17" t="str">
        <f aca="false">IF($A938="","",($M938+$Q938)-$P938)</f>
        <v/>
      </c>
      <c r="S938" s="18" t="str">
        <f aca="false">IF(OR($A938="",$P938=0),"",$R938/$P938)</f>
        <v/>
      </c>
      <c r="T938" s="23"/>
      <c r="U938" s="14" t="str">
        <f aca="false">IF($A938="","",IF($M938&gt;0,"Live","Exited"))</f>
        <v/>
      </c>
      <c r="V938" s="20" t="str">
        <f aca="false">IF($A938="","",IF($A938='Client Report'!$C$4,COUNTIFS($A$6:$A938,'Client Report'!$C$4),""))</f>
        <v/>
      </c>
    </row>
    <row r="939" customFormat="false" ht="15" hidden="false" customHeight="false" outlineLevel="0" collapsed="false">
      <c r="A939" s="11"/>
      <c r="B939" s="11"/>
      <c r="C939" s="14" t="str">
        <f aca="false">IF($B939="","",IFERROR(TRIM(LEFT($B939,FIND(" - ",$B939)-1)),"Others"))</f>
        <v/>
      </c>
      <c r="D939" s="11"/>
      <c r="E939" s="11"/>
      <c r="F939" s="12"/>
      <c r="G939" s="21"/>
      <c r="H939" s="21"/>
      <c r="I939" s="21"/>
      <c r="J939" s="21"/>
      <c r="K939" s="21"/>
      <c r="L939" s="21"/>
      <c r="M939" s="21"/>
      <c r="N939" s="22"/>
      <c r="O939" s="22"/>
      <c r="P939" s="17" t="str">
        <f aca="false">IF($A939="","",SUM($G939:$I939))</f>
        <v/>
      </c>
      <c r="Q939" s="17" t="str">
        <f aca="false">IF($A939="","",SUM($J939:$L939))</f>
        <v/>
      </c>
      <c r="R939" s="17" t="str">
        <f aca="false">IF($A939="","",($M939+$Q939)-$P939)</f>
        <v/>
      </c>
      <c r="S939" s="18" t="str">
        <f aca="false">IF(OR($A939="",$P939=0),"",$R939/$P939)</f>
        <v/>
      </c>
      <c r="T939" s="23"/>
      <c r="U939" s="14" t="str">
        <f aca="false">IF($A939="","",IF($M939&gt;0,"Live","Exited"))</f>
        <v/>
      </c>
      <c r="V939" s="20" t="str">
        <f aca="false">IF($A939="","",IF($A939='Client Report'!$C$4,COUNTIFS($A$6:$A939,'Client Report'!$C$4),""))</f>
        <v/>
      </c>
    </row>
    <row r="940" customFormat="false" ht="15" hidden="false" customHeight="false" outlineLevel="0" collapsed="false">
      <c r="A940" s="11"/>
      <c r="B940" s="11"/>
      <c r="C940" s="14" t="str">
        <f aca="false">IF($B940="","",IFERROR(TRIM(LEFT($B940,FIND(" - ",$B940)-1)),"Others"))</f>
        <v/>
      </c>
      <c r="D940" s="11"/>
      <c r="E940" s="11"/>
      <c r="F940" s="12"/>
      <c r="G940" s="21"/>
      <c r="H940" s="21"/>
      <c r="I940" s="21"/>
      <c r="J940" s="21"/>
      <c r="K940" s="21"/>
      <c r="L940" s="21"/>
      <c r="M940" s="21"/>
      <c r="N940" s="22"/>
      <c r="O940" s="22"/>
      <c r="P940" s="17" t="str">
        <f aca="false">IF($A940="","",SUM($G940:$I940))</f>
        <v/>
      </c>
      <c r="Q940" s="17" t="str">
        <f aca="false">IF($A940="","",SUM($J940:$L940))</f>
        <v/>
      </c>
      <c r="R940" s="17" t="str">
        <f aca="false">IF($A940="","",($M940+$Q940)-$P940)</f>
        <v/>
      </c>
      <c r="S940" s="18" t="str">
        <f aca="false">IF(OR($A940="",$P940=0),"",$R940/$P940)</f>
        <v/>
      </c>
      <c r="T940" s="23"/>
      <c r="U940" s="14" t="str">
        <f aca="false">IF($A940="","",IF($M940&gt;0,"Live","Exited"))</f>
        <v/>
      </c>
      <c r="V940" s="20" t="str">
        <f aca="false">IF($A940="","",IF($A940='Client Report'!$C$4,COUNTIFS($A$6:$A940,'Client Report'!$C$4),""))</f>
        <v/>
      </c>
    </row>
    <row r="941" customFormat="false" ht="15" hidden="false" customHeight="false" outlineLevel="0" collapsed="false">
      <c r="A941" s="11"/>
      <c r="B941" s="11"/>
      <c r="C941" s="14" t="str">
        <f aca="false">IF($B941="","",IFERROR(TRIM(LEFT($B941,FIND(" - ",$B941)-1)),"Others"))</f>
        <v/>
      </c>
      <c r="D941" s="11"/>
      <c r="E941" s="11"/>
      <c r="F941" s="12"/>
      <c r="G941" s="21"/>
      <c r="H941" s="21"/>
      <c r="I941" s="21"/>
      <c r="J941" s="21"/>
      <c r="K941" s="21"/>
      <c r="L941" s="21"/>
      <c r="M941" s="21"/>
      <c r="N941" s="22"/>
      <c r="O941" s="22"/>
      <c r="P941" s="17" t="str">
        <f aca="false">IF($A941="","",SUM($G941:$I941))</f>
        <v/>
      </c>
      <c r="Q941" s="17" t="str">
        <f aca="false">IF($A941="","",SUM($J941:$L941))</f>
        <v/>
      </c>
      <c r="R941" s="17" t="str">
        <f aca="false">IF($A941="","",($M941+$Q941)-$P941)</f>
        <v/>
      </c>
      <c r="S941" s="18" t="str">
        <f aca="false">IF(OR($A941="",$P941=0),"",$R941/$P941)</f>
        <v/>
      </c>
      <c r="T941" s="23"/>
      <c r="U941" s="14" t="str">
        <f aca="false">IF($A941="","",IF($M941&gt;0,"Live","Exited"))</f>
        <v/>
      </c>
      <c r="V941" s="20" t="str">
        <f aca="false">IF($A941="","",IF($A941='Client Report'!$C$4,COUNTIFS($A$6:$A941,'Client Report'!$C$4),""))</f>
        <v/>
      </c>
    </row>
    <row r="942" customFormat="false" ht="15" hidden="false" customHeight="false" outlineLevel="0" collapsed="false">
      <c r="A942" s="11"/>
      <c r="B942" s="11"/>
      <c r="C942" s="14" t="str">
        <f aca="false">IF($B942="","",IFERROR(TRIM(LEFT($B942,FIND(" - ",$B942)-1)),"Others"))</f>
        <v/>
      </c>
      <c r="D942" s="11"/>
      <c r="E942" s="11"/>
      <c r="F942" s="12"/>
      <c r="G942" s="21"/>
      <c r="H942" s="21"/>
      <c r="I942" s="21"/>
      <c r="J942" s="21"/>
      <c r="K942" s="21"/>
      <c r="L942" s="21"/>
      <c r="M942" s="21"/>
      <c r="N942" s="22"/>
      <c r="O942" s="22"/>
      <c r="P942" s="17" t="str">
        <f aca="false">IF($A942="","",SUM($G942:$I942))</f>
        <v/>
      </c>
      <c r="Q942" s="17" t="str">
        <f aca="false">IF($A942="","",SUM($J942:$L942))</f>
        <v/>
      </c>
      <c r="R942" s="17" t="str">
        <f aca="false">IF($A942="","",($M942+$Q942)-$P942)</f>
        <v/>
      </c>
      <c r="S942" s="18" t="str">
        <f aca="false">IF(OR($A942="",$P942=0),"",$R942/$P942)</f>
        <v/>
      </c>
      <c r="T942" s="23"/>
      <c r="U942" s="14" t="str">
        <f aca="false">IF($A942="","",IF($M942&gt;0,"Live","Exited"))</f>
        <v/>
      </c>
      <c r="V942" s="20" t="str">
        <f aca="false">IF($A942="","",IF($A942='Client Report'!$C$4,COUNTIFS($A$6:$A942,'Client Report'!$C$4),""))</f>
        <v/>
      </c>
    </row>
    <row r="943" customFormat="false" ht="15" hidden="false" customHeight="false" outlineLevel="0" collapsed="false">
      <c r="A943" s="11"/>
      <c r="B943" s="11"/>
      <c r="C943" s="14" t="str">
        <f aca="false">IF($B943="","",IFERROR(TRIM(LEFT($B943,FIND(" - ",$B943)-1)),"Others"))</f>
        <v/>
      </c>
      <c r="D943" s="11"/>
      <c r="E943" s="11"/>
      <c r="F943" s="12"/>
      <c r="G943" s="21"/>
      <c r="H943" s="21"/>
      <c r="I943" s="21"/>
      <c r="J943" s="21"/>
      <c r="K943" s="21"/>
      <c r="L943" s="21"/>
      <c r="M943" s="21"/>
      <c r="N943" s="22"/>
      <c r="O943" s="22"/>
      <c r="P943" s="17" t="str">
        <f aca="false">IF($A943="","",SUM($G943:$I943))</f>
        <v/>
      </c>
      <c r="Q943" s="17" t="str">
        <f aca="false">IF($A943="","",SUM($J943:$L943))</f>
        <v/>
      </c>
      <c r="R943" s="17" t="str">
        <f aca="false">IF($A943="","",($M943+$Q943)-$P943)</f>
        <v/>
      </c>
      <c r="S943" s="18" t="str">
        <f aca="false">IF(OR($A943="",$P943=0),"",$R943/$P943)</f>
        <v/>
      </c>
      <c r="T943" s="23"/>
      <c r="U943" s="14" t="str">
        <f aca="false">IF($A943="","",IF($M943&gt;0,"Live","Exited"))</f>
        <v/>
      </c>
      <c r="V943" s="20" t="str">
        <f aca="false">IF($A943="","",IF($A943='Client Report'!$C$4,COUNTIFS($A$6:$A943,'Client Report'!$C$4),""))</f>
        <v/>
      </c>
    </row>
    <row r="944" customFormat="false" ht="15" hidden="false" customHeight="false" outlineLevel="0" collapsed="false">
      <c r="A944" s="11"/>
      <c r="B944" s="11"/>
      <c r="C944" s="14" t="str">
        <f aca="false">IF($B944="","",IFERROR(TRIM(LEFT($B944,FIND(" - ",$B944)-1)),"Others"))</f>
        <v/>
      </c>
      <c r="D944" s="11"/>
      <c r="E944" s="11"/>
      <c r="F944" s="12"/>
      <c r="G944" s="21"/>
      <c r="H944" s="21"/>
      <c r="I944" s="21"/>
      <c r="J944" s="21"/>
      <c r="K944" s="21"/>
      <c r="L944" s="21"/>
      <c r="M944" s="21"/>
      <c r="N944" s="22"/>
      <c r="O944" s="22"/>
      <c r="P944" s="17" t="str">
        <f aca="false">IF($A944="","",SUM($G944:$I944))</f>
        <v/>
      </c>
      <c r="Q944" s="17" t="str">
        <f aca="false">IF($A944="","",SUM($J944:$L944))</f>
        <v/>
      </c>
      <c r="R944" s="17" t="str">
        <f aca="false">IF($A944="","",($M944+$Q944)-$P944)</f>
        <v/>
      </c>
      <c r="S944" s="18" t="str">
        <f aca="false">IF(OR($A944="",$P944=0),"",$R944/$P944)</f>
        <v/>
      </c>
      <c r="T944" s="23"/>
      <c r="U944" s="14" t="str">
        <f aca="false">IF($A944="","",IF($M944&gt;0,"Live","Exited"))</f>
        <v/>
      </c>
      <c r="V944" s="20" t="str">
        <f aca="false">IF($A944="","",IF($A944='Client Report'!$C$4,COUNTIFS($A$6:$A944,'Client Report'!$C$4),""))</f>
        <v/>
      </c>
    </row>
    <row r="945" customFormat="false" ht="15" hidden="false" customHeight="false" outlineLevel="0" collapsed="false">
      <c r="A945" s="11"/>
      <c r="B945" s="11"/>
      <c r="C945" s="14" t="str">
        <f aca="false">IF($B945="","",IFERROR(TRIM(LEFT($B945,FIND(" - ",$B945)-1)),"Others"))</f>
        <v/>
      </c>
      <c r="D945" s="11"/>
      <c r="E945" s="11"/>
      <c r="F945" s="12"/>
      <c r="G945" s="21"/>
      <c r="H945" s="21"/>
      <c r="I945" s="21"/>
      <c r="J945" s="21"/>
      <c r="K945" s="21"/>
      <c r="L945" s="21"/>
      <c r="M945" s="21"/>
      <c r="N945" s="22"/>
      <c r="O945" s="22"/>
      <c r="P945" s="17" t="str">
        <f aca="false">IF($A945="","",SUM($G945:$I945))</f>
        <v/>
      </c>
      <c r="Q945" s="17" t="str">
        <f aca="false">IF($A945="","",SUM($J945:$L945))</f>
        <v/>
      </c>
      <c r="R945" s="17" t="str">
        <f aca="false">IF($A945="","",($M945+$Q945)-$P945)</f>
        <v/>
      </c>
      <c r="S945" s="18" t="str">
        <f aca="false">IF(OR($A945="",$P945=0),"",$R945/$P945)</f>
        <v/>
      </c>
      <c r="T945" s="23"/>
      <c r="U945" s="14" t="str">
        <f aca="false">IF($A945="","",IF($M945&gt;0,"Live","Exited"))</f>
        <v/>
      </c>
      <c r="V945" s="20" t="str">
        <f aca="false">IF($A945="","",IF($A945='Client Report'!$C$4,COUNTIFS($A$6:$A945,'Client Report'!$C$4),""))</f>
        <v/>
      </c>
    </row>
    <row r="946" customFormat="false" ht="15" hidden="false" customHeight="false" outlineLevel="0" collapsed="false">
      <c r="A946" s="11"/>
      <c r="B946" s="11"/>
      <c r="C946" s="14" t="str">
        <f aca="false">IF($B946="","",IFERROR(TRIM(LEFT($B946,FIND(" - ",$B946)-1)),"Others"))</f>
        <v/>
      </c>
      <c r="D946" s="11"/>
      <c r="E946" s="11"/>
      <c r="F946" s="12"/>
      <c r="G946" s="21"/>
      <c r="H946" s="21"/>
      <c r="I946" s="21"/>
      <c r="J946" s="21"/>
      <c r="K946" s="21"/>
      <c r="L946" s="21"/>
      <c r="M946" s="21"/>
      <c r="N946" s="22"/>
      <c r="O946" s="22"/>
      <c r="P946" s="17" t="str">
        <f aca="false">IF($A946="","",SUM($G946:$I946))</f>
        <v/>
      </c>
      <c r="Q946" s="17" t="str">
        <f aca="false">IF($A946="","",SUM($J946:$L946))</f>
        <v/>
      </c>
      <c r="R946" s="17" t="str">
        <f aca="false">IF($A946="","",($M946+$Q946)-$P946)</f>
        <v/>
      </c>
      <c r="S946" s="18" t="str">
        <f aca="false">IF(OR($A946="",$P946=0),"",$R946/$P946)</f>
        <v/>
      </c>
      <c r="T946" s="23"/>
      <c r="U946" s="14" t="str">
        <f aca="false">IF($A946="","",IF($M946&gt;0,"Live","Exited"))</f>
        <v/>
      </c>
      <c r="V946" s="20" t="str">
        <f aca="false">IF($A946="","",IF($A946='Client Report'!$C$4,COUNTIFS($A$6:$A946,'Client Report'!$C$4),""))</f>
        <v/>
      </c>
    </row>
    <row r="947" customFormat="false" ht="15" hidden="false" customHeight="false" outlineLevel="0" collapsed="false">
      <c r="A947" s="11"/>
      <c r="B947" s="11"/>
      <c r="C947" s="14" t="str">
        <f aca="false">IF($B947="","",IFERROR(TRIM(LEFT($B947,FIND(" - ",$B947)-1)),"Others"))</f>
        <v/>
      </c>
      <c r="D947" s="11"/>
      <c r="E947" s="11"/>
      <c r="F947" s="12"/>
      <c r="G947" s="21"/>
      <c r="H947" s="21"/>
      <c r="I947" s="21"/>
      <c r="J947" s="21"/>
      <c r="K947" s="21"/>
      <c r="L947" s="21"/>
      <c r="M947" s="21"/>
      <c r="N947" s="22"/>
      <c r="O947" s="22"/>
      <c r="P947" s="17" t="str">
        <f aca="false">IF($A947="","",SUM($G947:$I947))</f>
        <v/>
      </c>
      <c r="Q947" s="17" t="str">
        <f aca="false">IF($A947="","",SUM($J947:$L947))</f>
        <v/>
      </c>
      <c r="R947" s="17" t="str">
        <f aca="false">IF($A947="","",($M947+$Q947)-$P947)</f>
        <v/>
      </c>
      <c r="S947" s="18" t="str">
        <f aca="false">IF(OR($A947="",$P947=0),"",$R947/$P947)</f>
        <v/>
      </c>
      <c r="T947" s="23"/>
      <c r="U947" s="14" t="str">
        <f aca="false">IF($A947="","",IF($M947&gt;0,"Live","Exited"))</f>
        <v/>
      </c>
      <c r="V947" s="20" t="str">
        <f aca="false">IF($A947="","",IF($A947='Client Report'!$C$4,COUNTIFS($A$6:$A947,'Client Report'!$C$4),""))</f>
        <v/>
      </c>
    </row>
    <row r="948" customFormat="false" ht="15" hidden="false" customHeight="false" outlineLevel="0" collapsed="false">
      <c r="A948" s="11"/>
      <c r="B948" s="11"/>
      <c r="C948" s="14" t="str">
        <f aca="false">IF($B948="","",IFERROR(TRIM(LEFT($B948,FIND(" - ",$B948)-1)),"Others"))</f>
        <v/>
      </c>
      <c r="D948" s="11"/>
      <c r="E948" s="11"/>
      <c r="F948" s="12"/>
      <c r="G948" s="21"/>
      <c r="H948" s="21"/>
      <c r="I948" s="21"/>
      <c r="J948" s="21"/>
      <c r="K948" s="21"/>
      <c r="L948" s="21"/>
      <c r="M948" s="21"/>
      <c r="N948" s="22"/>
      <c r="O948" s="22"/>
      <c r="P948" s="17" t="str">
        <f aca="false">IF($A948="","",SUM($G948:$I948))</f>
        <v/>
      </c>
      <c r="Q948" s="17" t="str">
        <f aca="false">IF($A948="","",SUM($J948:$L948))</f>
        <v/>
      </c>
      <c r="R948" s="17" t="str">
        <f aca="false">IF($A948="","",($M948+$Q948)-$P948)</f>
        <v/>
      </c>
      <c r="S948" s="18" t="str">
        <f aca="false">IF(OR($A948="",$P948=0),"",$R948/$P948)</f>
        <v/>
      </c>
      <c r="T948" s="23"/>
      <c r="U948" s="14" t="str">
        <f aca="false">IF($A948="","",IF($M948&gt;0,"Live","Exited"))</f>
        <v/>
      </c>
      <c r="V948" s="20" t="str">
        <f aca="false">IF($A948="","",IF($A948='Client Report'!$C$4,COUNTIFS($A$6:$A948,'Client Report'!$C$4),""))</f>
        <v/>
      </c>
    </row>
    <row r="949" customFormat="false" ht="15" hidden="false" customHeight="false" outlineLevel="0" collapsed="false">
      <c r="A949" s="11"/>
      <c r="B949" s="11"/>
      <c r="C949" s="14" t="str">
        <f aca="false">IF($B949="","",IFERROR(TRIM(LEFT($B949,FIND(" - ",$B949)-1)),"Others"))</f>
        <v/>
      </c>
      <c r="D949" s="11"/>
      <c r="E949" s="11"/>
      <c r="F949" s="12"/>
      <c r="G949" s="21"/>
      <c r="H949" s="21"/>
      <c r="I949" s="21"/>
      <c r="J949" s="21"/>
      <c r="K949" s="21"/>
      <c r="L949" s="21"/>
      <c r="M949" s="21"/>
      <c r="N949" s="22"/>
      <c r="O949" s="22"/>
      <c r="P949" s="17" t="str">
        <f aca="false">IF($A949="","",SUM($G949:$I949))</f>
        <v/>
      </c>
      <c r="Q949" s="17" t="str">
        <f aca="false">IF($A949="","",SUM($J949:$L949))</f>
        <v/>
      </c>
      <c r="R949" s="17" t="str">
        <f aca="false">IF($A949="","",($M949+$Q949)-$P949)</f>
        <v/>
      </c>
      <c r="S949" s="18" t="str">
        <f aca="false">IF(OR($A949="",$P949=0),"",$R949/$P949)</f>
        <v/>
      </c>
      <c r="T949" s="23"/>
      <c r="U949" s="14" t="str">
        <f aca="false">IF($A949="","",IF($M949&gt;0,"Live","Exited"))</f>
        <v/>
      </c>
      <c r="V949" s="20" t="str">
        <f aca="false">IF($A949="","",IF($A949='Client Report'!$C$4,COUNTIFS($A$6:$A949,'Client Report'!$C$4),""))</f>
        <v/>
      </c>
    </row>
    <row r="950" customFormat="false" ht="15" hidden="false" customHeight="false" outlineLevel="0" collapsed="false">
      <c r="A950" s="11"/>
      <c r="B950" s="11"/>
      <c r="C950" s="14" t="str">
        <f aca="false">IF($B950="","",IFERROR(TRIM(LEFT($B950,FIND(" - ",$B950)-1)),"Others"))</f>
        <v/>
      </c>
      <c r="D950" s="11"/>
      <c r="E950" s="11"/>
      <c r="F950" s="12"/>
      <c r="G950" s="21"/>
      <c r="H950" s="21"/>
      <c r="I950" s="21"/>
      <c r="J950" s="21"/>
      <c r="K950" s="21"/>
      <c r="L950" s="21"/>
      <c r="M950" s="21"/>
      <c r="N950" s="22"/>
      <c r="O950" s="22"/>
      <c r="P950" s="17" t="str">
        <f aca="false">IF($A950="","",SUM($G950:$I950))</f>
        <v/>
      </c>
      <c r="Q950" s="17" t="str">
        <f aca="false">IF($A950="","",SUM($J950:$L950))</f>
        <v/>
      </c>
      <c r="R950" s="17" t="str">
        <f aca="false">IF($A950="","",($M950+$Q950)-$P950)</f>
        <v/>
      </c>
      <c r="S950" s="18" t="str">
        <f aca="false">IF(OR($A950="",$P950=0),"",$R950/$P950)</f>
        <v/>
      </c>
      <c r="T950" s="23"/>
      <c r="U950" s="14" t="str">
        <f aca="false">IF($A950="","",IF($M950&gt;0,"Live","Exited"))</f>
        <v/>
      </c>
      <c r="V950" s="20" t="str">
        <f aca="false">IF($A950="","",IF($A950='Client Report'!$C$4,COUNTIFS($A$6:$A950,'Client Report'!$C$4),""))</f>
        <v/>
      </c>
    </row>
    <row r="951" customFormat="false" ht="15" hidden="false" customHeight="false" outlineLevel="0" collapsed="false">
      <c r="A951" s="11"/>
      <c r="B951" s="11"/>
      <c r="C951" s="14" t="str">
        <f aca="false">IF($B951="","",IFERROR(TRIM(LEFT($B951,FIND(" - ",$B951)-1)),"Others"))</f>
        <v/>
      </c>
      <c r="D951" s="11"/>
      <c r="E951" s="11"/>
      <c r="F951" s="12"/>
      <c r="G951" s="21"/>
      <c r="H951" s="21"/>
      <c r="I951" s="21"/>
      <c r="J951" s="21"/>
      <c r="K951" s="21"/>
      <c r="L951" s="21"/>
      <c r="M951" s="21"/>
      <c r="N951" s="22"/>
      <c r="O951" s="22"/>
      <c r="P951" s="17" t="str">
        <f aca="false">IF($A951="","",SUM($G951:$I951))</f>
        <v/>
      </c>
      <c r="Q951" s="17" t="str">
        <f aca="false">IF($A951="","",SUM($J951:$L951))</f>
        <v/>
      </c>
      <c r="R951" s="17" t="str">
        <f aca="false">IF($A951="","",($M951+$Q951)-$P951)</f>
        <v/>
      </c>
      <c r="S951" s="18" t="str">
        <f aca="false">IF(OR($A951="",$P951=0),"",$R951/$P951)</f>
        <v/>
      </c>
      <c r="T951" s="23"/>
      <c r="U951" s="14" t="str">
        <f aca="false">IF($A951="","",IF($M951&gt;0,"Live","Exited"))</f>
        <v/>
      </c>
      <c r="V951" s="20" t="str">
        <f aca="false">IF($A951="","",IF($A951='Client Report'!$C$4,COUNTIFS($A$6:$A951,'Client Report'!$C$4),""))</f>
        <v/>
      </c>
    </row>
    <row r="952" customFormat="false" ht="15" hidden="false" customHeight="false" outlineLevel="0" collapsed="false">
      <c r="A952" s="11"/>
      <c r="B952" s="11"/>
      <c r="C952" s="14" t="str">
        <f aca="false">IF($B952="","",IFERROR(TRIM(LEFT($B952,FIND(" - ",$B952)-1)),"Others"))</f>
        <v/>
      </c>
      <c r="D952" s="11"/>
      <c r="E952" s="11"/>
      <c r="F952" s="12"/>
      <c r="G952" s="21"/>
      <c r="H952" s="21"/>
      <c r="I952" s="21"/>
      <c r="J952" s="21"/>
      <c r="K952" s="21"/>
      <c r="L952" s="21"/>
      <c r="M952" s="21"/>
      <c r="N952" s="22"/>
      <c r="O952" s="22"/>
      <c r="P952" s="17" t="str">
        <f aca="false">IF($A952="","",SUM($G952:$I952))</f>
        <v/>
      </c>
      <c r="Q952" s="17" t="str">
        <f aca="false">IF($A952="","",SUM($J952:$L952))</f>
        <v/>
      </c>
      <c r="R952" s="17" t="str">
        <f aca="false">IF($A952="","",($M952+$Q952)-$P952)</f>
        <v/>
      </c>
      <c r="S952" s="18" t="str">
        <f aca="false">IF(OR($A952="",$P952=0),"",$R952/$P952)</f>
        <v/>
      </c>
      <c r="T952" s="23"/>
      <c r="U952" s="14" t="str">
        <f aca="false">IF($A952="","",IF($M952&gt;0,"Live","Exited"))</f>
        <v/>
      </c>
      <c r="V952" s="20" t="str">
        <f aca="false">IF($A952="","",IF($A952='Client Report'!$C$4,COUNTIFS($A$6:$A952,'Client Report'!$C$4),""))</f>
        <v/>
      </c>
    </row>
    <row r="953" customFormat="false" ht="15" hidden="false" customHeight="false" outlineLevel="0" collapsed="false">
      <c r="A953" s="11"/>
      <c r="B953" s="11"/>
      <c r="C953" s="14" t="str">
        <f aca="false">IF($B953="","",IFERROR(TRIM(LEFT($B953,FIND(" - ",$B953)-1)),"Others"))</f>
        <v/>
      </c>
      <c r="D953" s="11"/>
      <c r="E953" s="11"/>
      <c r="F953" s="12"/>
      <c r="G953" s="21"/>
      <c r="H953" s="21"/>
      <c r="I953" s="21"/>
      <c r="J953" s="21"/>
      <c r="K953" s="21"/>
      <c r="L953" s="21"/>
      <c r="M953" s="21"/>
      <c r="N953" s="22"/>
      <c r="O953" s="22"/>
      <c r="P953" s="17" t="str">
        <f aca="false">IF($A953="","",SUM($G953:$I953))</f>
        <v/>
      </c>
      <c r="Q953" s="17" t="str">
        <f aca="false">IF($A953="","",SUM($J953:$L953))</f>
        <v/>
      </c>
      <c r="R953" s="17" t="str">
        <f aca="false">IF($A953="","",($M953+$Q953)-$P953)</f>
        <v/>
      </c>
      <c r="S953" s="18" t="str">
        <f aca="false">IF(OR($A953="",$P953=0),"",$R953/$P953)</f>
        <v/>
      </c>
      <c r="T953" s="23"/>
      <c r="U953" s="14" t="str">
        <f aca="false">IF($A953="","",IF($M953&gt;0,"Live","Exited"))</f>
        <v/>
      </c>
      <c r="V953" s="20" t="str">
        <f aca="false">IF($A953="","",IF($A953='Client Report'!$C$4,COUNTIFS($A$6:$A953,'Client Report'!$C$4),""))</f>
        <v/>
      </c>
    </row>
    <row r="954" customFormat="false" ht="15" hidden="false" customHeight="false" outlineLevel="0" collapsed="false">
      <c r="A954" s="11"/>
      <c r="B954" s="11"/>
      <c r="C954" s="14" t="str">
        <f aca="false">IF($B954="","",IFERROR(TRIM(LEFT($B954,FIND(" - ",$B954)-1)),"Others"))</f>
        <v/>
      </c>
      <c r="D954" s="11"/>
      <c r="E954" s="11"/>
      <c r="F954" s="12"/>
      <c r="G954" s="21"/>
      <c r="H954" s="21"/>
      <c r="I954" s="21"/>
      <c r="J954" s="21"/>
      <c r="K954" s="21"/>
      <c r="L954" s="21"/>
      <c r="M954" s="21"/>
      <c r="N954" s="22"/>
      <c r="O954" s="22"/>
      <c r="P954" s="17" t="str">
        <f aca="false">IF($A954="","",SUM($G954:$I954))</f>
        <v/>
      </c>
      <c r="Q954" s="17" t="str">
        <f aca="false">IF($A954="","",SUM($J954:$L954))</f>
        <v/>
      </c>
      <c r="R954" s="17" t="str">
        <f aca="false">IF($A954="","",($M954+$Q954)-$P954)</f>
        <v/>
      </c>
      <c r="S954" s="18" t="str">
        <f aca="false">IF(OR($A954="",$P954=0),"",$R954/$P954)</f>
        <v/>
      </c>
      <c r="T954" s="23"/>
      <c r="U954" s="14" t="str">
        <f aca="false">IF($A954="","",IF($M954&gt;0,"Live","Exited"))</f>
        <v/>
      </c>
      <c r="V954" s="20" t="str">
        <f aca="false">IF($A954="","",IF($A954='Client Report'!$C$4,COUNTIFS($A$6:$A954,'Client Report'!$C$4),""))</f>
        <v/>
      </c>
    </row>
    <row r="955" customFormat="false" ht="15" hidden="false" customHeight="false" outlineLevel="0" collapsed="false">
      <c r="A955" s="11"/>
      <c r="B955" s="11"/>
      <c r="C955" s="14" t="str">
        <f aca="false">IF($B955="","",IFERROR(TRIM(LEFT($B955,FIND(" - ",$B955)-1)),"Others"))</f>
        <v/>
      </c>
      <c r="D955" s="11"/>
      <c r="E955" s="11"/>
      <c r="F955" s="12"/>
      <c r="G955" s="21"/>
      <c r="H955" s="21"/>
      <c r="I955" s="21"/>
      <c r="J955" s="21"/>
      <c r="K955" s="21"/>
      <c r="L955" s="21"/>
      <c r="M955" s="21"/>
      <c r="N955" s="22"/>
      <c r="O955" s="22"/>
      <c r="P955" s="17" t="str">
        <f aca="false">IF($A955="","",SUM($G955:$I955))</f>
        <v/>
      </c>
      <c r="Q955" s="17" t="str">
        <f aca="false">IF($A955="","",SUM($J955:$L955))</f>
        <v/>
      </c>
      <c r="R955" s="17" t="str">
        <f aca="false">IF($A955="","",($M955+$Q955)-$P955)</f>
        <v/>
      </c>
      <c r="S955" s="18" t="str">
        <f aca="false">IF(OR($A955="",$P955=0),"",$R955/$P955)</f>
        <v/>
      </c>
      <c r="T955" s="23"/>
      <c r="U955" s="14" t="str">
        <f aca="false">IF($A955="","",IF($M955&gt;0,"Live","Exited"))</f>
        <v/>
      </c>
      <c r="V955" s="20" t="str">
        <f aca="false">IF($A955="","",IF($A955='Client Report'!$C$4,COUNTIFS($A$6:$A955,'Client Report'!$C$4),""))</f>
        <v/>
      </c>
    </row>
    <row r="956" customFormat="false" ht="15" hidden="false" customHeight="false" outlineLevel="0" collapsed="false">
      <c r="A956" s="11"/>
      <c r="B956" s="11"/>
      <c r="C956" s="14" t="str">
        <f aca="false">IF($B956="","",IFERROR(TRIM(LEFT($B956,FIND(" - ",$B956)-1)),"Others"))</f>
        <v/>
      </c>
      <c r="D956" s="11"/>
      <c r="E956" s="11"/>
      <c r="F956" s="12"/>
      <c r="G956" s="21"/>
      <c r="H956" s="21"/>
      <c r="I956" s="21"/>
      <c r="J956" s="21"/>
      <c r="K956" s="21"/>
      <c r="L956" s="21"/>
      <c r="M956" s="21"/>
      <c r="N956" s="22"/>
      <c r="O956" s="22"/>
      <c r="P956" s="17" t="str">
        <f aca="false">IF($A956="","",SUM($G956:$I956))</f>
        <v/>
      </c>
      <c r="Q956" s="17" t="str">
        <f aca="false">IF($A956="","",SUM($J956:$L956))</f>
        <v/>
      </c>
      <c r="R956" s="17" t="str">
        <f aca="false">IF($A956="","",($M956+$Q956)-$P956)</f>
        <v/>
      </c>
      <c r="S956" s="18" t="str">
        <f aca="false">IF(OR($A956="",$P956=0),"",$R956/$P956)</f>
        <v/>
      </c>
      <c r="T956" s="23"/>
      <c r="U956" s="14" t="str">
        <f aca="false">IF($A956="","",IF($M956&gt;0,"Live","Exited"))</f>
        <v/>
      </c>
      <c r="V956" s="20" t="str">
        <f aca="false">IF($A956="","",IF($A956='Client Report'!$C$4,COUNTIFS($A$6:$A956,'Client Report'!$C$4),""))</f>
        <v/>
      </c>
    </row>
    <row r="957" customFormat="false" ht="15" hidden="false" customHeight="false" outlineLevel="0" collapsed="false">
      <c r="A957" s="11"/>
      <c r="B957" s="11"/>
      <c r="C957" s="14" t="str">
        <f aca="false">IF($B957="","",IFERROR(TRIM(LEFT($B957,FIND(" - ",$B957)-1)),"Others"))</f>
        <v/>
      </c>
      <c r="D957" s="11"/>
      <c r="E957" s="11"/>
      <c r="F957" s="12"/>
      <c r="G957" s="21"/>
      <c r="H957" s="21"/>
      <c r="I957" s="21"/>
      <c r="J957" s="21"/>
      <c r="K957" s="21"/>
      <c r="L957" s="21"/>
      <c r="M957" s="21"/>
      <c r="N957" s="22"/>
      <c r="O957" s="22"/>
      <c r="P957" s="17" t="str">
        <f aca="false">IF($A957="","",SUM($G957:$I957))</f>
        <v/>
      </c>
      <c r="Q957" s="17" t="str">
        <f aca="false">IF($A957="","",SUM($J957:$L957))</f>
        <v/>
      </c>
      <c r="R957" s="17" t="str">
        <f aca="false">IF($A957="","",($M957+$Q957)-$P957)</f>
        <v/>
      </c>
      <c r="S957" s="18" t="str">
        <f aca="false">IF(OR($A957="",$P957=0),"",$R957/$P957)</f>
        <v/>
      </c>
      <c r="T957" s="23"/>
      <c r="U957" s="14" t="str">
        <f aca="false">IF($A957="","",IF($M957&gt;0,"Live","Exited"))</f>
        <v/>
      </c>
      <c r="V957" s="20" t="str">
        <f aca="false">IF($A957="","",IF($A957='Client Report'!$C$4,COUNTIFS($A$6:$A957,'Client Report'!$C$4),""))</f>
        <v/>
      </c>
    </row>
    <row r="958" customFormat="false" ht="15" hidden="false" customHeight="false" outlineLevel="0" collapsed="false">
      <c r="A958" s="11"/>
      <c r="B958" s="11"/>
      <c r="C958" s="14" t="str">
        <f aca="false">IF($B958="","",IFERROR(TRIM(LEFT($B958,FIND(" - ",$B958)-1)),"Others"))</f>
        <v/>
      </c>
      <c r="D958" s="11"/>
      <c r="E958" s="11"/>
      <c r="F958" s="12"/>
      <c r="G958" s="21"/>
      <c r="H958" s="21"/>
      <c r="I958" s="21"/>
      <c r="J958" s="21"/>
      <c r="K958" s="21"/>
      <c r="L958" s="21"/>
      <c r="M958" s="21"/>
      <c r="N958" s="22"/>
      <c r="O958" s="22"/>
      <c r="P958" s="17" t="str">
        <f aca="false">IF($A958="","",SUM($G958:$I958))</f>
        <v/>
      </c>
      <c r="Q958" s="17" t="str">
        <f aca="false">IF($A958="","",SUM($J958:$L958))</f>
        <v/>
      </c>
      <c r="R958" s="17" t="str">
        <f aca="false">IF($A958="","",($M958+$Q958)-$P958)</f>
        <v/>
      </c>
      <c r="S958" s="18" t="str">
        <f aca="false">IF(OR($A958="",$P958=0),"",$R958/$P958)</f>
        <v/>
      </c>
      <c r="T958" s="23"/>
      <c r="U958" s="14" t="str">
        <f aca="false">IF($A958="","",IF($M958&gt;0,"Live","Exited"))</f>
        <v/>
      </c>
      <c r="V958" s="20" t="str">
        <f aca="false">IF($A958="","",IF($A958='Client Report'!$C$4,COUNTIFS($A$6:$A958,'Client Report'!$C$4),""))</f>
        <v/>
      </c>
    </row>
    <row r="959" customFormat="false" ht="15" hidden="false" customHeight="false" outlineLevel="0" collapsed="false">
      <c r="A959" s="11"/>
      <c r="B959" s="11"/>
      <c r="C959" s="14" t="str">
        <f aca="false">IF($B959="","",IFERROR(TRIM(LEFT($B959,FIND(" - ",$B959)-1)),"Others"))</f>
        <v/>
      </c>
      <c r="D959" s="11"/>
      <c r="E959" s="11"/>
      <c r="F959" s="12"/>
      <c r="G959" s="21"/>
      <c r="H959" s="21"/>
      <c r="I959" s="21"/>
      <c r="J959" s="21"/>
      <c r="K959" s="21"/>
      <c r="L959" s="21"/>
      <c r="M959" s="21"/>
      <c r="N959" s="22"/>
      <c r="O959" s="22"/>
      <c r="P959" s="17" t="str">
        <f aca="false">IF($A959="","",SUM($G959:$I959))</f>
        <v/>
      </c>
      <c r="Q959" s="17" t="str">
        <f aca="false">IF($A959="","",SUM($J959:$L959))</f>
        <v/>
      </c>
      <c r="R959" s="17" t="str">
        <f aca="false">IF($A959="","",($M959+$Q959)-$P959)</f>
        <v/>
      </c>
      <c r="S959" s="18" t="str">
        <f aca="false">IF(OR($A959="",$P959=0),"",$R959/$P959)</f>
        <v/>
      </c>
      <c r="T959" s="23"/>
      <c r="U959" s="14" t="str">
        <f aca="false">IF($A959="","",IF($M959&gt;0,"Live","Exited"))</f>
        <v/>
      </c>
      <c r="V959" s="20" t="str">
        <f aca="false">IF($A959="","",IF($A959='Client Report'!$C$4,COUNTIFS($A$6:$A959,'Client Report'!$C$4),""))</f>
        <v/>
      </c>
    </row>
    <row r="960" customFormat="false" ht="15" hidden="false" customHeight="false" outlineLevel="0" collapsed="false">
      <c r="A960" s="11"/>
      <c r="B960" s="11"/>
      <c r="C960" s="14" t="str">
        <f aca="false">IF($B960="","",IFERROR(TRIM(LEFT($B960,FIND(" - ",$B960)-1)),"Others"))</f>
        <v/>
      </c>
      <c r="D960" s="11"/>
      <c r="E960" s="11"/>
      <c r="F960" s="12"/>
      <c r="G960" s="21"/>
      <c r="H960" s="21"/>
      <c r="I960" s="21"/>
      <c r="J960" s="21"/>
      <c r="K960" s="21"/>
      <c r="L960" s="21"/>
      <c r="M960" s="21"/>
      <c r="N960" s="22"/>
      <c r="O960" s="22"/>
      <c r="P960" s="17" t="str">
        <f aca="false">IF($A960="","",SUM($G960:$I960))</f>
        <v/>
      </c>
      <c r="Q960" s="17" t="str">
        <f aca="false">IF($A960="","",SUM($J960:$L960))</f>
        <v/>
      </c>
      <c r="R960" s="17" t="str">
        <f aca="false">IF($A960="","",($M960+$Q960)-$P960)</f>
        <v/>
      </c>
      <c r="S960" s="18" t="str">
        <f aca="false">IF(OR($A960="",$P960=0),"",$R960/$P960)</f>
        <v/>
      </c>
      <c r="T960" s="23"/>
      <c r="U960" s="14" t="str">
        <f aca="false">IF($A960="","",IF($M960&gt;0,"Live","Exited"))</f>
        <v/>
      </c>
      <c r="V960" s="20" t="str">
        <f aca="false">IF($A960="","",IF($A960='Client Report'!$C$4,COUNTIFS($A$6:$A960,'Client Report'!$C$4),""))</f>
        <v/>
      </c>
    </row>
    <row r="961" customFormat="false" ht="15" hidden="false" customHeight="false" outlineLevel="0" collapsed="false">
      <c r="A961" s="11"/>
      <c r="B961" s="11"/>
      <c r="C961" s="14" t="str">
        <f aca="false">IF($B961="","",IFERROR(TRIM(LEFT($B961,FIND(" - ",$B961)-1)),"Others"))</f>
        <v/>
      </c>
      <c r="D961" s="11"/>
      <c r="E961" s="11"/>
      <c r="F961" s="12"/>
      <c r="G961" s="21"/>
      <c r="H961" s="21"/>
      <c r="I961" s="21"/>
      <c r="J961" s="21"/>
      <c r="K961" s="21"/>
      <c r="L961" s="21"/>
      <c r="M961" s="21"/>
      <c r="N961" s="22"/>
      <c r="O961" s="22"/>
      <c r="P961" s="17" t="str">
        <f aca="false">IF($A961="","",SUM($G961:$I961))</f>
        <v/>
      </c>
      <c r="Q961" s="17" t="str">
        <f aca="false">IF($A961="","",SUM($J961:$L961))</f>
        <v/>
      </c>
      <c r="R961" s="17" t="str">
        <f aca="false">IF($A961="","",($M961+$Q961)-$P961)</f>
        <v/>
      </c>
      <c r="S961" s="18" t="str">
        <f aca="false">IF(OR($A961="",$P961=0),"",$R961/$P961)</f>
        <v/>
      </c>
      <c r="T961" s="23"/>
      <c r="U961" s="14" t="str">
        <f aca="false">IF($A961="","",IF($M961&gt;0,"Live","Exited"))</f>
        <v/>
      </c>
      <c r="V961" s="20" t="str">
        <f aca="false">IF($A961="","",IF($A961='Client Report'!$C$4,COUNTIFS($A$6:$A961,'Client Report'!$C$4),""))</f>
        <v/>
      </c>
    </row>
    <row r="962" customFormat="false" ht="15" hidden="false" customHeight="false" outlineLevel="0" collapsed="false">
      <c r="A962" s="11"/>
      <c r="B962" s="11"/>
      <c r="C962" s="14" t="str">
        <f aca="false">IF($B962="","",IFERROR(TRIM(LEFT($B962,FIND(" - ",$B962)-1)),"Others"))</f>
        <v/>
      </c>
      <c r="D962" s="11"/>
      <c r="E962" s="11"/>
      <c r="F962" s="12"/>
      <c r="G962" s="21"/>
      <c r="H962" s="21"/>
      <c r="I962" s="21"/>
      <c r="J962" s="21"/>
      <c r="K962" s="21"/>
      <c r="L962" s="21"/>
      <c r="M962" s="21"/>
      <c r="N962" s="22"/>
      <c r="O962" s="22"/>
      <c r="P962" s="17" t="str">
        <f aca="false">IF($A962="","",SUM($G962:$I962))</f>
        <v/>
      </c>
      <c r="Q962" s="17" t="str">
        <f aca="false">IF($A962="","",SUM($J962:$L962))</f>
        <v/>
      </c>
      <c r="R962" s="17" t="str">
        <f aca="false">IF($A962="","",($M962+$Q962)-$P962)</f>
        <v/>
      </c>
      <c r="S962" s="18" t="str">
        <f aca="false">IF(OR($A962="",$P962=0),"",$R962/$P962)</f>
        <v/>
      </c>
      <c r="T962" s="23"/>
      <c r="U962" s="14" t="str">
        <f aca="false">IF($A962="","",IF($M962&gt;0,"Live","Exited"))</f>
        <v/>
      </c>
      <c r="V962" s="20" t="str">
        <f aca="false">IF($A962="","",IF($A962='Client Report'!$C$4,COUNTIFS($A$6:$A962,'Client Report'!$C$4),""))</f>
        <v/>
      </c>
    </row>
    <row r="963" customFormat="false" ht="15" hidden="false" customHeight="false" outlineLevel="0" collapsed="false">
      <c r="A963" s="11"/>
      <c r="B963" s="11"/>
      <c r="C963" s="14" t="str">
        <f aca="false">IF($B963="","",IFERROR(TRIM(LEFT($B963,FIND(" - ",$B963)-1)),"Others"))</f>
        <v/>
      </c>
      <c r="D963" s="11"/>
      <c r="E963" s="11"/>
      <c r="F963" s="12"/>
      <c r="G963" s="21"/>
      <c r="H963" s="21"/>
      <c r="I963" s="21"/>
      <c r="J963" s="21"/>
      <c r="K963" s="21"/>
      <c r="L963" s="21"/>
      <c r="M963" s="21"/>
      <c r="N963" s="22"/>
      <c r="O963" s="22"/>
      <c r="P963" s="17" t="str">
        <f aca="false">IF($A963="","",SUM($G963:$I963))</f>
        <v/>
      </c>
      <c r="Q963" s="17" t="str">
        <f aca="false">IF($A963="","",SUM($J963:$L963))</f>
        <v/>
      </c>
      <c r="R963" s="17" t="str">
        <f aca="false">IF($A963="","",($M963+$Q963)-$P963)</f>
        <v/>
      </c>
      <c r="S963" s="18" t="str">
        <f aca="false">IF(OR($A963="",$P963=0),"",$R963/$P963)</f>
        <v/>
      </c>
      <c r="T963" s="23"/>
      <c r="U963" s="14" t="str">
        <f aca="false">IF($A963="","",IF($M963&gt;0,"Live","Exited"))</f>
        <v/>
      </c>
      <c r="V963" s="20" t="str">
        <f aca="false">IF($A963="","",IF($A963='Client Report'!$C$4,COUNTIFS($A$6:$A963,'Client Report'!$C$4),""))</f>
        <v/>
      </c>
    </row>
    <row r="964" customFormat="false" ht="15" hidden="false" customHeight="false" outlineLevel="0" collapsed="false">
      <c r="A964" s="11"/>
      <c r="B964" s="11"/>
      <c r="C964" s="14" t="str">
        <f aca="false">IF($B964="","",IFERROR(TRIM(LEFT($B964,FIND(" - ",$B964)-1)),"Others"))</f>
        <v/>
      </c>
      <c r="D964" s="11"/>
      <c r="E964" s="11"/>
      <c r="F964" s="12"/>
      <c r="G964" s="21"/>
      <c r="H964" s="21"/>
      <c r="I964" s="21"/>
      <c r="J964" s="21"/>
      <c r="K964" s="21"/>
      <c r="L964" s="21"/>
      <c r="M964" s="21"/>
      <c r="N964" s="22"/>
      <c r="O964" s="22"/>
      <c r="P964" s="17" t="str">
        <f aca="false">IF($A964="","",SUM($G964:$I964))</f>
        <v/>
      </c>
      <c r="Q964" s="17" t="str">
        <f aca="false">IF($A964="","",SUM($J964:$L964))</f>
        <v/>
      </c>
      <c r="R964" s="17" t="str">
        <f aca="false">IF($A964="","",($M964+$Q964)-$P964)</f>
        <v/>
      </c>
      <c r="S964" s="18" t="str">
        <f aca="false">IF(OR($A964="",$P964=0),"",$R964/$P964)</f>
        <v/>
      </c>
      <c r="T964" s="23"/>
      <c r="U964" s="14" t="str">
        <f aca="false">IF($A964="","",IF($M964&gt;0,"Live","Exited"))</f>
        <v/>
      </c>
      <c r="V964" s="20" t="str">
        <f aca="false">IF($A964="","",IF($A964='Client Report'!$C$4,COUNTIFS($A$6:$A964,'Client Report'!$C$4),""))</f>
        <v/>
      </c>
    </row>
    <row r="965" customFormat="false" ht="15" hidden="false" customHeight="false" outlineLevel="0" collapsed="false">
      <c r="A965" s="11"/>
      <c r="B965" s="11"/>
      <c r="C965" s="14" t="str">
        <f aca="false">IF($B965="","",IFERROR(TRIM(LEFT($B965,FIND(" - ",$B965)-1)),"Others"))</f>
        <v/>
      </c>
      <c r="D965" s="11"/>
      <c r="E965" s="11"/>
      <c r="F965" s="12"/>
      <c r="G965" s="21"/>
      <c r="H965" s="21"/>
      <c r="I965" s="21"/>
      <c r="J965" s="21"/>
      <c r="K965" s="21"/>
      <c r="L965" s="21"/>
      <c r="M965" s="21"/>
      <c r="N965" s="22"/>
      <c r="O965" s="22"/>
      <c r="P965" s="17" t="str">
        <f aca="false">IF($A965="","",SUM($G965:$I965))</f>
        <v/>
      </c>
      <c r="Q965" s="17" t="str">
        <f aca="false">IF($A965="","",SUM($J965:$L965))</f>
        <v/>
      </c>
      <c r="R965" s="17" t="str">
        <f aca="false">IF($A965="","",($M965+$Q965)-$P965)</f>
        <v/>
      </c>
      <c r="S965" s="18" t="str">
        <f aca="false">IF(OR($A965="",$P965=0),"",$R965/$P965)</f>
        <v/>
      </c>
      <c r="T965" s="23"/>
      <c r="U965" s="14" t="str">
        <f aca="false">IF($A965="","",IF($M965&gt;0,"Live","Exited"))</f>
        <v/>
      </c>
      <c r="V965" s="20" t="str">
        <f aca="false">IF($A965="","",IF($A965='Client Report'!$C$4,COUNTIFS($A$6:$A965,'Client Report'!$C$4),""))</f>
        <v/>
      </c>
    </row>
    <row r="966" customFormat="false" ht="15" hidden="false" customHeight="false" outlineLevel="0" collapsed="false">
      <c r="A966" s="11"/>
      <c r="B966" s="11"/>
      <c r="C966" s="14" t="str">
        <f aca="false">IF($B966="","",IFERROR(TRIM(LEFT($B966,FIND(" - ",$B966)-1)),"Others"))</f>
        <v/>
      </c>
      <c r="D966" s="11"/>
      <c r="E966" s="11"/>
      <c r="F966" s="12"/>
      <c r="G966" s="21"/>
      <c r="H966" s="21"/>
      <c r="I966" s="21"/>
      <c r="J966" s="21"/>
      <c r="K966" s="21"/>
      <c r="L966" s="21"/>
      <c r="M966" s="21"/>
      <c r="N966" s="22"/>
      <c r="O966" s="22"/>
      <c r="P966" s="17" t="str">
        <f aca="false">IF($A966="","",SUM($G966:$I966))</f>
        <v/>
      </c>
      <c r="Q966" s="17" t="str">
        <f aca="false">IF($A966="","",SUM($J966:$L966))</f>
        <v/>
      </c>
      <c r="R966" s="17" t="str">
        <f aca="false">IF($A966="","",($M966+$Q966)-$P966)</f>
        <v/>
      </c>
      <c r="S966" s="18" t="str">
        <f aca="false">IF(OR($A966="",$P966=0),"",$R966/$P966)</f>
        <v/>
      </c>
      <c r="T966" s="23"/>
      <c r="U966" s="14" t="str">
        <f aca="false">IF($A966="","",IF($M966&gt;0,"Live","Exited"))</f>
        <v/>
      </c>
      <c r="V966" s="20" t="str">
        <f aca="false">IF($A966="","",IF($A966='Client Report'!$C$4,COUNTIFS($A$6:$A966,'Client Report'!$C$4),""))</f>
        <v/>
      </c>
    </row>
    <row r="967" customFormat="false" ht="15" hidden="false" customHeight="false" outlineLevel="0" collapsed="false">
      <c r="A967" s="11"/>
      <c r="B967" s="11"/>
      <c r="C967" s="14" t="str">
        <f aca="false">IF($B967="","",IFERROR(TRIM(LEFT($B967,FIND(" - ",$B967)-1)),"Others"))</f>
        <v/>
      </c>
      <c r="D967" s="11"/>
      <c r="E967" s="11"/>
      <c r="F967" s="12"/>
      <c r="G967" s="21"/>
      <c r="H967" s="21"/>
      <c r="I967" s="21"/>
      <c r="J967" s="21"/>
      <c r="K967" s="21"/>
      <c r="L967" s="21"/>
      <c r="M967" s="21"/>
      <c r="N967" s="22"/>
      <c r="O967" s="22"/>
      <c r="P967" s="17" t="str">
        <f aca="false">IF($A967="","",SUM($G967:$I967))</f>
        <v/>
      </c>
      <c r="Q967" s="17" t="str">
        <f aca="false">IF($A967="","",SUM($J967:$L967))</f>
        <v/>
      </c>
      <c r="R967" s="17" t="str">
        <f aca="false">IF($A967="","",($M967+$Q967)-$P967)</f>
        <v/>
      </c>
      <c r="S967" s="18" t="str">
        <f aca="false">IF(OR($A967="",$P967=0),"",$R967/$P967)</f>
        <v/>
      </c>
      <c r="T967" s="23"/>
      <c r="U967" s="14" t="str">
        <f aca="false">IF($A967="","",IF($M967&gt;0,"Live","Exited"))</f>
        <v/>
      </c>
      <c r="V967" s="20" t="str">
        <f aca="false">IF($A967="","",IF($A967='Client Report'!$C$4,COUNTIFS($A$6:$A967,'Client Report'!$C$4),""))</f>
        <v/>
      </c>
    </row>
    <row r="968" customFormat="false" ht="15" hidden="false" customHeight="false" outlineLevel="0" collapsed="false">
      <c r="A968" s="11"/>
      <c r="B968" s="11"/>
      <c r="C968" s="14" t="str">
        <f aca="false">IF($B968="","",IFERROR(TRIM(LEFT($B968,FIND(" - ",$B968)-1)),"Others"))</f>
        <v/>
      </c>
      <c r="D968" s="11"/>
      <c r="E968" s="11"/>
      <c r="F968" s="12"/>
      <c r="G968" s="21"/>
      <c r="H968" s="21"/>
      <c r="I968" s="21"/>
      <c r="J968" s="21"/>
      <c r="K968" s="21"/>
      <c r="L968" s="21"/>
      <c r="M968" s="21"/>
      <c r="N968" s="22"/>
      <c r="O968" s="22"/>
      <c r="P968" s="17" t="str">
        <f aca="false">IF($A968="","",SUM($G968:$I968))</f>
        <v/>
      </c>
      <c r="Q968" s="17" t="str">
        <f aca="false">IF($A968="","",SUM($J968:$L968))</f>
        <v/>
      </c>
      <c r="R968" s="17" t="str">
        <f aca="false">IF($A968="","",($M968+$Q968)-$P968)</f>
        <v/>
      </c>
      <c r="S968" s="18" t="str">
        <f aca="false">IF(OR($A968="",$P968=0),"",$R968/$P968)</f>
        <v/>
      </c>
      <c r="T968" s="23"/>
      <c r="U968" s="14" t="str">
        <f aca="false">IF($A968="","",IF($M968&gt;0,"Live","Exited"))</f>
        <v/>
      </c>
      <c r="V968" s="20" t="str">
        <f aca="false">IF($A968="","",IF($A968='Client Report'!$C$4,COUNTIFS($A$6:$A968,'Client Report'!$C$4),""))</f>
        <v/>
      </c>
    </row>
    <row r="969" customFormat="false" ht="15" hidden="false" customHeight="false" outlineLevel="0" collapsed="false">
      <c r="A969" s="11"/>
      <c r="B969" s="11"/>
      <c r="C969" s="14" t="str">
        <f aca="false">IF($B969="","",IFERROR(TRIM(LEFT($B969,FIND(" - ",$B969)-1)),"Others"))</f>
        <v/>
      </c>
      <c r="D969" s="11"/>
      <c r="E969" s="11"/>
      <c r="F969" s="12"/>
      <c r="G969" s="21"/>
      <c r="H969" s="21"/>
      <c r="I969" s="21"/>
      <c r="J969" s="21"/>
      <c r="K969" s="21"/>
      <c r="L969" s="21"/>
      <c r="M969" s="21"/>
      <c r="N969" s="22"/>
      <c r="O969" s="22"/>
      <c r="P969" s="17" t="str">
        <f aca="false">IF($A969="","",SUM($G969:$I969))</f>
        <v/>
      </c>
      <c r="Q969" s="17" t="str">
        <f aca="false">IF($A969="","",SUM($J969:$L969))</f>
        <v/>
      </c>
      <c r="R969" s="17" t="str">
        <f aca="false">IF($A969="","",($M969+$Q969)-$P969)</f>
        <v/>
      </c>
      <c r="S969" s="18" t="str">
        <f aca="false">IF(OR($A969="",$P969=0),"",$R969/$P969)</f>
        <v/>
      </c>
      <c r="T969" s="23"/>
      <c r="U969" s="14" t="str">
        <f aca="false">IF($A969="","",IF($M969&gt;0,"Live","Exited"))</f>
        <v/>
      </c>
      <c r="V969" s="20" t="str">
        <f aca="false">IF($A969="","",IF($A969='Client Report'!$C$4,COUNTIFS($A$6:$A969,'Client Report'!$C$4),""))</f>
        <v/>
      </c>
    </row>
    <row r="970" customFormat="false" ht="15" hidden="false" customHeight="false" outlineLevel="0" collapsed="false">
      <c r="A970" s="11"/>
      <c r="B970" s="11"/>
      <c r="C970" s="14" t="str">
        <f aca="false">IF($B970="","",IFERROR(TRIM(LEFT($B970,FIND(" - ",$B970)-1)),"Others"))</f>
        <v/>
      </c>
      <c r="D970" s="11"/>
      <c r="E970" s="11"/>
      <c r="F970" s="12"/>
      <c r="G970" s="21"/>
      <c r="H970" s="21"/>
      <c r="I970" s="21"/>
      <c r="J970" s="21"/>
      <c r="K970" s="21"/>
      <c r="L970" s="21"/>
      <c r="M970" s="21"/>
      <c r="N970" s="22"/>
      <c r="O970" s="22"/>
      <c r="P970" s="17" t="str">
        <f aca="false">IF($A970="","",SUM($G970:$I970))</f>
        <v/>
      </c>
      <c r="Q970" s="17" t="str">
        <f aca="false">IF($A970="","",SUM($J970:$L970))</f>
        <v/>
      </c>
      <c r="R970" s="17" t="str">
        <f aca="false">IF($A970="","",($M970+$Q970)-$P970)</f>
        <v/>
      </c>
      <c r="S970" s="18" t="str">
        <f aca="false">IF(OR($A970="",$P970=0),"",$R970/$P970)</f>
        <v/>
      </c>
      <c r="T970" s="23"/>
      <c r="U970" s="14" t="str">
        <f aca="false">IF($A970="","",IF($M970&gt;0,"Live","Exited"))</f>
        <v/>
      </c>
      <c r="V970" s="20" t="str">
        <f aca="false">IF($A970="","",IF($A970='Client Report'!$C$4,COUNTIFS($A$6:$A970,'Client Report'!$C$4),""))</f>
        <v/>
      </c>
    </row>
    <row r="971" customFormat="false" ht="15" hidden="false" customHeight="false" outlineLevel="0" collapsed="false">
      <c r="A971" s="11"/>
      <c r="B971" s="11"/>
      <c r="C971" s="14" t="str">
        <f aca="false">IF($B971="","",IFERROR(TRIM(LEFT($B971,FIND(" - ",$B971)-1)),"Others"))</f>
        <v/>
      </c>
      <c r="D971" s="11"/>
      <c r="E971" s="11"/>
      <c r="F971" s="12"/>
      <c r="G971" s="21"/>
      <c r="H971" s="21"/>
      <c r="I971" s="21"/>
      <c r="J971" s="21"/>
      <c r="K971" s="21"/>
      <c r="L971" s="21"/>
      <c r="M971" s="21"/>
      <c r="N971" s="22"/>
      <c r="O971" s="22"/>
      <c r="P971" s="17" t="str">
        <f aca="false">IF($A971="","",SUM($G971:$I971))</f>
        <v/>
      </c>
      <c r="Q971" s="17" t="str">
        <f aca="false">IF($A971="","",SUM($J971:$L971))</f>
        <v/>
      </c>
      <c r="R971" s="17" t="str">
        <f aca="false">IF($A971="","",($M971+$Q971)-$P971)</f>
        <v/>
      </c>
      <c r="S971" s="18" t="str">
        <f aca="false">IF(OR($A971="",$P971=0),"",$R971/$P971)</f>
        <v/>
      </c>
      <c r="T971" s="23"/>
      <c r="U971" s="14" t="str">
        <f aca="false">IF($A971="","",IF($M971&gt;0,"Live","Exited"))</f>
        <v/>
      </c>
      <c r="V971" s="20" t="str">
        <f aca="false">IF($A971="","",IF($A971='Client Report'!$C$4,COUNTIFS($A$6:$A971,'Client Report'!$C$4),""))</f>
        <v/>
      </c>
    </row>
    <row r="972" customFormat="false" ht="15" hidden="false" customHeight="false" outlineLevel="0" collapsed="false">
      <c r="A972" s="11"/>
      <c r="B972" s="11"/>
      <c r="C972" s="14" t="str">
        <f aca="false">IF($B972="","",IFERROR(TRIM(LEFT($B972,FIND(" - ",$B972)-1)),"Others"))</f>
        <v/>
      </c>
      <c r="D972" s="11"/>
      <c r="E972" s="11"/>
      <c r="F972" s="12"/>
      <c r="G972" s="21"/>
      <c r="H972" s="21"/>
      <c r="I972" s="21"/>
      <c r="J972" s="21"/>
      <c r="K972" s="21"/>
      <c r="L972" s="21"/>
      <c r="M972" s="21"/>
      <c r="N972" s="22"/>
      <c r="O972" s="22"/>
      <c r="P972" s="17" t="str">
        <f aca="false">IF($A972="","",SUM($G972:$I972))</f>
        <v/>
      </c>
      <c r="Q972" s="17" t="str">
        <f aca="false">IF($A972="","",SUM($J972:$L972))</f>
        <v/>
      </c>
      <c r="R972" s="17" t="str">
        <f aca="false">IF($A972="","",($M972+$Q972)-$P972)</f>
        <v/>
      </c>
      <c r="S972" s="18" t="str">
        <f aca="false">IF(OR($A972="",$P972=0),"",$R972/$P972)</f>
        <v/>
      </c>
      <c r="T972" s="23"/>
      <c r="U972" s="14" t="str">
        <f aca="false">IF($A972="","",IF($M972&gt;0,"Live","Exited"))</f>
        <v/>
      </c>
      <c r="V972" s="20" t="str">
        <f aca="false">IF($A972="","",IF($A972='Client Report'!$C$4,COUNTIFS($A$6:$A972,'Client Report'!$C$4),""))</f>
        <v/>
      </c>
    </row>
    <row r="973" customFormat="false" ht="15" hidden="false" customHeight="false" outlineLevel="0" collapsed="false">
      <c r="A973" s="11"/>
      <c r="B973" s="11"/>
      <c r="C973" s="14" t="str">
        <f aca="false">IF($B973="","",IFERROR(TRIM(LEFT($B973,FIND(" - ",$B973)-1)),"Others"))</f>
        <v/>
      </c>
      <c r="D973" s="11"/>
      <c r="E973" s="11"/>
      <c r="F973" s="12"/>
      <c r="G973" s="21"/>
      <c r="H973" s="21"/>
      <c r="I973" s="21"/>
      <c r="J973" s="21"/>
      <c r="K973" s="21"/>
      <c r="L973" s="21"/>
      <c r="M973" s="21"/>
      <c r="N973" s="22"/>
      <c r="O973" s="22"/>
      <c r="P973" s="17" t="str">
        <f aca="false">IF($A973="","",SUM($G973:$I973))</f>
        <v/>
      </c>
      <c r="Q973" s="17" t="str">
        <f aca="false">IF($A973="","",SUM($J973:$L973))</f>
        <v/>
      </c>
      <c r="R973" s="17" t="str">
        <f aca="false">IF($A973="","",($M973+$Q973)-$P973)</f>
        <v/>
      </c>
      <c r="S973" s="18" t="str">
        <f aca="false">IF(OR($A973="",$P973=0),"",$R973/$P973)</f>
        <v/>
      </c>
      <c r="T973" s="23"/>
      <c r="U973" s="14" t="str">
        <f aca="false">IF($A973="","",IF($M973&gt;0,"Live","Exited"))</f>
        <v/>
      </c>
      <c r="V973" s="20" t="str">
        <f aca="false">IF($A973="","",IF($A973='Client Report'!$C$4,COUNTIFS($A$6:$A973,'Client Report'!$C$4),""))</f>
        <v/>
      </c>
    </row>
    <row r="974" customFormat="false" ht="15" hidden="false" customHeight="false" outlineLevel="0" collapsed="false">
      <c r="A974" s="11"/>
      <c r="B974" s="11"/>
      <c r="C974" s="14" t="str">
        <f aca="false">IF($B974="","",IFERROR(TRIM(LEFT($B974,FIND(" - ",$B974)-1)),"Others"))</f>
        <v/>
      </c>
      <c r="D974" s="11"/>
      <c r="E974" s="11"/>
      <c r="F974" s="12"/>
      <c r="G974" s="21"/>
      <c r="H974" s="21"/>
      <c r="I974" s="21"/>
      <c r="J974" s="21"/>
      <c r="K974" s="21"/>
      <c r="L974" s="21"/>
      <c r="M974" s="21"/>
      <c r="N974" s="22"/>
      <c r="O974" s="22"/>
      <c r="P974" s="17" t="str">
        <f aca="false">IF($A974="","",SUM($G974:$I974))</f>
        <v/>
      </c>
      <c r="Q974" s="17" t="str">
        <f aca="false">IF($A974="","",SUM($J974:$L974))</f>
        <v/>
      </c>
      <c r="R974" s="17" t="str">
        <f aca="false">IF($A974="","",($M974+$Q974)-$P974)</f>
        <v/>
      </c>
      <c r="S974" s="18" t="str">
        <f aca="false">IF(OR($A974="",$P974=0),"",$R974/$P974)</f>
        <v/>
      </c>
      <c r="T974" s="23"/>
      <c r="U974" s="14" t="str">
        <f aca="false">IF($A974="","",IF($M974&gt;0,"Live","Exited"))</f>
        <v/>
      </c>
      <c r="V974" s="20" t="str">
        <f aca="false">IF($A974="","",IF($A974='Client Report'!$C$4,COUNTIFS($A$6:$A974,'Client Report'!$C$4),""))</f>
        <v/>
      </c>
    </row>
    <row r="975" customFormat="false" ht="15" hidden="false" customHeight="false" outlineLevel="0" collapsed="false">
      <c r="A975" s="11"/>
      <c r="B975" s="11"/>
      <c r="C975" s="14" t="str">
        <f aca="false">IF($B975="","",IFERROR(TRIM(LEFT($B975,FIND(" - ",$B975)-1)),"Others"))</f>
        <v/>
      </c>
      <c r="D975" s="11"/>
      <c r="E975" s="11"/>
      <c r="F975" s="12"/>
      <c r="G975" s="21"/>
      <c r="H975" s="21"/>
      <c r="I975" s="21"/>
      <c r="J975" s="21"/>
      <c r="K975" s="21"/>
      <c r="L975" s="21"/>
      <c r="M975" s="21"/>
      <c r="N975" s="22"/>
      <c r="O975" s="22"/>
      <c r="P975" s="17" t="str">
        <f aca="false">IF($A975="","",SUM($G975:$I975))</f>
        <v/>
      </c>
      <c r="Q975" s="17" t="str">
        <f aca="false">IF($A975="","",SUM($J975:$L975))</f>
        <v/>
      </c>
      <c r="R975" s="17" t="str">
        <f aca="false">IF($A975="","",($M975+$Q975)-$P975)</f>
        <v/>
      </c>
      <c r="S975" s="18" t="str">
        <f aca="false">IF(OR($A975="",$P975=0),"",$R975/$P975)</f>
        <v/>
      </c>
      <c r="T975" s="23"/>
      <c r="U975" s="14" t="str">
        <f aca="false">IF($A975="","",IF($M975&gt;0,"Live","Exited"))</f>
        <v/>
      </c>
      <c r="V975" s="20" t="str">
        <f aca="false">IF($A975="","",IF($A975='Client Report'!$C$4,COUNTIFS($A$6:$A975,'Client Report'!$C$4),""))</f>
        <v/>
      </c>
    </row>
    <row r="976" customFormat="false" ht="15" hidden="false" customHeight="false" outlineLevel="0" collapsed="false">
      <c r="A976" s="11"/>
      <c r="B976" s="11"/>
      <c r="C976" s="14" t="str">
        <f aca="false">IF($B976="","",IFERROR(TRIM(LEFT($B976,FIND(" - ",$B976)-1)),"Others"))</f>
        <v/>
      </c>
      <c r="D976" s="11"/>
      <c r="E976" s="11"/>
      <c r="F976" s="12"/>
      <c r="G976" s="21"/>
      <c r="H976" s="21"/>
      <c r="I976" s="21"/>
      <c r="J976" s="21"/>
      <c r="K976" s="21"/>
      <c r="L976" s="21"/>
      <c r="M976" s="21"/>
      <c r="N976" s="22"/>
      <c r="O976" s="22"/>
      <c r="P976" s="17" t="str">
        <f aca="false">IF($A976="","",SUM($G976:$I976))</f>
        <v/>
      </c>
      <c r="Q976" s="17" t="str">
        <f aca="false">IF($A976="","",SUM($J976:$L976))</f>
        <v/>
      </c>
      <c r="R976" s="17" t="str">
        <f aca="false">IF($A976="","",($M976+$Q976)-$P976)</f>
        <v/>
      </c>
      <c r="S976" s="18" t="str">
        <f aca="false">IF(OR($A976="",$P976=0),"",$R976/$P976)</f>
        <v/>
      </c>
      <c r="T976" s="23"/>
      <c r="U976" s="14" t="str">
        <f aca="false">IF($A976="","",IF($M976&gt;0,"Live","Exited"))</f>
        <v/>
      </c>
      <c r="V976" s="20" t="str">
        <f aca="false">IF($A976="","",IF($A976='Client Report'!$C$4,COUNTIFS($A$6:$A976,'Client Report'!$C$4),""))</f>
        <v/>
      </c>
    </row>
    <row r="977" customFormat="false" ht="15" hidden="false" customHeight="false" outlineLevel="0" collapsed="false">
      <c r="A977" s="11"/>
      <c r="B977" s="11"/>
      <c r="C977" s="14" t="str">
        <f aca="false">IF($B977="","",IFERROR(TRIM(LEFT($B977,FIND(" - ",$B977)-1)),"Others"))</f>
        <v/>
      </c>
      <c r="D977" s="11"/>
      <c r="E977" s="11"/>
      <c r="F977" s="12"/>
      <c r="G977" s="21"/>
      <c r="H977" s="21"/>
      <c r="I977" s="21"/>
      <c r="J977" s="21"/>
      <c r="K977" s="21"/>
      <c r="L977" s="21"/>
      <c r="M977" s="21"/>
      <c r="N977" s="22"/>
      <c r="O977" s="22"/>
      <c r="P977" s="17" t="str">
        <f aca="false">IF($A977="","",SUM($G977:$I977))</f>
        <v/>
      </c>
      <c r="Q977" s="17" t="str">
        <f aca="false">IF($A977="","",SUM($J977:$L977))</f>
        <v/>
      </c>
      <c r="R977" s="17" t="str">
        <f aca="false">IF($A977="","",($M977+$Q977)-$P977)</f>
        <v/>
      </c>
      <c r="S977" s="18" t="str">
        <f aca="false">IF(OR($A977="",$P977=0),"",$R977/$P977)</f>
        <v/>
      </c>
      <c r="T977" s="23"/>
      <c r="U977" s="14" t="str">
        <f aca="false">IF($A977="","",IF($M977&gt;0,"Live","Exited"))</f>
        <v/>
      </c>
      <c r="V977" s="20" t="str">
        <f aca="false">IF($A977="","",IF($A977='Client Report'!$C$4,COUNTIFS($A$6:$A977,'Client Report'!$C$4),""))</f>
        <v/>
      </c>
    </row>
    <row r="978" customFormat="false" ht="15" hidden="false" customHeight="false" outlineLevel="0" collapsed="false">
      <c r="A978" s="11"/>
      <c r="B978" s="11"/>
      <c r="C978" s="14" t="str">
        <f aca="false">IF($B978="","",IFERROR(TRIM(LEFT($B978,FIND(" - ",$B978)-1)),"Others"))</f>
        <v/>
      </c>
      <c r="D978" s="11"/>
      <c r="E978" s="11"/>
      <c r="F978" s="12"/>
      <c r="G978" s="21"/>
      <c r="H978" s="21"/>
      <c r="I978" s="21"/>
      <c r="J978" s="21"/>
      <c r="K978" s="21"/>
      <c r="L978" s="21"/>
      <c r="M978" s="21"/>
      <c r="N978" s="22"/>
      <c r="O978" s="22"/>
      <c r="P978" s="17" t="str">
        <f aca="false">IF($A978="","",SUM($G978:$I978))</f>
        <v/>
      </c>
      <c r="Q978" s="17" t="str">
        <f aca="false">IF($A978="","",SUM($J978:$L978))</f>
        <v/>
      </c>
      <c r="R978" s="17" t="str">
        <f aca="false">IF($A978="","",($M978+$Q978)-$P978)</f>
        <v/>
      </c>
      <c r="S978" s="18" t="str">
        <f aca="false">IF(OR($A978="",$P978=0),"",$R978/$P978)</f>
        <v/>
      </c>
      <c r="T978" s="23"/>
      <c r="U978" s="14" t="str">
        <f aca="false">IF($A978="","",IF($M978&gt;0,"Live","Exited"))</f>
        <v/>
      </c>
      <c r="V978" s="20" t="str">
        <f aca="false">IF($A978="","",IF($A978='Client Report'!$C$4,COUNTIFS($A$6:$A978,'Client Report'!$C$4),""))</f>
        <v/>
      </c>
    </row>
    <row r="979" customFormat="false" ht="15" hidden="false" customHeight="false" outlineLevel="0" collapsed="false">
      <c r="A979" s="11"/>
      <c r="B979" s="11"/>
      <c r="C979" s="14" t="str">
        <f aca="false">IF($B979="","",IFERROR(TRIM(LEFT($B979,FIND(" - ",$B979)-1)),"Others"))</f>
        <v/>
      </c>
      <c r="D979" s="11"/>
      <c r="E979" s="11"/>
      <c r="F979" s="12"/>
      <c r="G979" s="21"/>
      <c r="H979" s="21"/>
      <c r="I979" s="21"/>
      <c r="J979" s="21"/>
      <c r="K979" s="21"/>
      <c r="L979" s="21"/>
      <c r="M979" s="21"/>
      <c r="N979" s="22"/>
      <c r="O979" s="22"/>
      <c r="P979" s="17" t="str">
        <f aca="false">IF($A979="","",SUM($G979:$I979))</f>
        <v/>
      </c>
      <c r="Q979" s="17" t="str">
        <f aca="false">IF($A979="","",SUM($J979:$L979))</f>
        <v/>
      </c>
      <c r="R979" s="17" t="str">
        <f aca="false">IF($A979="","",($M979+$Q979)-$P979)</f>
        <v/>
      </c>
      <c r="S979" s="18" t="str">
        <f aca="false">IF(OR($A979="",$P979=0),"",$R979/$P979)</f>
        <v/>
      </c>
      <c r="T979" s="23"/>
      <c r="U979" s="14" t="str">
        <f aca="false">IF($A979="","",IF($M979&gt;0,"Live","Exited"))</f>
        <v/>
      </c>
      <c r="V979" s="20" t="str">
        <f aca="false">IF($A979="","",IF($A979='Client Report'!$C$4,COUNTIFS($A$6:$A979,'Client Report'!$C$4),""))</f>
        <v/>
      </c>
    </row>
    <row r="980" customFormat="false" ht="15" hidden="false" customHeight="false" outlineLevel="0" collapsed="false">
      <c r="A980" s="11"/>
      <c r="B980" s="11"/>
      <c r="C980" s="14" t="str">
        <f aca="false">IF($B980="","",IFERROR(TRIM(LEFT($B980,FIND(" - ",$B980)-1)),"Others"))</f>
        <v/>
      </c>
      <c r="D980" s="11"/>
      <c r="E980" s="11"/>
      <c r="F980" s="12"/>
      <c r="G980" s="21"/>
      <c r="H980" s="21"/>
      <c r="I980" s="21"/>
      <c r="J980" s="21"/>
      <c r="K980" s="21"/>
      <c r="L980" s="21"/>
      <c r="M980" s="21"/>
      <c r="N980" s="22"/>
      <c r="O980" s="22"/>
      <c r="P980" s="17" t="str">
        <f aca="false">IF($A980="","",SUM($G980:$I980))</f>
        <v/>
      </c>
      <c r="Q980" s="17" t="str">
        <f aca="false">IF($A980="","",SUM($J980:$L980))</f>
        <v/>
      </c>
      <c r="R980" s="17" t="str">
        <f aca="false">IF($A980="","",($M980+$Q980)-$P980)</f>
        <v/>
      </c>
      <c r="S980" s="18" t="str">
        <f aca="false">IF(OR($A980="",$P980=0),"",$R980/$P980)</f>
        <v/>
      </c>
      <c r="T980" s="23"/>
      <c r="U980" s="14" t="str">
        <f aca="false">IF($A980="","",IF($M980&gt;0,"Live","Exited"))</f>
        <v/>
      </c>
      <c r="V980" s="20" t="str">
        <f aca="false">IF($A980="","",IF($A980='Client Report'!$C$4,COUNTIFS($A$6:$A980,'Client Report'!$C$4),""))</f>
        <v/>
      </c>
    </row>
    <row r="981" customFormat="false" ht="15" hidden="false" customHeight="false" outlineLevel="0" collapsed="false">
      <c r="A981" s="11"/>
      <c r="B981" s="11"/>
      <c r="C981" s="14" t="str">
        <f aca="false">IF($B981="","",IFERROR(TRIM(LEFT($B981,FIND(" - ",$B981)-1)),"Others"))</f>
        <v/>
      </c>
      <c r="D981" s="11"/>
      <c r="E981" s="11"/>
      <c r="F981" s="12"/>
      <c r="G981" s="21"/>
      <c r="H981" s="21"/>
      <c r="I981" s="21"/>
      <c r="J981" s="21"/>
      <c r="K981" s="21"/>
      <c r="L981" s="21"/>
      <c r="M981" s="21"/>
      <c r="N981" s="22"/>
      <c r="O981" s="22"/>
      <c r="P981" s="17" t="str">
        <f aca="false">IF($A981="","",SUM($G981:$I981))</f>
        <v/>
      </c>
      <c r="Q981" s="17" t="str">
        <f aca="false">IF($A981="","",SUM($J981:$L981))</f>
        <v/>
      </c>
      <c r="R981" s="17" t="str">
        <f aca="false">IF($A981="","",($M981+$Q981)-$P981)</f>
        <v/>
      </c>
      <c r="S981" s="18" t="str">
        <f aca="false">IF(OR($A981="",$P981=0),"",$R981/$P981)</f>
        <v/>
      </c>
      <c r="T981" s="23"/>
      <c r="U981" s="14" t="str">
        <f aca="false">IF($A981="","",IF($M981&gt;0,"Live","Exited"))</f>
        <v/>
      </c>
      <c r="V981" s="20" t="str">
        <f aca="false">IF($A981="","",IF($A981='Client Report'!$C$4,COUNTIFS($A$6:$A981,'Client Report'!$C$4),""))</f>
        <v/>
      </c>
    </row>
    <row r="982" customFormat="false" ht="15" hidden="false" customHeight="false" outlineLevel="0" collapsed="false">
      <c r="A982" s="11"/>
      <c r="B982" s="11"/>
      <c r="C982" s="14" t="str">
        <f aca="false">IF($B982="","",IFERROR(TRIM(LEFT($B982,FIND(" - ",$B982)-1)),"Others"))</f>
        <v/>
      </c>
      <c r="D982" s="11"/>
      <c r="E982" s="11"/>
      <c r="F982" s="12"/>
      <c r="G982" s="21"/>
      <c r="H982" s="21"/>
      <c r="I982" s="21"/>
      <c r="J982" s="21"/>
      <c r="K982" s="21"/>
      <c r="L982" s="21"/>
      <c r="M982" s="21"/>
      <c r="N982" s="22"/>
      <c r="O982" s="22"/>
      <c r="P982" s="17" t="str">
        <f aca="false">IF($A982="","",SUM($G982:$I982))</f>
        <v/>
      </c>
      <c r="Q982" s="17" t="str">
        <f aca="false">IF($A982="","",SUM($J982:$L982))</f>
        <v/>
      </c>
      <c r="R982" s="17" t="str">
        <f aca="false">IF($A982="","",($M982+$Q982)-$P982)</f>
        <v/>
      </c>
      <c r="S982" s="18" t="str">
        <f aca="false">IF(OR($A982="",$P982=0),"",$R982/$P982)</f>
        <v/>
      </c>
      <c r="T982" s="23"/>
      <c r="U982" s="14" t="str">
        <f aca="false">IF($A982="","",IF($M982&gt;0,"Live","Exited"))</f>
        <v/>
      </c>
      <c r="V982" s="20" t="str">
        <f aca="false">IF($A982="","",IF($A982='Client Report'!$C$4,COUNTIFS($A$6:$A982,'Client Report'!$C$4),""))</f>
        <v/>
      </c>
    </row>
    <row r="983" customFormat="false" ht="15" hidden="false" customHeight="false" outlineLevel="0" collapsed="false">
      <c r="A983" s="11"/>
      <c r="B983" s="11"/>
      <c r="C983" s="14" t="str">
        <f aca="false">IF($B983="","",IFERROR(TRIM(LEFT($B983,FIND(" - ",$B983)-1)),"Others"))</f>
        <v/>
      </c>
      <c r="D983" s="11"/>
      <c r="E983" s="11"/>
      <c r="F983" s="12"/>
      <c r="G983" s="21"/>
      <c r="H983" s="21"/>
      <c r="I983" s="21"/>
      <c r="J983" s="21"/>
      <c r="K983" s="21"/>
      <c r="L983" s="21"/>
      <c r="M983" s="21"/>
      <c r="N983" s="22"/>
      <c r="O983" s="22"/>
      <c r="P983" s="17" t="str">
        <f aca="false">IF($A983="","",SUM($G983:$I983))</f>
        <v/>
      </c>
      <c r="Q983" s="17" t="str">
        <f aca="false">IF($A983="","",SUM($J983:$L983))</f>
        <v/>
      </c>
      <c r="R983" s="17" t="str">
        <f aca="false">IF($A983="","",($M983+$Q983)-$P983)</f>
        <v/>
      </c>
      <c r="S983" s="18" t="str">
        <f aca="false">IF(OR($A983="",$P983=0),"",$R983/$P983)</f>
        <v/>
      </c>
      <c r="T983" s="23"/>
      <c r="U983" s="14" t="str">
        <f aca="false">IF($A983="","",IF($M983&gt;0,"Live","Exited"))</f>
        <v/>
      </c>
      <c r="V983" s="20" t="str">
        <f aca="false">IF($A983="","",IF($A983='Client Report'!$C$4,COUNTIFS($A$6:$A983,'Client Report'!$C$4),""))</f>
        <v/>
      </c>
    </row>
    <row r="984" customFormat="false" ht="15" hidden="false" customHeight="false" outlineLevel="0" collapsed="false">
      <c r="A984" s="11"/>
      <c r="B984" s="11"/>
      <c r="C984" s="14" t="str">
        <f aca="false">IF($B984="","",IFERROR(TRIM(LEFT($B984,FIND(" - ",$B984)-1)),"Others"))</f>
        <v/>
      </c>
      <c r="D984" s="11"/>
      <c r="E984" s="11"/>
      <c r="F984" s="12"/>
      <c r="G984" s="21"/>
      <c r="H984" s="21"/>
      <c r="I984" s="21"/>
      <c r="J984" s="21"/>
      <c r="K984" s="21"/>
      <c r="L984" s="21"/>
      <c r="M984" s="21"/>
      <c r="N984" s="22"/>
      <c r="O984" s="22"/>
      <c r="P984" s="17" t="str">
        <f aca="false">IF($A984="","",SUM($G984:$I984))</f>
        <v/>
      </c>
      <c r="Q984" s="17" t="str">
        <f aca="false">IF($A984="","",SUM($J984:$L984))</f>
        <v/>
      </c>
      <c r="R984" s="17" t="str">
        <f aca="false">IF($A984="","",($M984+$Q984)-$P984)</f>
        <v/>
      </c>
      <c r="S984" s="18" t="str">
        <f aca="false">IF(OR($A984="",$P984=0),"",$R984/$P984)</f>
        <v/>
      </c>
      <c r="T984" s="23"/>
      <c r="U984" s="14" t="str">
        <f aca="false">IF($A984="","",IF($M984&gt;0,"Live","Exited"))</f>
        <v/>
      </c>
      <c r="V984" s="20" t="str">
        <f aca="false">IF($A984="","",IF($A984='Client Report'!$C$4,COUNTIFS($A$6:$A984,'Client Report'!$C$4),""))</f>
        <v/>
      </c>
    </row>
    <row r="985" customFormat="false" ht="15" hidden="false" customHeight="false" outlineLevel="0" collapsed="false">
      <c r="A985" s="11"/>
      <c r="B985" s="11"/>
      <c r="C985" s="14" t="str">
        <f aca="false">IF($B985="","",IFERROR(TRIM(LEFT($B985,FIND(" - ",$B985)-1)),"Others"))</f>
        <v/>
      </c>
      <c r="D985" s="11"/>
      <c r="E985" s="11"/>
      <c r="F985" s="12"/>
      <c r="G985" s="21"/>
      <c r="H985" s="21"/>
      <c r="I985" s="21"/>
      <c r="J985" s="21"/>
      <c r="K985" s="21"/>
      <c r="L985" s="21"/>
      <c r="M985" s="21"/>
      <c r="N985" s="22"/>
      <c r="O985" s="22"/>
      <c r="P985" s="17" t="str">
        <f aca="false">IF($A985="","",SUM($G985:$I985))</f>
        <v/>
      </c>
      <c r="Q985" s="17" t="str">
        <f aca="false">IF($A985="","",SUM($J985:$L985))</f>
        <v/>
      </c>
      <c r="R985" s="17" t="str">
        <f aca="false">IF($A985="","",($M985+$Q985)-$P985)</f>
        <v/>
      </c>
      <c r="S985" s="18" t="str">
        <f aca="false">IF(OR($A985="",$P985=0),"",$R985/$P985)</f>
        <v/>
      </c>
      <c r="T985" s="23"/>
      <c r="U985" s="14" t="str">
        <f aca="false">IF($A985="","",IF($M985&gt;0,"Live","Exited"))</f>
        <v/>
      </c>
      <c r="V985" s="20" t="str">
        <f aca="false">IF($A985="","",IF($A985='Client Report'!$C$4,COUNTIFS($A$6:$A985,'Client Report'!$C$4),""))</f>
        <v/>
      </c>
    </row>
    <row r="986" customFormat="false" ht="15" hidden="false" customHeight="false" outlineLevel="0" collapsed="false">
      <c r="A986" s="11"/>
      <c r="B986" s="11"/>
      <c r="C986" s="14" t="str">
        <f aca="false">IF($B986="","",IFERROR(TRIM(LEFT($B986,FIND(" - ",$B986)-1)),"Others"))</f>
        <v/>
      </c>
      <c r="D986" s="11"/>
      <c r="E986" s="11"/>
      <c r="F986" s="12"/>
      <c r="G986" s="21"/>
      <c r="H986" s="21"/>
      <c r="I986" s="21"/>
      <c r="J986" s="21"/>
      <c r="K986" s="21"/>
      <c r="L986" s="21"/>
      <c r="M986" s="21"/>
      <c r="N986" s="22"/>
      <c r="O986" s="22"/>
      <c r="P986" s="17" t="str">
        <f aca="false">IF($A986="","",SUM($G986:$I986))</f>
        <v/>
      </c>
      <c r="Q986" s="17" t="str">
        <f aca="false">IF($A986="","",SUM($J986:$L986))</f>
        <v/>
      </c>
      <c r="R986" s="17" t="str">
        <f aca="false">IF($A986="","",($M986+$Q986)-$P986)</f>
        <v/>
      </c>
      <c r="S986" s="18" t="str">
        <f aca="false">IF(OR($A986="",$P986=0),"",$R986/$P986)</f>
        <v/>
      </c>
      <c r="T986" s="23"/>
      <c r="U986" s="14" t="str">
        <f aca="false">IF($A986="","",IF($M986&gt;0,"Live","Exited"))</f>
        <v/>
      </c>
      <c r="V986" s="20" t="str">
        <f aca="false">IF($A986="","",IF($A986='Client Report'!$C$4,COUNTIFS($A$6:$A986,'Client Report'!$C$4),""))</f>
        <v/>
      </c>
    </row>
    <row r="987" customFormat="false" ht="15" hidden="false" customHeight="false" outlineLevel="0" collapsed="false">
      <c r="A987" s="11"/>
      <c r="B987" s="11"/>
      <c r="C987" s="14" t="str">
        <f aca="false">IF($B987="","",IFERROR(TRIM(LEFT($B987,FIND(" - ",$B987)-1)),"Others"))</f>
        <v/>
      </c>
      <c r="D987" s="11"/>
      <c r="E987" s="11"/>
      <c r="F987" s="12"/>
      <c r="G987" s="21"/>
      <c r="H987" s="21"/>
      <c r="I987" s="21"/>
      <c r="J987" s="21"/>
      <c r="K987" s="21"/>
      <c r="L987" s="21"/>
      <c r="M987" s="21"/>
      <c r="N987" s="22"/>
      <c r="O987" s="22"/>
      <c r="P987" s="17" t="str">
        <f aca="false">IF($A987="","",SUM($G987:$I987))</f>
        <v/>
      </c>
      <c r="Q987" s="17" t="str">
        <f aca="false">IF($A987="","",SUM($J987:$L987))</f>
        <v/>
      </c>
      <c r="R987" s="17" t="str">
        <f aca="false">IF($A987="","",($M987+$Q987)-$P987)</f>
        <v/>
      </c>
      <c r="S987" s="18" t="str">
        <f aca="false">IF(OR($A987="",$P987=0),"",$R987/$P987)</f>
        <v/>
      </c>
      <c r="T987" s="23"/>
      <c r="U987" s="14" t="str">
        <f aca="false">IF($A987="","",IF($M987&gt;0,"Live","Exited"))</f>
        <v/>
      </c>
      <c r="V987" s="20" t="str">
        <f aca="false">IF($A987="","",IF($A987='Client Report'!$C$4,COUNTIFS($A$6:$A987,'Client Report'!$C$4),""))</f>
        <v/>
      </c>
    </row>
    <row r="988" customFormat="false" ht="15" hidden="false" customHeight="false" outlineLevel="0" collapsed="false">
      <c r="A988" s="11"/>
      <c r="B988" s="11"/>
      <c r="C988" s="14" t="str">
        <f aca="false">IF($B988="","",IFERROR(TRIM(LEFT($B988,FIND(" - ",$B988)-1)),"Others"))</f>
        <v/>
      </c>
      <c r="D988" s="11"/>
      <c r="E988" s="11"/>
      <c r="F988" s="12"/>
      <c r="G988" s="21"/>
      <c r="H988" s="21"/>
      <c r="I988" s="21"/>
      <c r="J988" s="21"/>
      <c r="K988" s="21"/>
      <c r="L988" s="21"/>
      <c r="M988" s="21"/>
      <c r="N988" s="22"/>
      <c r="O988" s="22"/>
      <c r="P988" s="17" t="str">
        <f aca="false">IF($A988="","",SUM($G988:$I988))</f>
        <v/>
      </c>
      <c r="Q988" s="17" t="str">
        <f aca="false">IF($A988="","",SUM($J988:$L988))</f>
        <v/>
      </c>
      <c r="R988" s="17" t="str">
        <f aca="false">IF($A988="","",($M988+$Q988)-$P988)</f>
        <v/>
      </c>
      <c r="S988" s="18" t="str">
        <f aca="false">IF(OR($A988="",$P988=0),"",$R988/$P988)</f>
        <v/>
      </c>
      <c r="T988" s="23"/>
      <c r="U988" s="14" t="str">
        <f aca="false">IF($A988="","",IF($M988&gt;0,"Live","Exited"))</f>
        <v/>
      </c>
      <c r="V988" s="20" t="str">
        <f aca="false">IF($A988="","",IF($A988='Client Report'!$C$4,COUNTIFS($A$6:$A988,'Client Report'!$C$4),""))</f>
        <v/>
      </c>
    </row>
    <row r="989" customFormat="false" ht="15" hidden="false" customHeight="false" outlineLevel="0" collapsed="false">
      <c r="A989" s="11"/>
      <c r="B989" s="11"/>
      <c r="C989" s="14" t="str">
        <f aca="false">IF($B989="","",IFERROR(TRIM(LEFT($B989,FIND(" - ",$B989)-1)),"Others"))</f>
        <v/>
      </c>
      <c r="D989" s="11"/>
      <c r="E989" s="11"/>
      <c r="F989" s="12"/>
      <c r="G989" s="21"/>
      <c r="H989" s="21"/>
      <c r="I989" s="21"/>
      <c r="J989" s="21"/>
      <c r="K989" s="21"/>
      <c r="L989" s="21"/>
      <c r="M989" s="21"/>
      <c r="N989" s="22"/>
      <c r="O989" s="22"/>
      <c r="P989" s="17" t="str">
        <f aca="false">IF($A989="","",SUM($G989:$I989))</f>
        <v/>
      </c>
      <c r="Q989" s="17" t="str">
        <f aca="false">IF($A989="","",SUM($J989:$L989))</f>
        <v/>
      </c>
      <c r="R989" s="17" t="str">
        <f aca="false">IF($A989="","",($M989+$Q989)-$P989)</f>
        <v/>
      </c>
      <c r="S989" s="18" t="str">
        <f aca="false">IF(OR($A989="",$P989=0),"",$R989/$P989)</f>
        <v/>
      </c>
      <c r="T989" s="23"/>
      <c r="U989" s="14" t="str">
        <f aca="false">IF($A989="","",IF($M989&gt;0,"Live","Exited"))</f>
        <v/>
      </c>
      <c r="V989" s="20" t="str">
        <f aca="false">IF($A989="","",IF($A989='Client Report'!$C$4,COUNTIFS($A$6:$A989,'Client Report'!$C$4),""))</f>
        <v/>
      </c>
    </row>
    <row r="990" customFormat="false" ht="15" hidden="false" customHeight="false" outlineLevel="0" collapsed="false">
      <c r="A990" s="11"/>
      <c r="B990" s="11"/>
      <c r="C990" s="14" t="str">
        <f aca="false">IF($B990="","",IFERROR(TRIM(LEFT($B990,FIND(" - ",$B990)-1)),"Others"))</f>
        <v/>
      </c>
      <c r="D990" s="11"/>
      <c r="E990" s="11"/>
      <c r="F990" s="12"/>
      <c r="G990" s="21"/>
      <c r="H990" s="21"/>
      <c r="I990" s="21"/>
      <c r="J990" s="21"/>
      <c r="K990" s="21"/>
      <c r="L990" s="21"/>
      <c r="M990" s="21"/>
      <c r="N990" s="22"/>
      <c r="O990" s="22"/>
      <c r="P990" s="17" t="str">
        <f aca="false">IF($A990="","",SUM($G990:$I990))</f>
        <v/>
      </c>
      <c r="Q990" s="17" t="str">
        <f aca="false">IF($A990="","",SUM($J990:$L990))</f>
        <v/>
      </c>
      <c r="R990" s="17" t="str">
        <f aca="false">IF($A990="","",($M990+$Q990)-$P990)</f>
        <v/>
      </c>
      <c r="S990" s="18" t="str">
        <f aca="false">IF(OR($A990="",$P990=0),"",$R990/$P990)</f>
        <v/>
      </c>
      <c r="T990" s="23"/>
      <c r="U990" s="14" t="str">
        <f aca="false">IF($A990="","",IF($M990&gt;0,"Live","Exited"))</f>
        <v/>
      </c>
      <c r="V990" s="20" t="str">
        <f aca="false">IF($A990="","",IF($A990='Client Report'!$C$4,COUNTIFS($A$6:$A990,'Client Report'!$C$4),""))</f>
        <v/>
      </c>
    </row>
    <row r="991" customFormat="false" ht="15" hidden="false" customHeight="false" outlineLevel="0" collapsed="false">
      <c r="A991" s="11"/>
      <c r="B991" s="11"/>
      <c r="C991" s="14" t="str">
        <f aca="false">IF($B991="","",IFERROR(TRIM(LEFT($B991,FIND(" - ",$B991)-1)),"Others"))</f>
        <v/>
      </c>
      <c r="D991" s="11"/>
      <c r="E991" s="11"/>
      <c r="F991" s="12"/>
      <c r="G991" s="21"/>
      <c r="H991" s="21"/>
      <c r="I991" s="21"/>
      <c r="J991" s="21"/>
      <c r="K991" s="21"/>
      <c r="L991" s="21"/>
      <c r="M991" s="21"/>
      <c r="N991" s="22"/>
      <c r="O991" s="22"/>
      <c r="P991" s="17" t="str">
        <f aca="false">IF($A991="","",SUM($G991:$I991))</f>
        <v/>
      </c>
      <c r="Q991" s="17" t="str">
        <f aca="false">IF($A991="","",SUM($J991:$L991))</f>
        <v/>
      </c>
      <c r="R991" s="17" t="str">
        <f aca="false">IF($A991="","",($M991+$Q991)-$P991)</f>
        <v/>
      </c>
      <c r="S991" s="18" t="str">
        <f aca="false">IF(OR($A991="",$P991=0),"",$R991/$P991)</f>
        <v/>
      </c>
      <c r="T991" s="23"/>
      <c r="U991" s="14" t="str">
        <f aca="false">IF($A991="","",IF($M991&gt;0,"Live","Exited"))</f>
        <v/>
      </c>
      <c r="V991" s="20" t="str">
        <f aca="false">IF($A991="","",IF($A991='Client Report'!$C$4,COUNTIFS($A$6:$A991,'Client Report'!$C$4),""))</f>
        <v/>
      </c>
    </row>
    <row r="992" customFormat="false" ht="15" hidden="false" customHeight="false" outlineLevel="0" collapsed="false">
      <c r="A992" s="11"/>
      <c r="B992" s="11"/>
      <c r="C992" s="14" t="str">
        <f aca="false">IF($B992="","",IFERROR(TRIM(LEFT($B992,FIND(" - ",$B992)-1)),"Others"))</f>
        <v/>
      </c>
      <c r="D992" s="11"/>
      <c r="E992" s="11"/>
      <c r="F992" s="12"/>
      <c r="G992" s="21"/>
      <c r="H992" s="21"/>
      <c r="I992" s="21"/>
      <c r="J992" s="21"/>
      <c r="K992" s="21"/>
      <c r="L992" s="21"/>
      <c r="M992" s="21"/>
      <c r="N992" s="22"/>
      <c r="O992" s="22"/>
      <c r="P992" s="17" t="str">
        <f aca="false">IF($A992="","",SUM($G992:$I992))</f>
        <v/>
      </c>
      <c r="Q992" s="17" t="str">
        <f aca="false">IF($A992="","",SUM($J992:$L992))</f>
        <v/>
      </c>
      <c r="R992" s="17" t="str">
        <f aca="false">IF($A992="","",($M992+$Q992)-$P992)</f>
        <v/>
      </c>
      <c r="S992" s="18" t="str">
        <f aca="false">IF(OR($A992="",$P992=0),"",$R992/$P992)</f>
        <v/>
      </c>
      <c r="T992" s="23"/>
      <c r="U992" s="14" t="str">
        <f aca="false">IF($A992="","",IF($M992&gt;0,"Live","Exited"))</f>
        <v/>
      </c>
      <c r="V992" s="20" t="str">
        <f aca="false">IF($A992="","",IF($A992='Client Report'!$C$4,COUNTIFS($A$6:$A992,'Client Report'!$C$4),""))</f>
        <v/>
      </c>
    </row>
    <row r="993" customFormat="false" ht="15" hidden="false" customHeight="false" outlineLevel="0" collapsed="false">
      <c r="A993" s="11"/>
      <c r="B993" s="11"/>
      <c r="C993" s="14" t="str">
        <f aca="false">IF($B993="","",IFERROR(TRIM(LEFT($B993,FIND(" - ",$B993)-1)),"Others"))</f>
        <v/>
      </c>
      <c r="D993" s="11"/>
      <c r="E993" s="11"/>
      <c r="F993" s="12"/>
      <c r="G993" s="21"/>
      <c r="H993" s="21"/>
      <c r="I993" s="21"/>
      <c r="J993" s="21"/>
      <c r="K993" s="21"/>
      <c r="L993" s="21"/>
      <c r="M993" s="21"/>
      <c r="N993" s="22"/>
      <c r="O993" s="22"/>
      <c r="P993" s="17" t="str">
        <f aca="false">IF($A993="","",SUM($G993:$I993))</f>
        <v/>
      </c>
      <c r="Q993" s="17" t="str">
        <f aca="false">IF($A993="","",SUM($J993:$L993))</f>
        <v/>
      </c>
      <c r="R993" s="17" t="str">
        <f aca="false">IF($A993="","",($M993+$Q993)-$P993)</f>
        <v/>
      </c>
      <c r="S993" s="18" t="str">
        <f aca="false">IF(OR($A993="",$P993=0),"",$R993/$P993)</f>
        <v/>
      </c>
      <c r="T993" s="23"/>
      <c r="U993" s="14" t="str">
        <f aca="false">IF($A993="","",IF($M993&gt;0,"Live","Exited"))</f>
        <v/>
      </c>
      <c r="V993" s="20" t="str">
        <f aca="false">IF($A993="","",IF($A993='Client Report'!$C$4,COUNTIFS($A$6:$A993,'Client Report'!$C$4),""))</f>
        <v/>
      </c>
    </row>
    <row r="994" customFormat="false" ht="15" hidden="false" customHeight="false" outlineLevel="0" collapsed="false">
      <c r="A994" s="11"/>
      <c r="B994" s="11"/>
      <c r="C994" s="14" t="str">
        <f aca="false">IF($B994="","",IFERROR(TRIM(LEFT($B994,FIND(" - ",$B994)-1)),"Others"))</f>
        <v/>
      </c>
      <c r="D994" s="11"/>
      <c r="E994" s="11"/>
      <c r="F994" s="12"/>
      <c r="G994" s="21"/>
      <c r="H994" s="21"/>
      <c r="I994" s="21"/>
      <c r="J994" s="21"/>
      <c r="K994" s="21"/>
      <c r="L994" s="21"/>
      <c r="M994" s="21"/>
      <c r="N994" s="22"/>
      <c r="O994" s="22"/>
      <c r="P994" s="17" t="str">
        <f aca="false">IF($A994="","",SUM($G994:$I994))</f>
        <v/>
      </c>
      <c r="Q994" s="17" t="str">
        <f aca="false">IF($A994="","",SUM($J994:$L994))</f>
        <v/>
      </c>
      <c r="R994" s="17" t="str">
        <f aca="false">IF($A994="","",($M994+$Q994)-$P994)</f>
        <v/>
      </c>
      <c r="S994" s="18" t="str">
        <f aca="false">IF(OR($A994="",$P994=0),"",$R994/$P994)</f>
        <v/>
      </c>
      <c r="T994" s="23"/>
      <c r="U994" s="14" t="str">
        <f aca="false">IF($A994="","",IF($M994&gt;0,"Live","Exited"))</f>
        <v/>
      </c>
      <c r="V994" s="20" t="str">
        <f aca="false">IF($A994="","",IF($A994='Client Report'!$C$4,COUNTIFS($A$6:$A994,'Client Report'!$C$4),""))</f>
        <v/>
      </c>
    </row>
    <row r="995" customFormat="false" ht="15" hidden="false" customHeight="false" outlineLevel="0" collapsed="false">
      <c r="A995" s="11"/>
      <c r="B995" s="11"/>
      <c r="C995" s="14" t="str">
        <f aca="false">IF($B995="","",IFERROR(TRIM(LEFT($B995,FIND(" - ",$B995)-1)),"Others"))</f>
        <v/>
      </c>
      <c r="D995" s="11"/>
      <c r="E995" s="11"/>
      <c r="F995" s="12"/>
      <c r="G995" s="21"/>
      <c r="H995" s="21"/>
      <c r="I995" s="21"/>
      <c r="J995" s="21"/>
      <c r="K995" s="21"/>
      <c r="L995" s="21"/>
      <c r="M995" s="21"/>
      <c r="N995" s="22"/>
      <c r="O995" s="22"/>
      <c r="P995" s="17" t="str">
        <f aca="false">IF($A995="","",SUM($G995:$I995))</f>
        <v/>
      </c>
      <c r="Q995" s="17" t="str">
        <f aca="false">IF($A995="","",SUM($J995:$L995))</f>
        <v/>
      </c>
      <c r="R995" s="17" t="str">
        <f aca="false">IF($A995="","",($M995+$Q995)-$P995)</f>
        <v/>
      </c>
      <c r="S995" s="18" t="str">
        <f aca="false">IF(OR($A995="",$P995=0),"",$R995/$P995)</f>
        <v/>
      </c>
      <c r="T995" s="23"/>
      <c r="U995" s="14" t="str">
        <f aca="false">IF($A995="","",IF($M995&gt;0,"Live","Exited"))</f>
        <v/>
      </c>
      <c r="V995" s="20" t="str">
        <f aca="false">IF($A995="","",IF($A995='Client Report'!$C$4,COUNTIFS($A$6:$A995,'Client Report'!$C$4),""))</f>
        <v/>
      </c>
    </row>
    <row r="996" customFormat="false" ht="15" hidden="false" customHeight="false" outlineLevel="0" collapsed="false">
      <c r="A996" s="11"/>
      <c r="B996" s="11"/>
      <c r="C996" s="14" t="str">
        <f aca="false">IF($B996="","",IFERROR(TRIM(LEFT($B996,FIND(" - ",$B996)-1)),"Others"))</f>
        <v/>
      </c>
      <c r="D996" s="11"/>
      <c r="E996" s="11"/>
      <c r="F996" s="12"/>
      <c r="G996" s="21"/>
      <c r="H996" s="21"/>
      <c r="I996" s="21"/>
      <c r="J996" s="21"/>
      <c r="K996" s="21"/>
      <c r="L996" s="21"/>
      <c r="M996" s="21"/>
      <c r="N996" s="22"/>
      <c r="O996" s="22"/>
      <c r="P996" s="17" t="str">
        <f aca="false">IF($A996="","",SUM($G996:$I996))</f>
        <v/>
      </c>
      <c r="Q996" s="17" t="str">
        <f aca="false">IF($A996="","",SUM($J996:$L996))</f>
        <v/>
      </c>
      <c r="R996" s="17" t="str">
        <f aca="false">IF($A996="","",($M996+$Q996)-$P996)</f>
        <v/>
      </c>
      <c r="S996" s="18" t="str">
        <f aca="false">IF(OR($A996="",$P996=0),"",$R996/$P996)</f>
        <v/>
      </c>
      <c r="T996" s="23"/>
      <c r="U996" s="14" t="str">
        <f aca="false">IF($A996="","",IF($M996&gt;0,"Live","Exited"))</f>
        <v/>
      </c>
      <c r="V996" s="20" t="str">
        <f aca="false">IF($A996="","",IF($A996='Client Report'!$C$4,COUNTIFS($A$6:$A996,'Client Report'!$C$4),""))</f>
        <v/>
      </c>
    </row>
    <row r="997" customFormat="false" ht="15" hidden="false" customHeight="false" outlineLevel="0" collapsed="false">
      <c r="A997" s="11"/>
      <c r="B997" s="11"/>
      <c r="C997" s="14" t="str">
        <f aca="false">IF($B997="","",IFERROR(TRIM(LEFT($B997,FIND(" - ",$B997)-1)),"Others"))</f>
        <v/>
      </c>
      <c r="D997" s="11"/>
      <c r="E997" s="11"/>
      <c r="F997" s="12"/>
      <c r="G997" s="21"/>
      <c r="H997" s="21"/>
      <c r="I997" s="21"/>
      <c r="J997" s="21"/>
      <c r="K997" s="21"/>
      <c r="L997" s="21"/>
      <c r="M997" s="21"/>
      <c r="N997" s="22"/>
      <c r="O997" s="22"/>
      <c r="P997" s="17" t="str">
        <f aca="false">IF($A997="","",SUM($G997:$I997))</f>
        <v/>
      </c>
      <c r="Q997" s="17" t="str">
        <f aca="false">IF($A997="","",SUM($J997:$L997))</f>
        <v/>
      </c>
      <c r="R997" s="17" t="str">
        <f aca="false">IF($A997="","",($M997+$Q997)-$P997)</f>
        <v/>
      </c>
      <c r="S997" s="18" t="str">
        <f aca="false">IF(OR($A997="",$P997=0),"",$R997/$P997)</f>
        <v/>
      </c>
      <c r="T997" s="23"/>
      <c r="U997" s="14" t="str">
        <f aca="false">IF($A997="","",IF($M997&gt;0,"Live","Exited"))</f>
        <v/>
      </c>
      <c r="V997" s="20" t="str">
        <f aca="false">IF($A997="","",IF($A997='Client Report'!$C$4,COUNTIFS($A$6:$A997,'Client Report'!$C$4),""))</f>
        <v/>
      </c>
    </row>
    <row r="998" customFormat="false" ht="15" hidden="false" customHeight="false" outlineLevel="0" collapsed="false">
      <c r="A998" s="11"/>
      <c r="B998" s="11"/>
      <c r="C998" s="14" t="str">
        <f aca="false">IF($B998="","",IFERROR(TRIM(LEFT($B998,FIND(" - ",$B998)-1)),"Others"))</f>
        <v/>
      </c>
      <c r="D998" s="11"/>
      <c r="E998" s="11"/>
      <c r="F998" s="12"/>
      <c r="G998" s="21"/>
      <c r="H998" s="21"/>
      <c r="I998" s="21"/>
      <c r="J998" s="21"/>
      <c r="K998" s="21"/>
      <c r="L998" s="21"/>
      <c r="M998" s="21"/>
      <c r="N998" s="22"/>
      <c r="O998" s="22"/>
      <c r="P998" s="17" t="str">
        <f aca="false">IF($A998="","",SUM($G998:$I998))</f>
        <v/>
      </c>
      <c r="Q998" s="17" t="str">
        <f aca="false">IF($A998="","",SUM($J998:$L998))</f>
        <v/>
      </c>
      <c r="R998" s="17" t="str">
        <f aca="false">IF($A998="","",($M998+$Q998)-$P998)</f>
        <v/>
      </c>
      <c r="S998" s="18" t="str">
        <f aca="false">IF(OR($A998="",$P998=0),"",$R998/$P998)</f>
        <v/>
      </c>
      <c r="T998" s="23"/>
      <c r="U998" s="14" t="str">
        <f aca="false">IF($A998="","",IF($M998&gt;0,"Live","Exited"))</f>
        <v/>
      </c>
      <c r="V998" s="20" t="str">
        <f aca="false">IF($A998="","",IF($A998='Client Report'!$C$4,COUNTIFS($A$6:$A998,'Client Report'!$C$4),""))</f>
        <v/>
      </c>
    </row>
    <row r="999" customFormat="false" ht="15" hidden="false" customHeight="false" outlineLevel="0" collapsed="false">
      <c r="A999" s="11"/>
      <c r="B999" s="11"/>
      <c r="C999" s="14" t="str">
        <f aca="false">IF($B999="","",IFERROR(TRIM(LEFT($B999,FIND(" - ",$B999)-1)),"Others"))</f>
        <v/>
      </c>
      <c r="D999" s="11"/>
      <c r="E999" s="11"/>
      <c r="F999" s="12"/>
      <c r="G999" s="21"/>
      <c r="H999" s="21"/>
      <c r="I999" s="21"/>
      <c r="J999" s="21"/>
      <c r="K999" s="21"/>
      <c r="L999" s="21"/>
      <c r="M999" s="21"/>
      <c r="N999" s="22"/>
      <c r="O999" s="22"/>
      <c r="P999" s="17" t="str">
        <f aca="false">IF($A999="","",SUM($G999:$I999))</f>
        <v/>
      </c>
      <c r="Q999" s="17" t="str">
        <f aca="false">IF($A999="","",SUM($J999:$L999))</f>
        <v/>
      </c>
      <c r="R999" s="17" t="str">
        <f aca="false">IF($A999="","",($M999+$Q999)-$P999)</f>
        <v/>
      </c>
      <c r="S999" s="18" t="str">
        <f aca="false">IF(OR($A999="",$P999=0),"",$R999/$P999)</f>
        <v/>
      </c>
      <c r="T999" s="23"/>
      <c r="U999" s="14" t="str">
        <f aca="false">IF($A999="","",IF($M999&gt;0,"Live","Exited"))</f>
        <v/>
      </c>
      <c r="V999" s="20" t="str">
        <f aca="false">IF($A999="","",IF($A999='Client Report'!$C$4,COUNTIFS($A$6:$A999,'Client Report'!$C$4),""))</f>
        <v/>
      </c>
    </row>
    <row r="1000" customFormat="false" ht="15" hidden="false" customHeight="false" outlineLevel="0" collapsed="false">
      <c r="A1000" s="11"/>
      <c r="B1000" s="11"/>
      <c r="C1000" s="14" t="str">
        <f aca="false">IF($B1000="","",IFERROR(TRIM(LEFT($B1000,FIND(" - ",$B1000)-1)),"Others"))</f>
        <v/>
      </c>
      <c r="D1000" s="11"/>
      <c r="E1000" s="11"/>
      <c r="F1000" s="12"/>
      <c r="G1000" s="21"/>
      <c r="H1000" s="21"/>
      <c r="I1000" s="21"/>
      <c r="J1000" s="21"/>
      <c r="K1000" s="21"/>
      <c r="L1000" s="21"/>
      <c r="M1000" s="21"/>
      <c r="N1000" s="22"/>
      <c r="O1000" s="22"/>
      <c r="P1000" s="17" t="str">
        <f aca="false">IF($A1000="","",SUM($G1000:$I1000))</f>
        <v/>
      </c>
      <c r="Q1000" s="17" t="str">
        <f aca="false">IF($A1000="","",SUM($J1000:$L1000))</f>
        <v/>
      </c>
      <c r="R1000" s="17" t="str">
        <f aca="false">IF($A1000="","",($M1000+$Q1000)-$P1000)</f>
        <v/>
      </c>
      <c r="S1000" s="18" t="str">
        <f aca="false">IF(OR($A1000="",$P1000=0),"",$R1000/$P1000)</f>
        <v/>
      </c>
      <c r="T1000" s="23"/>
      <c r="U1000" s="14" t="str">
        <f aca="false">IF($A1000="","",IF($M1000&gt;0,"Live","Exited"))</f>
        <v/>
      </c>
      <c r="V1000" s="20" t="str">
        <f aca="false">IF($A1000="","",IF($A1000='Client Report'!$C$4,COUNTIFS($A$6:$A1000,'Client Report'!$C$4),""))</f>
        <v/>
      </c>
    </row>
    <row r="1001" customFormat="false" ht="15" hidden="false" customHeight="false" outlineLevel="0" collapsed="false">
      <c r="A1001" s="11"/>
      <c r="B1001" s="11"/>
      <c r="C1001" s="14" t="str">
        <f aca="false">IF($B1001="","",IFERROR(TRIM(LEFT($B1001,FIND(" - ",$B1001)-1)),"Others"))</f>
        <v/>
      </c>
      <c r="D1001" s="11"/>
      <c r="E1001" s="11"/>
      <c r="F1001" s="12"/>
      <c r="G1001" s="21"/>
      <c r="H1001" s="21"/>
      <c r="I1001" s="21"/>
      <c r="J1001" s="21"/>
      <c r="K1001" s="21"/>
      <c r="L1001" s="21"/>
      <c r="M1001" s="21"/>
      <c r="N1001" s="22"/>
      <c r="O1001" s="22"/>
      <c r="P1001" s="17" t="str">
        <f aca="false">IF($A1001="","",SUM($G1001:$I1001))</f>
        <v/>
      </c>
      <c r="Q1001" s="17" t="str">
        <f aca="false">IF($A1001="","",SUM($J1001:$L1001))</f>
        <v/>
      </c>
      <c r="R1001" s="17" t="str">
        <f aca="false">IF($A1001="","",($M1001+$Q1001)-$P1001)</f>
        <v/>
      </c>
      <c r="S1001" s="18" t="str">
        <f aca="false">IF(OR($A1001="",$P1001=0),"",$R1001/$P1001)</f>
        <v/>
      </c>
      <c r="T1001" s="23"/>
      <c r="U1001" s="14" t="str">
        <f aca="false">IF($A1001="","",IF($M1001&gt;0,"Live","Exited"))</f>
        <v/>
      </c>
      <c r="V1001" s="20" t="str">
        <f aca="false">IF($A1001="","",IF($A1001='Client Report'!$C$4,COUNTIFS($A$6:$A1001,'Client Report'!$C$4),""))</f>
        <v/>
      </c>
    </row>
    <row r="1002" customFormat="false" ht="15" hidden="false" customHeight="false" outlineLevel="0" collapsed="false">
      <c r="A1002" s="11"/>
      <c r="B1002" s="11"/>
      <c r="C1002" s="14" t="str">
        <f aca="false">IF($B1002="","",IFERROR(TRIM(LEFT($B1002,FIND(" - ",$B1002)-1)),"Others"))</f>
        <v/>
      </c>
      <c r="D1002" s="11"/>
      <c r="E1002" s="11"/>
      <c r="F1002" s="12"/>
      <c r="G1002" s="21"/>
      <c r="H1002" s="21"/>
      <c r="I1002" s="21"/>
      <c r="J1002" s="21"/>
      <c r="K1002" s="21"/>
      <c r="L1002" s="21"/>
      <c r="M1002" s="21"/>
      <c r="N1002" s="22"/>
      <c r="O1002" s="22"/>
      <c r="P1002" s="17" t="str">
        <f aca="false">IF($A1002="","",SUM($G1002:$I1002))</f>
        <v/>
      </c>
      <c r="Q1002" s="17" t="str">
        <f aca="false">IF($A1002="","",SUM($J1002:$L1002))</f>
        <v/>
      </c>
      <c r="R1002" s="17" t="str">
        <f aca="false">IF($A1002="","",($M1002+$Q1002)-$P1002)</f>
        <v/>
      </c>
      <c r="S1002" s="18" t="str">
        <f aca="false">IF(OR($A1002="",$P1002=0),"",$R1002/$P1002)</f>
        <v/>
      </c>
      <c r="T1002" s="23"/>
      <c r="U1002" s="14" t="str">
        <f aca="false">IF($A1002="","",IF($M1002&gt;0,"Live","Exited"))</f>
        <v/>
      </c>
      <c r="V1002" s="20" t="str">
        <f aca="false">IF($A1002="","",IF($A1002='Client Report'!$C$4,COUNTIFS($A$6:$A1002,'Client Report'!$C$4),""))</f>
        <v/>
      </c>
    </row>
    <row r="1003" customFormat="false" ht="15" hidden="false" customHeight="false" outlineLevel="0" collapsed="false">
      <c r="A1003" s="11"/>
      <c r="B1003" s="11"/>
      <c r="C1003" s="14" t="str">
        <f aca="false">IF($B1003="","",IFERROR(TRIM(LEFT($B1003,FIND(" - ",$B1003)-1)),"Others"))</f>
        <v/>
      </c>
      <c r="D1003" s="11"/>
      <c r="E1003" s="11"/>
      <c r="F1003" s="12"/>
      <c r="G1003" s="21"/>
      <c r="H1003" s="21"/>
      <c r="I1003" s="21"/>
      <c r="J1003" s="21"/>
      <c r="K1003" s="21"/>
      <c r="L1003" s="21"/>
      <c r="M1003" s="21"/>
      <c r="N1003" s="22"/>
      <c r="O1003" s="22"/>
      <c r="P1003" s="17" t="str">
        <f aca="false">IF($A1003="","",SUM($G1003:$I1003))</f>
        <v/>
      </c>
      <c r="Q1003" s="17" t="str">
        <f aca="false">IF($A1003="","",SUM($J1003:$L1003))</f>
        <v/>
      </c>
      <c r="R1003" s="17" t="str">
        <f aca="false">IF($A1003="","",($M1003+$Q1003)-$P1003)</f>
        <v/>
      </c>
      <c r="S1003" s="18" t="str">
        <f aca="false">IF(OR($A1003="",$P1003=0),"",$R1003/$P1003)</f>
        <v/>
      </c>
      <c r="T1003" s="23"/>
      <c r="U1003" s="14" t="str">
        <f aca="false">IF($A1003="","",IF($M1003&gt;0,"Live","Exited"))</f>
        <v/>
      </c>
      <c r="V1003" s="20" t="str">
        <f aca="false">IF($A1003="","",IF($A1003='Client Report'!$C$4,COUNTIFS($A$6:$A1003,'Client Report'!$C$4),""))</f>
        <v/>
      </c>
    </row>
    <row r="1004" customFormat="false" ht="15" hidden="false" customHeight="false" outlineLevel="0" collapsed="false">
      <c r="A1004" s="11"/>
      <c r="B1004" s="11"/>
      <c r="C1004" s="14" t="str">
        <f aca="false">IF($B1004="","",IFERROR(TRIM(LEFT($B1004,FIND(" - ",$B1004)-1)),"Others"))</f>
        <v/>
      </c>
      <c r="D1004" s="11"/>
      <c r="E1004" s="11"/>
      <c r="F1004" s="12"/>
      <c r="G1004" s="21"/>
      <c r="H1004" s="21"/>
      <c r="I1004" s="21"/>
      <c r="J1004" s="21"/>
      <c r="K1004" s="21"/>
      <c r="L1004" s="21"/>
      <c r="M1004" s="21"/>
      <c r="N1004" s="22"/>
      <c r="O1004" s="22"/>
      <c r="P1004" s="17" t="str">
        <f aca="false">IF($A1004="","",SUM($G1004:$I1004))</f>
        <v/>
      </c>
      <c r="Q1004" s="17" t="str">
        <f aca="false">IF($A1004="","",SUM($J1004:$L1004))</f>
        <v/>
      </c>
      <c r="R1004" s="17" t="str">
        <f aca="false">IF($A1004="","",($M1004+$Q1004)-$P1004)</f>
        <v/>
      </c>
      <c r="S1004" s="18" t="str">
        <f aca="false">IF(OR($A1004="",$P1004=0),"",$R1004/$P1004)</f>
        <v/>
      </c>
      <c r="T1004" s="23"/>
      <c r="U1004" s="14" t="str">
        <f aca="false">IF($A1004="","",IF($M1004&gt;0,"Live","Exited"))</f>
        <v/>
      </c>
      <c r="V1004" s="20" t="str">
        <f aca="false">IF($A1004="","",IF($A1004='Client Report'!$C$4,COUNTIFS($A$6:$A1004,'Client Report'!$C$4),""))</f>
        <v/>
      </c>
    </row>
    <row r="1005" customFormat="false" ht="15" hidden="false" customHeight="false" outlineLevel="0" collapsed="false">
      <c r="A1005" s="11"/>
      <c r="B1005" s="11"/>
      <c r="C1005" s="14" t="str">
        <f aca="false">IF($B1005="","",IFERROR(TRIM(LEFT($B1005,FIND(" - ",$B1005)-1)),"Others"))</f>
        <v/>
      </c>
      <c r="D1005" s="11"/>
      <c r="E1005" s="11"/>
      <c r="F1005" s="12"/>
      <c r="G1005" s="21"/>
      <c r="H1005" s="21"/>
      <c r="I1005" s="21"/>
      <c r="J1005" s="21"/>
      <c r="K1005" s="21"/>
      <c r="L1005" s="21"/>
      <c r="M1005" s="21"/>
      <c r="N1005" s="22"/>
      <c r="O1005" s="22"/>
      <c r="P1005" s="17" t="str">
        <f aca="false">IF($A1005="","",SUM($G1005:$I1005))</f>
        <v/>
      </c>
      <c r="Q1005" s="17" t="str">
        <f aca="false">IF($A1005="","",SUM($J1005:$L1005))</f>
        <v/>
      </c>
      <c r="R1005" s="17" t="str">
        <f aca="false">IF($A1005="","",($M1005+$Q1005)-$P1005)</f>
        <v/>
      </c>
      <c r="S1005" s="18" t="str">
        <f aca="false">IF(OR($A1005="",$P1005=0),"",$R1005/$P1005)</f>
        <v/>
      </c>
      <c r="T1005" s="23"/>
      <c r="U1005" s="14" t="str">
        <f aca="false">IF($A1005="","",IF($M1005&gt;0,"Live","Exited"))</f>
        <v/>
      </c>
      <c r="V1005" s="20" t="str">
        <f aca="false">IF($A1005="","",IF($A1005='Client Report'!$C$4,COUNTIFS($A$6:$A1005,'Client Report'!$C$4),""))</f>
        <v/>
      </c>
    </row>
    <row r="1007" customFormat="false" ht="15" hidden="false" customHeight="false" outlineLevel="0" collapsed="false">
      <c r="A1007" s="24" t="s">
        <v>93</v>
      </c>
    </row>
  </sheetData>
  <mergeCells count="2">
    <mergeCell ref="A1:V1"/>
    <mergeCell ref="A2:V2"/>
  </mergeCells>
  <conditionalFormatting sqref="R6:R100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S6:S100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T6:T100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2">
    <dataValidation allowBlank="true" error="Add this client on the Clients sheet first." errorStyle="stop" errorTitle="Unknown client" operator="between" showDropDown="false" showErrorMessage="true" showInputMessage="false" sqref="A6:A1005" type="list">
      <formula1>Clients!$B$4:$B$203</formula1>
      <formula2>0</formula2>
    </dataValidation>
    <dataValidation allowBlank="true" errorStyle="stop" operator="between" showDropDown="false" showErrorMessage="false" showInputMessage="false" sqref="B6:B1005" type="list">
      <formula1>Lists!$A$2:$A$36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5" min="4" style="0" width="17"/>
    <col collapsed="false" customWidth="true" hidden="false" outlineLevel="0" max="6" min="6" style="0" width="18"/>
    <col collapsed="false" customWidth="true" hidden="false" outlineLevel="0" max="7" min="7" style="0" width="17"/>
    <col collapsed="false" customWidth="true" hidden="false" outlineLevel="0" max="9" min="8" style="0" width="18"/>
    <col collapsed="false" customWidth="true" hidden="false" outlineLevel="0" max="12" min="10" style="0" width="11"/>
  </cols>
  <sheetData>
    <row r="1" customFormat="false" ht="25.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25" t="s">
        <v>96</v>
      </c>
      <c r="C4" s="25"/>
      <c r="D4" s="25"/>
      <c r="E4" s="25"/>
      <c r="F4" s="25"/>
      <c r="G4" s="25"/>
      <c r="H4" s="25"/>
      <c r="I4" s="25"/>
      <c r="J4" s="25"/>
      <c r="K4" s="25"/>
      <c r="L4" s="25"/>
    </row>
    <row r="5" customFormat="false" ht="15" hidden="false" customHeight="false" outlineLevel="0" collapsed="false">
      <c r="B5" s="26" t="s">
        <v>97</v>
      </c>
      <c r="C5" s="27" t="n">
        <f aca="false">COUNTA(Clients!$B$4:$B$203)</f>
        <v>1</v>
      </c>
      <c r="D5" s="27"/>
    </row>
    <row r="6" customFormat="false" ht="15" hidden="false" customHeight="false" outlineLevel="0" collapsed="false">
      <c r="B6" s="26" t="s">
        <v>98</v>
      </c>
      <c r="C6" s="27" t="n">
        <f aca="false">COUNTIF(Investments!$A$6:$A$1005,"?*")</f>
        <v>1</v>
      </c>
      <c r="D6" s="27"/>
    </row>
    <row r="7" customFormat="false" ht="15" hidden="false" customHeight="false" outlineLevel="0" collapsed="false">
      <c r="B7" s="26" t="s">
        <v>99</v>
      </c>
      <c r="C7" s="27" t="n">
        <f aca="false">COUNTIF(Investments!$U$6:$U$1005,"Live")</f>
        <v>0</v>
      </c>
      <c r="D7" s="27"/>
    </row>
    <row r="8" customFormat="false" ht="15" hidden="false" customHeight="false" outlineLevel="0" collapsed="false">
      <c r="B8" s="26" t="s">
        <v>100</v>
      </c>
      <c r="C8" s="28" t="n">
        <f aca="false">SUM(Investments!$G$6:$G$1005)</f>
        <v>0</v>
      </c>
      <c r="D8" s="28"/>
    </row>
    <row r="9" customFormat="false" ht="15" hidden="false" customHeight="false" outlineLevel="0" collapsed="false">
      <c r="B9" s="26" t="s">
        <v>101</v>
      </c>
      <c r="C9" s="28" t="n">
        <f aca="false">SUM(Investments!$H$6:$H$1005)</f>
        <v>190000</v>
      </c>
      <c r="D9" s="28"/>
    </row>
    <row r="10" customFormat="false" ht="15" hidden="false" customHeight="false" outlineLevel="0" collapsed="false">
      <c r="B10" s="26" t="s">
        <v>102</v>
      </c>
      <c r="C10" s="28" t="n">
        <f aca="false">SUM(Investments!$P$6:$P$1005)</f>
        <v>190000</v>
      </c>
      <c r="D10" s="28"/>
    </row>
    <row r="11" customFormat="false" ht="15" hidden="false" customHeight="false" outlineLevel="0" collapsed="false">
      <c r="B11" s="26" t="s">
        <v>103</v>
      </c>
      <c r="C11" s="28" t="n">
        <f aca="false">SUM(Investments!$J$6:$J$1005)+SUM(Investments!$K$6:$K$1005)+SUM(Investments!$L$6:$L$1005)</f>
        <v>195243.79</v>
      </c>
      <c r="D11" s="28"/>
    </row>
    <row r="12" customFormat="false" ht="15" hidden="false" customHeight="false" outlineLevel="0" collapsed="false">
      <c r="B12" s="26" t="s">
        <v>104</v>
      </c>
      <c r="C12" s="28" t="n">
        <f aca="false">SUM(Investments!$M$6:$M$1005)</f>
        <v>0</v>
      </c>
      <c r="D12" s="28"/>
    </row>
    <row r="13" customFormat="false" ht="15" hidden="false" customHeight="false" outlineLevel="0" collapsed="false">
      <c r="B13" s="26" t="s">
        <v>105</v>
      </c>
      <c r="C13" s="28" t="n">
        <f aca="false">($C$12+$C$11)-$C$10</f>
        <v>5243.79000000001</v>
      </c>
      <c r="D13" s="28"/>
    </row>
    <row r="14" customFormat="false" ht="15" hidden="false" customHeight="false" outlineLevel="0" collapsed="false">
      <c r="B14" s="26" t="s">
        <v>106</v>
      </c>
      <c r="C14" s="29" t="n">
        <f aca="false">IF($C$10=0,"",$C$13/$C$10)</f>
        <v>0.0275988947368422</v>
      </c>
      <c r="D14" s="29"/>
    </row>
    <row r="15" customFormat="false" ht="15" hidden="false" customHeight="false" outlineLevel="0" collapsed="false">
      <c r="B15" s="26" t="s">
        <v>107</v>
      </c>
      <c r="C15" s="29" t="str">
        <f aca="false">IF($C$12=0,"",SUMPRODUCT(Investments!$M$6:$M$1005,Investments!$T$6:$T$1005)/$C$12)</f>
        <v/>
      </c>
      <c r="D15" s="29"/>
    </row>
    <row r="16" customFormat="false" ht="15" hidden="false" customHeight="false" outlineLevel="0" collapsed="false">
      <c r="B16" s="26" t="s">
        <v>108</v>
      </c>
      <c r="C16" s="30" t="str">
        <f aca="false">IF($C$12=0,"",IFERROR(INDEX($B$19:$B$218,MATCH(MAX($H$19:$H$218),$H$19:$H$218,0)),""))</f>
        <v/>
      </c>
      <c r="D16" s="30"/>
    </row>
    <row r="17" customFormat="false" ht="19.5" hidden="false" customHeight="true" outlineLevel="0" collapsed="false">
      <c r="B17" s="25" t="s">
        <v>109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customFormat="false" ht="30" hidden="false" customHeight="true" outlineLevel="0" collapsed="false">
      <c r="B18" s="8" t="s">
        <v>47</v>
      </c>
      <c r="C18" s="8" t="s">
        <v>110</v>
      </c>
      <c r="D18" s="8" t="s">
        <v>79</v>
      </c>
      <c r="E18" s="8" t="s">
        <v>80</v>
      </c>
      <c r="F18" s="8" t="s">
        <v>12</v>
      </c>
      <c r="G18" s="8" t="s">
        <v>14</v>
      </c>
      <c r="H18" s="8" t="s">
        <v>85</v>
      </c>
      <c r="I18" s="8" t="s">
        <v>16</v>
      </c>
      <c r="J18" s="8" t="s">
        <v>18</v>
      </c>
      <c r="K18" s="8" t="s">
        <v>111</v>
      </c>
      <c r="L18" s="8" t="s">
        <v>112</v>
      </c>
    </row>
    <row r="19" customFormat="false" ht="15" hidden="false" customHeight="false" outlineLevel="0" collapsed="false">
      <c r="B19" s="31" t="str">
        <f aca="false">IF(Clients!$B4="","",Clients!$B4)</f>
        <v>Sample Client (EXAMPLE)</v>
      </c>
      <c r="C19" s="32" t="n">
        <f aca="false">IF($B19="","",COUNTIFS(Investments!$A$6:$A$1005,$B19))</f>
        <v>1</v>
      </c>
      <c r="D19" s="33" t="n">
        <f aca="false">IF($B19="","",SUMIFS(Investments!$G$6:$G$1005,Investments!$A$6:$A$1005,$B19))</f>
        <v>0</v>
      </c>
      <c r="E19" s="33" t="n">
        <f aca="false">IF($B19="","",SUMIFS(Investments!$H$6:$H$1005,Investments!$A$6:$A$1005,$B19))</f>
        <v>190000</v>
      </c>
      <c r="F19" s="33" t="n">
        <f aca="false">IF($B19="","",SUMIFS(Investments!$P$6:$P$1005,Investments!$A$6:$A$1005,$B19))</f>
        <v>190000</v>
      </c>
      <c r="G19" s="33" t="n">
        <f aca="false">IF($B19="","",SUMIFS(Investments!$J$6:$J$1005,Investments!$A$6:$A$1005,$B19)+SUMIFS(Investments!$K$6:$K$1005,Investments!$A$6:$A$1005,$B19)+SUMIFS(Investments!$L$6:$L$1005,Investments!$A$6:$A$1005,$B19))</f>
        <v>195243.79</v>
      </c>
      <c r="H19" s="33" t="n">
        <f aca="false">IF($B19="","",SUMIFS(Investments!$M$6:$M$1005,Investments!$A$6:$A$1005,$B19))</f>
        <v>0</v>
      </c>
      <c r="I19" s="33" t="n">
        <f aca="false">IF($B19="","",($H19+$G19)-$F19)</f>
        <v>5243.79000000001</v>
      </c>
      <c r="J19" s="34" t="n">
        <f aca="false">IF(OR($B19="",$F19=0),"",$I19/$F19)</f>
        <v>0.0275988947368422</v>
      </c>
      <c r="K19" s="34" t="str">
        <f aca="false">IF(OR($B19="",$H19=0),"",SUMPRODUCT((Investments!$A$6:$A$1005=$B19)*Investments!$M$6:$M$1005*Investments!$T$6:$T$1005)/$H19)</f>
        <v/>
      </c>
      <c r="L19" s="34" t="str">
        <f aca="false">IF(OR($B19="",$C$12=0),"",$H19/$C$12)</f>
        <v/>
      </c>
    </row>
    <row r="20" customFormat="false" ht="15" hidden="false" customHeight="false" outlineLevel="0" collapsed="false">
      <c r="B20" s="14" t="str">
        <f aca="false">IF(Clients!$B5="","",Clients!$B5)</f>
        <v/>
      </c>
      <c r="C20" s="35" t="str">
        <f aca="false">IF($B20="","",COUNTIFS(Investments!$A$6:$A$1005,$B20))</f>
        <v/>
      </c>
      <c r="D20" s="17" t="str">
        <f aca="false">IF($B20="","",SUMIFS(Investments!$G$6:$G$1005,Investments!$A$6:$A$1005,$B20))</f>
        <v/>
      </c>
      <c r="E20" s="17" t="str">
        <f aca="false">IF($B20="","",SUMIFS(Investments!$H$6:$H$1005,Investments!$A$6:$A$1005,$B20))</f>
        <v/>
      </c>
      <c r="F20" s="17" t="str">
        <f aca="false">IF($B20="","",SUMIFS(Investments!$P$6:$P$1005,Investments!$A$6:$A$1005,$B20))</f>
        <v/>
      </c>
      <c r="G20" s="17" t="str">
        <f aca="false">IF($B20="","",SUMIFS(Investments!$J$6:$J$1005,Investments!$A$6:$A$1005,$B20)+SUMIFS(Investments!$K$6:$K$1005,Investments!$A$6:$A$1005,$B20)+SUMIFS(Investments!$L$6:$L$1005,Investments!$A$6:$A$1005,$B20))</f>
        <v/>
      </c>
      <c r="H20" s="17" t="str">
        <f aca="false">IF($B20="","",SUMIFS(Investments!$M$6:$M$1005,Investments!$A$6:$A$1005,$B20))</f>
        <v/>
      </c>
      <c r="I20" s="17" t="str">
        <f aca="false">IF($B20="","",($H20+$G20)-$F20)</f>
        <v/>
      </c>
      <c r="J20" s="18" t="str">
        <f aca="false">IF(OR($B20="",$F20=0),"",$I20/$F20)</f>
        <v/>
      </c>
      <c r="K20" s="18" t="str">
        <f aca="false">IF(OR($B20="",$H20=0),"",SUMPRODUCT((Investments!$A$6:$A$1005=$B20)*Investments!$M$6:$M$1005*Investments!$T$6:$T$1005)/$H20)</f>
        <v/>
      </c>
      <c r="L20" s="18" t="str">
        <f aca="false">IF(OR($B20="",$C$12=0),"",$H20/$C$12)</f>
        <v/>
      </c>
    </row>
    <row r="21" customFormat="false" ht="15" hidden="false" customHeight="false" outlineLevel="0" collapsed="false">
      <c r="B21" s="31" t="str">
        <f aca="false">IF(Clients!$B6="","",Clients!$B6)</f>
        <v/>
      </c>
      <c r="C21" s="32" t="str">
        <f aca="false">IF($B21="","",COUNTIFS(Investments!$A$6:$A$1005,$B21))</f>
        <v/>
      </c>
      <c r="D21" s="33" t="str">
        <f aca="false">IF($B21="","",SUMIFS(Investments!$G$6:$G$1005,Investments!$A$6:$A$1005,$B21))</f>
        <v/>
      </c>
      <c r="E21" s="33" t="str">
        <f aca="false">IF($B21="","",SUMIFS(Investments!$H$6:$H$1005,Investments!$A$6:$A$1005,$B21))</f>
        <v/>
      </c>
      <c r="F21" s="33" t="str">
        <f aca="false">IF($B21="","",SUMIFS(Investments!$P$6:$P$1005,Investments!$A$6:$A$1005,$B21))</f>
        <v/>
      </c>
      <c r="G21" s="33" t="str">
        <f aca="false">IF($B21="","",SUMIFS(Investments!$J$6:$J$1005,Investments!$A$6:$A$1005,$B21)+SUMIFS(Investments!$K$6:$K$1005,Investments!$A$6:$A$1005,$B21)+SUMIFS(Investments!$L$6:$L$1005,Investments!$A$6:$A$1005,$B21))</f>
        <v/>
      </c>
      <c r="H21" s="33" t="str">
        <f aca="false">IF($B21="","",SUMIFS(Investments!$M$6:$M$1005,Investments!$A$6:$A$1005,$B21))</f>
        <v/>
      </c>
      <c r="I21" s="33" t="str">
        <f aca="false">IF($B21="","",($H21+$G21)-$F21)</f>
        <v/>
      </c>
      <c r="J21" s="34" t="str">
        <f aca="false">IF(OR($B21="",$F21=0),"",$I21/$F21)</f>
        <v/>
      </c>
      <c r="K21" s="34" t="str">
        <f aca="false">IF(OR($B21="",$H21=0),"",SUMPRODUCT((Investments!$A$6:$A$1005=$B21)*Investments!$M$6:$M$1005*Investments!$T$6:$T$1005)/$H21)</f>
        <v/>
      </c>
      <c r="L21" s="34" t="str">
        <f aca="false">IF(OR($B21="",$C$12=0),"",$H21/$C$12)</f>
        <v/>
      </c>
    </row>
    <row r="22" customFormat="false" ht="15" hidden="false" customHeight="false" outlineLevel="0" collapsed="false">
      <c r="B22" s="14" t="str">
        <f aca="false">IF(Clients!$B7="","",Clients!$B7)</f>
        <v/>
      </c>
      <c r="C22" s="35" t="str">
        <f aca="false">IF($B22="","",COUNTIFS(Investments!$A$6:$A$1005,$B22))</f>
        <v/>
      </c>
      <c r="D22" s="17" t="str">
        <f aca="false">IF($B22="","",SUMIFS(Investments!$G$6:$G$1005,Investments!$A$6:$A$1005,$B22))</f>
        <v/>
      </c>
      <c r="E22" s="17" t="str">
        <f aca="false">IF($B22="","",SUMIFS(Investments!$H$6:$H$1005,Investments!$A$6:$A$1005,$B22))</f>
        <v/>
      </c>
      <c r="F22" s="17" t="str">
        <f aca="false">IF($B22="","",SUMIFS(Investments!$P$6:$P$1005,Investments!$A$6:$A$1005,$B22))</f>
        <v/>
      </c>
      <c r="G22" s="17" t="str">
        <f aca="false">IF($B22="","",SUMIFS(Investments!$J$6:$J$1005,Investments!$A$6:$A$1005,$B22)+SUMIFS(Investments!$K$6:$K$1005,Investments!$A$6:$A$1005,$B22)+SUMIFS(Investments!$L$6:$L$1005,Investments!$A$6:$A$1005,$B22))</f>
        <v/>
      </c>
      <c r="H22" s="17" t="str">
        <f aca="false">IF($B22="","",SUMIFS(Investments!$M$6:$M$1005,Investments!$A$6:$A$1005,$B22))</f>
        <v/>
      </c>
      <c r="I22" s="17" t="str">
        <f aca="false">IF($B22="","",($H22+$G22)-$F22)</f>
        <v/>
      </c>
      <c r="J22" s="18" t="str">
        <f aca="false">IF(OR($B22="",$F22=0),"",$I22/$F22)</f>
        <v/>
      </c>
      <c r="K22" s="18" t="str">
        <f aca="false">IF(OR($B22="",$H22=0),"",SUMPRODUCT((Investments!$A$6:$A$1005=$B22)*Investments!$M$6:$M$1005*Investments!$T$6:$T$1005)/$H22)</f>
        <v/>
      </c>
      <c r="L22" s="18" t="str">
        <f aca="false">IF(OR($B22="",$C$12=0),"",$H22/$C$12)</f>
        <v/>
      </c>
    </row>
    <row r="23" customFormat="false" ht="15" hidden="false" customHeight="false" outlineLevel="0" collapsed="false">
      <c r="B23" s="31" t="str">
        <f aca="false">IF(Clients!$B8="","",Clients!$B8)</f>
        <v/>
      </c>
      <c r="C23" s="32" t="str">
        <f aca="false">IF($B23="","",COUNTIFS(Investments!$A$6:$A$1005,$B23))</f>
        <v/>
      </c>
      <c r="D23" s="33" t="str">
        <f aca="false">IF($B23="","",SUMIFS(Investments!$G$6:$G$1005,Investments!$A$6:$A$1005,$B23))</f>
        <v/>
      </c>
      <c r="E23" s="33" t="str">
        <f aca="false">IF($B23="","",SUMIFS(Investments!$H$6:$H$1005,Investments!$A$6:$A$1005,$B23))</f>
        <v/>
      </c>
      <c r="F23" s="33" t="str">
        <f aca="false">IF($B23="","",SUMIFS(Investments!$P$6:$P$1005,Investments!$A$6:$A$1005,$B23))</f>
        <v/>
      </c>
      <c r="G23" s="33" t="str">
        <f aca="false">IF($B23="","",SUMIFS(Investments!$J$6:$J$1005,Investments!$A$6:$A$1005,$B23)+SUMIFS(Investments!$K$6:$K$1005,Investments!$A$6:$A$1005,$B23)+SUMIFS(Investments!$L$6:$L$1005,Investments!$A$6:$A$1005,$B23))</f>
        <v/>
      </c>
      <c r="H23" s="33" t="str">
        <f aca="false">IF($B23="","",SUMIFS(Investments!$M$6:$M$1005,Investments!$A$6:$A$1005,$B23))</f>
        <v/>
      </c>
      <c r="I23" s="33" t="str">
        <f aca="false">IF($B23="","",($H23+$G23)-$F23)</f>
        <v/>
      </c>
      <c r="J23" s="34" t="str">
        <f aca="false">IF(OR($B23="",$F23=0),"",$I23/$F23)</f>
        <v/>
      </c>
      <c r="K23" s="34" t="str">
        <f aca="false">IF(OR($B23="",$H23=0),"",SUMPRODUCT((Investments!$A$6:$A$1005=$B23)*Investments!$M$6:$M$1005*Investments!$T$6:$T$1005)/$H23)</f>
        <v/>
      </c>
      <c r="L23" s="34" t="str">
        <f aca="false">IF(OR($B23="",$C$12=0),"",$H23/$C$12)</f>
        <v/>
      </c>
    </row>
    <row r="24" customFormat="false" ht="15" hidden="false" customHeight="false" outlineLevel="0" collapsed="false">
      <c r="B24" s="14" t="str">
        <f aca="false">IF(Clients!$B9="","",Clients!$B9)</f>
        <v/>
      </c>
      <c r="C24" s="35" t="str">
        <f aca="false">IF($B24="","",COUNTIFS(Investments!$A$6:$A$1005,$B24))</f>
        <v/>
      </c>
      <c r="D24" s="17" t="str">
        <f aca="false">IF($B24="","",SUMIFS(Investments!$G$6:$G$1005,Investments!$A$6:$A$1005,$B24))</f>
        <v/>
      </c>
      <c r="E24" s="17" t="str">
        <f aca="false">IF($B24="","",SUMIFS(Investments!$H$6:$H$1005,Investments!$A$6:$A$1005,$B24))</f>
        <v/>
      </c>
      <c r="F24" s="17" t="str">
        <f aca="false">IF($B24="","",SUMIFS(Investments!$P$6:$P$1005,Investments!$A$6:$A$1005,$B24))</f>
        <v/>
      </c>
      <c r="G24" s="17" t="str">
        <f aca="false">IF($B24="","",SUMIFS(Investments!$J$6:$J$1005,Investments!$A$6:$A$1005,$B24)+SUMIFS(Investments!$K$6:$K$1005,Investments!$A$6:$A$1005,$B24)+SUMIFS(Investments!$L$6:$L$1005,Investments!$A$6:$A$1005,$B24))</f>
        <v/>
      </c>
      <c r="H24" s="17" t="str">
        <f aca="false">IF($B24="","",SUMIFS(Investments!$M$6:$M$1005,Investments!$A$6:$A$1005,$B24))</f>
        <v/>
      </c>
      <c r="I24" s="17" t="str">
        <f aca="false">IF($B24="","",($H24+$G24)-$F24)</f>
        <v/>
      </c>
      <c r="J24" s="18" t="str">
        <f aca="false">IF(OR($B24="",$F24=0),"",$I24/$F24)</f>
        <v/>
      </c>
      <c r="K24" s="18" t="str">
        <f aca="false">IF(OR($B24="",$H24=0),"",SUMPRODUCT((Investments!$A$6:$A$1005=$B24)*Investments!$M$6:$M$1005*Investments!$T$6:$T$1005)/$H24)</f>
        <v/>
      </c>
      <c r="L24" s="18" t="str">
        <f aca="false">IF(OR($B24="",$C$12=0),"",$H24/$C$12)</f>
        <v/>
      </c>
    </row>
    <row r="25" customFormat="false" ht="15" hidden="false" customHeight="false" outlineLevel="0" collapsed="false">
      <c r="B25" s="31" t="str">
        <f aca="false">IF(Clients!$B10="","",Clients!$B10)</f>
        <v/>
      </c>
      <c r="C25" s="32" t="str">
        <f aca="false">IF($B25="","",COUNTIFS(Investments!$A$6:$A$1005,$B25))</f>
        <v/>
      </c>
      <c r="D25" s="33" t="str">
        <f aca="false">IF($B25="","",SUMIFS(Investments!$G$6:$G$1005,Investments!$A$6:$A$1005,$B25))</f>
        <v/>
      </c>
      <c r="E25" s="33" t="str">
        <f aca="false">IF($B25="","",SUMIFS(Investments!$H$6:$H$1005,Investments!$A$6:$A$1005,$B25))</f>
        <v/>
      </c>
      <c r="F25" s="33" t="str">
        <f aca="false">IF($B25="","",SUMIFS(Investments!$P$6:$P$1005,Investments!$A$6:$A$1005,$B25))</f>
        <v/>
      </c>
      <c r="G25" s="33" t="str">
        <f aca="false">IF($B25="","",SUMIFS(Investments!$J$6:$J$1005,Investments!$A$6:$A$1005,$B25)+SUMIFS(Investments!$K$6:$K$1005,Investments!$A$6:$A$1005,$B25)+SUMIFS(Investments!$L$6:$L$1005,Investments!$A$6:$A$1005,$B25))</f>
        <v/>
      </c>
      <c r="H25" s="33" t="str">
        <f aca="false">IF($B25="","",SUMIFS(Investments!$M$6:$M$1005,Investments!$A$6:$A$1005,$B25))</f>
        <v/>
      </c>
      <c r="I25" s="33" t="str">
        <f aca="false">IF($B25="","",($H25+$G25)-$F25)</f>
        <v/>
      </c>
      <c r="J25" s="34" t="str">
        <f aca="false">IF(OR($B25="",$F25=0),"",$I25/$F25)</f>
        <v/>
      </c>
      <c r="K25" s="34" t="str">
        <f aca="false">IF(OR($B25="",$H25=0),"",SUMPRODUCT((Investments!$A$6:$A$1005=$B25)*Investments!$M$6:$M$1005*Investments!$T$6:$T$1005)/$H25)</f>
        <v/>
      </c>
      <c r="L25" s="34" t="str">
        <f aca="false">IF(OR($B25="",$C$12=0),"",$H25/$C$12)</f>
        <v/>
      </c>
    </row>
    <row r="26" customFormat="false" ht="15" hidden="false" customHeight="false" outlineLevel="0" collapsed="false">
      <c r="B26" s="14" t="str">
        <f aca="false">IF(Clients!$B11="","",Clients!$B11)</f>
        <v/>
      </c>
      <c r="C26" s="35" t="str">
        <f aca="false">IF($B26="","",COUNTIFS(Investments!$A$6:$A$1005,$B26))</f>
        <v/>
      </c>
      <c r="D26" s="17" t="str">
        <f aca="false">IF($B26="","",SUMIFS(Investments!$G$6:$G$1005,Investments!$A$6:$A$1005,$B26))</f>
        <v/>
      </c>
      <c r="E26" s="17" t="str">
        <f aca="false">IF($B26="","",SUMIFS(Investments!$H$6:$H$1005,Investments!$A$6:$A$1005,$B26))</f>
        <v/>
      </c>
      <c r="F26" s="17" t="str">
        <f aca="false">IF($B26="","",SUMIFS(Investments!$P$6:$P$1005,Investments!$A$6:$A$1005,$B26))</f>
        <v/>
      </c>
      <c r="G26" s="17" t="str">
        <f aca="false">IF($B26="","",SUMIFS(Investments!$J$6:$J$1005,Investments!$A$6:$A$1005,$B26)+SUMIFS(Investments!$K$6:$K$1005,Investments!$A$6:$A$1005,$B26)+SUMIFS(Investments!$L$6:$L$1005,Investments!$A$6:$A$1005,$B26))</f>
        <v/>
      </c>
      <c r="H26" s="17" t="str">
        <f aca="false">IF($B26="","",SUMIFS(Investments!$M$6:$M$1005,Investments!$A$6:$A$1005,$B26))</f>
        <v/>
      </c>
      <c r="I26" s="17" t="str">
        <f aca="false">IF($B26="","",($H26+$G26)-$F26)</f>
        <v/>
      </c>
      <c r="J26" s="18" t="str">
        <f aca="false">IF(OR($B26="",$F26=0),"",$I26/$F26)</f>
        <v/>
      </c>
      <c r="K26" s="18" t="str">
        <f aca="false">IF(OR($B26="",$H26=0),"",SUMPRODUCT((Investments!$A$6:$A$1005=$B26)*Investments!$M$6:$M$1005*Investments!$T$6:$T$1005)/$H26)</f>
        <v/>
      </c>
      <c r="L26" s="18" t="str">
        <f aca="false">IF(OR($B26="",$C$12=0),"",$H26/$C$12)</f>
        <v/>
      </c>
    </row>
    <row r="27" customFormat="false" ht="15" hidden="false" customHeight="false" outlineLevel="0" collapsed="false">
      <c r="B27" s="31" t="str">
        <f aca="false">IF(Clients!$B12="","",Clients!$B12)</f>
        <v/>
      </c>
      <c r="C27" s="32" t="str">
        <f aca="false">IF($B27="","",COUNTIFS(Investments!$A$6:$A$1005,$B27))</f>
        <v/>
      </c>
      <c r="D27" s="33" t="str">
        <f aca="false">IF($B27="","",SUMIFS(Investments!$G$6:$G$1005,Investments!$A$6:$A$1005,$B27))</f>
        <v/>
      </c>
      <c r="E27" s="33" t="str">
        <f aca="false">IF($B27="","",SUMIFS(Investments!$H$6:$H$1005,Investments!$A$6:$A$1005,$B27))</f>
        <v/>
      </c>
      <c r="F27" s="33" t="str">
        <f aca="false">IF($B27="","",SUMIFS(Investments!$P$6:$P$1005,Investments!$A$6:$A$1005,$B27))</f>
        <v/>
      </c>
      <c r="G27" s="33" t="str">
        <f aca="false">IF($B27="","",SUMIFS(Investments!$J$6:$J$1005,Investments!$A$6:$A$1005,$B27)+SUMIFS(Investments!$K$6:$K$1005,Investments!$A$6:$A$1005,$B27)+SUMIFS(Investments!$L$6:$L$1005,Investments!$A$6:$A$1005,$B27))</f>
        <v/>
      </c>
      <c r="H27" s="33" t="str">
        <f aca="false">IF($B27="","",SUMIFS(Investments!$M$6:$M$1005,Investments!$A$6:$A$1005,$B27))</f>
        <v/>
      </c>
      <c r="I27" s="33" t="str">
        <f aca="false">IF($B27="","",($H27+$G27)-$F27)</f>
        <v/>
      </c>
      <c r="J27" s="34" t="str">
        <f aca="false">IF(OR($B27="",$F27=0),"",$I27/$F27)</f>
        <v/>
      </c>
      <c r="K27" s="34" t="str">
        <f aca="false">IF(OR($B27="",$H27=0),"",SUMPRODUCT((Investments!$A$6:$A$1005=$B27)*Investments!$M$6:$M$1005*Investments!$T$6:$T$1005)/$H27)</f>
        <v/>
      </c>
      <c r="L27" s="34" t="str">
        <f aca="false">IF(OR($B27="",$C$12=0),"",$H27/$C$12)</f>
        <v/>
      </c>
    </row>
    <row r="28" customFormat="false" ht="15" hidden="false" customHeight="false" outlineLevel="0" collapsed="false">
      <c r="B28" s="14" t="str">
        <f aca="false">IF(Clients!$B13="","",Clients!$B13)</f>
        <v/>
      </c>
      <c r="C28" s="35" t="str">
        <f aca="false">IF($B28="","",COUNTIFS(Investments!$A$6:$A$1005,$B28))</f>
        <v/>
      </c>
      <c r="D28" s="17" t="str">
        <f aca="false">IF($B28="","",SUMIFS(Investments!$G$6:$G$1005,Investments!$A$6:$A$1005,$B28))</f>
        <v/>
      </c>
      <c r="E28" s="17" t="str">
        <f aca="false">IF($B28="","",SUMIFS(Investments!$H$6:$H$1005,Investments!$A$6:$A$1005,$B28))</f>
        <v/>
      </c>
      <c r="F28" s="17" t="str">
        <f aca="false">IF($B28="","",SUMIFS(Investments!$P$6:$P$1005,Investments!$A$6:$A$1005,$B28))</f>
        <v/>
      </c>
      <c r="G28" s="17" t="str">
        <f aca="false">IF($B28="","",SUMIFS(Investments!$J$6:$J$1005,Investments!$A$6:$A$1005,$B28)+SUMIFS(Investments!$K$6:$K$1005,Investments!$A$6:$A$1005,$B28)+SUMIFS(Investments!$L$6:$L$1005,Investments!$A$6:$A$1005,$B28))</f>
        <v/>
      </c>
      <c r="H28" s="17" t="str">
        <f aca="false">IF($B28="","",SUMIFS(Investments!$M$6:$M$1005,Investments!$A$6:$A$1005,$B28))</f>
        <v/>
      </c>
      <c r="I28" s="17" t="str">
        <f aca="false">IF($B28="","",($H28+$G28)-$F28)</f>
        <v/>
      </c>
      <c r="J28" s="18" t="str">
        <f aca="false">IF(OR($B28="",$F28=0),"",$I28/$F28)</f>
        <v/>
      </c>
      <c r="K28" s="18" t="str">
        <f aca="false">IF(OR($B28="",$H28=0),"",SUMPRODUCT((Investments!$A$6:$A$1005=$B28)*Investments!$M$6:$M$1005*Investments!$T$6:$T$1005)/$H28)</f>
        <v/>
      </c>
      <c r="L28" s="18" t="str">
        <f aca="false">IF(OR($B28="",$C$12=0),"",$H28/$C$12)</f>
        <v/>
      </c>
    </row>
    <row r="29" customFormat="false" ht="15" hidden="false" customHeight="false" outlineLevel="0" collapsed="false">
      <c r="B29" s="31" t="str">
        <f aca="false">IF(Clients!$B14="","",Clients!$B14)</f>
        <v/>
      </c>
      <c r="C29" s="32" t="str">
        <f aca="false">IF($B29="","",COUNTIFS(Investments!$A$6:$A$1005,$B29))</f>
        <v/>
      </c>
      <c r="D29" s="33" t="str">
        <f aca="false">IF($B29="","",SUMIFS(Investments!$G$6:$G$1005,Investments!$A$6:$A$1005,$B29))</f>
        <v/>
      </c>
      <c r="E29" s="33" t="str">
        <f aca="false">IF($B29="","",SUMIFS(Investments!$H$6:$H$1005,Investments!$A$6:$A$1005,$B29))</f>
        <v/>
      </c>
      <c r="F29" s="33" t="str">
        <f aca="false">IF($B29="","",SUMIFS(Investments!$P$6:$P$1005,Investments!$A$6:$A$1005,$B29))</f>
        <v/>
      </c>
      <c r="G29" s="33" t="str">
        <f aca="false">IF($B29="","",SUMIFS(Investments!$J$6:$J$1005,Investments!$A$6:$A$1005,$B29)+SUMIFS(Investments!$K$6:$K$1005,Investments!$A$6:$A$1005,$B29)+SUMIFS(Investments!$L$6:$L$1005,Investments!$A$6:$A$1005,$B29))</f>
        <v/>
      </c>
      <c r="H29" s="33" t="str">
        <f aca="false">IF($B29="","",SUMIFS(Investments!$M$6:$M$1005,Investments!$A$6:$A$1005,$B29))</f>
        <v/>
      </c>
      <c r="I29" s="33" t="str">
        <f aca="false">IF($B29="","",($H29+$G29)-$F29)</f>
        <v/>
      </c>
      <c r="J29" s="34" t="str">
        <f aca="false">IF(OR($B29="",$F29=0),"",$I29/$F29)</f>
        <v/>
      </c>
      <c r="K29" s="34" t="str">
        <f aca="false">IF(OR($B29="",$H29=0),"",SUMPRODUCT((Investments!$A$6:$A$1005=$B29)*Investments!$M$6:$M$1005*Investments!$T$6:$T$1005)/$H29)</f>
        <v/>
      </c>
      <c r="L29" s="34" t="str">
        <f aca="false">IF(OR($B29="",$C$12=0),"",$H29/$C$12)</f>
        <v/>
      </c>
    </row>
    <row r="30" customFormat="false" ht="15" hidden="false" customHeight="false" outlineLevel="0" collapsed="false">
      <c r="B30" s="14" t="str">
        <f aca="false">IF(Clients!$B15="","",Clients!$B15)</f>
        <v/>
      </c>
      <c r="C30" s="35" t="str">
        <f aca="false">IF($B30="","",COUNTIFS(Investments!$A$6:$A$1005,$B30))</f>
        <v/>
      </c>
      <c r="D30" s="17" t="str">
        <f aca="false">IF($B30="","",SUMIFS(Investments!$G$6:$G$1005,Investments!$A$6:$A$1005,$B30))</f>
        <v/>
      </c>
      <c r="E30" s="17" t="str">
        <f aca="false">IF($B30="","",SUMIFS(Investments!$H$6:$H$1005,Investments!$A$6:$A$1005,$B30))</f>
        <v/>
      </c>
      <c r="F30" s="17" t="str">
        <f aca="false">IF($B30="","",SUMIFS(Investments!$P$6:$P$1005,Investments!$A$6:$A$1005,$B30))</f>
        <v/>
      </c>
      <c r="G30" s="17" t="str">
        <f aca="false">IF($B30="","",SUMIFS(Investments!$J$6:$J$1005,Investments!$A$6:$A$1005,$B30)+SUMIFS(Investments!$K$6:$K$1005,Investments!$A$6:$A$1005,$B30)+SUMIFS(Investments!$L$6:$L$1005,Investments!$A$6:$A$1005,$B30))</f>
        <v/>
      </c>
      <c r="H30" s="17" t="str">
        <f aca="false">IF($B30="","",SUMIFS(Investments!$M$6:$M$1005,Investments!$A$6:$A$1005,$B30))</f>
        <v/>
      </c>
      <c r="I30" s="17" t="str">
        <f aca="false">IF($B30="","",($H30+$G30)-$F30)</f>
        <v/>
      </c>
      <c r="J30" s="18" t="str">
        <f aca="false">IF(OR($B30="",$F30=0),"",$I30/$F30)</f>
        <v/>
      </c>
      <c r="K30" s="18" t="str">
        <f aca="false">IF(OR($B30="",$H30=0),"",SUMPRODUCT((Investments!$A$6:$A$1005=$B30)*Investments!$M$6:$M$1005*Investments!$T$6:$T$1005)/$H30)</f>
        <v/>
      </c>
      <c r="L30" s="18" t="str">
        <f aca="false">IF(OR($B30="",$C$12=0),"",$H30/$C$12)</f>
        <v/>
      </c>
    </row>
    <row r="31" customFormat="false" ht="15" hidden="false" customHeight="false" outlineLevel="0" collapsed="false">
      <c r="B31" s="31" t="str">
        <f aca="false">IF(Clients!$B16="","",Clients!$B16)</f>
        <v/>
      </c>
      <c r="C31" s="32" t="str">
        <f aca="false">IF($B31="","",COUNTIFS(Investments!$A$6:$A$1005,$B31))</f>
        <v/>
      </c>
      <c r="D31" s="33" t="str">
        <f aca="false">IF($B31="","",SUMIFS(Investments!$G$6:$G$1005,Investments!$A$6:$A$1005,$B31))</f>
        <v/>
      </c>
      <c r="E31" s="33" t="str">
        <f aca="false">IF($B31="","",SUMIFS(Investments!$H$6:$H$1005,Investments!$A$6:$A$1005,$B31))</f>
        <v/>
      </c>
      <c r="F31" s="33" t="str">
        <f aca="false">IF($B31="","",SUMIFS(Investments!$P$6:$P$1005,Investments!$A$6:$A$1005,$B31))</f>
        <v/>
      </c>
      <c r="G31" s="33" t="str">
        <f aca="false">IF($B31="","",SUMIFS(Investments!$J$6:$J$1005,Investments!$A$6:$A$1005,$B31)+SUMIFS(Investments!$K$6:$K$1005,Investments!$A$6:$A$1005,$B31)+SUMIFS(Investments!$L$6:$L$1005,Investments!$A$6:$A$1005,$B31))</f>
        <v/>
      </c>
      <c r="H31" s="33" t="str">
        <f aca="false">IF($B31="","",SUMIFS(Investments!$M$6:$M$1005,Investments!$A$6:$A$1005,$B31))</f>
        <v/>
      </c>
      <c r="I31" s="33" t="str">
        <f aca="false">IF($B31="","",($H31+$G31)-$F31)</f>
        <v/>
      </c>
      <c r="J31" s="34" t="str">
        <f aca="false">IF(OR($B31="",$F31=0),"",$I31/$F31)</f>
        <v/>
      </c>
      <c r="K31" s="34" t="str">
        <f aca="false">IF(OR($B31="",$H31=0),"",SUMPRODUCT((Investments!$A$6:$A$1005=$B31)*Investments!$M$6:$M$1005*Investments!$T$6:$T$1005)/$H31)</f>
        <v/>
      </c>
      <c r="L31" s="34" t="str">
        <f aca="false">IF(OR($B31="",$C$12=0),"",$H31/$C$12)</f>
        <v/>
      </c>
    </row>
    <row r="32" customFormat="false" ht="15" hidden="false" customHeight="false" outlineLevel="0" collapsed="false">
      <c r="B32" s="14" t="str">
        <f aca="false">IF(Clients!$B17="","",Clients!$B17)</f>
        <v/>
      </c>
      <c r="C32" s="35" t="str">
        <f aca="false">IF($B32="","",COUNTIFS(Investments!$A$6:$A$1005,$B32))</f>
        <v/>
      </c>
      <c r="D32" s="17" t="str">
        <f aca="false">IF($B32="","",SUMIFS(Investments!$G$6:$G$1005,Investments!$A$6:$A$1005,$B32))</f>
        <v/>
      </c>
      <c r="E32" s="17" t="str">
        <f aca="false">IF($B32="","",SUMIFS(Investments!$H$6:$H$1005,Investments!$A$6:$A$1005,$B32))</f>
        <v/>
      </c>
      <c r="F32" s="17" t="str">
        <f aca="false">IF($B32="","",SUMIFS(Investments!$P$6:$P$1005,Investments!$A$6:$A$1005,$B32))</f>
        <v/>
      </c>
      <c r="G32" s="17" t="str">
        <f aca="false">IF($B32="","",SUMIFS(Investments!$J$6:$J$1005,Investments!$A$6:$A$1005,$B32)+SUMIFS(Investments!$K$6:$K$1005,Investments!$A$6:$A$1005,$B32)+SUMIFS(Investments!$L$6:$L$1005,Investments!$A$6:$A$1005,$B32))</f>
        <v/>
      </c>
      <c r="H32" s="17" t="str">
        <f aca="false">IF($B32="","",SUMIFS(Investments!$M$6:$M$1005,Investments!$A$6:$A$1005,$B32))</f>
        <v/>
      </c>
      <c r="I32" s="17" t="str">
        <f aca="false">IF($B32="","",($H32+$G32)-$F32)</f>
        <v/>
      </c>
      <c r="J32" s="18" t="str">
        <f aca="false">IF(OR($B32="",$F32=0),"",$I32/$F32)</f>
        <v/>
      </c>
      <c r="K32" s="18" t="str">
        <f aca="false">IF(OR($B32="",$H32=0),"",SUMPRODUCT((Investments!$A$6:$A$1005=$B32)*Investments!$M$6:$M$1005*Investments!$T$6:$T$1005)/$H32)</f>
        <v/>
      </c>
      <c r="L32" s="18" t="str">
        <f aca="false">IF(OR($B32="",$C$12=0),"",$H32/$C$12)</f>
        <v/>
      </c>
    </row>
    <row r="33" customFormat="false" ht="15" hidden="false" customHeight="false" outlineLevel="0" collapsed="false">
      <c r="B33" s="31" t="str">
        <f aca="false">IF(Clients!$B18="","",Clients!$B18)</f>
        <v/>
      </c>
      <c r="C33" s="32" t="str">
        <f aca="false">IF($B33="","",COUNTIFS(Investments!$A$6:$A$1005,$B33))</f>
        <v/>
      </c>
      <c r="D33" s="33" t="str">
        <f aca="false">IF($B33="","",SUMIFS(Investments!$G$6:$G$1005,Investments!$A$6:$A$1005,$B33))</f>
        <v/>
      </c>
      <c r="E33" s="33" t="str">
        <f aca="false">IF($B33="","",SUMIFS(Investments!$H$6:$H$1005,Investments!$A$6:$A$1005,$B33))</f>
        <v/>
      </c>
      <c r="F33" s="33" t="str">
        <f aca="false">IF($B33="","",SUMIFS(Investments!$P$6:$P$1005,Investments!$A$6:$A$1005,$B33))</f>
        <v/>
      </c>
      <c r="G33" s="33" t="str">
        <f aca="false">IF($B33="","",SUMIFS(Investments!$J$6:$J$1005,Investments!$A$6:$A$1005,$B33)+SUMIFS(Investments!$K$6:$K$1005,Investments!$A$6:$A$1005,$B33)+SUMIFS(Investments!$L$6:$L$1005,Investments!$A$6:$A$1005,$B33))</f>
        <v/>
      </c>
      <c r="H33" s="33" t="str">
        <f aca="false">IF($B33="","",SUMIFS(Investments!$M$6:$M$1005,Investments!$A$6:$A$1005,$B33))</f>
        <v/>
      </c>
      <c r="I33" s="33" t="str">
        <f aca="false">IF($B33="","",($H33+$G33)-$F33)</f>
        <v/>
      </c>
      <c r="J33" s="34" t="str">
        <f aca="false">IF(OR($B33="",$F33=0),"",$I33/$F33)</f>
        <v/>
      </c>
      <c r="K33" s="34" t="str">
        <f aca="false">IF(OR($B33="",$H33=0),"",SUMPRODUCT((Investments!$A$6:$A$1005=$B33)*Investments!$M$6:$M$1005*Investments!$T$6:$T$1005)/$H33)</f>
        <v/>
      </c>
      <c r="L33" s="34" t="str">
        <f aca="false">IF(OR($B33="",$C$12=0),"",$H33/$C$12)</f>
        <v/>
      </c>
    </row>
    <row r="34" customFormat="false" ht="15" hidden="false" customHeight="false" outlineLevel="0" collapsed="false">
      <c r="B34" s="14" t="str">
        <f aca="false">IF(Clients!$B19="","",Clients!$B19)</f>
        <v/>
      </c>
      <c r="C34" s="35" t="str">
        <f aca="false">IF($B34="","",COUNTIFS(Investments!$A$6:$A$1005,$B34))</f>
        <v/>
      </c>
      <c r="D34" s="17" t="str">
        <f aca="false">IF($B34="","",SUMIFS(Investments!$G$6:$G$1005,Investments!$A$6:$A$1005,$B34))</f>
        <v/>
      </c>
      <c r="E34" s="17" t="str">
        <f aca="false">IF($B34="","",SUMIFS(Investments!$H$6:$H$1005,Investments!$A$6:$A$1005,$B34))</f>
        <v/>
      </c>
      <c r="F34" s="17" t="str">
        <f aca="false">IF($B34="","",SUMIFS(Investments!$P$6:$P$1005,Investments!$A$6:$A$1005,$B34))</f>
        <v/>
      </c>
      <c r="G34" s="17" t="str">
        <f aca="false">IF($B34="","",SUMIFS(Investments!$J$6:$J$1005,Investments!$A$6:$A$1005,$B34)+SUMIFS(Investments!$K$6:$K$1005,Investments!$A$6:$A$1005,$B34)+SUMIFS(Investments!$L$6:$L$1005,Investments!$A$6:$A$1005,$B34))</f>
        <v/>
      </c>
      <c r="H34" s="17" t="str">
        <f aca="false">IF($B34="","",SUMIFS(Investments!$M$6:$M$1005,Investments!$A$6:$A$1005,$B34))</f>
        <v/>
      </c>
      <c r="I34" s="17" t="str">
        <f aca="false">IF($B34="","",($H34+$G34)-$F34)</f>
        <v/>
      </c>
      <c r="J34" s="18" t="str">
        <f aca="false">IF(OR($B34="",$F34=0),"",$I34/$F34)</f>
        <v/>
      </c>
      <c r="K34" s="18" t="str">
        <f aca="false">IF(OR($B34="",$H34=0),"",SUMPRODUCT((Investments!$A$6:$A$1005=$B34)*Investments!$M$6:$M$1005*Investments!$T$6:$T$1005)/$H34)</f>
        <v/>
      </c>
      <c r="L34" s="18" t="str">
        <f aca="false">IF(OR($B34="",$C$12=0),"",$H34/$C$12)</f>
        <v/>
      </c>
    </row>
    <row r="35" customFormat="false" ht="15" hidden="false" customHeight="false" outlineLevel="0" collapsed="false">
      <c r="B35" s="31" t="str">
        <f aca="false">IF(Clients!$B20="","",Clients!$B20)</f>
        <v/>
      </c>
      <c r="C35" s="32" t="str">
        <f aca="false">IF($B35="","",COUNTIFS(Investments!$A$6:$A$1005,$B35))</f>
        <v/>
      </c>
      <c r="D35" s="33" t="str">
        <f aca="false">IF($B35="","",SUMIFS(Investments!$G$6:$G$1005,Investments!$A$6:$A$1005,$B35))</f>
        <v/>
      </c>
      <c r="E35" s="33" t="str">
        <f aca="false">IF($B35="","",SUMIFS(Investments!$H$6:$H$1005,Investments!$A$6:$A$1005,$B35))</f>
        <v/>
      </c>
      <c r="F35" s="33" t="str">
        <f aca="false">IF($B35="","",SUMIFS(Investments!$P$6:$P$1005,Investments!$A$6:$A$1005,$B35))</f>
        <v/>
      </c>
      <c r="G35" s="33" t="str">
        <f aca="false">IF($B35="","",SUMIFS(Investments!$J$6:$J$1005,Investments!$A$6:$A$1005,$B35)+SUMIFS(Investments!$K$6:$K$1005,Investments!$A$6:$A$1005,$B35)+SUMIFS(Investments!$L$6:$L$1005,Investments!$A$6:$A$1005,$B35))</f>
        <v/>
      </c>
      <c r="H35" s="33" t="str">
        <f aca="false">IF($B35="","",SUMIFS(Investments!$M$6:$M$1005,Investments!$A$6:$A$1005,$B35))</f>
        <v/>
      </c>
      <c r="I35" s="33" t="str">
        <f aca="false">IF($B35="","",($H35+$G35)-$F35)</f>
        <v/>
      </c>
      <c r="J35" s="34" t="str">
        <f aca="false">IF(OR($B35="",$F35=0),"",$I35/$F35)</f>
        <v/>
      </c>
      <c r="K35" s="34" t="str">
        <f aca="false">IF(OR($B35="",$H35=0),"",SUMPRODUCT((Investments!$A$6:$A$1005=$B35)*Investments!$M$6:$M$1005*Investments!$T$6:$T$1005)/$H35)</f>
        <v/>
      </c>
      <c r="L35" s="34" t="str">
        <f aca="false">IF(OR($B35="",$C$12=0),"",$H35/$C$12)</f>
        <v/>
      </c>
    </row>
    <row r="36" customFormat="false" ht="15" hidden="false" customHeight="false" outlineLevel="0" collapsed="false">
      <c r="B36" s="14" t="str">
        <f aca="false">IF(Clients!$B21="","",Clients!$B21)</f>
        <v/>
      </c>
      <c r="C36" s="35" t="str">
        <f aca="false">IF($B36="","",COUNTIFS(Investments!$A$6:$A$1005,$B36))</f>
        <v/>
      </c>
      <c r="D36" s="17" t="str">
        <f aca="false">IF($B36="","",SUMIFS(Investments!$G$6:$G$1005,Investments!$A$6:$A$1005,$B36))</f>
        <v/>
      </c>
      <c r="E36" s="17" t="str">
        <f aca="false">IF($B36="","",SUMIFS(Investments!$H$6:$H$1005,Investments!$A$6:$A$1005,$B36))</f>
        <v/>
      </c>
      <c r="F36" s="17" t="str">
        <f aca="false">IF($B36="","",SUMIFS(Investments!$P$6:$P$1005,Investments!$A$6:$A$1005,$B36))</f>
        <v/>
      </c>
      <c r="G36" s="17" t="str">
        <f aca="false">IF($B36="","",SUMIFS(Investments!$J$6:$J$1005,Investments!$A$6:$A$1005,$B36)+SUMIFS(Investments!$K$6:$K$1005,Investments!$A$6:$A$1005,$B36)+SUMIFS(Investments!$L$6:$L$1005,Investments!$A$6:$A$1005,$B36))</f>
        <v/>
      </c>
      <c r="H36" s="17" t="str">
        <f aca="false">IF($B36="","",SUMIFS(Investments!$M$6:$M$1005,Investments!$A$6:$A$1005,$B36))</f>
        <v/>
      </c>
      <c r="I36" s="17" t="str">
        <f aca="false">IF($B36="","",($H36+$G36)-$F36)</f>
        <v/>
      </c>
      <c r="J36" s="18" t="str">
        <f aca="false">IF(OR($B36="",$F36=0),"",$I36/$F36)</f>
        <v/>
      </c>
      <c r="K36" s="18" t="str">
        <f aca="false">IF(OR($B36="",$H36=0),"",SUMPRODUCT((Investments!$A$6:$A$1005=$B36)*Investments!$M$6:$M$1005*Investments!$T$6:$T$1005)/$H36)</f>
        <v/>
      </c>
      <c r="L36" s="18" t="str">
        <f aca="false">IF(OR($B36="",$C$12=0),"",$H36/$C$12)</f>
        <v/>
      </c>
    </row>
    <row r="37" customFormat="false" ht="15" hidden="false" customHeight="false" outlineLevel="0" collapsed="false">
      <c r="B37" s="31" t="str">
        <f aca="false">IF(Clients!$B22="","",Clients!$B22)</f>
        <v/>
      </c>
      <c r="C37" s="32" t="str">
        <f aca="false">IF($B37="","",COUNTIFS(Investments!$A$6:$A$1005,$B37))</f>
        <v/>
      </c>
      <c r="D37" s="33" t="str">
        <f aca="false">IF($B37="","",SUMIFS(Investments!$G$6:$G$1005,Investments!$A$6:$A$1005,$B37))</f>
        <v/>
      </c>
      <c r="E37" s="33" t="str">
        <f aca="false">IF($B37="","",SUMIFS(Investments!$H$6:$H$1005,Investments!$A$6:$A$1005,$B37))</f>
        <v/>
      </c>
      <c r="F37" s="33" t="str">
        <f aca="false">IF($B37="","",SUMIFS(Investments!$P$6:$P$1005,Investments!$A$6:$A$1005,$B37))</f>
        <v/>
      </c>
      <c r="G37" s="33" t="str">
        <f aca="false">IF($B37="","",SUMIFS(Investments!$J$6:$J$1005,Investments!$A$6:$A$1005,$B37)+SUMIFS(Investments!$K$6:$K$1005,Investments!$A$6:$A$1005,$B37)+SUMIFS(Investments!$L$6:$L$1005,Investments!$A$6:$A$1005,$B37))</f>
        <v/>
      </c>
      <c r="H37" s="33" t="str">
        <f aca="false">IF($B37="","",SUMIFS(Investments!$M$6:$M$1005,Investments!$A$6:$A$1005,$B37))</f>
        <v/>
      </c>
      <c r="I37" s="33" t="str">
        <f aca="false">IF($B37="","",($H37+$G37)-$F37)</f>
        <v/>
      </c>
      <c r="J37" s="34" t="str">
        <f aca="false">IF(OR($B37="",$F37=0),"",$I37/$F37)</f>
        <v/>
      </c>
      <c r="K37" s="34" t="str">
        <f aca="false">IF(OR($B37="",$H37=0),"",SUMPRODUCT((Investments!$A$6:$A$1005=$B37)*Investments!$M$6:$M$1005*Investments!$T$6:$T$1005)/$H37)</f>
        <v/>
      </c>
      <c r="L37" s="34" t="str">
        <f aca="false">IF(OR($B37="",$C$12=0),"",$H37/$C$12)</f>
        <v/>
      </c>
    </row>
    <row r="38" customFormat="false" ht="15" hidden="false" customHeight="false" outlineLevel="0" collapsed="false">
      <c r="B38" s="14" t="str">
        <f aca="false">IF(Clients!$B23="","",Clients!$B23)</f>
        <v/>
      </c>
      <c r="C38" s="35" t="str">
        <f aca="false">IF($B38="","",COUNTIFS(Investments!$A$6:$A$1005,$B38))</f>
        <v/>
      </c>
      <c r="D38" s="17" t="str">
        <f aca="false">IF($B38="","",SUMIFS(Investments!$G$6:$G$1005,Investments!$A$6:$A$1005,$B38))</f>
        <v/>
      </c>
      <c r="E38" s="17" t="str">
        <f aca="false">IF($B38="","",SUMIFS(Investments!$H$6:$H$1005,Investments!$A$6:$A$1005,$B38))</f>
        <v/>
      </c>
      <c r="F38" s="17" t="str">
        <f aca="false">IF($B38="","",SUMIFS(Investments!$P$6:$P$1005,Investments!$A$6:$A$1005,$B38))</f>
        <v/>
      </c>
      <c r="G38" s="17" t="str">
        <f aca="false">IF($B38="","",SUMIFS(Investments!$J$6:$J$1005,Investments!$A$6:$A$1005,$B38)+SUMIFS(Investments!$K$6:$K$1005,Investments!$A$6:$A$1005,$B38)+SUMIFS(Investments!$L$6:$L$1005,Investments!$A$6:$A$1005,$B38))</f>
        <v/>
      </c>
      <c r="H38" s="17" t="str">
        <f aca="false">IF($B38="","",SUMIFS(Investments!$M$6:$M$1005,Investments!$A$6:$A$1005,$B38))</f>
        <v/>
      </c>
      <c r="I38" s="17" t="str">
        <f aca="false">IF($B38="","",($H38+$G38)-$F38)</f>
        <v/>
      </c>
      <c r="J38" s="18" t="str">
        <f aca="false">IF(OR($B38="",$F38=0),"",$I38/$F38)</f>
        <v/>
      </c>
      <c r="K38" s="18" t="str">
        <f aca="false">IF(OR($B38="",$H38=0),"",SUMPRODUCT((Investments!$A$6:$A$1005=$B38)*Investments!$M$6:$M$1005*Investments!$T$6:$T$1005)/$H38)</f>
        <v/>
      </c>
      <c r="L38" s="18" t="str">
        <f aca="false">IF(OR($B38="",$C$12=0),"",$H38/$C$12)</f>
        <v/>
      </c>
    </row>
    <row r="39" customFormat="false" ht="15" hidden="false" customHeight="false" outlineLevel="0" collapsed="false">
      <c r="B39" s="31" t="str">
        <f aca="false">IF(Clients!$B24="","",Clients!$B24)</f>
        <v/>
      </c>
      <c r="C39" s="32" t="str">
        <f aca="false">IF($B39="","",COUNTIFS(Investments!$A$6:$A$1005,$B39))</f>
        <v/>
      </c>
      <c r="D39" s="33" t="str">
        <f aca="false">IF($B39="","",SUMIFS(Investments!$G$6:$G$1005,Investments!$A$6:$A$1005,$B39))</f>
        <v/>
      </c>
      <c r="E39" s="33" t="str">
        <f aca="false">IF($B39="","",SUMIFS(Investments!$H$6:$H$1005,Investments!$A$6:$A$1005,$B39))</f>
        <v/>
      </c>
      <c r="F39" s="33" t="str">
        <f aca="false">IF($B39="","",SUMIFS(Investments!$P$6:$P$1005,Investments!$A$6:$A$1005,$B39))</f>
        <v/>
      </c>
      <c r="G39" s="33" t="str">
        <f aca="false">IF($B39="","",SUMIFS(Investments!$J$6:$J$1005,Investments!$A$6:$A$1005,$B39)+SUMIFS(Investments!$K$6:$K$1005,Investments!$A$6:$A$1005,$B39)+SUMIFS(Investments!$L$6:$L$1005,Investments!$A$6:$A$1005,$B39))</f>
        <v/>
      </c>
      <c r="H39" s="33" t="str">
        <f aca="false">IF($B39="","",SUMIFS(Investments!$M$6:$M$1005,Investments!$A$6:$A$1005,$B39))</f>
        <v/>
      </c>
      <c r="I39" s="33" t="str">
        <f aca="false">IF($B39="","",($H39+$G39)-$F39)</f>
        <v/>
      </c>
      <c r="J39" s="34" t="str">
        <f aca="false">IF(OR($B39="",$F39=0),"",$I39/$F39)</f>
        <v/>
      </c>
      <c r="K39" s="34" t="str">
        <f aca="false">IF(OR($B39="",$H39=0),"",SUMPRODUCT((Investments!$A$6:$A$1005=$B39)*Investments!$M$6:$M$1005*Investments!$T$6:$T$1005)/$H39)</f>
        <v/>
      </c>
      <c r="L39" s="34" t="str">
        <f aca="false">IF(OR($B39="",$C$12=0),"",$H39/$C$12)</f>
        <v/>
      </c>
    </row>
    <row r="40" customFormat="false" ht="15" hidden="false" customHeight="false" outlineLevel="0" collapsed="false">
      <c r="B40" s="14" t="str">
        <f aca="false">IF(Clients!$B25="","",Clients!$B25)</f>
        <v/>
      </c>
      <c r="C40" s="35" t="str">
        <f aca="false">IF($B40="","",COUNTIFS(Investments!$A$6:$A$1005,$B40))</f>
        <v/>
      </c>
      <c r="D40" s="17" t="str">
        <f aca="false">IF($B40="","",SUMIFS(Investments!$G$6:$G$1005,Investments!$A$6:$A$1005,$B40))</f>
        <v/>
      </c>
      <c r="E40" s="17" t="str">
        <f aca="false">IF($B40="","",SUMIFS(Investments!$H$6:$H$1005,Investments!$A$6:$A$1005,$B40))</f>
        <v/>
      </c>
      <c r="F40" s="17" t="str">
        <f aca="false">IF($B40="","",SUMIFS(Investments!$P$6:$P$1005,Investments!$A$6:$A$1005,$B40))</f>
        <v/>
      </c>
      <c r="G40" s="17" t="str">
        <f aca="false">IF($B40="","",SUMIFS(Investments!$J$6:$J$1005,Investments!$A$6:$A$1005,$B40)+SUMIFS(Investments!$K$6:$K$1005,Investments!$A$6:$A$1005,$B40)+SUMIFS(Investments!$L$6:$L$1005,Investments!$A$6:$A$1005,$B40))</f>
        <v/>
      </c>
      <c r="H40" s="17" t="str">
        <f aca="false">IF($B40="","",SUMIFS(Investments!$M$6:$M$1005,Investments!$A$6:$A$1005,$B40))</f>
        <v/>
      </c>
      <c r="I40" s="17" t="str">
        <f aca="false">IF($B40="","",($H40+$G40)-$F40)</f>
        <v/>
      </c>
      <c r="J40" s="18" t="str">
        <f aca="false">IF(OR($B40="",$F40=0),"",$I40/$F40)</f>
        <v/>
      </c>
      <c r="K40" s="18" t="str">
        <f aca="false">IF(OR($B40="",$H40=0),"",SUMPRODUCT((Investments!$A$6:$A$1005=$B40)*Investments!$M$6:$M$1005*Investments!$T$6:$T$1005)/$H40)</f>
        <v/>
      </c>
      <c r="L40" s="18" t="str">
        <f aca="false">IF(OR($B40="",$C$12=0),"",$H40/$C$12)</f>
        <v/>
      </c>
    </row>
    <row r="41" customFormat="false" ht="15" hidden="false" customHeight="false" outlineLevel="0" collapsed="false">
      <c r="B41" s="31" t="str">
        <f aca="false">IF(Clients!$B26="","",Clients!$B26)</f>
        <v/>
      </c>
      <c r="C41" s="32" t="str">
        <f aca="false">IF($B41="","",COUNTIFS(Investments!$A$6:$A$1005,$B41))</f>
        <v/>
      </c>
      <c r="D41" s="33" t="str">
        <f aca="false">IF($B41="","",SUMIFS(Investments!$G$6:$G$1005,Investments!$A$6:$A$1005,$B41))</f>
        <v/>
      </c>
      <c r="E41" s="33" t="str">
        <f aca="false">IF($B41="","",SUMIFS(Investments!$H$6:$H$1005,Investments!$A$6:$A$1005,$B41))</f>
        <v/>
      </c>
      <c r="F41" s="33" t="str">
        <f aca="false">IF($B41="","",SUMIFS(Investments!$P$6:$P$1005,Investments!$A$6:$A$1005,$B41))</f>
        <v/>
      </c>
      <c r="G41" s="33" t="str">
        <f aca="false">IF($B41="","",SUMIFS(Investments!$J$6:$J$1005,Investments!$A$6:$A$1005,$B41)+SUMIFS(Investments!$K$6:$K$1005,Investments!$A$6:$A$1005,$B41)+SUMIFS(Investments!$L$6:$L$1005,Investments!$A$6:$A$1005,$B41))</f>
        <v/>
      </c>
      <c r="H41" s="33" t="str">
        <f aca="false">IF($B41="","",SUMIFS(Investments!$M$6:$M$1005,Investments!$A$6:$A$1005,$B41))</f>
        <v/>
      </c>
      <c r="I41" s="33" t="str">
        <f aca="false">IF($B41="","",($H41+$G41)-$F41)</f>
        <v/>
      </c>
      <c r="J41" s="34" t="str">
        <f aca="false">IF(OR($B41="",$F41=0),"",$I41/$F41)</f>
        <v/>
      </c>
      <c r="K41" s="34" t="str">
        <f aca="false">IF(OR($B41="",$H41=0),"",SUMPRODUCT((Investments!$A$6:$A$1005=$B41)*Investments!$M$6:$M$1005*Investments!$T$6:$T$1005)/$H41)</f>
        <v/>
      </c>
      <c r="L41" s="34" t="str">
        <f aca="false">IF(OR($B41="",$C$12=0),"",$H41/$C$12)</f>
        <v/>
      </c>
    </row>
    <row r="42" customFormat="false" ht="15" hidden="false" customHeight="false" outlineLevel="0" collapsed="false">
      <c r="B42" s="14" t="str">
        <f aca="false">IF(Clients!$B27="","",Clients!$B27)</f>
        <v/>
      </c>
      <c r="C42" s="35" t="str">
        <f aca="false">IF($B42="","",COUNTIFS(Investments!$A$6:$A$1005,$B42))</f>
        <v/>
      </c>
      <c r="D42" s="17" t="str">
        <f aca="false">IF($B42="","",SUMIFS(Investments!$G$6:$G$1005,Investments!$A$6:$A$1005,$B42))</f>
        <v/>
      </c>
      <c r="E42" s="17" t="str">
        <f aca="false">IF($B42="","",SUMIFS(Investments!$H$6:$H$1005,Investments!$A$6:$A$1005,$B42))</f>
        <v/>
      </c>
      <c r="F42" s="17" t="str">
        <f aca="false">IF($B42="","",SUMIFS(Investments!$P$6:$P$1005,Investments!$A$6:$A$1005,$B42))</f>
        <v/>
      </c>
      <c r="G42" s="17" t="str">
        <f aca="false">IF($B42="","",SUMIFS(Investments!$J$6:$J$1005,Investments!$A$6:$A$1005,$B42)+SUMIFS(Investments!$K$6:$K$1005,Investments!$A$6:$A$1005,$B42)+SUMIFS(Investments!$L$6:$L$1005,Investments!$A$6:$A$1005,$B42))</f>
        <v/>
      </c>
      <c r="H42" s="17" t="str">
        <f aca="false">IF($B42="","",SUMIFS(Investments!$M$6:$M$1005,Investments!$A$6:$A$1005,$B42))</f>
        <v/>
      </c>
      <c r="I42" s="17" t="str">
        <f aca="false">IF($B42="","",($H42+$G42)-$F42)</f>
        <v/>
      </c>
      <c r="J42" s="18" t="str">
        <f aca="false">IF(OR($B42="",$F42=0),"",$I42/$F42)</f>
        <v/>
      </c>
      <c r="K42" s="18" t="str">
        <f aca="false">IF(OR($B42="",$H42=0),"",SUMPRODUCT((Investments!$A$6:$A$1005=$B42)*Investments!$M$6:$M$1005*Investments!$T$6:$T$1005)/$H42)</f>
        <v/>
      </c>
      <c r="L42" s="18" t="str">
        <f aca="false">IF(OR($B42="",$C$12=0),"",$H42/$C$12)</f>
        <v/>
      </c>
    </row>
    <row r="43" customFormat="false" ht="15" hidden="false" customHeight="false" outlineLevel="0" collapsed="false">
      <c r="B43" s="31" t="str">
        <f aca="false">IF(Clients!$B28="","",Clients!$B28)</f>
        <v/>
      </c>
      <c r="C43" s="32" t="str">
        <f aca="false">IF($B43="","",COUNTIFS(Investments!$A$6:$A$1005,$B43))</f>
        <v/>
      </c>
      <c r="D43" s="33" t="str">
        <f aca="false">IF($B43="","",SUMIFS(Investments!$G$6:$G$1005,Investments!$A$6:$A$1005,$B43))</f>
        <v/>
      </c>
      <c r="E43" s="33" t="str">
        <f aca="false">IF($B43="","",SUMIFS(Investments!$H$6:$H$1005,Investments!$A$6:$A$1005,$B43))</f>
        <v/>
      </c>
      <c r="F43" s="33" t="str">
        <f aca="false">IF($B43="","",SUMIFS(Investments!$P$6:$P$1005,Investments!$A$6:$A$1005,$B43))</f>
        <v/>
      </c>
      <c r="G43" s="33" t="str">
        <f aca="false">IF($B43="","",SUMIFS(Investments!$J$6:$J$1005,Investments!$A$6:$A$1005,$B43)+SUMIFS(Investments!$K$6:$K$1005,Investments!$A$6:$A$1005,$B43)+SUMIFS(Investments!$L$6:$L$1005,Investments!$A$6:$A$1005,$B43))</f>
        <v/>
      </c>
      <c r="H43" s="33" t="str">
        <f aca="false">IF($B43="","",SUMIFS(Investments!$M$6:$M$1005,Investments!$A$6:$A$1005,$B43))</f>
        <v/>
      </c>
      <c r="I43" s="33" t="str">
        <f aca="false">IF($B43="","",($H43+$G43)-$F43)</f>
        <v/>
      </c>
      <c r="J43" s="34" t="str">
        <f aca="false">IF(OR($B43="",$F43=0),"",$I43/$F43)</f>
        <v/>
      </c>
      <c r="K43" s="34" t="str">
        <f aca="false">IF(OR($B43="",$H43=0),"",SUMPRODUCT((Investments!$A$6:$A$1005=$B43)*Investments!$M$6:$M$1005*Investments!$T$6:$T$1005)/$H43)</f>
        <v/>
      </c>
      <c r="L43" s="34" t="str">
        <f aca="false">IF(OR($B43="",$C$12=0),"",$H43/$C$12)</f>
        <v/>
      </c>
    </row>
    <row r="44" customFormat="false" ht="15" hidden="false" customHeight="false" outlineLevel="0" collapsed="false">
      <c r="B44" s="14" t="str">
        <f aca="false">IF(Clients!$B29="","",Clients!$B29)</f>
        <v/>
      </c>
      <c r="C44" s="35" t="str">
        <f aca="false">IF($B44="","",COUNTIFS(Investments!$A$6:$A$1005,$B44))</f>
        <v/>
      </c>
      <c r="D44" s="17" t="str">
        <f aca="false">IF($B44="","",SUMIFS(Investments!$G$6:$G$1005,Investments!$A$6:$A$1005,$B44))</f>
        <v/>
      </c>
      <c r="E44" s="17" t="str">
        <f aca="false">IF($B44="","",SUMIFS(Investments!$H$6:$H$1005,Investments!$A$6:$A$1005,$B44))</f>
        <v/>
      </c>
      <c r="F44" s="17" t="str">
        <f aca="false">IF($B44="","",SUMIFS(Investments!$P$6:$P$1005,Investments!$A$6:$A$1005,$B44))</f>
        <v/>
      </c>
      <c r="G44" s="17" t="str">
        <f aca="false">IF($B44="","",SUMIFS(Investments!$J$6:$J$1005,Investments!$A$6:$A$1005,$B44)+SUMIFS(Investments!$K$6:$K$1005,Investments!$A$6:$A$1005,$B44)+SUMIFS(Investments!$L$6:$L$1005,Investments!$A$6:$A$1005,$B44))</f>
        <v/>
      </c>
      <c r="H44" s="17" t="str">
        <f aca="false">IF($B44="","",SUMIFS(Investments!$M$6:$M$1005,Investments!$A$6:$A$1005,$B44))</f>
        <v/>
      </c>
      <c r="I44" s="17" t="str">
        <f aca="false">IF($B44="","",($H44+$G44)-$F44)</f>
        <v/>
      </c>
      <c r="J44" s="18" t="str">
        <f aca="false">IF(OR($B44="",$F44=0),"",$I44/$F44)</f>
        <v/>
      </c>
      <c r="K44" s="18" t="str">
        <f aca="false">IF(OR($B44="",$H44=0),"",SUMPRODUCT((Investments!$A$6:$A$1005=$B44)*Investments!$M$6:$M$1005*Investments!$T$6:$T$1005)/$H44)</f>
        <v/>
      </c>
      <c r="L44" s="18" t="str">
        <f aca="false">IF(OR($B44="",$C$12=0),"",$H44/$C$12)</f>
        <v/>
      </c>
    </row>
    <row r="45" customFormat="false" ht="15" hidden="false" customHeight="false" outlineLevel="0" collapsed="false">
      <c r="B45" s="31" t="str">
        <f aca="false">IF(Clients!$B30="","",Clients!$B30)</f>
        <v/>
      </c>
      <c r="C45" s="32" t="str">
        <f aca="false">IF($B45="","",COUNTIFS(Investments!$A$6:$A$1005,$B45))</f>
        <v/>
      </c>
      <c r="D45" s="33" t="str">
        <f aca="false">IF($B45="","",SUMIFS(Investments!$G$6:$G$1005,Investments!$A$6:$A$1005,$B45))</f>
        <v/>
      </c>
      <c r="E45" s="33" t="str">
        <f aca="false">IF($B45="","",SUMIFS(Investments!$H$6:$H$1005,Investments!$A$6:$A$1005,$B45))</f>
        <v/>
      </c>
      <c r="F45" s="33" t="str">
        <f aca="false">IF($B45="","",SUMIFS(Investments!$P$6:$P$1005,Investments!$A$6:$A$1005,$B45))</f>
        <v/>
      </c>
      <c r="G45" s="33" t="str">
        <f aca="false">IF($B45="","",SUMIFS(Investments!$J$6:$J$1005,Investments!$A$6:$A$1005,$B45)+SUMIFS(Investments!$K$6:$K$1005,Investments!$A$6:$A$1005,$B45)+SUMIFS(Investments!$L$6:$L$1005,Investments!$A$6:$A$1005,$B45))</f>
        <v/>
      </c>
      <c r="H45" s="33" t="str">
        <f aca="false">IF($B45="","",SUMIFS(Investments!$M$6:$M$1005,Investments!$A$6:$A$1005,$B45))</f>
        <v/>
      </c>
      <c r="I45" s="33" t="str">
        <f aca="false">IF($B45="","",($H45+$G45)-$F45)</f>
        <v/>
      </c>
      <c r="J45" s="34" t="str">
        <f aca="false">IF(OR($B45="",$F45=0),"",$I45/$F45)</f>
        <v/>
      </c>
      <c r="K45" s="34" t="str">
        <f aca="false">IF(OR($B45="",$H45=0),"",SUMPRODUCT((Investments!$A$6:$A$1005=$B45)*Investments!$M$6:$M$1005*Investments!$T$6:$T$1005)/$H45)</f>
        <v/>
      </c>
      <c r="L45" s="34" t="str">
        <f aca="false">IF(OR($B45="",$C$12=0),"",$H45/$C$12)</f>
        <v/>
      </c>
    </row>
    <row r="46" customFormat="false" ht="15" hidden="false" customHeight="false" outlineLevel="0" collapsed="false">
      <c r="B46" s="14" t="str">
        <f aca="false">IF(Clients!$B31="","",Clients!$B31)</f>
        <v/>
      </c>
      <c r="C46" s="35" t="str">
        <f aca="false">IF($B46="","",COUNTIFS(Investments!$A$6:$A$1005,$B46))</f>
        <v/>
      </c>
      <c r="D46" s="17" t="str">
        <f aca="false">IF($B46="","",SUMIFS(Investments!$G$6:$G$1005,Investments!$A$6:$A$1005,$B46))</f>
        <v/>
      </c>
      <c r="E46" s="17" t="str">
        <f aca="false">IF($B46="","",SUMIFS(Investments!$H$6:$H$1005,Investments!$A$6:$A$1005,$B46))</f>
        <v/>
      </c>
      <c r="F46" s="17" t="str">
        <f aca="false">IF($B46="","",SUMIFS(Investments!$P$6:$P$1005,Investments!$A$6:$A$1005,$B46))</f>
        <v/>
      </c>
      <c r="G46" s="17" t="str">
        <f aca="false">IF($B46="","",SUMIFS(Investments!$J$6:$J$1005,Investments!$A$6:$A$1005,$B46)+SUMIFS(Investments!$K$6:$K$1005,Investments!$A$6:$A$1005,$B46)+SUMIFS(Investments!$L$6:$L$1005,Investments!$A$6:$A$1005,$B46))</f>
        <v/>
      </c>
      <c r="H46" s="17" t="str">
        <f aca="false">IF($B46="","",SUMIFS(Investments!$M$6:$M$1005,Investments!$A$6:$A$1005,$B46))</f>
        <v/>
      </c>
      <c r="I46" s="17" t="str">
        <f aca="false">IF($B46="","",($H46+$G46)-$F46)</f>
        <v/>
      </c>
      <c r="J46" s="18" t="str">
        <f aca="false">IF(OR($B46="",$F46=0),"",$I46/$F46)</f>
        <v/>
      </c>
      <c r="K46" s="18" t="str">
        <f aca="false">IF(OR($B46="",$H46=0),"",SUMPRODUCT((Investments!$A$6:$A$1005=$B46)*Investments!$M$6:$M$1005*Investments!$T$6:$T$1005)/$H46)</f>
        <v/>
      </c>
      <c r="L46" s="18" t="str">
        <f aca="false">IF(OR($B46="",$C$12=0),"",$H46/$C$12)</f>
        <v/>
      </c>
    </row>
    <row r="47" customFormat="false" ht="15" hidden="false" customHeight="false" outlineLevel="0" collapsed="false">
      <c r="B47" s="31" t="str">
        <f aca="false">IF(Clients!$B32="","",Clients!$B32)</f>
        <v/>
      </c>
      <c r="C47" s="32" t="str">
        <f aca="false">IF($B47="","",COUNTIFS(Investments!$A$6:$A$1005,$B47))</f>
        <v/>
      </c>
      <c r="D47" s="33" t="str">
        <f aca="false">IF($B47="","",SUMIFS(Investments!$G$6:$G$1005,Investments!$A$6:$A$1005,$B47))</f>
        <v/>
      </c>
      <c r="E47" s="33" t="str">
        <f aca="false">IF($B47="","",SUMIFS(Investments!$H$6:$H$1005,Investments!$A$6:$A$1005,$B47))</f>
        <v/>
      </c>
      <c r="F47" s="33" t="str">
        <f aca="false">IF($B47="","",SUMIFS(Investments!$P$6:$P$1005,Investments!$A$6:$A$1005,$B47))</f>
        <v/>
      </c>
      <c r="G47" s="33" t="str">
        <f aca="false">IF($B47="","",SUMIFS(Investments!$J$6:$J$1005,Investments!$A$6:$A$1005,$B47)+SUMIFS(Investments!$K$6:$K$1005,Investments!$A$6:$A$1005,$B47)+SUMIFS(Investments!$L$6:$L$1005,Investments!$A$6:$A$1005,$B47))</f>
        <v/>
      </c>
      <c r="H47" s="33" t="str">
        <f aca="false">IF($B47="","",SUMIFS(Investments!$M$6:$M$1005,Investments!$A$6:$A$1005,$B47))</f>
        <v/>
      </c>
      <c r="I47" s="33" t="str">
        <f aca="false">IF($B47="","",($H47+$G47)-$F47)</f>
        <v/>
      </c>
      <c r="J47" s="34" t="str">
        <f aca="false">IF(OR($B47="",$F47=0),"",$I47/$F47)</f>
        <v/>
      </c>
      <c r="K47" s="34" t="str">
        <f aca="false">IF(OR($B47="",$H47=0),"",SUMPRODUCT((Investments!$A$6:$A$1005=$B47)*Investments!$M$6:$M$1005*Investments!$T$6:$T$1005)/$H47)</f>
        <v/>
      </c>
      <c r="L47" s="34" t="str">
        <f aca="false">IF(OR($B47="",$C$12=0),"",$H47/$C$12)</f>
        <v/>
      </c>
    </row>
    <row r="48" customFormat="false" ht="15" hidden="false" customHeight="false" outlineLevel="0" collapsed="false">
      <c r="B48" s="14" t="str">
        <f aca="false">IF(Clients!$B33="","",Clients!$B33)</f>
        <v/>
      </c>
      <c r="C48" s="35" t="str">
        <f aca="false">IF($B48="","",COUNTIFS(Investments!$A$6:$A$1005,$B48))</f>
        <v/>
      </c>
      <c r="D48" s="17" t="str">
        <f aca="false">IF($B48="","",SUMIFS(Investments!$G$6:$G$1005,Investments!$A$6:$A$1005,$B48))</f>
        <v/>
      </c>
      <c r="E48" s="17" t="str">
        <f aca="false">IF($B48="","",SUMIFS(Investments!$H$6:$H$1005,Investments!$A$6:$A$1005,$B48))</f>
        <v/>
      </c>
      <c r="F48" s="17" t="str">
        <f aca="false">IF($B48="","",SUMIFS(Investments!$P$6:$P$1005,Investments!$A$6:$A$1005,$B48))</f>
        <v/>
      </c>
      <c r="G48" s="17" t="str">
        <f aca="false">IF($B48="","",SUMIFS(Investments!$J$6:$J$1005,Investments!$A$6:$A$1005,$B48)+SUMIFS(Investments!$K$6:$K$1005,Investments!$A$6:$A$1005,$B48)+SUMIFS(Investments!$L$6:$L$1005,Investments!$A$6:$A$1005,$B48))</f>
        <v/>
      </c>
      <c r="H48" s="17" t="str">
        <f aca="false">IF($B48="","",SUMIFS(Investments!$M$6:$M$1005,Investments!$A$6:$A$1005,$B48))</f>
        <v/>
      </c>
      <c r="I48" s="17" t="str">
        <f aca="false">IF($B48="","",($H48+$G48)-$F48)</f>
        <v/>
      </c>
      <c r="J48" s="18" t="str">
        <f aca="false">IF(OR($B48="",$F48=0),"",$I48/$F48)</f>
        <v/>
      </c>
      <c r="K48" s="18" t="str">
        <f aca="false">IF(OR($B48="",$H48=0),"",SUMPRODUCT((Investments!$A$6:$A$1005=$B48)*Investments!$M$6:$M$1005*Investments!$T$6:$T$1005)/$H48)</f>
        <v/>
      </c>
      <c r="L48" s="18" t="str">
        <f aca="false">IF(OR($B48="",$C$12=0),"",$H48/$C$12)</f>
        <v/>
      </c>
    </row>
    <row r="49" customFormat="false" ht="15" hidden="false" customHeight="false" outlineLevel="0" collapsed="false">
      <c r="B49" s="31" t="str">
        <f aca="false">IF(Clients!$B34="","",Clients!$B34)</f>
        <v/>
      </c>
      <c r="C49" s="32" t="str">
        <f aca="false">IF($B49="","",COUNTIFS(Investments!$A$6:$A$1005,$B49))</f>
        <v/>
      </c>
      <c r="D49" s="33" t="str">
        <f aca="false">IF($B49="","",SUMIFS(Investments!$G$6:$G$1005,Investments!$A$6:$A$1005,$B49))</f>
        <v/>
      </c>
      <c r="E49" s="33" t="str">
        <f aca="false">IF($B49="","",SUMIFS(Investments!$H$6:$H$1005,Investments!$A$6:$A$1005,$B49))</f>
        <v/>
      </c>
      <c r="F49" s="33" t="str">
        <f aca="false">IF($B49="","",SUMIFS(Investments!$P$6:$P$1005,Investments!$A$6:$A$1005,$B49))</f>
        <v/>
      </c>
      <c r="G49" s="33" t="str">
        <f aca="false">IF($B49="","",SUMIFS(Investments!$J$6:$J$1005,Investments!$A$6:$A$1005,$B49)+SUMIFS(Investments!$K$6:$K$1005,Investments!$A$6:$A$1005,$B49)+SUMIFS(Investments!$L$6:$L$1005,Investments!$A$6:$A$1005,$B49))</f>
        <v/>
      </c>
      <c r="H49" s="33" t="str">
        <f aca="false">IF($B49="","",SUMIFS(Investments!$M$6:$M$1005,Investments!$A$6:$A$1005,$B49))</f>
        <v/>
      </c>
      <c r="I49" s="33" t="str">
        <f aca="false">IF($B49="","",($H49+$G49)-$F49)</f>
        <v/>
      </c>
      <c r="J49" s="34" t="str">
        <f aca="false">IF(OR($B49="",$F49=0),"",$I49/$F49)</f>
        <v/>
      </c>
      <c r="K49" s="34" t="str">
        <f aca="false">IF(OR($B49="",$H49=0),"",SUMPRODUCT((Investments!$A$6:$A$1005=$B49)*Investments!$M$6:$M$1005*Investments!$T$6:$T$1005)/$H49)</f>
        <v/>
      </c>
      <c r="L49" s="34" t="str">
        <f aca="false">IF(OR($B49="",$C$12=0),"",$H49/$C$12)</f>
        <v/>
      </c>
    </row>
    <row r="50" customFormat="false" ht="15" hidden="false" customHeight="false" outlineLevel="0" collapsed="false">
      <c r="B50" s="14" t="str">
        <f aca="false">IF(Clients!$B35="","",Clients!$B35)</f>
        <v/>
      </c>
      <c r="C50" s="35" t="str">
        <f aca="false">IF($B50="","",COUNTIFS(Investments!$A$6:$A$1005,$B50))</f>
        <v/>
      </c>
      <c r="D50" s="17" t="str">
        <f aca="false">IF($B50="","",SUMIFS(Investments!$G$6:$G$1005,Investments!$A$6:$A$1005,$B50))</f>
        <v/>
      </c>
      <c r="E50" s="17" t="str">
        <f aca="false">IF($B50="","",SUMIFS(Investments!$H$6:$H$1005,Investments!$A$6:$A$1005,$B50))</f>
        <v/>
      </c>
      <c r="F50" s="17" t="str">
        <f aca="false">IF($B50="","",SUMIFS(Investments!$P$6:$P$1005,Investments!$A$6:$A$1005,$B50))</f>
        <v/>
      </c>
      <c r="G50" s="17" t="str">
        <f aca="false">IF($B50="","",SUMIFS(Investments!$J$6:$J$1005,Investments!$A$6:$A$1005,$B50)+SUMIFS(Investments!$K$6:$K$1005,Investments!$A$6:$A$1005,$B50)+SUMIFS(Investments!$L$6:$L$1005,Investments!$A$6:$A$1005,$B50))</f>
        <v/>
      </c>
      <c r="H50" s="17" t="str">
        <f aca="false">IF($B50="","",SUMIFS(Investments!$M$6:$M$1005,Investments!$A$6:$A$1005,$B50))</f>
        <v/>
      </c>
      <c r="I50" s="17" t="str">
        <f aca="false">IF($B50="","",($H50+$G50)-$F50)</f>
        <v/>
      </c>
      <c r="J50" s="18" t="str">
        <f aca="false">IF(OR($B50="",$F50=0),"",$I50/$F50)</f>
        <v/>
      </c>
      <c r="K50" s="18" t="str">
        <f aca="false">IF(OR($B50="",$H50=0),"",SUMPRODUCT((Investments!$A$6:$A$1005=$B50)*Investments!$M$6:$M$1005*Investments!$T$6:$T$1005)/$H50)</f>
        <v/>
      </c>
      <c r="L50" s="18" t="str">
        <f aca="false">IF(OR($B50="",$C$12=0),"",$H50/$C$12)</f>
        <v/>
      </c>
    </row>
    <row r="51" customFormat="false" ht="15" hidden="false" customHeight="false" outlineLevel="0" collapsed="false">
      <c r="B51" s="31" t="str">
        <f aca="false">IF(Clients!$B36="","",Clients!$B36)</f>
        <v/>
      </c>
      <c r="C51" s="32" t="str">
        <f aca="false">IF($B51="","",COUNTIFS(Investments!$A$6:$A$1005,$B51))</f>
        <v/>
      </c>
      <c r="D51" s="33" t="str">
        <f aca="false">IF($B51="","",SUMIFS(Investments!$G$6:$G$1005,Investments!$A$6:$A$1005,$B51))</f>
        <v/>
      </c>
      <c r="E51" s="33" t="str">
        <f aca="false">IF($B51="","",SUMIFS(Investments!$H$6:$H$1005,Investments!$A$6:$A$1005,$B51))</f>
        <v/>
      </c>
      <c r="F51" s="33" t="str">
        <f aca="false">IF($B51="","",SUMIFS(Investments!$P$6:$P$1005,Investments!$A$6:$A$1005,$B51))</f>
        <v/>
      </c>
      <c r="G51" s="33" t="str">
        <f aca="false">IF($B51="","",SUMIFS(Investments!$J$6:$J$1005,Investments!$A$6:$A$1005,$B51)+SUMIFS(Investments!$K$6:$K$1005,Investments!$A$6:$A$1005,$B51)+SUMIFS(Investments!$L$6:$L$1005,Investments!$A$6:$A$1005,$B51))</f>
        <v/>
      </c>
      <c r="H51" s="33" t="str">
        <f aca="false">IF($B51="","",SUMIFS(Investments!$M$6:$M$1005,Investments!$A$6:$A$1005,$B51))</f>
        <v/>
      </c>
      <c r="I51" s="33" t="str">
        <f aca="false">IF($B51="","",($H51+$G51)-$F51)</f>
        <v/>
      </c>
      <c r="J51" s="34" t="str">
        <f aca="false">IF(OR($B51="",$F51=0),"",$I51/$F51)</f>
        <v/>
      </c>
      <c r="K51" s="34" t="str">
        <f aca="false">IF(OR($B51="",$H51=0),"",SUMPRODUCT((Investments!$A$6:$A$1005=$B51)*Investments!$M$6:$M$1005*Investments!$T$6:$T$1005)/$H51)</f>
        <v/>
      </c>
      <c r="L51" s="34" t="str">
        <f aca="false">IF(OR($B51="",$C$12=0),"",$H51/$C$12)</f>
        <v/>
      </c>
    </row>
    <row r="52" customFormat="false" ht="15" hidden="false" customHeight="false" outlineLevel="0" collapsed="false">
      <c r="B52" s="14" t="str">
        <f aca="false">IF(Clients!$B37="","",Clients!$B37)</f>
        <v/>
      </c>
      <c r="C52" s="35" t="str">
        <f aca="false">IF($B52="","",COUNTIFS(Investments!$A$6:$A$1005,$B52))</f>
        <v/>
      </c>
      <c r="D52" s="17" t="str">
        <f aca="false">IF($B52="","",SUMIFS(Investments!$G$6:$G$1005,Investments!$A$6:$A$1005,$B52))</f>
        <v/>
      </c>
      <c r="E52" s="17" t="str">
        <f aca="false">IF($B52="","",SUMIFS(Investments!$H$6:$H$1005,Investments!$A$6:$A$1005,$B52))</f>
        <v/>
      </c>
      <c r="F52" s="17" t="str">
        <f aca="false">IF($B52="","",SUMIFS(Investments!$P$6:$P$1005,Investments!$A$6:$A$1005,$B52))</f>
        <v/>
      </c>
      <c r="G52" s="17" t="str">
        <f aca="false">IF($B52="","",SUMIFS(Investments!$J$6:$J$1005,Investments!$A$6:$A$1005,$B52)+SUMIFS(Investments!$K$6:$K$1005,Investments!$A$6:$A$1005,$B52)+SUMIFS(Investments!$L$6:$L$1005,Investments!$A$6:$A$1005,$B52))</f>
        <v/>
      </c>
      <c r="H52" s="17" t="str">
        <f aca="false">IF($B52="","",SUMIFS(Investments!$M$6:$M$1005,Investments!$A$6:$A$1005,$B52))</f>
        <v/>
      </c>
      <c r="I52" s="17" t="str">
        <f aca="false">IF($B52="","",($H52+$G52)-$F52)</f>
        <v/>
      </c>
      <c r="J52" s="18" t="str">
        <f aca="false">IF(OR($B52="",$F52=0),"",$I52/$F52)</f>
        <v/>
      </c>
      <c r="K52" s="18" t="str">
        <f aca="false">IF(OR($B52="",$H52=0),"",SUMPRODUCT((Investments!$A$6:$A$1005=$B52)*Investments!$M$6:$M$1005*Investments!$T$6:$T$1005)/$H52)</f>
        <v/>
      </c>
      <c r="L52" s="18" t="str">
        <f aca="false">IF(OR($B52="",$C$12=0),"",$H52/$C$12)</f>
        <v/>
      </c>
    </row>
    <row r="53" customFormat="false" ht="15" hidden="false" customHeight="false" outlineLevel="0" collapsed="false">
      <c r="B53" s="31" t="str">
        <f aca="false">IF(Clients!$B38="","",Clients!$B38)</f>
        <v/>
      </c>
      <c r="C53" s="32" t="str">
        <f aca="false">IF($B53="","",COUNTIFS(Investments!$A$6:$A$1005,$B53))</f>
        <v/>
      </c>
      <c r="D53" s="33" t="str">
        <f aca="false">IF($B53="","",SUMIFS(Investments!$G$6:$G$1005,Investments!$A$6:$A$1005,$B53))</f>
        <v/>
      </c>
      <c r="E53" s="33" t="str">
        <f aca="false">IF($B53="","",SUMIFS(Investments!$H$6:$H$1005,Investments!$A$6:$A$1005,$B53))</f>
        <v/>
      </c>
      <c r="F53" s="33" t="str">
        <f aca="false">IF($B53="","",SUMIFS(Investments!$P$6:$P$1005,Investments!$A$6:$A$1005,$B53))</f>
        <v/>
      </c>
      <c r="G53" s="33" t="str">
        <f aca="false">IF($B53="","",SUMIFS(Investments!$J$6:$J$1005,Investments!$A$6:$A$1005,$B53)+SUMIFS(Investments!$K$6:$K$1005,Investments!$A$6:$A$1005,$B53)+SUMIFS(Investments!$L$6:$L$1005,Investments!$A$6:$A$1005,$B53))</f>
        <v/>
      </c>
      <c r="H53" s="33" t="str">
        <f aca="false">IF($B53="","",SUMIFS(Investments!$M$6:$M$1005,Investments!$A$6:$A$1005,$B53))</f>
        <v/>
      </c>
      <c r="I53" s="33" t="str">
        <f aca="false">IF($B53="","",($H53+$G53)-$F53)</f>
        <v/>
      </c>
      <c r="J53" s="34" t="str">
        <f aca="false">IF(OR($B53="",$F53=0),"",$I53/$F53)</f>
        <v/>
      </c>
      <c r="K53" s="34" t="str">
        <f aca="false">IF(OR($B53="",$H53=0),"",SUMPRODUCT((Investments!$A$6:$A$1005=$B53)*Investments!$M$6:$M$1005*Investments!$T$6:$T$1005)/$H53)</f>
        <v/>
      </c>
      <c r="L53" s="34" t="str">
        <f aca="false">IF(OR($B53="",$C$12=0),"",$H53/$C$12)</f>
        <v/>
      </c>
    </row>
    <row r="54" customFormat="false" ht="15" hidden="false" customHeight="false" outlineLevel="0" collapsed="false">
      <c r="B54" s="14" t="str">
        <f aca="false">IF(Clients!$B39="","",Clients!$B39)</f>
        <v/>
      </c>
      <c r="C54" s="35" t="str">
        <f aca="false">IF($B54="","",COUNTIFS(Investments!$A$6:$A$1005,$B54))</f>
        <v/>
      </c>
      <c r="D54" s="17" t="str">
        <f aca="false">IF($B54="","",SUMIFS(Investments!$G$6:$G$1005,Investments!$A$6:$A$1005,$B54))</f>
        <v/>
      </c>
      <c r="E54" s="17" t="str">
        <f aca="false">IF($B54="","",SUMIFS(Investments!$H$6:$H$1005,Investments!$A$6:$A$1005,$B54))</f>
        <v/>
      </c>
      <c r="F54" s="17" t="str">
        <f aca="false">IF($B54="","",SUMIFS(Investments!$P$6:$P$1005,Investments!$A$6:$A$1005,$B54))</f>
        <v/>
      </c>
      <c r="G54" s="17" t="str">
        <f aca="false">IF($B54="","",SUMIFS(Investments!$J$6:$J$1005,Investments!$A$6:$A$1005,$B54)+SUMIFS(Investments!$K$6:$K$1005,Investments!$A$6:$A$1005,$B54)+SUMIFS(Investments!$L$6:$L$1005,Investments!$A$6:$A$1005,$B54))</f>
        <v/>
      </c>
      <c r="H54" s="17" t="str">
        <f aca="false">IF($B54="","",SUMIFS(Investments!$M$6:$M$1005,Investments!$A$6:$A$1005,$B54))</f>
        <v/>
      </c>
      <c r="I54" s="17" t="str">
        <f aca="false">IF($B54="","",($H54+$G54)-$F54)</f>
        <v/>
      </c>
      <c r="J54" s="18" t="str">
        <f aca="false">IF(OR($B54="",$F54=0),"",$I54/$F54)</f>
        <v/>
      </c>
      <c r="K54" s="18" t="str">
        <f aca="false">IF(OR($B54="",$H54=0),"",SUMPRODUCT((Investments!$A$6:$A$1005=$B54)*Investments!$M$6:$M$1005*Investments!$T$6:$T$1005)/$H54)</f>
        <v/>
      </c>
      <c r="L54" s="18" t="str">
        <f aca="false">IF(OR($B54="",$C$12=0),"",$H54/$C$12)</f>
        <v/>
      </c>
    </row>
    <row r="55" customFormat="false" ht="15" hidden="false" customHeight="false" outlineLevel="0" collapsed="false">
      <c r="B55" s="31" t="str">
        <f aca="false">IF(Clients!$B40="","",Clients!$B40)</f>
        <v/>
      </c>
      <c r="C55" s="32" t="str">
        <f aca="false">IF($B55="","",COUNTIFS(Investments!$A$6:$A$1005,$B55))</f>
        <v/>
      </c>
      <c r="D55" s="33" t="str">
        <f aca="false">IF($B55="","",SUMIFS(Investments!$G$6:$G$1005,Investments!$A$6:$A$1005,$B55))</f>
        <v/>
      </c>
      <c r="E55" s="33" t="str">
        <f aca="false">IF($B55="","",SUMIFS(Investments!$H$6:$H$1005,Investments!$A$6:$A$1005,$B55))</f>
        <v/>
      </c>
      <c r="F55" s="33" t="str">
        <f aca="false">IF($B55="","",SUMIFS(Investments!$P$6:$P$1005,Investments!$A$6:$A$1005,$B55))</f>
        <v/>
      </c>
      <c r="G55" s="33" t="str">
        <f aca="false">IF($B55="","",SUMIFS(Investments!$J$6:$J$1005,Investments!$A$6:$A$1005,$B55)+SUMIFS(Investments!$K$6:$K$1005,Investments!$A$6:$A$1005,$B55)+SUMIFS(Investments!$L$6:$L$1005,Investments!$A$6:$A$1005,$B55))</f>
        <v/>
      </c>
      <c r="H55" s="33" t="str">
        <f aca="false">IF($B55="","",SUMIFS(Investments!$M$6:$M$1005,Investments!$A$6:$A$1005,$B55))</f>
        <v/>
      </c>
      <c r="I55" s="33" t="str">
        <f aca="false">IF($B55="","",($H55+$G55)-$F55)</f>
        <v/>
      </c>
      <c r="J55" s="34" t="str">
        <f aca="false">IF(OR($B55="",$F55=0),"",$I55/$F55)</f>
        <v/>
      </c>
      <c r="K55" s="34" t="str">
        <f aca="false">IF(OR($B55="",$H55=0),"",SUMPRODUCT((Investments!$A$6:$A$1005=$B55)*Investments!$M$6:$M$1005*Investments!$T$6:$T$1005)/$H55)</f>
        <v/>
      </c>
      <c r="L55" s="34" t="str">
        <f aca="false">IF(OR($B55="",$C$12=0),"",$H55/$C$12)</f>
        <v/>
      </c>
    </row>
    <row r="56" customFormat="false" ht="15" hidden="false" customHeight="false" outlineLevel="0" collapsed="false">
      <c r="B56" s="14" t="str">
        <f aca="false">IF(Clients!$B41="","",Clients!$B41)</f>
        <v/>
      </c>
      <c r="C56" s="35" t="str">
        <f aca="false">IF($B56="","",COUNTIFS(Investments!$A$6:$A$1005,$B56))</f>
        <v/>
      </c>
      <c r="D56" s="17" t="str">
        <f aca="false">IF($B56="","",SUMIFS(Investments!$G$6:$G$1005,Investments!$A$6:$A$1005,$B56))</f>
        <v/>
      </c>
      <c r="E56" s="17" t="str">
        <f aca="false">IF($B56="","",SUMIFS(Investments!$H$6:$H$1005,Investments!$A$6:$A$1005,$B56))</f>
        <v/>
      </c>
      <c r="F56" s="17" t="str">
        <f aca="false">IF($B56="","",SUMIFS(Investments!$P$6:$P$1005,Investments!$A$6:$A$1005,$B56))</f>
        <v/>
      </c>
      <c r="G56" s="17" t="str">
        <f aca="false">IF($B56="","",SUMIFS(Investments!$J$6:$J$1005,Investments!$A$6:$A$1005,$B56)+SUMIFS(Investments!$K$6:$K$1005,Investments!$A$6:$A$1005,$B56)+SUMIFS(Investments!$L$6:$L$1005,Investments!$A$6:$A$1005,$B56))</f>
        <v/>
      </c>
      <c r="H56" s="17" t="str">
        <f aca="false">IF($B56="","",SUMIFS(Investments!$M$6:$M$1005,Investments!$A$6:$A$1005,$B56))</f>
        <v/>
      </c>
      <c r="I56" s="17" t="str">
        <f aca="false">IF($B56="","",($H56+$G56)-$F56)</f>
        <v/>
      </c>
      <c r="J56" s="18" t="str">
        <f aca="false">IF(OR($B56="",$F56=0),"",$I56/$F56)</f>
        <v/>
      </c>
      <c r="K56" s="18" t="str">
        <f aca="false">IF(OR($B56="",$H56=0),"",SUMPRODUCT((Investments!$A$6:$A$1005=$B56)*Investments!$M$6:$M$1005*Investments!$T$6:$T$1005)/$H56)</f>
        <v/>
      </c>
      <c r="L56" s="18" t="str">
        <f aca="false">IF(OR($B56="",$C$12=0),"",$H56/$C$12)</f>
        <v/>
      </c>
    </row>
    <row r="57" customFormat="false" ht="15" hidden="false" customHeight="false" outlineLevel="0" collapsed="false">
      <c r="B57" s="31" t="str">
        <f aca="false">IF(Clients!$B42="","",Clients!$B42)</f>
        <v/>
      </c>
      <c r="C57" s="32" t="str">
        <f aca="false">IF($B57="","",COUNTIFS(Investments!$A$6:$A$1005,$B57))</f>
        <v/>
      </c>
      <c r="D57" s="33" t="str">
        <f aca="false">IF($B57="","",SUMIFS(Investments!$G$6:$G$1005,Investments!$A$6:$A$1005,$B57))</f>
        <v/>
      </c>
      <c r="E57" s="33" t="str">
        <f aca="false">IF($B57="","",SUMIFS(Investments!$H$6:$H$1005,Investments!$A$6:$A$1005,$B57))</f>
        <v/>
      </c>
      <c r="F57" s="33" t="str">
        <f aca="false">IF($B57="","",SUMIFS(Investments!$P$6:$P$1005,Investments!$A$6:$A$1005,$B57))</f>
        <v/>
      </c>
      <c r="G57" s="33" t="str">
        <f aca="false">IF($B57="","",SUMIFS(Investments!$J$6:$J$1005,Investments!$A$6:$A$1005,$B57)+SUMIFS(Investments!$K$6:$K$1005,Investments!$A$6:$A$1005,$B57)+SUMIFS(Investments!$L$6:$L$1005,Investments!$A$6:$A$1005,$B57))</f>
        <v/>
      </c>
      <c r="H57" s="33" t="str">
        <f aca="false">IF($B57="","",SUMIFS(Investments!$M$6:$M$1005,Investments!$A$6:$A$1005,$B57))</f>
        <v/>
      </c>
      <c r="I57" s="33" t="str">
        <f aca="false">IF($B57="","",($H57+$G57)-$F57)</f>
        <v/>
      </c>
      <c r="J57" s="34" t="str">
        <f aca="false">IF(OR($B57="",$F57=0),"",$I57/$F57)</f>
        <v/>
      </c>
      <c r="K57" s="34" t="str">
        <f aca="false">IF(OR($B57="",$H57=0),"",SUMPRODUCT((Investments!$A$6:$A$1005=$B57)*Investments!$M$6:$M$1005*Investments!$T$6:$T$1005)/$H57)</f>
        <v/>
      </c>
      <c r="L57" s="34" t="str">
        <f aca="false">IF(OR($B57="",$C$12=0),"",$H57/$C$12)</f>
        <v/>
      </c>
    </row>
    <row r="58" customFormat="false" ht="15" hidden="false" customHeight="false" outlineLevel="0" collapsed="false">
      <c r="B58" s="14" t="str">
        <f aca="false">IF(Clients!$B43="","",Clients!$B43)</f>
        <v/>
      </c>
      <c r="C58" s="35" t="str">
        <f aca="false">IF($B58="","",COUNTIFS(Investments!$A$6:$A$1005,$B58))</f>
        <v/>
      </c>
      <c r="D58" s="17" t="str">
        <f aca="false">IF($B58="","",SUMIFS(Investments!$G$6:$G$1005,Investments!$A$6:$A$1005,$B58))</f>
        <v/>
      </c>
      <c r="E58" s="17" t="str">
        <f aca="false">IF($B58="","",SUMIFS(Investments!$H$6:$H$1005,Investments!$A$6:$A$1005,$B58))</f>
        <v/>
      </c>
      <c r="F58" s="17" t="str">
        <f aca="false">IF($B58="","",SUMIFS(Investments!$P$6:$P$1005,Investments!$A$6:$A$1005,$B58))</f>
        <v/>
      </c>
      <c r="G58" s="17" t="str">
        <f aca="false">IF($B58="","",SUMIFS(Investments!$J$6:$J$1005,Investments!$A$6:$A$1005,$B58)+SUMIFS(Investments!$K$6:$K$1005,Investments!$A$6:$A$1005,$B58)+SUMIFS(Investments!$L$6:$L$1005,Investments!$A$6:$A$1005,$B58))</f>
        <v/>
      </c>
      <c r="H58" s="17" t="str">
        <f aca="false">IF($B58="","",SUMIFS(Investments!$M$6:$M$1005,Investments!$A$6:$A$1005,$B58))</f>
        <v/>
      </c>
      <c r="I58" s="17" t="str">
        <f aca="false">IF($B58="","",($H58+$G58)-$F58)</f>
        <v/>
      </c>
      <c r="J58" s="18" t="str">
        <f aca="false">IF(OR($B58="",$F58=0),"",$I58/$F58)</f>
        <v/>
      </c>
      <c r="K58" s="18" t="str">
        <f aca="false">IF(OR($B58="",$H58=0),"",SUMPRODUCT((Investments!$A$6:$A$1005=$B58)*Investments!$M$6:$M$1005*Investments!$T$6:$T$1005)/$H58)</f>
        <v/>
      </c>
      <c r="L58" s="18" t="str">
        <f aca="false">IF(OR($B58="",$C$12=0),"",$H58/$C$12)</f>
        <v/>
      </c>
    </row>
    <row r="59" customFormat="false" ht="15" hidden="false" customHeight="false" outlineLevel="0" collapsed="false">
      <c r="B59" s="31" t="str">
        <f aca="false">IF(Clients!$B44="","",Clients!$B44)</f>
        <v/>
      </c>
      <c r="C59" s="32" t="str">
        <f aca="false">IF($B59="","",COUNTIFS(Investments!$A$6:$A$1005,$B59))</f>
        <v/>
      </c>
      <c r="D59" s="33" t="str">
        <f aca="false">IF($B59="","",SUMIFS(Investments!$G$6:$G$1005,Investments!$A$6:$A$1005,$B59))</f>
        <v/>
      </c>
      <c r="E59" s="33" t="str">
        <f aca="false">IF($B59="","",SUMIFS(Investments!$H$6:$H$1005,Investments!$A$6:$A$1005,$B59))</f>
        <v/>
      </c>
      <c r="F59" s="33" t="str">
        <f aca="false">IF($B59="","",SUMIFS(Investments!$P$6:$P$1005,Investments!$A$6:$A$1005,$B59))</f>
        <v/>
      </c>
      <c r="G59" s="33" t="str">
        <f aca="false">IF($B59="","",SUMIFS(Investments!$J$6:$J$1005,Investments!$A$6:$A$1005,$B59)+SUMIFS(Investments!$K$6:$K$1005,Investments!$A$6:$A$1005,$B59)+SUMIFS(Investments!$L$6:$L$1005,Investments!$A$6:$A$1005,$B59))</f>
        <v/>
      </c>
      <c r="H59" s="33" t="str">
        <f aca="false">IF($B59="","",SUMIFS(Investments!$M$6:$M$1005,Investments!$A$6:$A$1005,$B59))</f>
        <v/>
      </c>
      <c r="I59" s="33" t="str">
        <f aca="false">IF($B59="","",($H59+$G59)-$F59)</f>
        <v/>
      </c>
      <c r="J59" s="34" t="str">
        <f aca="false">IF(OR($B59="",$F59=0),"",$I59/$F59)</f>
        <v/>
      </c>
      <c r="K59" s="34" t="str">
        <f aca="false">IF(OR($B59="",$H59=0),"",SUMPRODUCT((Investments!$A$6:$A$1005=$B59)*Investments!$M$6:$M$1005*Investments!$T$6:$T$1005)/$H59)</f>
        <v/>
      </c>
      <c r="L59" s="34" t="str">
        <f aca="false">IF(OR($B59="",$C$12=0),"",$H59/$C$12)</f>
        <v/>
      </c>
    </row>
    <row r="60" customFormat="false" ht="15" hidden="false" customHeight="false" outlineLevel="0" collapsed="false">
      <c r="B60" s="14" t="str">
        <f aca="false">IF(Clients!$B45="","",Clients!$B45)</f>
        <v/>
      </c>
      <c r="C60" s="35" t="str">
        <f aca="false">IF($B60="","",COUNTIFS(Investments!$A$6:$A$1005,$B60))</f>
        <v/>
      </c>
      <c r="D60" s="17" t="str">
        <f aca="false">IF($B60="","",SUMIFS(Investments!$G$6:$G$1005,Investments!$A$6:$A$1005,$B60))</f>
        <v/>
      </c>
      <c r="E60" s="17" t="str">
        <f aca="false">IF($B60="","",SUMIFS(Investments!$H$6:$H$1005,Investments!$A$6:$A$1005,$B60))</f>
        <v/>
      </c>
      <c r="F60" s="17" t="str">
        <f aca="false">IF($B60="","",SUMIFS(Investments!$P$6:$P$1005,Investments!$A$6:$A$1005,$B60))</f>
        <v/>
      </c>
      <c r="G60" s="17" t="str">
        <f aca="false">IF($B60="","",SUMIFS(Investments!$J$6:$J$1005,Investments!$A$6:$A$1005,$B60)+SUMIFS(Investments!$K$6:$K$1005,Investments!$A$6:$A$1005,$B60)+SUMIFS(Investments!$L$6:$L$1005,Investments!$A$6:$A$1005,$B60))</f>
        <v/>
      </c>
      <c r="H60" s="17" t="str">
        <f aca="false">IF($B60="","",SUMIFS(Investments!$M$6:$M$1005,Investments!$A$6:$A$1005,$B60))</f>
        <v/>
      </c>
      <c r="I60" s="17" t="str">
        <f aca="false">IF($B60="","",($H60+$G60)-$F60)</f>
        <v/>
      </c>
      <c r="J60" s="18" t="str">
        <f aca="false">IF(OR($B60="",$F60=0),"",$I60/$F60)</f>
        <v/>
      </c>
      <c r="K60" s="18" t="str">
        <f aca="false">IF(OR($B60="",$H60=0),"",SUMPRODUCT((Investments!$A$6:$A$1005=$B60)*Investments!$M$6:$M$1005*Investments!$T$6:$T$1005)/$H60)</f>
        <v/>
      </c>
      <c r="L60" s="18" t="str">
        <f aca="false">IF(OR($B60="",$C$12=0),"",$H60/$C$12)</f>
        <v/>
      </c>
    </row>
    <row r="61" customFormat="false" ht="15" hidden="false" customHeight="false" outlineLevel="0" collapsed="false">
      <c r="B61" s="31" t="str">
        <f aca="false">IF(Clients!$B46="","",Clients!$B46)</f>
        <v/>
      </c>
      <c r="C61" s="32" t="str">
        <f aca="false">IF($B61="","",COUNTIFS(Investments!$A$6:$A$1005,$B61))</f>
        <v/>
      </c>
      <c r="D61" s="33" t="str">
        <f aca="false">IF($B61="","",SUMIFS(Investments!$G$6:$G$1005,Investments!$A$6:$A$1005,$B61))</f>
        <v/>
      </c>
      <c r="E61" s="33" t="str">
        <f aca="false">IF($B61="","",SUMIFS(Investments!$H$6:$H$1005,Investments!$A$6:$A$1005,$B61))</f>
        <v/>
      </c>
      <c r="F61" s="33" t="str">
        <f aca="false">IF($B61="","",SUMIFS(Investments!$P$6:$P$1005,Investments!$A$6:$A$1005,$B61))</f>
        <v/>
      </c>
      <c r="G61" s="33" t="str">
        <f aca="false">IF($B61="","",SUMIFS(Investments!$J$6:$J$1005,Investments!$A$6:$A$1005,$B61)+SUMIFS(Investments!$K$6:$K$1005,Investments!$A$6:$A$1005,$B61)+SUMIFS(Investments!$L$6:$L$1005,Investments!$A$6:$A$1005,$B61))</f>
        <v/>
      </c>
      <c r="H61" s="33" t="str">
        <f aca="false">IF($B61="","",SUMIFS(Investments!$M$6:$M$1005,Investments!$A$6:$A$1005,$B61))</f>
        <v/>
      </c>
      <c r="I61" s="33" t="str">
        <f aca="false">IF($B61="","",($H61+$G61)-$F61)</f>
        <v/>
      </c>
      <c r="J61" s="34" t="str">
        <f aca="false">IF(OR($B61="",$F61=0),"",$I61/$F61)</f>
        <v/>
      </c>
      <c r="K61" s="34" t="str">
        <f aca="false">IF(OR($B61="",$H61=0),"",SUMPRODUCT((Investments!$A$6:$A$1005=$B61)*Investments!$M$6:$M$1005*Investments!$T$6:$T$1005)/$H61)</f>
        <v/>
      </c>
      <c r="L61" s="34" t="str">
        <f aca="false">IF(OR($B61="",$C$12=0),"",$H61/$C$12)</f>
        <v/>
      </c>
    </row>
    <row r="62" customFormat="false" ht="15" hidden="false" customHeight="false" outlineLevel="0" collapsed="false">
      <c r="B62" s="14" t="str">
        <f aca="false">IF(Clients!$B47="","",Clients!$B47)</f>
        <v/>
      </c>
      <c r="C62" s="35" t="str">
        <f aca="false">IF($B62="","",COUNTIFS(Investments!$A$6:$A$1005,$B62))</f>
        <v/>
      </c>
      <c r="D62" s="17" t="str">
        <f aca="false">IF($B62="","",SUMIFS(Investments!$G$6:$G$1005,Investments!$A$6:$A$1005,$B62))</f>
        <v/>
      </c>
      <c r="E62" s="17" t="str">
        <f aca="false">IF($B62="","",SUMIFS(Investments!$H$6:$H$1005,Investments!$A$6:$A$1005,$B62))</f>
        <v/>
      </c>
      <c r="F62" s="17" t="str">
        <f aca="false">IF($B62="","",SUMIFS(Investments!$P$6:$P$1005,Investments!$A$6:$A$1005,$B62))</f>
        <v/>
      </c>
      <c r="G62" s="17" t="str">
        <f aca="false">IF($B62="","",SUMIFS(Investments!$J$6:$J$1005,Investments!$A$6:$A$1005,$B62)+SUMIFS(Investments!$K$6:$K$1005,Investments!$A$6:$A$1005,$B62)+SUMIFS(Investments!$L$6:$L$1005,Investments!$A$6:$A$1005,$B62))</f>
        <v/>
      </c>
      <c r="H62" s="17" t="str">
        <f aca="false">IF($B62="","",SUMIFS(Investments!$M$6:$M$1005,Investments!$A$6:$A$1005,$B62))</f>
        <v/>
      </c>
      <c r="I62" s="17" t="str">
        <f aca="false">IF($B62="","",($H62+$G62)-$F62)</f>
        <v/>
      </c>
      <c r="J62" s="18" t="str">
        <f aca="false">IF(OR($B62="",$F62=0),"",$I62/$F62)</f>
        <v/>
      </c>
      <c r="K62" s="18" t="str">
        <f aca="false">IF(OR($B62="",$H62=0),"",SUMPRODUCT((Investments!$A$6:$A$1005=$B62)*Investments!$M$6:$M$1005*Investments!$T$6:$T$1005)/$H62)</f>
        <v/>
      </c>
      <c r="L62" s="18" t="str">
        <f aca="false">IF(OR($B62="",$C$12=0),"",$H62/$C$12)</f>
        <v/>
      </c>
    </row>
    <row r="63" customFormat="false" ht="15" hidden="false" customHeight="false" outlineLevel="0" collapsed="false">
      <c r="B63" s="31" t="str">
        <f aca="false">IF(Clients!$B48="","",Clients!$B48)</f>
        <v/>
      </c>
      <c r="C63" s="32" t="str">
        <f aca="false">IF($B63="","",COUNTIFS(Investments!$A$6:$A$1005,$B63))</f>
        <v/>
      </c>
      <c r="D63" s="33" t="str">
        <f aca="false">IF($B63="","",SUMIFS(Investments!$G$6:$G$1005,Investments!$A$6:$A$1005,$B63))</f>
        <v/>
      </c>
      <c r="E63" s="33" t="str">
        <f aca="false">IF($B63="","",SUMIFS(Investments!$H$6:$H$1005,Investments!$A$6:$A$1005,$B63))</f>
        <v/>
      </c>
      <c r="F63" s="33" t="str">
        <f aca="false">IF($B63="","",SUMIFS(Investments!$P$6:$P$1005,Investments!$A$6:$A$1005,$B63))</f>
        <v/>
      </c>
      <c r="G63" s="33" t="str">
        <f aca="false">IF($B63="","",SUMIFS(Investments!$J$6:$J$1005,Investments!$A$6:$A$1005,$B63)+SUMIFS(Investments!$K$6:$K$1005,Investments!$A$6:$A$1005,$B63)+SUMIFS(Investments!$L$6:$L$1005,Investments!$A$6:$A$1005,$B63))</f>
        <v/>
      </c>
      <c r="H63" s="33" t="str">
        <f aca="false">IF($B63="","",SUMIFS(Investments!$M$6:$M$1005,Investments!$A$6:$A$1005,$B63))</f>
        <v/>
      </c>
      <c r="I63" s="33" t="str">
        <f aca="false">IF($B63="","",($H63+$G63)-$F63)</f>
        <v/>
      </c>
      <c r="J63" s="34" t="str">
        <f aca="false">IF(OR($B63="",$F63=0),"",$I63/$F63)</f>
        <v/>
      </c>
      <c r="K63" s="34" t="str">
        <f aca="false">IF(OR($B63="",$H63=0),"",SUMPRODUCT((Investments!$A$6:$A$1005=$B63)*Investments!$M$6:$M$1005*Investments!$T$6:$T$1005)/$H63)</f>
        <v/>
      </c>
      <c r="L63" s="34" t="str">
        <f aca="false">IF(OR($B63="",$C$12=0),"",$H63/$C$12)</f>
        <v/>
      </c>
    </row>
    <row r="64" customFormat="false" ht="15" hidden="false" customHeight="false" outlineLevel="0" collapsed="false">
      <c r="B64" s="14" t="str">
        <f aca="false">IF(Clients!$B49="","",Clients!$B49)</f>
        <v/>
      </c>
      <c r="C64" s="35" t="str">
        <f aca="false">IF($B64="","",COUNTIFS(Investments!$A$6:$A$1005,$B64))</f>
        <v/>
      </c>
      <c r="D64" s="17" t="str">
        <f aca="false">IF($B64="","",SUMIFS(Investments!$G$6:$G$1005,Investments!$A$6:$A$1005,$B64))</f>
        <v/>
      </c>
      <c r="E64" s="17" t="str">
        <f aca="false">IF($B64="","",SUMIFS(Investments!$H$6:$H$1005,Investments!$A$6:$A$1005,$B64))</f>
        <v/>
      </c>
      <c r="F64" s="17" t="str">
        <f aca="false">IF($B64="","",SUMIFS(Investments!$P$6:$P$1005,Investments!$A$6:$A$1005,$B64))</f>
        <v/>
      </c>
      <c r="G64" s="17" t="str">
        <f aca="false">IF($B64="","",SUMIFS(Investments!$J$6:$J$1005,Investments!$A$6:$A$1005,$B64)+SUMIFS(Investments!$K$6:$K$1005,Investments!$A$6:$A$1005,$B64)+SUMIFS(Investments!$L$6:$L$1005,Investments!$A$6:$A$1005,$B64))</f>
        <v/>
      </c>
      <c r="H64" s="17" t="str">
        <f aca="false">IF($B64="","",SUMIFS(Investments!$M$6:$M$1005,Investments!$A$6:$A$1005,$B64))</f>
        <v/>
      </c>
      <c r="I64" s="17" t="str">
        <f aca="false">IF($B64="","",($H64+$G64)-$F64)</f>
        <v/>
      </c>
      <c r="J64" s="18" t="str">
        <f aca="false">IF(OR($B64="",$F64=0),"",$I64/$F64)</f>
        <v/>
      </c>
      <c r="K64" s="18" t="str">
        <f aca="false">IF(OR($B64="",$H64=0),"",SUMPRODUCT((Investments!$A$6:$A$1005=$B64)*Investments!$M$6:$M$1005*Investments!$T$6:$T$1005)/$H64)</f>
        <v/>
      </c>
      <c r="L64" s="18" t="str">
        <f aca="false">IF(OR($B64="",$C$12=0),"",$H64/$C$12)</f>
        <v/>
      </c>
    </row>
    <row r="65" customFormat="false" ht="15" hidden="false" customHeight="false" outlineLevel="0" collapsed="false">
      <c r="B65" s="31" t="str">
        <f aca="false">IF(Clients!$B50="","",Clients!$B50)</f>
        <v/>
      </c>
      <c r="C65" s="32" t="str">
        <f aca="false">IF($B65="","",COUNTIFS(Investments!$A$6:$A$1005,$B65))</f>
        <v/>
      </c>
      <c r="D65" s="33" t="str">
        <f aca="false">IF($B65="","",SUMIFS(Investments!$G$6:$G$1005,Investments!$A$6:$A$1005,$B65))</f>
        <v/>
      </c>
      <c r="E65" s="33" t="str">
        <f aca="false">IF($B65="","",SUMIFS(Investments!$H$6:$H$1005,Investments!$A$6:$A$1005,$B65))</f>
        <v/>
      </c>
      <c r="F65" s="33" t="str">
        <f aca="false">IF($B65="","",SUMIFS(Investments!$P$6:$P$1005,Investments!$A$6:$A$1005,$B65))</f>
        <v/>
      </c>
      <c r="G65" s="33" t="str">
        <f aca="false">IF($B65="","",SUMIFS(Investments!$J$6:$J$1005,Investments!$A$6:$A$1005,$B65)+SUMIFS(Investments!$K$6:$K$1005,Investments!$A$6:$A$1005,$B65)+SUMIFS(Investments!$L$6:$L$1005,Investments!$A$6:$A$1005,$B65))</f>
        <v/>
      </c>
      <c r="H65" s="33" t="str">
        <f aca="false">IF($B65="","",SUMIFS(Investments!$M$6:$M$1005,Investments!$A$6:$A$1005,$B65))</f>
        <v/>
      </c>
      <c r="I65" s="33" t="str">
        <f aca="false">IF($B65="","",($H65+$G65)-$F65)</f>
        <v/>
      </c>
      <c r="J65" s="34" t="str">
        <f aca="false">IF(OR($B65="",$F65=0),"",$I65/$F65)</f>
        <v/>
      </c>
      <c r="K65" s="34" t="str">
        <f aca="false">IF(OR($B65="",$H65=0),"",SUMPRODUCT((Investments!$A$6:$A$1005=$B65)*Investments!$M$6:$M$1005*Investments!$T$6:$T$1005)/$H65)</f>
        <v/>
      </c>
      <c r="L65" s="34" t="str">
        <f aca="false">IF(OR($B65="",$C$12=0),"",$H65/$C$12)</f>
        <v/>
      </c>
    </row>
    <row r="66" customFormat="false" ht="15" hidden="false" customHeight="false" outlineLevel="0" collapsed="false">
      <c r="B66" s="14" t="str">
        <f aca="false">IF(Clients!$B51="","",Clients!$B51)</f>
        <v/>
      </c>
      <c r="C66" s="35" t="str">
        <f aca="false">IF($B66="","",COUNTIFS(Investments!$A$6:$A$1005,$B66))</f>
        <v/>
      </c>
      <c r="D66" s="17" t="str">
        <f aca="false">IF($B66="","",SUMIFS(Investments!$G$6:$G$1005,Investments!$A$6:$A$1005,$B66))</f>
        <v/>
      </c>
      <c r="E66" s="17" t="str">
        <f aca="false">IF($B66="","",SUMIFS(Investments!$H$6:$H$1005,Investments!$A$6:$A$1005,$B66))</f>
        <v/>
      </c>
      <c r="F66" s="17" t="str">
        <f aca="false">IF($B66="","",SUMIFS(Investments!$P$6:$P$1005,Investments!$A$6:$A$1005,$B66))</f>
        <v/>
      </c>
      <c r="G66" s="17" t="str">
        <f aca="false">IF($B66="","",SUMIFS(Investments!$J$6:$J$1005,Investments!$A$6:$A$1005,$B66)+SUMIFS(Investments!$K$6:$K$1005,Investments!$A$6:$A$1005,$B66)+SUMIFS(Investments!$L$6:$L$1005,Investments!$A$6:$A$1005,$B66))</f>
        <v/>
      </c>
      <c r="H66" s="17" t="str">
        <f aca="false">IF($B66="","",SUMIFS(Investments!$M$6:$M$1005,Investments!$A$6:$A$1005,$B66))</f>
        <v/>
      </c>
      <c r="I66" s="17" t="str">
        <f aca="false">IF($B66="","",($H66+$G66)-$F66)</f>
        <v/>
      </c>
      <c r="J66" s="18" t="str">
        <f aca="false">IF(OR($B66="",$F66=0),"",$I66/$F66)</f>
        <v/>
      </c>
      <c r="K66" s="18" t="str">
        <f aca="false">IF(OR($B66="",$H66=0),"",SUMPRODUCT((Investments!$A$6:$A$1005=$B66)*Investments!$M$6:$M$1005*Investments!$T$6:$T$1005)/$H66)</f>
        <v/>
      </c>
      <c r="L66" s="18" t="str">
        <f aca="false">IF(OR($B66="",$C$12=0),"",$H66/$C$12)</f>
        <v/>
      </c>
    </row>
    <row r="67" customFormat="false" ht="15" hidden="false" customHeight="false" outlineLevel="0" collapsed="false">
      <c r="B67" s="31" t="str">
        <f aca="false">IF(Clients!$B52="","",Clients!$B52)</f>
        <v/>
      </c>
      <c r="C67" s="32" t="str">
        <f aca="false">IF($B67="","",COUNTIFS(Investments!$A$6:$A$1005,$B67))</f>
        <v/>
      </c>
      <c r="D67" s="33" t="str">
        <f aca="false">IF($B67="","",SUMIFS(Investments!$G$6:$G$1005,Investments!$A$6:$A$1005,$B67))</f>
        <v/>
      </c>
      <c r="E67" s="33" t="str">
        <f aca="false">IF($B67="","",SUMIFS(Investments!$H$6:$H$1005,Investments!$A$6:$A$1005,$B67))</f>
        <v/>
      </c>
      <c r="F67" s="33" t="str">
        <f aca="false">IF($B67="","",SUMIFS(Investments!$P$6:$P$1005,Investments!$A$6:$A$1005,$B67))</f>
        <v/>
      </c>
      <c r="G67" s="33" t="str">
        <f aca="false">IF($B67="","",SUMIFS(Investments!$J$6:$J$1005,Investments!$A$6:$A$1005,$B67)+SUMIFS(Investments!$K$6:$K$1005,Investments!$A$6:$A$1005,$B67)+SUMIFS(Investments!$L$6:$L$1005,Investments!$A$6:$A$1005,$B67))</f>
        <v/>
      </c>
      <c r="H67" s="33" t="str">
        <f aca="false">IF($B67="","",SUMIFS(Investments!$M$6:$M$1005,Investments!$A$6:$A$1005,$B67))</f>
        <v/>
      </c>
      <c r="I67" s="33" t="str">
        <f aca="false">IF($B67="","",($H67+$G67)-$F67)</f>
        <v/>
      </c>
      <c r="J67" s="34" t="str">
        <f aca="false">IF(OR($B67="",$F67=0),"",$I67/$F67)</f>
        <v/>
      </c>
      <c r="K67" s="34" t="str">
        <f aca="false">IF(OR($B67="",$H67=0),"",SUMPRODUCT((Investments!$A$6:$A$1005=$B67)*Investments!$M$6:$M$1005*Investments!$T$6:$T$1005)/$H67)</f>
        <v/>
      </c>
      <c r="L67" s="34" t="str">
        <f aca="false">IF(OR($B67="",$C$12=0),"",$H67/$C$12)</f>
        <v/>
      </c>
    </row>
    <row r="68" customFormat="false" ht="15" hidden="false" customHeight="false" outlineLevel="0" collapsed="false">
      <c r="B68" s="14" t="str">
        <f aca="false">IF(Clients!$B53="","",Clients!$B53)</f>
        <v/>
      </c>
      <c r="C68" s="35" t="str">
        <f aca="false">IF($B68="","",COUNTIFS(Investments!$A$6:$A$1005,$B68))</f>
        <v/>
      </c>
      <c r="D68" s="17" t="str">
        <f aca="false">IF($B68="","",SUMIFS(Investments!$G$6:$G$1005,Investments!$A$6:$A$1005,$B68))</f>
        <v/>
      </c>
      <c r="E68" s="17" t="str">
        <f aca="false">IF($B68="","",SUMIFS(Investments!$H$6:$H$1005,Investments!$A$6:$A$1005,$B68))</f>
        <v/>
      </c>
      <c r="F68" s="17" t="str">
        <f aca="false">IF($B68="","",SUMIFS(Investments!$P$6:$P$1005,Investments!$A$6:$A$1005,$B68))</f>
        <v/>
      </c>
      <c r="G68" s="17" t="str">
        <f aca="false">IF($B68="","",SUMIFS(Investments!$J$6:$J$1005,Investments!$A$6:$A$1005,$B68)+SUMIFS(Investments!$K$6:$K$1005,Investments!$A$6:$A$1005,$B68)+SUMIFS(Investments!$L$6:$L$1005,Investments!$A$6:$A$1005,$B68))</f>
        <v/>
      </c>
      <c r="H68" s="17" t="str">
        <f aca="false">IF($B68="","",SUMIFS(Investments!$M$6:$M$1005,Investments!$A$6:$A$1005,$B68))</f>
        <v/>
      </c>
      <c r="I68" s="17" t="str">
        <f aca="false">IF($B68="","",($H68+$G68)-$F68)</f>
        <v/>
      </c>
      <c r="J68" s="18" t="str">
        <f aca="false">IF(OR($B68="",$F68=0),"",$I68/$F68)</f>
        <v/>
      </c>
      <c r="K68" s="18" t="str">
        <f aca="false">IF(OR($B68="",$H68=0),"",SUMPRODUCT((Investments!$A$6:$A$1005=$B68)*Investments!$M$6:$M$1005*Investments!$T$6:$T$1005)/$H68)</f>
        <v/>
      </c>
      <c r="L68" s="18" t="str">
        <f aca="false">IF(OR($B68="",$C$12=0),"",$H68/$C$12)</f>
        <v/>
      </c>
    </row>
    <row r="69" customFormat="false" ht="15" hidden="false" customHeight="false" outlineLevel="0" collapsed="false">
      <c r="B69" s="31" t="str">
        <f aca="false">IF(Clients!$B54="","",Clients!$B54)</f>
        <v/>
      </c>
      <c r="C69" s="32" t="str">
        <f aca="false">IF($B69="","",COUNTIFS(Investments!$A$6:$A$1005,$B69))</f>
        <v/>
      </c>
      <c r="D69" s="33" t="str">
        <f aca="false">IF($B69="","",SUMIFS(Investments!$G$6:$G$1005,Investments!$A$6:$A$1005,$B69))</f>
        <v/>
      </c>
      <c r="E69" s="33" t="str">
        <f aca="false">IF($B69="","",SUMIFS(Investments!$H$6:$H$1005,Investments!$A$6:$A$1005,$B69))</f>
        <v/>
      </c>
      <c r="F69" s="33" t="str">
        <f aca="false">IF($B69="","",SUMIFS(Investments!$P$6:$P$1005,Investments!$A$6:$A$1005,$B69))</f>
        <v/>
      </c>
      <c r="G69" s="33" t="str">
        <f aca="false">IF($B69="","",SUMIFS(Investments!$J$6:$J$1005,Investments!$A$6:$A$1005,$B69)+SUMIFS(Investments!$K$6:$K$1005,Investments!$A$6:$A$1005,$B69)+SUMIFS(Investments!$L$6:$L$1005,Investments!$A$6:$A$1005,$B69))</f>
        <v/>
      </c>
      <c r="H69" s="33" t="str">
        <f aca="false">IF($B69="","",SUMIFS(Investments!$M$6:$M$1005,Investments!$A$6:$A$1005,$B69))</f>
        <v/>
      </c>
      <c r="I69" s="33" t="str">
        <f aca="false">IF($B69="","",($H69+$G69)-$F69)</f>
        <v/>
      </c>
      <c r="J69" s="34" t="str">
        <f aca="false">IF(OR($B69="",$F69=0),"",$I69/$F69)</f>
        <v/>
      </c>
      <c r="K69" s="34" t="str">
        <f aca="false">IF(OR($B69="",$H69=0),"",SUMPRODUCT((Investments!$A$6:$A$1005=$B69)*Investments!$M$6:$M$1005*Investments!$T$6:$T$1005)/$H69)</f>
        <v/>
      </c>
      <c r="L69" s="34" t="str">
        <f aca="false">IF(OR($B69="",$C$12=0),"",$H69/$C$12)</f>
        <v/>
      </c>
    </row>
    <row r="70" customFormat="false" ht="15" hidden="false" customHeight="false" outlineLevel="0" collapsed="false">
      <c r="B70" s="14" t="str">
        <f aca="false">IF(Clients!$B55="","",Clients!$B55)</f>
        <v/>
      </c>
      <c r="C70" s="35" t="str">
        <f aca="false">IF($B70="","",COUNTIFS(Investments!$A$6:$A$1005,$B70))</f>
        <v/>
      </c>
      <c r="D70" s="17" t="str">
        <f aca="false">IF($B70="","",SUMIFS(Investments!$G$6:$G$1005,Investments!$A$6:$A$1005,$B70))</f>
        <v/>
      </c>
      <c r="E70" s="17" t="str">
        <f aca="false">IF($B70="","",SUMIFS(Investments!$H$6:$H$1005,Investments!$A$6:$A$1005,$B70))</f>
        <v/>
      </c>
      <c r="F70" s="17" t="str">
        <f aca="false">IF($B70="","",SUMIFS(Investments!$P$6:$P$1005,Investments!$A$6:$A$1005,$B70))</f>
        <v/>
      </c>
      <c r="G70" s="17" t="str">
        <f aca="false">IF($B70="","",SUMIFS(Investments!$J$6:$J$1005,Investments!$A$6:$A$1005,$B70)+SUMIFS(Investments!$K$6:$K$1005,Investments!$A$6:$A$1005,$B70)+SUMIFS(Investments!$L$6:$L$1005,Investments!$A$6:$A$1005,$B70))</f>
        <v/>
      </c>
      <c r="H70" s="17" t="str">
        <f aca="false">IF($B70="","",SUMIFS(Investments!$M$6:$M$1005,Investments!$A$6:$A$1005,$B70))</f>
        <v/>
      </c>
      <c r="I70" s="17" t="str">
        <f aca="false">IF($B70="","",($H70+$G70)-$F70)</f>
        <v/>
      </c>
      <c r="J70" s="18" t="str">
        <f aca="false">IF(OR($B70="",$F70=0),"",$I70/$F70)</f>
        <v/>
      </c>
      <c r="K70" s="18" t="str">
        <f aca="false">IF(OR($B70="",$H70=0),"",SUMPRODUCT((Investments!$A$6:$A$1005=$B70)*Investments!$M$6:$M$1005*Investments!$T$6:$T$1005)/$H70)</f>
        <v/>
      </c>
      <c r="L70" s="18" t="str">
        <f aca="false">IF(OR($B70="",$C$12=0),"",$H70/$C$12)</f>
        <v/>
      </c>
    </row>
    <row r="71" customFormat="false" ht="15" hidden="false" customHeight="false" outlineLevel="0" collapsed="false">
      <c r="B71" s="31" t="str">
        <f aca="false">IF(Clients!$B56="","",Clients!$B56)</f>
        <v/>
      </c>
      <c r="C71" s="32" t="str">
        <f aca="false">IF($B71="","",COUNTIFS(Investments!$A$6:$A$1005,$B71))</f>
        <v/>
      </c>
      <c r="D71" s="33" t="str">
        <f aca="false">IF($B71="","",SUMIFS(Investments!$G$6:$G$1005,Investments!$A$6:$A$1005,$B71))</f>
        <v/>
      </c>
      <c r="E71" s="33" t="str">
        <f aca="false">IF($B71="","",SUMIFS(Investments!$H$6:$H$1005,Investments!$A$6:$A$1005,$B71))</f>
        <v/>
      </c>
      <c r="F71" s="33" t="str">
        <f aca="false">IF($B71="","",SUMIFS(Investments!$P$6:$P$1005,Investments!$A$6:$A$1005,$B71))</f>
        <v/>
      </c>
      <c r="G71" s="33" t="str">
        <f aca="false">IF($B71="","",SUMIFS(Investments!$J$6:$J$1005,Investments!$A$6:$A$1005,$B71)+SUMIFS(Investments!$K$6:$K$1005,Investments!$A$6:$A$1005,$B71)+SUMIFS(Investments!$L$6:$L$1005,Investments!$A$6:$A$1005,$B71))</f>
        <v/>
      </c>
      <c r="H71" s="33" t="str">
        <f aca="false">IF($B71="","",SUMIFS(Investments!$M$6:$M$1005,Investments!$A$6:$A$1005,$B71))</f>
        <v/>
      </c>
      <c r="I71" s="33" t="str">
        <f aca="false">IF($B71="","",($H71+$G71)-$F71)</f>
        <v/>
      </c>
      <c r="J71" s="34" t="str">
        <f aca="false">IF(OR($B71="",$F71=0),"",$I71/$F71)</f>
        <v/>
      </c>
      <c r="K71" s="34" t="str">
        <f aca="false">IF(OR($B71="",$H71=0),"",SUMPRODUCT((Investments!$A$6:$A$1005=$B71)*Investments!$M$6:$M$1005*Investments!$T$6:$T$1005)/$H71)</f>
        <v/>
      </c>
      <c r="L71" s="34" t="str">
        <f aca="false">IF(OR($B71="",$C$12=0),"",$H71/$C$12)</f>
        <v/>
      </c>
    </row>
    <row r="72" customFormat="false" ht="15" hidden="false" customHeight="false" outlineLevel="0" collapsed="false">
      <c r="B72" s="14" t="str">
        <f aca="false">IF(Clients!$B57="","",Clients!$B57)</f>
        <v/>
      </c>
      <c r="C72" s="35" t="str">
        <f aca="false">IF($B72="","",COUNTIFS(Investments!$A$6:$A$1005,$B72))</f>
        <v/>
      </c>
      <c r="D72" s="17" t="str">
        <f aca="false">IF($B72="","",SUMIFS(Investments!$G$6:$G$1005,Investments!$A$6:$A$1005,$B72))</f>
        <v/>
      </c>
      <c r="E72" s="17" t="str">
        <f aca="false">IF($B72="","",SUMIFS(Investments!$H$6:$H$1005,Investments!$A$6:$A$1005,$B72))</f>
        <v/>
      </c>
      <c r="F72" s="17" t="str">
        <f aca="false">IF($B72="","",SUMIFS(Investments!$P$6:$P$1005,Investments!$A$6:$A$1005,$B72))</f>
        <v/>
      </c>
      <c r="G72" s="17" t="str">
        <f aca="false">IF($B72="","",SUMIFS(Investments!$J$6:$J$1005,Investments!$A$6:$A$1005,$B72)+SUMIFS(Investments!$K$6:$K$1005,Investments!$A$6:$A$1005,$B72)+SUMIFS(Investments!$L$6:$L$1005,Investments!$A$6:$A$1005,$B72))</f>
        <v/>
      </c>
      <c r="H72" s="17" t="str">
        <f aca="false">IF($B72="","",SUMIFS(Investments!$M$6:$M$1005,Investments!$A$6:$A$1005,$B72))</f>
        <v/>
      </c>
      <c r="I72" s="17" t="str">
        <f aca="false">IF($B72="","",($H72+$G72)-$F72)</f>
        <v/>
      </c>
      <c r="J72" s="18" t="str">
        <f aca="false">IF(OR($B72="",$F72=0),"",$I72/$F72)</f>
        <v/>
      </c>
      <c r="K72" s="18" t="str">
        <f aca="false">IF(OR($B72="",$H72=0),"",SUMPRODUCT((Investments!$A$6:$A$1005=$B72)*Investments!$M$6:$M$1005*Investments!$T$6:$T$1005)/$H72)</f>
        <v/>
      </c>
      <c r="L72" s="18" t="str">
        <f aca="false">IF(OR($B72="",$C$12=0),"",$H72/$C$12)</f>
        <v/>
      </c>
    </row>
    <row r="73" customFormat="false" ht="15" hidden="false" customHeight="false" outlineLevel="0" collapsed="false">
      <c r="B73" s="31" t="str">
        <f aca="false">IF(Clients!$B58="","",Clients!$B58)</f>
        <v/>
      </c>
      <c r="C73" s="32" t="str">
        <f aca="false">IF($B73="","",COUNTIFS(Investments!$A$6:$A$1005,$B73))</f>
        <v/>
      </c>
      <c r="D73" s="33" t="str">
        <f aca="false">IF($B73="","",SUMIFS(Investments!$G$6:$G$1005,Investments!$A$6:$A$1005,$B73))</f>
        <v/>
      </c>
      <c r="E73" s="33" t="str">
        <f aca="false">IF($B73="","",SUMIFS(Investments!$H$6:$H$1005,Investments!$A$6:$A$1005,$B73))</f>
        <v/>
      </c>
      <c r="F73" s="33" t="str">
        <f aca="false">IF($B73="","",SUMIFS(Investments!$P$6:$P$1005,Investments!$A$6:$A$1005,$B73))</f>
        <v/>
      </c>
      <c r="G73" s="33" t="str">
        <f aca="false">IF($B73="","",SUMIFS(Investments!$J$6:$J$1005,Investments!$A$6:$A$1005,$B73)+SUMIFS(Investments!$K$6:$K$1005,Investments!$A$6:$A$1005,$B73)+SUMIFS(Investments!$L$6:$L$1005,Investments!$A$6:$A$1005,$B73))</f>
        <v/>
      </c>
      <c r="H73" s="33" t="str">
        <f aca="false">IF($B73="","",SUMIFS(Investments!$M$6:$M$1005,Investments!$A$6:$A$1005,$B73))</f>
        <v/>
      </c>
      <c r="I73" s="33" t="str">
        <f aca="false">IF($B73="","",($H73+$G73)-$F73)</f>
        <v/>
      </c>
      <c r="J73" s="34" t="str">
        <f aca="false">IF(OR($B73="",$F73=0),"",$I73/$F73)</f>
        <v/>
      </c>
      <c r="K73" s="34" t="str">
        <f aca="false">IF(OR($B73="",$H73=0),"",SUMPRODUCT((Investments!$A$6:$A$1005=$B73)*Investments!$M$6:$M$1005*Investments!$T$6:$T$1005)/$H73)</f>
        <v/>
      </c>
      <c r="L73" s="34" t="str">
        <f aca="false">IF(OR($B73="",$C$12=0),"",$H73/$C$12)</f>
        <v/>
      </c>
    </row>
    <row r="74" customFormat="false" ht="15" hidden="false" customHeight="false" outlineLevel="0" collapsed="false">
      <c r="B74" s="14" t="str">
        <f aca="false">IF(Clients!$B59="","",Clients!$B59)</f>
        <v/>
      </c>
      <c r="C74" s="35" t="str">
        <f aca="false">IF($B74="","",COUNTIFS(Investments!$A$6:$A$1005,$B74))</f>
        <v/>
      </c>
      <c r="D74" s="17" t="str">
        <f aca="false">IF($B74="","",SUMIFS(Investments!$G$6:$G$1005,Investments!$A$6:$A$1005,$B74))</f>
        <v/>
      </c>
      <c r="E74" s="17" t="str">
        <f aca="false">IF($B74="","",SUMIFS(Investments!$H$6:$H$1005,Investments!$A$6:$A$1005,$B74))</f>
        <v/>
      </c>
      <c r="F74" s="17" t="str">
        <f aca="false">IF($B74="","",SUMIFS(Investments!$P$6:$P$1005,Investments!$A$6:$A$1005,$B74))</f>
        <v/>
      </c>
      <c r="G74" s="17" t="str">
        <f aca="false">IF($B74="","",SUMIFS(Investments!$J$6:$J$1005,Investments!$A$6:$A$1005,$B74)+SUMIFS(Investments!$K$6:$K$1005,Investments!$A$6:$A$1005,$B74)+SUMIFS(Investments!$L$6:$L$1005,Investments!$A$6:$A$1005,$B74))</f>
        <v/>
      </c>
      <c r="H74" s="17" t="str">
        <f aca="false">IF($B74="","",SUMIFS(Investments!$M$6:$M$1005,Investments!$A$6:$A$1005,$B74))</f>
        <v/>
      </c>
      <c r="I74" s="17" t="str">
        <f aca="false">IF($B74="","",($H74+$G74)-$F74)</f>
        <v/>
      </c>
      <c r="J74" s="18" t="str">
        <f aca="false">IF(OR($B74="",$F74=0),"",$I74/$F74)</f>
        <v/>
      </c>
      <c r="K74" s="18" t="str">
        <f aca="false">IF(OR($B74="",$H74=0),"",SUMPRODUCT((Investments!$A$6:$A$1005=$B74)*Investments!$M$6:$M$1005*Investments!$T$6:$T$1005)/$H74)</f>
        <v/>
      </c>
      <c r="L74" s="18" t="str">
        <f aca="false">IF(OR($B74="",$C$12=0),"",$H74/$C$12)</f>
        <v/>
      </c>
    </row>
    <row r="75" customFormat="false" ht="15" hidden="false" customHeight="false" outlineLevel="0" collapsed="false">
      <c r="B75" s="31" t="str">
        <f aca="false">IF(Clients!$B60="","",Clients!$B60)</f>
        <v/>
      </c>
      <c r="C75" s="32" t="str">
        <f aca="false">IF($B75="","",COUNTIFS(Investments!$A$6:$A$1005,$B75))</f>
        <v/>
      </c>
      <c r="D75" s="33" t="str">
        <f aca="false">IF($B75="","",SUMIFS(Investments!$G$6:$G$1005,Investments!$A$6:$A$1005,$B75))</f>
        <v/>
      </c>
      <c r="E75" s="33" t="str">
        <f aca="false">IF($B75="","",SUMIFS(Investments!$H$6:$H$1005,Investments!$A$6:$A$1005,$B75))</f>
        <v/>
      </c>
      <c r="F75" s="33" t="str">
        <f aca="false">IF($B75="","",SUMIFS(Investments!$P$6:$P$1005,Investments!$A$6:$A$1005,$B75))</f>
        <v/>
      </c>
      <c r="G75" s="33" t="str">
        <f aca="false">IF($B75="","",SUMIFS(Investments!$J$6:$J$1005,Investments!$A$6:$A$1005,$B75)+SUMIFS(Investments!$K$6:$K$1005,Investments!$A$6:$A$1005,$B75)+SUMIFS(Investments!$L$6:$L$1005,Investments!$A$6:$A$1005,$B75))</f>
        <v/>
      </c>
      <c r="H75" s="33" t="str">
        <f aca="false">IF($B75="","",SUMIFS(Investments!$M$6:$M$1005,Investments!$A$6:$A$1005,$B75))</f>
        <v/>
      </c>
      <c r="I75" s="33" t="str">
        <f aca="false">IF($B75="","",($H75+$G75)-$F75)</f>
        <v/>
      </c>
      <c r="J75" s="34" t="str">
        <f aca="false">IF(OR($B75="",$F75=0),"",$I75/$F75)</f>
        <v/>
      </c>
      <c r="K75" s="34" t="str">
        <f aca="false">IF(OR($B75="",$H75=0),"",SUMPRODUCT((Investments!$A$6:$A$1005=$B75)*Investments!$M$6:$M$1005*Investments!$T$6:$T$1005)/$H75)</f>
        <v/>
      </c>
      <c r="L75" s="34" t="str">
        <f aca="false">IF(OR($B75="",$C$12=0),"",$H75/$C$12)</f>
        <v/>
      </c>
    </row>
    <row r="76" customFormat="false" ht="15" hidden="false" customHeight="false" outlineLevel="0" collapsed="false">
      <c r="B76" s="14" t="str">
        <f aca="false">IF(Clients!$B61="","",Clients!$B61)</f>
        <v/>
      </c>
      <c r="C76" s="35" t="str">
        <f aca="false">IF($B76="","",COUNTIFS(Investments!$A$6:$A$1005,$B76))</f>
        <v/>
      </c>
      <c r="D76" s="17" t="str">
        <f aca="false">IF($B76="","",SUMIFS(Investments!$G$6:$G$1005,Investments!$A$6:$A$1005,$B76))</f>
        <v/>
      </c>
      <c r="E76" s="17" t="str">
        <f aca="false">IF($B76="","",SUMIFS(Investments!$H$6:$H$1005,Investments!$A$6:$A$1005,$B76))</f>
        <v/>
      </c>
      <c r="F76" s="17" t="str">
        <f aca="false">IF($B76="","",SUMIFS(Investments!$P$6:$P$1005,Investments!$A$6:$A$1005,$B76))</f>
        <v/>
      </c>
      <c r="G76" s="17" t="str">
        <f aca="false">IF($B76="","",SUMIFS(Investments!$J$6:$J$1005,Investments!$A$6:$A$1005,$B76)+SUMIFS(Investments!$K$6:$K$1005,Investments!$A$6:$A$1005,$B76)+SUMIFS(Investments!$L$6:$L$1005,Investments!$A$6:$A$1005,$B76))</f>
        <v/>
      </c>
      <c r="H76" s="17" t="str">
        <f aca="false">IF($B76="","",SUMIFS(Investments!$M$6:$M$1005,Investments!$A$6:$A$1005,$B76))</f>
        <v/>
      </c>
      <c r="I76" s="17" t="str">
        <f aca="false">IF($B76="","",($H76+$G76)-$F76)</f>
        <v/>
      </c>
      <c r="J76" s="18" t="str">
        <f aca="false">IF(OR($B76="",$F76=0),"",$I76/$F76)</f>
        <v/>
      </c>
      <c r="K76" s="18" t="str">
        <f aca="false">IF(OR($B76="",$H76=0),"",SUMPRODUCT((Investments!$A$6:$A$1005=$B76)*Investments!$M$6:$M$1005*Investments!$T$6:$T$1005)/$H76)</f>
        <v/>
      </c>
      <c r="L76" s="18" t="str">
        <f aca="false">IF(OR($B76="",$C$12=0),"",$H76/$C$12)</f>
        <v/>
      </c>
    </row>
    <row r="77" customFormat="false" ht="15" hidden="false" customHeight="false" outlineLevel="0" collapsed="false">
      <c r="B77" s="31" t="str">
        <f aca="false">IF(Clients!$B62="","",Clients!$B62)</f>
        <v/>
      </c>
      <c r="C77" s="32" t="str">
        <f aca="false">IF($B77="","",COUNTIFS(Investments!$A$6:$A$1005,$B77))</f>
        <v/>
      </c>
      <c r="D77" s="33" t="str">
        <f aca="false">IF($B77="","",SUMIFS(Investments!$G$6:$G$1005,Investments!$A$6:$A$1005,$B77))</f>
        <v/>
      </c>
      <c r="E77" s="33" t="str">
        <f aca="false">IF($B77="","",SUMIFS(Investments!$H$6:$H$1005,Investments!$A$6:$A$1005,$B77))</f>
        <v/>
      </c>
      <c r="F77" s="33" t="str">
        <f aca="false">IF($B77="","",SUMIFS(Investments!$P$6:$P$1005,Investments!$A$6:$A$1005,$B77))</f>
        <v/>
      </c>
      <c r="G77" s="33" t="str">
        <f aca="false">IF($B77="","",SUMIFS(Investments!$J$6:$J$1005,Investments!$A$6:$A$1005,$B77)+SUMIFS(Investments!$K$6:$K$1005,Investments!$A$6:$A$1005,$B77)+SUMIFS(Investments!$L$6:$L$1005,Investments!$A$6:$A$1005,$B77))</f>
        <v/>
      </c>
      <c r="H77" s="33" t="str">
        <f aca="false">IF($B77="","",SUMIFS(Investments!$M$6:$M$1005,Investments!$A$6:$A$1005,$B77))</f>
        <v/>
      </c>
      <c r="I77" s="33" t="str">
        <f aca="false">IF($B77="","",($H77+$G77)-$F77)</f>
        <v/>
      </c>
      <c r="J77" s="34" t="str">
        <f aca="false">IF(OR($B77="",$F77=0),"",$I77/$F77)</f>
        <v/>
      </c>
      <c r="K77" s="34" t="str">
        <f aca="false">IF(OR($B77="",$H77=0),"",SUMPRODUCT((Investments!$A$6:$A$1005=$B77)*Investments!$M$6:$M$1005*Investments!$T$6:$T$1005)/$H77)</f>
        <v/>
      </c>
      <c r="L77" s="34" t="str">
        <f aca="false">IF(OR($B77="",$C$12=0),"",$H77/$C$12)</f>
        <v/>
      </c>
    </row>
    <row r="78" customFormat="false" ht="15" hidden="false" customHeight="false" outlineLevel="0" collapsed="false">
      <c r="B78" s="14" t="str">
        <f aca="false">IF(Clients!$B63="","",Clients!$B63)</f>
        <v/>
      </c>
      <c r="C78" s="35" t="str">
        <f aca="false">IF($B78="","",COUNTIFS(Investments!$A$6:$A$1005,$B78))</f>
        <v/>
      </c>
      <c r="D78" s="17" t="str">
        <f aca="false">IF($B78="","",SUMIFS(Investments!$G$6:$G$1005,Investments!$A$6:$A$1005,$B78))</f>
        <v/>
      </c>
      <c r="E78" s="17" t="str">
        <f aca="false">IF($B78="","",SUMIFS(Investments!$H$6:$H$1005,Investments!$A$6:$A$1005,$B78))</f>
        <v/>
      </c>
      <c r="F78" s="17" t="str">
        <f aca="false">IF($B78="","",SUMIFS(Investments!$P$6:$P$1005,Investments!$A$6:$A$1005,$B78))</f>
        <v/>
      </c>
      <c r="G78" s="17" t="str">
        <f aca="false">IF($B78="","",SUMIFS(Investments!$J$6:$J$1005,Investments!$A$6:$A$1005,$B78)+SUMIFS(Investments!$K$6:$K$1005,Investments!$A$6:$A$1005,$B78)+SUMIFS(Investments!$L$6:$L$1005,Investments!$A$6:$A$1005,$B78))</f>
        <v/>
      </c>
      <c r="H78" s="17" t="str">
        <f aca="false">IF($B78="","",SUMIFS(Investments!$M$6:$M$1005,Investments!$A$6:$A$1005,$B78))</f>
        <v/>
      </c>
      <c r="I78" s="17" t="str">
        <f aca="false">IF($B78="","",($H78+$G78)-$F78)</f>
        <v/>
      </c>
      <c r="J78" s="18" t="str">
        <f aca="false">IF(OR($B78="",$F78=0),"",$I78/$F78)</f>
        <v/>
      </c>
      <c r="K78" s="18" t="str">
        <f aca="false">IF(OR($B78="",$H78=0),"",SUMPRODUCT((Investments!$A$6:$A$1005=$B78)*Investments!$M$6:$M$1005*Investments!$T$6:$T$1005)/$H78)</f>
        <v/>
      </c>
      <c r="L78" s="18" t="str">
        <f aca="false">IF(OR($B78="",$C$12=0),"",$H78/$C$12)</f>
        <v/>
      </c>
    </row>
    <row r="79" customFormat="false" ht="15" hidden="false" customHeight="false" outlineLevel="0" collapsed="false">
      <c r="B79" s="31" t="str">
        <f aca="false">IF(Clients!$B64="","",Clients!$B64)</f>
        <v/>
      </c>
      <c r="C79" s="32" t="str">
        <f aca="false">IF($B79="","",COUNTIFS(Investments!$A$6:$A$1005,$B79))</f>
        <v/>
      </c>
      <c r="D79" s="33" t="str">
        <f aca="false">IF($B79="","",SUMIFS(Investments!$G$6:$G$1005,Investments!$A$6:$A$1005,$B79))</f>
        <v/>
      </c>
      <c r="E79" s="33" t="str">
        <f aca="false">IF($B79="","",SUMIFS(Investments!$H$6:$H$1005,Investments!$A$6:$A$1005,$B79))</f>
        <v/>
      </c>
      <c r="F79" s="33" t="str">
        <f aca="false">IF($B79="","",SUMIFS(Investments!$P$6:$P$1005,Investments!$A$6:$A$1005,$B79))</f>
        <v/>
      </c>
      <c r="G79" s="33" t="str">
        <f aca="false">IF($B79="","",SUMIFS(Investments!$J$6:$J$1005,Investments!$A$6:$A$1005,$B79)+SUMIFS(Investments!$K$6:$K$1005,Investments!$A$6:$A$1005,$B79)+SUMIFS(Investments!$L$6:$L$1005,Investments!$A$6:$A$1005,$B79))</f>
        <v/>
      </c>
      <c r="H79" s="33" t="str">
        <f aca="false">IF($B79="","",SUMIFS(Investments!$M$6:$M$1005,Investments!$A$6:$A$1005,$B79))</f>
        <v/>
      </c>
      <c r="I79" s="33" t="str">
        <f aca="false">IF($B79="","",($H79+$G79)-$F79)</f>
        <v/>
      </c>
      <c r="J79" s="34" t="str">
        <f aca="false">IF(OR($B79="",$F79=0),"",$I79/$F79)</f>
        <v/>
      </c>
      <c r="K79" s="34" t="str">
        <f aca="false">IF(OR($B79="",$H79=0),"",SUMPRODUCT((Investments!$A$6:$A$1005=$B79)*Investments!$M$6:$M$1005*Investments!$T$6:$T$1005)/$H79)</f>
        <v/>
      </c>
      <c r="L79" s="34" t="str">
        <f aca="false">IF(OR($B79="",$C$12=0),"",$H79/$C$12)</f>
        <v/>
      </c>
    </row>
    <row r="80" customFormat="false" ht="15" hidden="false" customHeight="false" outlineLevel="0" collapsed="false">
      <c r="B80" s="14" t="str">
        <f aca="false">IF(Clients!$B65="","",Clients!$B65)</f>
        <v/>
      </c>
      <c r="C80" s="35" t="str">
        <f aca="false">IF($B80="","",COUNTIFS(Investments!$A$6:$A$1005,$B80))</f>
        <v/>
      </c>
      <c r="D80" s="17" t="str">
        <f aca="false">IF($B80="","",SUMIFS(Investments!$G$6:$G$1005,Investments!$A$6:$A$1005,$B80))</f>
        <v/>
      </c>
      <c r="E80" s="17" t="str">
        <f aca="false">IF($B80="","",SUMIFS(Investments!$H$6:$H$1005,Investments!$A$6:$A$1005,$B80))</f>
        <v/>
      </c>
      <c r="F80" s="17" t="str">
        <f aca="false">IF($B80="","",SUMIFS(Investments!$P$6:$P$1005,Investments!$A$6:$A$1005,$B80))</f>
        <v/>
      </c>
      <c r="G80" s="17" t="str">
        <f aca="false">IF($B80="","",SUMIFS(Investments!$J$6:$J$1005,Investments!$A$6:$A$1005,$B80)+SUMIFS(Investments!$K$6:$K$1005,Investments!$A$6:$A$1005,$B80)+SUMIFS(Investments!$L$6:$L$1005,Investments!$A$6:$A$1005,$B80))</f>
        <v/>
      </c>
      <c r="H80" s="17" t="str">
        <f aca="false">IF($B80="","",SUMIFS(Investments!$M$6:$M$1005,Investments!$A$6:$A$1005,$B80))</f>
        <v/>
      </c>
      <c r="I80" s="17" t="str">
        <f aca="false">IF($B80="","",($H80+$G80)-$F80)</f>
        <v/>
      </c>
      <c r="J80" s="18" t="str">
        <f aca="false">IF(OR($B80="",$F80=0),"",$I80/$F80)</f>
        <v/>
      </c>
      <c r="K80" s="18" t="str">
        <f aca="false">IF(OR($B80="",$H80=0),"",SUMPRODUCT((Investments!$A$6:$A$1005=$B80)*Investments!$M$6:$M$1005*Investments!$T$6:$T$1005)/$H80)</f>
        <v/>
      </c>
      <c r="L80" s="18" t="str">
        <f aca="false">IF(OR($B80="",$C$12=0),"",$H80/$C$12)</f>
        <v/>
      </c>
    </row>
    <row r="81" customFormat="false" ht="15" hidden="false" customHeight="false" outlineLevel="0" collapsed="false">
      <c r="B81" s="31" t="str">
        <f aca="false">IF(Clients!$B66="","",Clients!$B66)</f>
        <v/>
      </c>
      <c r="C81" s="32" t="str">
        <f aca="false">IF($B81="","",COUNTIFS(Investments!$A$6:$A$1005,$B81))</f>
        <v/>
      </c>
      <c r="D81" s="33" t="str">
        <f aca="false">IF($B81="","",SUMIFS(Investments!$G$6:$G$1005,Investments!$A$6:$A$1005,$B81))</f>
        <v/>
      </c>
      <c r="E81" s="33" t="str">
        <f aca="false">IF($B81="","",SUMIFS(Investments!$H$6:$H$1005,Investments!$A$6:$A$1005,$B81))</f>
        <v/>
      </c>
      <c r="F81" s="33" t="str">
        <f aca="false">IF($B81="","",SUMIFS(Investments!$P$6:$P$1005,Investments!$A$6:$A$1005,$B81))</f>
        <v/>
      </c>
      <c r="G81" s="33" t="str">
        <f aca="false">IF($B81="","",SUMIFS(Investments!$J$6:$J$1005,Investments!$A$6:$A$1005,$B81)+SUMIFS(Investments!$K$6:$K$1005,Investments!$A$6:$A$1005,$B81)+SUMIFS(Investments!$L$6:$L$1005,Investments!$A$6:$A$1005,$B81))</f>
        <v/>
      </c>
      <c r="H81" s="33" t="str">
        <f aca="false">IF($B81="","",SUMIFS(Investments!$M$6:$M$1005,Investments!$A$6:$A$1005,$B81))</f>
        <v/>
      </c>
      <c r="I81" s="33" t="str">
        <f aca="false">IF($B81="","",($H81+$G81)-$F81)</f>
        <v/>
      </c>
      <c r="J81" s="34" t="str">
        <f aca="false">IF(OR($B81="",$F81=0),"",$I81/$F81)</f>
        <v/>
      </c>
      <c r="K81" s="34" t="str">
        <f aca="false">IF(OR($B81="",$H81=0),"",SUMPRODUCT((Investments!$A$6:$A$1005=$B81)*Investments!$M$6:$M$1005*Investments!$T$6:$T$1005)/$H81)</f>
        <v/>
      </c>
      <c r="L81" s="34" t="str">
        <f aca="false">IF(OR($B81="",$C$12=0),"",$H81/$C$12)</f>
        <v/>
      </c>
    </row>
    <row r="82" customFormat="false" ht="15" hidden="false" customHeight="false" outlineLevel="0" collapsed="false">
      <c r="B82" s="14" t="str">
        <f aca="false">IF(Clients!$B67="","",Clients!$B67)</f>
        <v/>
      </c>
      <c r="C82" s="35" t="str">
        <f aca="false">IF($B82="","",COUNTIFS(Investments!$A$6:$A$1005,$B82))</f>
        <v/>
      </c>
      <c r="D82" s="17" t="str">
        <f aca="false">IF($B82="","",SUMIFS(Investments!$G$6:$G$1005,Investments!$A$6:$A$1005,$B82))</f>
        <v/>
      </c>
      <c r="E82" s="17" t="str">
        <f aca="false">IF($B82="","",SUMIFS(Investments!$H$6:$H$1005,Investments!$A$6:$A$1005,$B82))</f>
        <v/>
      </c>
      <c r="F82" s="17" t="str">
        <f aca="false">IF($B82="","",SUMIFS(Investments!$P$6:$P$1005,Investments!$A$6:$A$1005,$B82))</f>
        <v/>
      </c>
      <c r="G82" s="17" t="str">
        <f aca="false">IF($B82="","",SUMIFS(Investments!$J$6:$J$1005,Investments!$A$6:$A$1005,$B82)+SUMIFS(Investments!$K$6:$K$1005,Investments!$A$6:$A$1005,$B82)+SUMIFS(Investments!$L$6:$L$1005,Investments!$A$6:$A$1005,$B82))</f>
        <v/>
      </c>
      <c r="H82" s="17" t="str">
        <f aca="false">IF($B82="","",SUMIFS(Investments!$M$6:$M$1005,Investments!$A$6:$A$1005,$B82))</f>
        <v/>
      </c>
      <c r="I82" s="17" t="str">
        <f aca="false">IF($B82="","",($H82+$G82)-$F82)</f>
        <v/>
      </c>
      <c r="J82" s="18" t="str">
        <f aca="false">IF(OR($B82="",$F82=0),"",$I82/$F82)</f>
        <v/>
      </c>
      <c r="K82" s="18" t="str">
        <f aca="false">IF(OR($B82="",$H82=0),"",SUMPRODUCT((Investments!$A$6:$A$1005=$B82)*Investments!$M$6:$M$1005*Investments!$T$6:$T$1005)/$H82)</f>
        <v/>
      </c>
      <c r="L82" s="18" t="str">
        <f aca="false">IF(OR($B82="",$C$12=0),"",$H82/$C$12)</f>
        <v/>
      </c>
    </row>
    <row r="83" customFormat="false" ht="15" hidden="false" customHeight="false" outlineLevel="0" collapsed="false">
      <c r="B83" s="31" t="str">
        <f aca="false">IF(Clients!$B68="","",Clients!$B68)</f>
        <v/>
      </c>
      <c r="C83" s="32" t="str">
        <f aca="false">IF($B83="","",COUNTIFS(Investments!$A$6:$A$1005,$B83))</f>
        <v/>
      </c>
      <c r="D83" s="33" t="str">
        <f aca="false">IF($B83="","",SUMIFS(Investments!$G$6:$G$1005,Investments!$A$6:$A$1005,$B83))</f>
        <v/>
      </c>
      <c r="E83" s="33" t="str">
        <f aca="false">IF($B83="","",SUMIFS(Investments!$H$6:$H$1005,Investments!$A$6:$A$1005,$B83))</f>
        <v/>
      </c>
      <c r="F83" s="33" t="str">
        <f aca="false">IF($B83="","",SUMIFS(Investments!$P$6:$P$1005,Investments!$A$6:$A$1005,$B83))</f>
        <v/>
      </c>
      <c r="G83" s="33" t="str">
        <f aca="false">IF($B83="","",SUMIFS(Investments!$J$6:$J$1005,Investments!$A$6:$A$1005,$B83)+SUMIFS(Investments!$K$6:$K$1005,Investments!$A$6:$A$1005,$B83)+SUMIFS(Investments!$L$6:$L$1005,Investments!$A$6:$A$1005,$B83))</f>
        <v/>
      </c>
      <c r="H83" s="33" t="str">
        <f aca="false">IF($B83="","",SUMIFS(Investments!$M$6:$M$1005,Investments!$A$6:$A$1005,$B83))</f>
        <v/>
      </c>
      <c r="I83" s="33" t="str">
        <f aca="false">IF($B83="","",($H83+$G83)-$F83)</f>
        <v/>
      </c>
      <c r="J83" s="34" t="str">
        <f aca="false">IF(OR($B83="",$F83=0),"",$I83/$F83)</f>
        <v/>
      </c>
      <c r="K83" s="34" t="str">
        <f aca="false">IF(OR($B83="",$H83=0),"",SUMPRODUCT((Investments!$A$6:$A$1005=$B83)*Investments!$M$6:$M$1005*Investments!$T$6:$T$1005)/$H83)</f>
        <v/>
      </c>
      <c r="L83" s="34" t="str">
        <f aca="false">IF(OR($B83="",$C$12=0),"",$H83/$C$12)</f>
        <v/>
      </c>
    </row>
    <row r="84" customFormat="false" ht="15" hidden="false" customHeight="false" outlineLevel="0" collapsed="false">
      <c r="B84" s="14" t="str">
        <f aca="false">IF(Clients!$B69="","",Clients!$B69)</f>
        <v/>
      </c>
      <c r="C84" s="35" t="str">
        <f aca="false">IF($B84="","",COUNTIFS(Investments!$A$6:$A$1005,$B84))</f>
        <v/>
      </c>
      <c r="D84" s="17" t="str">
        <f aca="false">IF($B84="","",SUMIFS(Investments!$G$6:$G$1005,Investments!$A$6:$A$1005,$B84))</f>
        <v/>
      </c>
      <c r="E84" s="17" t="str">
        <f aca="false">IF($B84="","",SUMIFS(Investments!$H$6:$H$1005,Investments!$A$6:$A$1005,$B84))</f>
        <v/>
      </c>
      <c r="F84" s="17" t="str">
        <f aca="false">IF($B84="","",SUMIFS(Investments!$P$6:$P$1005,Investments!$A$6:$A$1005,$B84))</f>
        <v/>
      </c>
      <c r="G84" s="17" t="str">
        <f aca="false">IF($B84="","",SUMIFS(Investments!$J$6:$J$1005,Investments!$A$6:$A$1005,$B84)+SUMIFS(Investments!$K$6:$K$1005,Investments!$A$6:$A$1005,$B84)+SUMIFS(Investments!$L$6:$L$1005,Investments!$A$6:$A$1005,$B84))</f>
        <v/>
      </c>
      <c r="H84" s="17" t="str">
        <f aca="false">IF($B84="","",SUMIFS(Investments!$M$6:$M$1005,Investments!$A$6:$A$1005,$B84))</f>
        <v/>
      </c>
      <c r="I84" s="17" t="str">
        <f aca="false">IF($B84="","",($H84+$G84)-$F84)</f>
        <v/>
      </c>
      <c r="J84" s="18" t="str">
        <f aca="false">IF(OR($B84="",$F84=0),"",$I84/$F84)</f>
        <v/>
      </c>
      <c r="K84" s="18" t="str">
        <f aca="false">IF(OR($B84="",$H84=0),"",SUMPRODUCT((Investments!$A$6:$A$1005=$B84)*Investments!$M$6:$M$1005*Investments!$T$6:$T$1005)/$H84)</f>
        <v/>
      </c>
      <c r="L84" s="18" t="str">
        <f aca="false">IF(OR($B84="",$C$12=0),"",$H84/$C$12)</f>
        <v/>
      </c>
    </row>
    <row r="85" customFormat="false" ht="15" hidden="false" customHeight="false" outlineLevel="0" collapsed="false">
      <c r="B85" s="31" t="str">
        <f aca="false">IF(Clients!$B70="","",Clients!$B70)</f>
        <v/>
      </c>
      <c r="C85" s="32" t="str">
        <f aca="false">IF($B85="","",COUNTIFS(Investments!$A$6:$A$1005,$B85))</f>
        <v/>
      </c>
      <c r="D85" s="33" t="str">
        <f aca="false">IF($B85="","",SUMIFS(Investments!$G$6:$G$1005,Investments!$A$6:$A$1005,$B85))</f>
        <v/>
      </c>
      <c r="E85" s="33" t="str">
        <f aca="false">IF($B85="","",SUMIFS(Investments!$H$6:$H$1005,Investments!$A$6:$A$1005,$B85))</f>
        <v/>
      </c>
      <c r="F85" s="33" t="str">
        <f aca="false">IF($B85="","",SUMIFS(Investments!$P$6:$P$1005,Investments!$A$6:$A$1005,$B85))</f>
        <v/>
      </c>
      <c r="G85" s="33" t="str">
        <f aca="false">IF($B85="","",SUMIFS(Investments!$J$6:$J$1005,Investments!$A$6:$A$1005,$B85)+SUMIFS(Investments!$K$6:$K$1005,Investments!$A$6:$A$1005,$B85)+SUMIFS(Investments!$L$6:$L$1005,Investments!$A$6:$A$1005,$B85))</f>
        <v/>
      </c>
      <c r="H85" s="33" t="str">
        <f aca="false">IF($B85="","",SUMIFS(Investments!$M$6:$M$1005,Investments!$A$6:$A$1005,$B85))</f>
        <v/>
      </c>
      <c r="I85" s="33" t="str">
        <f aca="false">IF($B85="","",($H85+$G85)-$F85)</f>
        <v/>
      </c>
      <c r="J85" s="34" t="str">
        <f aca="false">IF(OR($B85="",$F85=0),"",$I85/$F85)</f>
        <v/>
      </c>
      <c r="K85" s="34" t="str">
        <f aca="false">IF(OR($B85="",$H85=0),"",SUMPRODUCT((Investments!$A$6:$A$1005=$B85)*Investments!$M$6:$M$1005*Investments!$T$6:$T$1005)/$H85)</f>
        <v/>
      </c>
      <c r="L85" s="34" t="str">
        <f aca="false">IF(OR($B85="",$C$12=0),"",$H85/$C$12)</f>
        <v/>
      </c>
    </row>
    <row r="86" customFormat="false" ht="15" hidden="false" customHeight="false" outlineLevel="0" collapsed="false">
      <c r="B86" s="14" t="str">
        <f aca="false">IF(Clients!$B71="","",Clients!$B71)</f>
        <v/>
      </c>
      <c r="C86" s="35" t="str">
        <f aca="false">IF($B86="","",COUNTIFS(Investments!$A$6:$A$1005,$B86))</f>
        <v/>
      </c>
      <c r="D86" s="17" t="str">
        <f aca="false">IF($B86="","",SUMIFS(Investments!$G$6:$G$1005,Investments!$A$6:$A$1005,$B86))</f>
        <v/>
      </c>
      <c r="E86" s="17" t="str">
        <f aca="false">IF($B86="","",SUMIFS(Investments!$H$6:$H$1005,Investments!$A$6:$A$1005,$B86))</f>
        <v/>
      </c>
      <c r="F86" s="17" t="str">
        <f aca="false">IF($B86="","",SUMIFS(Investments!$P$6:$P$1005,Investments!$A$6:$A$1005,$B86))</f>
        <v/>
      </c>
      <c r="G86" s="17" t="str">
        <f aca="false">IF($B86="","",SUMIFS(Investments!$J$6:$J$1005,Investments!$A$6:$A$1005,$B86)+SUMIFS(Investments!$K$6:$K$1005,Investments!$A$6:$A$1005,$B86)+SUMIFS(Investments!$L$6:$L$1005,Investments!$A$6:$A$1005,$B86))</f>
        <v/>
      </c>
      <c r="H86" s="17" t="str">
        <f aca="false">IF($B86="","",SUMIFS(Investments!$M$6:$M$1005,Investments!$A$6:$A$1005,$B86))</f>
        <v/>
      </c>
      <c r="I86" s="17" t="str">
        <f aca="false">IF($B86="","",($H86+$G86)-$F86)</f>
        <v/>
      </c>
      <c r="J86" s="18" t="str">
        <f aca="false">IF(OR($B86="",$F86=0),"",$I86/$F86)</f>
        <v/>
      </c>
      <c r="K86" s="18" t="str">
        <f aca="false">IF(OR($B86="",$H86=0),"",SUMPRODUCT((Investments!$A$6:$A$1005=$B86)*Investments!$M$6:$M$1005*Investments!$T$6:$T$1005)/$H86)</f>
        <v/>
      </c>
      <c r="L86" s="18" t="str">
        <f aca="false">IF(OR($B86="",$C$12=0),"",$H86/$C$12)</f>
        <v/>
      </c>
    </row>
    <row r="87" customFormat="false" ht="15" hidden="false" customHeight="false" outlineLevel="0" collapsed="false">
      <c r="B87" s="31" t="str">
        <f aca="false">IF(Clients!$B72="","",Clients!$B72)</f>
        <v/>
      </c>
      <c r="C87" s="32" t="str">
        <f aca="false">IF($B87="","",COUNTIFS(Investments!$A$6:$A$1005,$B87))</f>
        <v/>
      </c>
      <c r="D87" s="33" t="str">
        <f aca="false">IF($B87="","",SUMIFS(Investments!$G$6:$G$1005,Investments!$A$6:$A$1005,$B87))</f>
        <v/>
      </c>
      <c r="E87" s="33" t="str">
        <f aca="false">IF($B87="","",SUMIFS(Investments!$H$6:$H$1005,Investments!$A$6:$A$1005,$B87))</f>
        <v/>
      </c>
      <c r="F87" s="33" t="str">
        <f aca="false">IF($B87="","",SUMIFS(Investments!$P$6:$P$1005,Investments!$A$6:$A$1005,$B87))</f>
        <v/>
      </c>
      <c r="G87" s="33" t="str">
        <f aca="false">IF($B87="","",SUMIFS(Investments!$J$6:$J$1005,Investments!$A$6:$A$1005,$B87)+SUMIFS(Investments!$K$6:$K$1005,Investments!$A$6:$A$1005,$B87)+SUMIFS(Investments!$L$6:$L$1005,Investments!$A$6:$A$1005,$B87))</f>
        <v/>
      </c>
      <c r="H87" s="33" t="str">
        <f aca="false">IF($B87="","",SUMIFS(Investments!$M$6:$M$1005,Investments!$A$6:$A$1005,$B87))</f>
        <v/>
      </c>
      <c r="I87" s="33" t="str">
        <f aca="false">IF($B87="","",($H87+$G87)-$F87)</f>
        <v/>
      </c>
      <c r="J87" s="34" t="str">
        <f aca="false">IF(OR($B87="",$F87=0),"",$I87/$F87)</f>
        <v/>
      </c>
      <c r="K87" s="34" t="str">
        <f aca="false">IF(OR($B87="",$H87=0),"",SUMPRODUCT((Investments!$A$6:$A$1005=$B87)*Investments!$M$6:$M$1005*Investments!$T$6:$T$1005)/$H87)</f>
        <v/>
      </c>
      <c r="L87" s="34" t="str">
        <f aca="false">IF(OR($B87="",$C$12=0),"",$H87/$C$12)</f>
        <v/>
      </c>
    </row>
    <row r="88" customFormat="false" ht="15" hidden="false" customHeight="false" outlineLevel="0" collapsed="false">
      <c r="B88" s="14" t="str">
        <f aca="false">IF(Clients!$B73="","",Clients!$B73)</f>
        <v/>
      </c>
      <c r="C88" s="35" t="str">
        <f aca="false">IF($B88="","",COUNTIFS(Investments!$A$6:$A$1005,$B88))</f>
        <v/>
      </c>
      <c r="D88" s="17" t="str">
        <f aca="false">IF($B88="","",SUMIFS(Investments!$G$6:$G$1005,Investments!$A$6:$A$1005,$B88))</f>
        <v/>
      </c>
      <c r="E88" s="17" t="str">
        <f aca="false">IF($B88="","",SUMIFS(Investments!$H$6:$H$1005,Investments!$A$6:$A$1005,$B88))</f>
        <v/>
      </c>
      <c r="F88" s="17" t="str">
        <f aca="false">IF($B88="","",SUMIFS(Investments!$P$6:$P$1005,Investments!$A$6:$A$1005,$B88))</f>
        <v/>
      </c>
      <c r="G88" s="17" t="str">
        <f aca="false">IF($B88="","",SUMIFS(Investments!$J$6:$J$1005,Investments!$A$6:$A$1005,$B88)+SUMIFS(Investments!$K$6:$K$1005,Investments!$A$6:$A$1005,$B88)+SUMIFS(Investments!$L$6:$L$1005,Investments!$A$6:$A$1005,$B88))</f>
        <v/>
      </c>
      <c r="H88" s="17" t="str">
        <f aca="false">IF($B88="","",SUMIFS(Investments!$M$6:$M$1005,Investments!$A$6:$A$1005,$B88))</f>
        <v/>
      </c>
      <c r="I88" s="17" t="str">
        <f aca="false">IF($B88="","",($H88+$G88)-$F88)</f>
        <v/>
      </c>
      <c r="J88" s="18" t="str">
        <f aca="false">IF(OR($B88="",$F88=0),"",$I88/$F88)</f>
        <v/>
      </c>
      <c r="K88" s="18" t="str">
        <f aca="false">IF(OR($B88="",$H88=0),"",SUMPRODUCT((Investments!$A$6:$A$1005=$B88)*Investments!$M$6:$M$1005*Investments!$T$6:$T$1005)/$H88)</f>
        <v/>
      </c>
      <c r="L88" s="18" t="str">
        <f aca="false">IF(OR($B88="",$C$12=0),"",$H88/$C$12)</f>
        <v/>
      </c>
    </row>
    <row r="89" customFormat="false" ht="15" hidden="false" customHeight="false" outlineLevel="0" collapsed="false">
      <c r="B89" s="31" t="str">
        <f aca="false">IF(Clients!$B74="","",Clients!$B74)</f>
        <v/>
      </c>
      <c r="C89" s="32" t="str">
        <f aca="false">IF($B89="","",COUNTIFS(Investments!$A$6:$A$1005,$B89))</f>
        <v/>
      </c>
      <c r="D89" s="33" t="str">
        <f aca="false">IF($B89="","",SUMIFS(Investments!$G$6:$G$1005,Investments!$A$6:$A$1005,$B89))</f>
        <v/>
      </c>
      <c r="E89" s="33" t="str">
        <f aca="false">IF($B89="","",SUMIFS(Investments!$H$6:$H$1005,Investments!$A$6:$A$1005,$B89))</f>
        <v/>
      </c>
      <c r="F89" s="33" t="str">
        <f aca="false">IF($B89="","",SUMIFS(Investments!$P$6:$P$1005,Investments!$A$6:$A$1005,$B89))</f>
        <v/>
      </c>
      <c r="G89" s="33" t="str">
        <f aca="false">IF($B89="","",SUMIFS(Investments!$J$6:$J$1005,Investments!$A$6:$A$1005,$B89)+SUMIFS(Investments!$K$6:$K$1005,Investments!$A$6:$A$1005,$B89)+SUMIFS(Investments!$L$6:$L$1005,Investments!$A$6:$A$1005,$B89))</f>
        <v/>
      </c>
      <c r="H89" s="33" t="str">
        <f aca="false">IF($B89="","",SUMIFS(Investments!$M$6:$M$1005,Investments!$A$6:$A$1005,$B89))</f>
        <v/>
      </c>
      <c r="I89" s="33" t="str">
        <f aca="false">IF($B89="","",($H89+$G89)-$F89)</f>
        <v/>
      </c>
      <c r="J89" s="34" t="str">
        <f aca="false">IF(OR($B89="",$F89=0),"",$I89/$F89)</f>
        <v/>
      </c>
      <c r="K89" s="34" t="str">
        <f aca="false">IF(OR($B89="",$H89=0),"",SUMPRODUCT((Investments!$A$6:$A$1005=$B89)*Investments!$M$6:$M$1005*Investments!$T$6:$T$1005)/$H89)</f>
        <v/>
      </c>
      <c r="L89" s="34" t="str">
        <f aca="false">IF(OR($B89="",$C$12=0),"",$H89/$C$12)</f>
        <v/>
      </c>
    </row>
    <row r="90" customFormat="false" ht="15" hidden="false" customHeight="false" outlineLevel="0" collapsed="false">
      <c r="B90" s="14" t="str">
        <f aca="false">IF(Clients!$B75="","",Clients!$B75)</f>
        <v/>
      </c>
      <c r="C90" s="35" t="str">
        <f aca="false">IF($B90="","",COUNTIFS(Investments!$A$6:$A$1005,$B90))</f>
        <v/>
      </c>
      <c r="D90" s="17" t="str">
        <f aca="false">IF($B90="","",SUMIFS(Investments!$G$6:$G$1005,Investments!$A$6:$A$1005,$B90))</f>
        <v/>
      </c>
      <c r="E90" s="17" t="str">
        <f aca="false">IF($B90="","",SUMIFS(Investments!$H$6:$H$1005,Investments!$A$6:$A$1005,$B90))</f>
        <v/>
      </c>
      <c r="F90" s="17" t="str">
        <f aca="false">IF($B90="","",SUMIFS(Investments!$P$6:$P$1005,Investments!$A$6:$A$1005,$B90))</f>
        <v/>
      </c>
      <c r="G90" s="17" t="str">
        <f aca="false">IF($B90="","",SUMIFS(Investments!$J$6:$J$1005,Investments!$A$6:$A$1005,$B90)+SUMIFS(Investments!$K$6:$K$1005,Investments!$A$6:$A$1005,$B90)+SUMIFS(Investments!$L$6:$L$1005,Investments!$A$6:$A$1005,$B90))</f>
        <v/>
      </c>
      <c r="H90" s="17" t="str">
        <f aca="false">IF($B90="","",SUMIFS(Investments!$M$6:$M$1005,Investments!$A$6:$A$1005,$B90))</f>
        <v/>
      </c>
      <c r="I90" s="17" t="str">
        <f aca="false">IF($B90="","",($H90+$G90)-$F90)</f>
        <v/>
      </c>
      <c r="J90" s="18" t="str">
        <f aca="false">IF(OR($B90="",$F90=0),"",$I90/$F90)</f>
        <v/>
      </c>
      <c r="K90" s="18" t="str">
        <f aca="false">IF(OR($B90="",$H90=0),"",SUMPRODUCT((Investments!$A$6:$A$1005=$B90)*Investments!$M$6:$M$1005*Investments!$T$6:$T$1005)/$H90)</f>
        <v/>
      </c>
      <c r="L90" s="18" t="str">
        <f aca="false">IF(OR($B90="",$C$12=0),"",$H90/$C$12)</f>
        <v/>
      </c>
    </row>
    <row r="91" customFormat="false" ht="15" hidden="false" customHeight="false" outlineLevel="0" collapsed="false">
      <c r="B91" s="31" t="str">
        <f aca="false">IF(Clients!$B76="","",Clients!$B76)</f>
        <v/>
      </c>
      <c r="C91" s="32" t="str">
        <f aca="false">IF($B91="","",COUNTIFS(Investments!$A$6:$A$1005,$B91))</f>
        <v/>
      </c>
      <c r="D91" s="33" t="str">
        <f aca="false">IF($B91="","",SUMIFS(Investments!$G$6:$G$1005,Investments!$A$6:$A$1005,$B91))</f>
        <v/>
      </c>
      <c r="E91" s="33" t="str">
        <f aca="false">IF($B91="","",SUMIFS(Investments!$H$6:$H$1005,Investments!$A$6:$A$1005,$B91))</f>
        <v/>
      </c>
      <c r="F91" s="33" t="str">
        <f aca="false">IF($B91="","",SUMIFS(Investments!$P$6:$P$1005,Investments!$A$6:$A$1005,$B91))</f>
        <v/>
      </c>
      <c r="G91" s="33" t="str">
        <f aca="false">IF($B91="","",SUMIFS(Investments!$J$6:$J$1005,Investments!$A$6:$A$1005,$B91)+SUMIFS(Investments!$K$6:$K$1005,Investments!$A$6:$A$1005,$B91)+SUMIFS(Investments!$L$6:$L$1005,Investments!$A$6:$A$1005,$B91))</f>
        <v/>
      </c>
      <c r="H91" s="33" t="str">
        <f aca="false">IF($B91="","",SUMIFS(Investments!$M$6:$M$1005,Investments!$A$6:$A$1005,$B91))</f>
        <v/>
      </c>
      <c r="I91" s="33" t="str">
        <f aca="false">IF($B91="","",($H91+$G91)-$F91)</f>
        <v/>
      </c>
      <c r="J91" s="34" t="str">
        <f aca="false">IF(OR($B91="",$F91=0),"",$I91/$F91)</f>
        <v/>
      </c>
      <c r="K91" s="34" t="str">
        <f aca="false">IF(OR($B91="",$H91=0),"",SUMPRODUCT((Investments!$A$6:$A$1005=$B91)*Investments!$M$6:$M$1005*Investments!$T$6:$T$1005)/$H91)</f>
        <v/>
      </c>
      <c r="L91" s="34" t="str">
        <f aca="false">IF(OR($B91="",$C$12=0),"",$H91/$C$12)</f>
        <v/>
      </c>
    </row>
    <row r="92" customFormat="false" ht="15" hidden="false" customHeight="false" outlineLevel="0" collapsed="false">
      <c r="B92" s="14" t="str">
        <f aca="false">IF(Clients!$B77="","",Clients!$B77)</f>
        <v/>
      </c>
      <c r="C92" s="35" t="str">
        <f aca="false">IF($B92="","",COUNTIFS(Investments!$A$6:$A$1005,$B92))</f>
        <v/>
      </c>
      <c r="D92" s="17" t="str">
        <f aca="false">IF($B92="","",SUMIFS(Investments!$G$6:$G$1005,Investments!$A$6:$A$1005,$B92))</f>
        <v/>
      </c>
      <c r="E92" s="17" t="str">
        <f aca="false">IF($B92="","",SUMIFS(Investments!$H$6:$H$1005,Investments!$A$6:$A$1005,$B92))</f>
        <v/>
      </c>
      <c r="F92" s="17" t="str">
        <f aca="false">IF($B92="","",SUMIFS(Investments!$P$6:$P$1005,Investments!$A$6:$A$1005,$B92))</f>
        <v/>
      </c>
      <c r="G92" s="17" t="str">
        <f aca="false">IF($B92="","",SUMIFS(Investments!$J$6:$J$1005,Investments!$A$6:$A$1005,$B92)+SUMIFS(Investments!$K$6:$K$1005,Investments!$A$6:$A$1005,$B92)+SUMIFS(Investments!$L$6:$L$1005,Investments!$A$6:$A$1005,$B92))</f>
        <v/>
      </c>
      <c r="H92" s="17" t="str">
        <f aca="false">IF($B92="","",SUMIFS(Investments!$M$6:$M$1005,Investments!$A$6:$A$1005,$B92))</f>
        <v/>
      </c>
      <c r="I92" s="17" t="str">
        <f aca="false">IF($B92="","",($H92+$G92)-$F92)</f>
        <v/>
      </c>
      <c r="J92" s="18" t="str">
        <f aca="false">IF(OR($B92="",$F92=0),"",$I92/$F92)</f>
        <v/>
      </c>
      <c r="K92" s="18" t="str">
        <f aca="false">IF(OR($B92="",$H92=0),"",SUMPRODUCT((Investments!$A$6:$A$1005=$B92)*Investments!$M$6:$M$1005*Investments!$T$6:$T$1005)/$H92)</f>
        <v/>
      </c>
      <c r="L92" s="18" t="str">
        <f aca="false">IF(OR($B92="",$C$12=0),"",$H92/$C$12)</f>
        <v/>
      </c>
    </row>
    <row r="93" customFormat="false" ht="15" hidden="false" customHeight="false" outlineLevel="0" collapsed="false">
      <c r="B93" s="31" t="str">
        <f aca="false">IF(Clients!$B78="","",Clients!$B78)</f>
        <v/>
      </c>
      <c r="C93" s="32" t="str">
        <f aca="false">IF($B93="","",COUNTIFS(Investments!$A$6:$A$1005,$B93))</f>
        <v/>
      </c>
      <c r="D93" s="33" t="str">
        <f aca="false">IF($B93="","",SUMIFS(Investments!$G$6:$G$1005,Investments!$A$6:$A$1005,$B93))</f>
        <v/>
      </c>
      <c r="E93" s="33" t="str">
        <f aca="false">IF($B93="","",SUMIFS(Investments!$H$6:$H$1005,Investments!$A$6:$A$1005,$B93))</f>
        <v/>
      </c>
      <c r="F93" s="33" t="str">
        <f aca="false">IF($B93="","",SUMIFS(Investments!$P$6:$P$1005,Investments!$A$6:$A$1005,$B93))</f>
        <v/>
      </c>
      <c r="G93" s="33" t="str">
        <f aca="false">IF($B93="","",SUMIFS(Investments!$J$6:$J$1005,Investments!$A$6:$A$1005,$B93)+SUMIFS(Investments!$K$6:$K$1005,Investments!$A$6:$A$1005,$B93)+SUMIFS(Investments!$L$6:$L$1005,Investments!$A$6:$A$1005,$B93))</f>
        <v/>
      </c>
      <c r="H93" s="33" t="str">
        <f aca="false">IF($B93="","",SUMIFS(Investments!$M$6:$M$1005,Investments!$A$6:$A$1005,$B93))</f>
        <v/>
      </c>
      <c r="I93" s="33" t="str">
        <f aca="false">IF($B93="","",($H93+$G93)-$F93)</f>
        <v/>
      </c>
      <c r="J93" s="34" t="str">
        <f aca="false">IF(OR($B93="",$F93=0),"",$I93/$F93)</f>
        <v/>
      </c>
      <c r="K93" s="34" t="str">
        <f aca="false">IF(OR($B93="",$H93=0),"",SUMPRODUCT((Investments!$A$6:$A$1005=$B93)*Investments!$M$6:$M$1005*Investments!$T$6:$T$1005)/$H93)</f>
        <v/>
      </c>
      <c r="L93" s="34" t="str">
        <f aca="false">IF(OR($B93="",$C$12=0),"",$H93/$C$12)</f>
        <v/>
      </c>
    </row>
    <row r="94" customFormat="false" ht="15" hidden="false" customHeight="false" outlineLevel="0" collapsed="false">
      <c r="B94" s="14" t="str">
        <f aca="false">IF(Clients!$B79="","",Clients!$B79)</f>
        <v/>
      </c>
      <c r="C94" s="35" t="str">
        <f aca="false">IF($B94="","",COUNTIFS(Investments!$A$6:$A$1005,$B94))</f>
        <v/>
      </c>
      <c r="D94" s="17" t="str">
        <f aca="false">IF($B94="","",SUMIFS(Investments!$G$6:$G$1005,Investments!$A$6:$A$1005,$B94))</f>
        <v/>
      </c>
      <c r="E94" s="17" t="str">
        <f aca="false">IF($B94="","",SUMIFS(Investments!$H$6:$H$1005,Investments!$A$6:$A$1005,$B94))</f>
        <v/>
      </c>
      <c r="F94" s="17" t="str">
        <f aca="false">IF($B94="","",SUMIFS(Investments!$P$6:$P$1005,Investments!$A$6:$A$1005,$B94))</f>
        <v/>
      </c>
      <c r="G94" s="17" t="str">
        <f aca="false">IF($B94="","",SUMIFS(Investments!$J$6:$J$1005,Investments!$A$6:$A$1005,$B94)+SUMIFS(Investments!$K$6:$K$1005,Investments!$A$6:$A$1005,$B94)+SUMIFS(Investments!$L$6:$L$1005,Investments!$A$6:$A$1005,$B94))</f>
        <v/>
      </c>
      <c r="H94" s="17" t="str">
        <f aca="false">IF($B94="","",SUMIFS(Investments!$M$6:$M$1005,Investments!$A$6:$A$1005,$B94))</f>
        <v/>
      </c>
      <c r="I94" s="17" t="str">
        <f aca="false">IF($B94="","",($H94+$G94)-$F94)</f>
        <v/>
      </c>
      <c r="J94" s="18" t="str">
        <f aca="false">IF(OR($B94="",$F94=0),"",$I94/$F94)</f>
        <v/>
      </c>
      <c r="K94" s="18" t="str">
        <f aca="false">IF(OR($B94="",$H94=0),"",SUMPRODUCT((Investments!$A$6:$A$1005=$B94)*Investments!$M$6:$M$1005*Investments!$T$6:$T$1005)/$H94)</f>
        <v/>
      </c>
      <c r="L94" s="18" t="str">
        <f aca="false">IF(OR($B94="",$C$12=0),"",$H94/$C$12)</f>
        <v/>
      </c>
    </row>
    <row r="95" customFormat="false" ht="15" hidden="false" customHeight="false" outlineLevel="0" collapsed="false">
      <c r="B95" s="31" t="str">
        <f aca="false">IF(Clients!$B80="","",Clients!$B80)</f>
        <v/>
      </c>
      <c r="C95" s="32" t="str">
        <f aca="false">IF($B95="","",COUNTIFS(Investments!$A$6:$A$1005,$B95))</f>
        <v/>
      </c>
      <c r="D95" s="33" t="str">
        <f aca="false">IF($B95="","",SUMIFS(Investments!$G$6:$G$1005,Investments!$A$6:$A$1005,$B95))</f>
        <v/>
      </c>
      <c r="E95" s="33" t="str">
        <f aca="false">IF($B95="","",SUMIFS(Investments!$H$6:$H$1005,Investments!$A$6:$A$1005,$B95))</f>
        <v/>
      </c>
      <c r="F95" s="33" t="str">
        <f aca="false">IF($B95="","",SUMIFS(Investments!$P$6:$P$1005,Investments!$A$6:$A$1005,$B95))</f>
        <v/>
      </c>
      <c r="G95" s="33" t="str">
        <f aca="false">IF($B95="","",SUMIFS(Investments!$J$6:$J$1005,Investments!$A$6:$A$1005,$B95)+SUMIFS(Investments!$K$6:$K$1005,Investments!$A$6:$A$1005,$B95)+SUMIFS(Investments!$L$6:$L$1005,Investments!$A$6:$A$1005,$B95))</f>
        <v/>
      </c>
      <c r="H95" s="33" t="str">
        <f aca="false">IF($B95="","",SUMIFS(Investments!$M$6:$M$1005,Investments!$A$6:$A$1005,$B95))</f>
        <v/>
      </c>
      <c r="I95" s="33" t="str">
        <f aca="false">IF($B95="","",($H95+$G95)-$F95)</f>
        <v/>
      </c>
      <c r="J95" s="34" t="str">
        <f aca="false">IF(OR($B95="",$F95=0),"",$I95/$F95)</f>
        <v/>
      </c>
      <c r="K95" s="34" t="str">
        <f aca="false">IF(OR($B95="",$H95=0),"",SUMPRODUCT((Investments!$A$6:$A$1005=$B95)*Investments!$M$6:$M$1005*Investments!$T$6:$T$1005)/$H95)</f>
        <v/>
      </c>
      <c r="L95" s="34" t="str">
        <f aca="false">IF(OR($B95="",$C$12=0),"",$H95/$C$12)</f>
        <v/>
      </c>
    </row>
    <row r="96" customFormat="false" ht="15" hidden="false" customHeight="false" outlineLevel="0" collapsed="false">
      <c r="B96" s="14" t="str">
        <f aca="false">IF(Clients!$B81="","",Clients!$B81)</f>
        <v/>
      </c>
      <c r="C96" s="35" t="str">
        <f aca="false">IF($B96="","",COUNTIFS(Investments!$A$6:$A$1005,$B96))</f>
        <v/>
      </c>
      <c r="D96" s="17" t="str">
        <f aca="false">IF($B96="","",SUMIFS(Investments!$G$6:$G$1005,Investments!$A$6:$A$1005,$B96))</f>
        <v/>
      </c>
      <c r="E96" s="17" t="str">
        <f aca="false">IF($B96="","",SUMIFS(Investments!$H$6:$H$1005,Investments!$A$6:$A$1005,$B96))</f>
        <v/>
      </c>
      <c r="F96" s="17" t="str">
        <f aca="false">IF($B96="","",SUMIFS(Investments!$P$6:$P$1005,Investments!$A$6:$A$1005,$B96))</f>
        <v/>
      </c>
      <c r="G96" s="17" t="str">
        <f aca="false">IF($B96="","",SUMIFS(Investments!$J$6:$J$1005,Investments!$A$6:$A$1005,$B96)+SUMIFS(Investments!$K$6:$K$1005,Investments!$A$6:$A$1005,$B96)+SUMIFS(Investments!$L$6:$L$1005,Investments!$A$6:$A$1005,$B96))</f>
        <v/>
      </c>
      <c r="H96" s="17" t="str">
        <f aca="false">IF($B96="","",SUMIFS(Investments!$M$6:$M$1005,Investments!$A$6:$A$1005,$B96))</f>
        <v/>
      </c>
      <c r="I96" s="17" t="str">
        <f aca="false">IF($B96="","",($H96+$G96)-$F96)</f>
        <v/>
      </c>
      <c r="J96" s="18" t="str">
        <f aca="false">IF(OR($B96="",$F96=0),"",$I96/$F96)</f>
        <v/>
      </c>
      <c r="K96" s="18" t="str">
        <f aca="false">IF(OR($B96="",$H96=0),"",SUMPRODUCT((Investments!$A$6:$A$1005=$B96)*Investments!$M$6:$M$1005*Investments!$T$6:$T$1005)/$H96)</f>
        <v/>
      </c>
      <c r="L96" s="18" t="str">
        <f aca="false">IF(OR($B96="",$C$12=0),"",$H96/$C$12)</f>
        <v/>
      </c>
    </row>
    <row r="97" customFormat="false" ht="15" hidden="false" customHeight="false" outlineLevel="0" collapsed="false">
      <c r="B97" s="31" t="str">
        <f aca="false">IF(Clients!$B82="","",Clients!$B82)</f>
        <v/>
      </c>
      <c r="C97" s="32" t="str">
        <f aca="false">IF($B97="","",COUNTIFS(Investments!$A$6:$A$1005,$B97))</f>
        <v/>
      </c>
      <c r="D97" s="33" t="str">
        <f aca="false">IF($B97="","",SUMIFS(Investments!$G$6:$G$1005,Investments!$A$6:$A$1005,$B97))</f>
        <v/>
      </c>
      <c r="E97" s="33" t="str">
        <f aca="false">IF($B97="","",SUMIFS(Investments!$H$6:$H$1005,Investments!$A$6:$A$1005,$B97))</f>
        <v/>
      </c>
      <c r="F97" s="33" t="str">
        <f aca="false">IF($B97="","",SUMIFS(Investments!$P$6:$P$1005,Investments!$A$6:$A$1005,$B97))</f>
        <v/>
      </c>
      <c r="G97" s="33" t="str">
        <f aca="false">IF($B97="","",SUMIFS(Investments!$J$6:$J$1005,Investments!$A$6:$A$1005,$B97)+SUMIFS(Investments!$K$6:$K$1005,Investments!$A$6:$A$1005,$B97)+SUMIFS(Investments!$L$6:$L$1005,Investments!$A$6:$A$1005,$B97))</f>
        <v/>
      </c>
      <c r="H97" s="33" t="str">
        <f aca="false">IF($B97="","",SUMIFS(Investments!$M$6:$M$1005,Investments!$A$6:$A$1005,$B97))</f>
        <v/>
      </c>
      <c r="I97" s="33" t="str">
        <f aca="false">IF($B97="","",($H97+$G97)-$F97)</f>
        <v/>
      </c>
      <c r="J97" s="34" t="str">
        <f aca="false">IF(OR($B97="",$F97=0),"",$I97/$F97)</f>
        <v/>
      </c>
      <c r="K97" s="34" t="str">
        <f aca="false">IF(OR($B97="",$H97=0),"",SUMPRODUCT((Investments!$A$6:$A$1005=$B97)*Investments!$M$6:$M$1005*Investments!$T$6:$T$1005)/$H97)</f>
        <v/>
      </c>
      <c r="L97" s="34" t="str">
        <f aca="false">IF(OR($B97="",$C$12=0),"",$H97/$C$12)</f>
        <v/>
      </c>
    </row>
    <row r="98" customFormat="false" ht="15" hidden="false" customHeight="false" outlineLevel="0" collapsed="false">
      <c r="B98" s="14" t="str">
        <f aca="false">IF(Clients!$B83="","",Clients!$B83)</f>
        <v/>
      </c>
      <c r="C98" s="35" t="str">
        <f aca="false">IF($B98="","",COUNTIFS(Investments!$A$6:$A$1005,$B98))</f>
        <v/>
      </c>
      <c r="D98" s="17" t="str">
        <f aca="false">IF($B98="","",SUMIFS(Investments!$G$6:$G$1005,Investments!$A$6:$A$1005,$B98))</f>
        <v/>
      </c>
      <c r="E98" s="17" t="str">
        <f aca="false">IF($B98="","",SUMIFS(Investments!$H$6:$H$1005,Investments!$A$6:$A$1005,$B98))</f>
        <v/>
      </c>
      <c r="F98" s="17" t="str">
        <f aca="false">IF($B98="","",SUMIFS(Investments!$P$6:$P$1005,Investments!$A$6:$A$1005,$B98))</f>
        <v/>
      </c>
      <c r="G98" s="17" t="str">
        <f aca="false">IF($B98="","",SUMIFS(Investments!$J$6:$J$1005,Investments!$A$6:$A$1005,$B98)+SUMIFS(Investments!$K$6:$K$1005,Investments!$A$6:$A$1005,$B98)+SUMIFS(Investments!$L$6:$L$1005,Investments!$A$6:$A$1005,$B98))</f>
        <v/>
      </c>
      <c r="H98" s="17" t="str">
        <f aca="false">IF($B98="","",SUMIFS(Investments!$M$6:$M$1005,Investments!$A$6:$A$1005,$B98))</f>
        <v/>
      </c>
      <c r="I98" s="17" t="str">
        <f aca="false">IF($B98="","",($H98+$G98)-$F98)</f>
        <v/>
      </c>
      <c r="J98" s="18" t="str">
        <f aca="false">IF(OR($B98="",$F98=0),"",$I98/$F98)</f>
        <v/>
      </c>
      <c r="K98" s="18" t="str">
        <f aca="false">IF(OR($B98="",$H98=0),"",SUMPRODUCT((Investments!$A$6:$A$1005=$B98)*Investments!$M$6:$M$1005*Investments!$T$6:$T$1005)/$H98)</f>
        <v/>
      </c>
      <c r="L98" s="18" t="str">
        <f aca="false">IF(OR($B98="",$C$12=0),"",$H98/$C$12)</f>
        <v/>
      </c>
    </row>
    <row r="99" customFormat="false" ht="15" hidden="false" customHeight="false" outlineLevel="0" collapsed="false">
      <c r="B99" s="31" t="str">
        <f aca="false">IF(Clients!$B84="","",Clients!$B84)</f>
        <v/>
      </c>
      <c r="C99" s="32" t="str">
        <f aca="false">IF($B99="","",COUNTIFS(Investments!$A$6:$A$1005,$B99))</f>
        <v/>
      </c>
      <c r="D99" s="33" t="str">
        <f aca="false">IF($B99="","",SUMIFS(Investments!$G$6:$G$1005,Investments!$A$6:$A$1005,$B99))</f>
        <v/>
      </c>
      <c r="E99" s="33" t="str">
        <f aca="false">IF($B99="","",SUMIFS(Investments!$H$6:$H$1005,Investments!$A$6:$A$1005,$B99))</f>
        <v/>
      </c>
      <c r="F99" s="33" t="str">
        <f aca="false">IF($B99="","",SUMIFS(Investments!$P$6:$P$1005,Investments!$A$6:$A$1005,$B99))</f>
        <v/>
      </c>
      <c r="G99" s="33" t="str">
        <f aca="false">IF($B99="","",SUMIFS(Investments!$J$6:$J$1005,Investments!$A$6:$A$1005,$B99)+SUMIFS(Investments!$K$6:$K$1005,Investments!$A$6:$A$1005,$B99)+SUMIFS(Investments!$L$6:$L$1005,Investments!$A$6:$A$1005,$B99))</f>
        <v/>
      </c>
      <c r="H99" s="33" t="str">
        <f aca="false">IF($B99="","",SUMIFS(Investments!$M$6:$M$1005,Investments!$A$6:$A$1005,$B99))</f>
        <v/>
      </c>
      <c r="I99" s="33" t="str">
        <f aca="false">IF($B99="","",($H99+$G99)-$F99)</f>
        <v/>
      </c>
      <c r="J99" s="34" t="str">
        <f aca="false">IF(OR($B99="",$F99=0),"",$I99/$F99)</f>
        <v/>
      </c>
      <c r="K99" s="34" t="str">
        <f aca="false">IF(OR($B99="",$H99=0),"",SUMPRODUCT((Investments!$A$6:$A$1005=$B99)*Investments!$M$6:$M$1005*Investments!$T$6:$T$1005)/$H99)</f>
        <v/>
      </c>
      <c r="L99" s="34" t="str">
        <f aca="false">IF(OR($B99="",$C$12=0),"",$H99/$C$12)</f>
        <v/>
      </c>
    </row>
    <row r="100" customFormat="false" ht="15" hidden="false" customHeight="false" outlineLevel="0" collapsed="false">
      <c r="B100" s="14" t="str">
        <f aca="false">IF(Clients!$B85="","",Clients!$B85)</f>
        <v/>
      </c>
      <c r="C100" s="35" t="str">
        <f aca="false">IF($B100="","",COUNTIFS(Investments!$A$6:$A$1005,$B100))</f>
        <v/>
      </c>
      <c r="D100" s="17" t="str">
        <f aca="false">IF($B100="","",SUMIFS(Investments!$G$6:$G$1005,Investments!$A$6:$A$1005,$B100))</f>
        <v/>
      </c>
      <c r="E100" s="17" t="str">
        <f aca="false">IF($B100="","",SUMIFS(Investments!$H$6:$H$1005,Investments!$A$6:$A$1005,$B100))</f>
        <v/>
      </c>
      <c r="F100" s="17" t="str">
        <f aca="false">IF($B100="","",SUMIFS(Investments!$P$6:$P$1005,Investments!$A$6:$A$1005,$B100))</f>
        <v/>
      </c>
      <c r="G100" s="17" t="str">
        <f aca="false">IF($B100="","",SUMIFS(Investments!$J$6:$J$1005,Investments!$A$6:$A$1005,$B100)+SUMIFS(Investments!$K$6:$K$1005,Investments!$A$6:$A$1005,$B100)+SUMIFS(Investments!$L$6:$L$1005,Investments!$A$6:$A$1005,$B100))</f>
        <v/>
      </c>
      <c r="H100" s="17" t="str">
        <f aca="false">IF($B100="","",SUMIFS(Investments!$M$6:$M$1005,Investments!$A$6:$A$1005,$B100))</f>
        <v/>
      </c>
      <c r="I100" s="17" t="str">
        <f aca="false">IF($B100="","",($H100+$G100)-$F100)</f>
        <v/>
      </c>
      <c r="J100" s="18" t="str">
        <f aca="false">IF(OR($B100="",$F100=0),"",$I100/$F100)</f>
        <v/>
      </c>
      <c r="K100" s="18" t="str">
        <f aca="false">IF(OR($B100="",$H100=0),"",SUMPRODUCT((Investments!$A$6:$A$1005=$B100)*Investments!$M$6:$M$1005*Investments!$T$6:$T$1005)/$H100)</f>
        <v/>
      </c>
      <c r="L100" s="18" t="str">
        <f aca="false">IF(OR($B100="",$C$12=0),"",$H100/$C$12)</f>
        <v/>
      </c>
    </row>
    <row r="101" customFormat="false" ht="15" hidden="false" customHeight="false" outlineLevel="0" collapsed="false">
      <c r="B101" s="31" t="str">
        <f aca="false">IF(Clients!$B86="","",Clients!$B86)</f>
        <v/>
      </c>
      <c r="C101" s="32" t="str">
        <f aca="false">IF($B101="","",COUNTIFS(Investments!$A$6:$A$1005,$B101))</f>
        <v/>
      </c>
      <c r="D101" s="33" t="str">
        <f aca="false">IF($B101="","",SUMIFS(Investments!$G$6:$G$1005,Investments!$A$6:$A$1005,$B101))</f>
        <v/>
      </c>
      <c r="E101" s="33" t="str">
        <f aca="false">IF($B101="","",SUMIFS(Investments!$H$6:$H$1005,Investments!$A$6:$A$1005,$B101))</f>
        <v/>
      </c>
      <c r="F101" s="33" t="str">
        <f aca="false">IF($B101="","",SUMIFS(Investments!$P$6:$P$1005,Investments!$A$6:$A$1005,$B101))</f>
        <v/>
      </c>
      <c r="G101" s="33" t="str">
        <f aca="false">IF($B101="","",SUMIFS(Investments!$J$6:$J$1005,Investments!$A$6:$A$1005,$B101)+SUMIFS(Investments!$K$6:$K$1005,Investments!$A$6:$A$1005,$B101)+SUMIFS(Investments!$L$6:$L$1005,Investments!$A$6:$A$1005,$B101))</f>
        <v/>
      </c>
      <c r="H101" s="33" t="str">
        <f aca="false">IF($B101="","",SUMIFS(Investments!$M$6:$M$1005,Investments!$A$6:$A$1005,$B101))</f>
        <v/>
      </c>
      <c r="I101" s="33" t="str">
        <f aca="false">IF($B101="","",($H101+$G101)-$F101)</f>
        <v/>
      </c>
      <c r="J101" s="34" t="str">
        <f aca="false">IF(OR($B101="",$F101=0),"",$I101/$F101)</f>
        <v/>
      </c>
      <c r="K101" s="34" t="str">
        <f aca="false">IF(OR($B101="",$H101=0),"",SUMPRODUCT((Investments!$A$6:$A$1005=$B101)*Investments!$M$6:$M$1005*Investments!$T$6:$T$1005)/$H101)</f>
        <v/>
      </c>
      <c r="L101" s="34" t="str">
        <f aca="false">IF(OR($B101="",$C$12=0),"",$H101/$C$12)</f>
        <v/>
      </c>
    </row>
    <row r="102" customFormat="false" ht="15" hidden="false" customHeight="false" outlineLevel="0" collapsed="false">
      <c r="B102" s="14" t="str">
        <f aca="false">IF(Clients!$B87="","",Clients!$B87)</f>
        <v/>
      </c>
      <c r="C102" s="35" t="str">
        <f aca="false">IF($B102="","",COUNTIFS(Investments!$A$6:$A$1005,$B102))</f>
        <v/>
      </c>
      <c r="D102" s="17" t="str">
        <f aca="false">IF($B102="","",SUMIFS(Investments!$G$6:$G$1005,Investments!$A$6:$A$1005,$B102))</f>
        <v/>
      </c>
      <c r="E102" s="17" t="str">
        <f aca="false">IF($B102="","",SUMIFS(Investments!$H$6:$H$1005,Investments!$A$6:$A$1005,$B102))</f>
        <v/>
      </c>
      <c r="F102" s="17" t="str">
        <f aca="false">IF($B102="","",SUMIFS(Investments!$P$6:$P$1005,Investments!$A$6:$A$1005,$B102))</f>
        <v/>
      </c>
      <c r="G102" s="17" t="str">
        <f aca="false">IF($B102="","",SUMIFS(Investments!$J$6:$J$1005,Investments!$A$6:$A$1005,$B102)+SUMIFS(Investments!$K$6:$K$1005,Investments!$A$6:$A$1005,$B102)+SUMIFS(Investments!$L$6:$L$1005,Investments!$A$6:$A$1005,$B102))</f>
        <v/>
      </c>
      <c r="H102" s="17" t="str">
        <f aca="false">IF($B102="","",SUMIFS(Investments!$M$6:$M$1005,Investments!$A$6:$A$1005,$B102))</f>
        <v/>
      </c>
      <c r="I102" s="17" t="str">
        <f aca="false">IF($B102="","",($H102+$G102)-$F102)</f>
        <v/>
      </c>
      <c r="J102" s="18" t="str">
        <f aca="false">IF(OR($B102="",$F102=0),"",$I102/$F102)</f>
        <v/>
      </c>
      <c r="K102" s="18" t="str">
        <f aca="false">IF(OR($B102="",$H102=0),"",SUMPRODUCT((Investments!$A$6:$A$1005=$B102)*Investments!$M$6:$M$1005*Investments!$T$6:$T$1005)/$H102)</f>
        <v/>
      </c>
      <c r="L102" s="18" t="str">
        <f aca="false">IF(OR($B102="",$C$12=0),"",$H102/$C$12)</f>
        <v/>
      </c>
    </row>
    <row r="103" customFormat="false" ht="15" hidden="false" customHeight="false" outlineLevel="0" collapsed="false">
      <c r="B103" s="31" t="str">
        <f aca="false">IF(Clients!$B88="","",Clients!$B88)</f>
        <v/>
      </c>
      <c r="C103" s="32" t="str">
        <f aca="false">IF($B103="","",COUNTIFS(Investments!$A$6:$A$1005,$B103))</f>
        <v/>
      </c>
      <c r="D103" s="33" t="str">
        <f aca="false">IF($B103="","",SUMIFS(Investments!$G$6:$G$1005,Investments!$A$6:$A$1005,$B103))</f>
        <v/>
      </c>
      <c r="E103" s="33" t="str">
        <f aca="false">IF($B103="","",SUMIFS(Investments!$H$6:$H$1005,Investments!$A$6:$A$1005,$B103))</f>
        <v/>
      </c>
      <c r="F103" s="33" t="str">
        <f aca="false">IF($B103="","",SUMIFS(Investments!$P$6:$P$1005,Investments!$A$6:$A$1005,$B103))</f>
        <v/>
      </c>
      <c r="G103" s="33" t="str">
        <f aca="false">IF($B103="","",SUMIFS(Investments!$J$6:$J$1005,Investments!$A$6:$A$1005,$B103)+SUMIFS(Investments!$K$6:$K$1005,Investments!$A$6:$A$1005,$B103)+SUMIFS(Investments!$L$6:$L$1005,Investments!$A$6:$A$1005,$B103))</f>
        <v/>
      </c>
      <c r="H103" s="33" t="str">
        <f aca="false">IF($B103="","",SUMIFS(Investments!$M$6:$M$1005,Investments!$A$6:$A$1005,$B103))</f>
        <v/>
      </c>
      <c r="I103" s="33" t="str">
        <f aca="false">IF($B103="","",($H103+$G103)-$F103)</f>
        <v/>
      </c>
      <c r="J103" s="34" t="str">
        <f aca="false">IF(OR($B103="",$F103=0),"",$I103/$F103)</f>
        <v/>
      </c>
      <c r="K103" s="34" t="str">
        <f aca="false">IF(OR($B103="",$H103=0),"",SUMPRODUCT((Investments!$A$6:$A$1005=$B103)*Investments!$M$6:$M$1005*Investments!$T$6:$T$1005)/$H103)</f>
        <v/>
      </c>
      <c r="L103" s="34" t="str">
        <f aca="false">IF(OR($B103="",$C$12=0),"",$H103/$C$12)</f>
        <v/>
      </c>
    </row>
    <row r="104" customFormat="false" ht="15" hidden="false" customHeight="false" outlineLevel="0" collapsed="false">
      <c r="B104" s="14" t="str">
        <f aca="false">IF(Clients!$B89="","",Clients!$B89)</f>
        <v/>
      </c>
      <c r="C104" s="35" t="str">
        <f aca="false">IF($B104="","",COUNTIFS(Investments!$A$6:$A$1005,$B104))</f>
        <v/>
      </c>
      <c r="D104" s="17" t="str">
        <f aca="false">IF($B104="","",SUMIFS(Investments!$G$6:$G$1005,Investments!$A$6:$A$1005,$B104))</f>
        <v/>
      </c>
      <c r="E104" s="17" t="str">
        <f aca="false">IF($B104="","",SUMIFS(Investments!$H$6:$H$1005,Investments!$A$6:$A$1005,$B104))</f>
        <v/>
      </c>
      <c r="F104" s="17" t="str">
        <f aca="false">IF($B104="","",SUMIFS(Investments!$P$6:$P$1005,Investments!$A$6:$A$1005,$B104))</f>
        <v/>
      </c>
      <c r="G104" s="17" t="str">
        <f aca="false">IF($B104="","",SUMIFS(Investments!$J$6:$J$1005,Investments!$A$6:$A$1005,$B104)+SUMIFS(Investments!$K$6:$K$1005,Investments!$A$6:$A$1005,$B104)+SUMIFS(Investments!$L$6:$L$1005,Investments!$A$6:$A$1005,$B104))</f>
        <v/>
      </c>
      <c r="H104" s="17" t="str">
        <f aca="false">IF($B104="","",SUMIFS(Investments!$M$6:$M$1005,Investments!$A$6:$A$1005,$B104))</f>
        <v/>
      </c>
      <c r="I104" s="17" t="str">
        <f aca="false">IF($B104="","",($H104+$G104)-$F104)</f>
        <v/>
      </c>
      <c r="J104" s="18" t="str">
        <f aca="false">IF(OR($B104="",$F104=0),"",$I104/$F104)</f>
        <v/>
      </c>
      <c r="K104" s="18" t="str">
        <f aca="false">IF(OR($B104="",$H104=0),"",SUMPRODUCT((Investments!$A$6:$A$1005=$B104)*Investments!$M$6:$M$1005*Investments!$T$6:$T$1005)/$H104)</f>
        <v/>
      </c>
      <c r="L104" s="18" t="str">
        <f aca="false">IF(OR($B104="",$C$12=0),"",$H104/$C$12)</f>
        <v/>
      </c>
    </row>
    <row r="105" customFormat="false" ht="15" hidden="false" customHeight="false" outlineLevel="0" collapsed="false">
      <c r="B105" s="31" t="str">
        <f aca="false">IF(Clients!$B90="","",Clients!$B90)</f>
        <v/>
      </c>
      <c r="C105" s="32" t="str">
        <f aca="false">IF($B105="","",COUNTIFS(Investments!$A$6:$A$1005,$B105))</f>
        <v/>
      </c>
      <c r="D105" s="33" t="str">
        <f aca="false">IF($B105="","",SUMIFS(Investments!$G$6:$G$1005,Investments!$A$6:$A$1005,$B105))</f>
        <v/>
      </c>
      <c r="E105" s="33" t="str">
        <f aca="false">IF($B105="","",SUMIFS(Investments!$H$6:$H$1005,Investments!$A$6:$A$1005,$B105))</f>
        <v/>
      </c>
      <c r="F105" s="33" t="str">
        <f aca="false">IF($B105="","",SUMIFS(Investments!$P$6:$P$1005,Investments!$A$6:$A$1005,$B105))</f>
        <v/>
      </c>
      <c r="G105" s="33" t="str">
        <f aca="false">IF($B105="","",SUMIFS(Investments!$J$6:$J$1005,Investments!$A$6:$A$1005,$B105)+SUMIFS(Investments!$K$6:$K$1005,Investments!$A$6:$A$1005,$B105)+SUMIFS(Investments!$L$6:$L$1005,Investments!$A$6:$A$1005,$B105))</f>
        <v/>
      </c>
      <c r="H105" s="33" t="str">
        <f aca="false">IF($B105="","",SUMIFS(Investments!$M$6:$M$1005,Investments!$A$6:$A$1005,$B105))</f>
        <v/>
      </c>
      <c r="I105" s="33" t="str">
        <f aca="false">IF($B105="","",($H105+$G105)-$F105)</f>
        <v/>
      </c>
      <c r="J105" s="34" t="str">
        <f aca="false">IF(OR($B105="",$F105=0),"",$I105/$F105)</f>
        <v/>
      </c>
      <c r="K105" s="34" t="str">
        <f aca="false">IF(OR($B105="",$H105=0),"",SUMPRODUCT((Investments!$A$6:$A$1005=$B105)*Investments!$M$6:$M$1005*Investments!$T$6:$T$1005)/$H105)</f>
        <v/>
      </c>
      <c r="L105" s="34" t="str">
        <f aca="false">IF(OR($B105="",$C$12=0),"",$H105/$C$12)</f>
        <v/>
      </c>
    </row>
    <row r="106" customFormat="false" ht="15" hidden="false" customHeight="false" outlineLevel="0" collapsed="false">
      <c r="B106" s="14" t="str">
        <f aca="false">IF(Clients!$B91="","",Clients!$B91)</f>
        <v/>
      </c>
      <c r="C106" s="35" t="str">
        <f aca="false">IF($B106="","",COUNTIFS(Investments!$A$6:$A$1005,$B106))</f>
        <v/>
      </c>
      <c r="D106" s="17" t="str">
        <f aca="false">IF($B106="","",SUMIFS(Investments!$G$6:$G$1005,Investments!$A$6:$A$1005,$B106))</f>
        <v/>
      </c>
      <c r="E106" s="17" t="str">
        <f aca="false">IF($B106="","",SUMIFS(Investments!$H$6:$H$1005,Investments!$A$6:$A$1005,$B106))</f>
        <v/>
      </c>
      <c r="F106" s="17" t="str">
        <f aca="false">IF($B106="","",SUMIFS(Investments!$P$6:$P$1005,Investments!$A$6:$A$1005,$B106))</f>
        <v/>
      </c>
      <c r="G106" s="17" t="str">
        <f aca="false">IF($B106="","",SUMIFS(Investments!$J$6:$J$1005,Investments!$A$6:$A$1005,$B106)+SUMIFS(Investments!$K$6:$K$1005,Investments!$A$6:$A$1005,$B106)+SUMIFS(Investments!$L$6:$L$1005,Investments!$A$6:$A$1005,$B106))</f>
        <v/>
      </c>
      <c r="H106" s="17" t="str">
        <f aca="false">IF($B106="","",SUMIFS(Investments!$M$6:$M$1005,Investments!$A$6:$A$1005,$B106))</f>
        <v/>
      </c>
      <c r="I106" s="17" t="str">
        <f aca="false">IF($B106="","",($H106+$G106)-$F106)</f>
        <v/>
      </c>
      <c r="J106" s="18" t="str">
        <f aca="false">IF(OR($B106="",$F106=0),"",$I106/$F106)</f>
        <v/>
      </c>
      <c r="K106" s="18" t="str">
        <f aca="false">IF(OR($B106="",$H106=0),"",SUMPRODUCT((Investments!$A$6:$A$1005=$B106)*Investments!$M$6:$M$1005*Investments!$T$6:$T$1005)/$H106)</f>
        <v/>
      </c>
      <c r="L106" s="18" t="str">
        <f aca="false">IF(OR($B106="",$C$12=0),"",$H106/$C$12)</f>
        <v/>
      </c>
    </row>
    <row r="107" customFormat="false" ht="15" hidden="false" customHeight="false" outlineLevel="0" collapsed="false">
      <c r="B107" s="31" t="str">
        <f aca="false">IF(Clients!$B92="","",Clients!$B92)</f>
        <v/>
      </c>
      <c r="C107" s="32" t="str">
        <f aca="false">IF($B107="","",COUNTIFS(Investments!$A$6:$A$1005,$B107))</f>
        <v/>
      </c>
      <c r="D107" s="33" t="str">
        <f aca="false">IF($B107="","",SUMIFS(Investments!$G$6:$G$1005,Investments!$A$6:$A$1005,$B107))</f>
        <v/>
      </c>
      <c r="E107" s="33" t="str">
        <f aca="false">IF($B107="","",SUMIFS(Investments!$H$6:$H$1005,Investments!$A$6:$A$1005,$B107))</f>
        <v/>
      </c>
      <c r="F107" s="33" t="str">
        <f aca="false">IF($B107="","",SUMIFS(Investments!$P$6:$P$1005,Investments!$A$6:$A$1005,$B107))</f>
        <v/>
      </c>
      <c r="G107" s="33" t="str">
        <f aca="false">IF($B107="","",SUMIFS(Investments!$J$6:$J$1005,Investments!$A$6:$A$1005,$B107)+SUMIFS(Investments!$K$6:$K$1005,Investments!$A$6:$A$1005,$B107)+SUMIFS(Investments!$L$6:$L$1005,Investments!$A$6:$A$1005,$B107))</f>
        <v/>
      </c>
      <c r="H107" s="33" t="str">
        <f aca="false">IF($B107="","",SUMIFS(Investments!$M$6:$M$1005,Investments!$A$6:$A$1005,$B107))</f>
        <v/>
      </c>
      <c r="I107" s="33" t="str">
        <f aca="false">IF($B107="","",($H107+$G107)-$F107)</f>
        <v/>
      </c>
      <c r="J107" s="34" t="str">
        <f aca="false">IF(OR($B107="",$F107=0),"",$I107/$F107)</f>
        <v/>
      </c>
      <c r="K107" s="34" t="str">
        <f aca="false">IF(OR($B107="",$H107=0),"",SUMPRODUCT((Investments!$A$6:$A$1005=$B107)*Investments!$M$6:$M$1005*Investments!$T$6:$T$1005)/$H107)</f>
        <v/>
      </c>
      <c r="L107" s="34" t="str">
        <f aca="false">IF(OR($B107="",$C$12=0),"",$H107/$C$12)</f>
        <v/>
      </c>
    </row>
    <row r="108" customFormat="false" ht="15" hidden="false" customHeight="false" outlineLevel="0" collapsed="false">
      <c r="B108" s="14" t="str">
        <f aca="false">IF(Clients!$B93="","",Clients!$B93)</f>
        <v/>
      </c>
      <c r="C108" s="35" t="str">
        <f aca="false">IF($B108="","",COUNTIFS(Investments!$A$6:$A$1005,$B108))</f>
        <v/>
      </c>
      <c r="D108" s="17" t="str">
        <f aca="false">IF($B108="","",SUMIFS(Investments!$G$6:$G$1005,Investments!$A$6:$A$1005,$B108))</f>
        <v/>
      </c>
      <c r="E108" s="17" t="str">
        <f aca="false">IF($B108="","",SUMIFS(Investments!$H$6:$H$1005,Investments!$A$6:$A$1005,$B108))</f>
        <v/>
      </c>
      <c r="F108" s="17" t="str">
        <f aca="false">IF($B108="","",SUMIFS(Investments!$P$6:$P$1005,Investments!$A$6:$A$1005,$B108))</f>
        <v/>
      </c>
      <c r="G108" s="17" t="str">
        <f aca="false">IF($B108="","",SUMIFS(Investments!$J$6:$J$1005,Investments!$A$6:$A$1005,$B108)+SUMIFS(Investments!$K$6:$K$1005,Investments!$A$6:$A$1005,$B108)+SUMIFS(Investments!$L$6:$L$1005,Investments!$A$6:$A$1005,$B108))</f>
        <v/>
      </c>
      <c r="H108" s="17" t="str">
        <f aca="false">IF($B108="","",SUMIFS(Investments!$M$6:$M$1005,Investments!$A$6:$A$1005,$B108))</f>
        <v/>
      </c>
      <c r="I108" s="17" t="str">
        <f aca="false">IF($B108="","",($H108+$G108)-$F108)</f>
        <v/>
      </c>
      <c r="J108" s="18" t="str">
        <f aca="false">IF(OR($B108="",$F108=0),"",$I108/$F108)</f>
        <v/>
      </c>
      <c r="K108" s="18" t="str">
        <f aca="false">IF(OR($B108="",$H108=0),"",SUMPRODUCT((Investments!$A$6:$A$1005=$B108)*Investments!$M$6:$M$1005*Investments!$T$6:$T$1005)/$H108)</f>
        <v/>
      </c>
      <c r="L108" s="18" t="str">
        <f aca="false">IF(OR($B108="",$C$12=0),"",$H108/$C$12)</f>
        <v/>
      </c>
    </row>
    <row r="109" customFormat="false" ht="15" hidden="false" customHeight="false" outlineLevel="0" collapsed="false">
      <c r="B109" s="31" t="str">
        <f aca="false">IF(Clients!$B94="","",Clients!$B94)</f>
        <v/>
      </c>
      <c r="C109" s="32" t="str">
        <f aca="false">IF($B109="","",COUNTIFS(Investments!$A$6:$A$1005,$B109))</f>
        <v/>
      </c>
      <c r="D109" s="33" t="str">
        <f aca="false">IF($B109="","",SUMIFS(Investments!$G$6:$G$1005,Investments!$A$6:$A$1005,$B109))</f>
        <v/>
      </c>
      <c r="E109" s="33" t="str">
        <f aca="false">IF($B109="","",SUMIFS(Investments!$H$6:$H$1005,Investments!$A$6:$A$1005,$B109))</f>
        <v/>
      </c>
      <c r="F109" s="33" t="str">
        <f aca="false">IF($B109="","",SUMIFS(Investments!$P$6:$P$1005,Investments!$A$6:$A$1005,$B109))</f>
        <v/>
      </c>
      <c r="G109" s="33" t="str">
        <f aca="false">IF($B109="","",SUMIFS(Investments!$J$6:$J$1005,Investments!$A$6:$A$1005,$B109)+SUMIFS(Investments!$K$6:$K$1005,Investments!$A$6:$A$1005,$B109)+SUMIFS(Investments!$L$6:$L$1005,Investments!$A$6:$A$1005,$B109))</f>
        <v/>
      </c>
      <c r="H109" s="33" t="str">
        <f aca="false">IF($B109="","",SUMIFS(Investments!$M$6:$M$1005,Investments!$A$6:$A$1005,$B109))</f>
        <v/>
      </c>
      <c r="I109" s="33" t="str">
        <f aca="false">IF($B109="","",($H109+$G109)-$F109)</f>
        <v/>
      </c>
      <c r="J109" s="34" t="str">
        <f aca="false">IF(OR($B109="",$F109=0),"",$I109/$F109)</f>
        <v/>
      </c>
      <c r="K109" s="34" t="str">
        <f aca="false">IF(OR($B109="",$H109=0),"",SUMPRODUCT((Investments!$A$6:$A$1005=$B109)*Investments!$M$6:$M$1005*Investments!$T$6:$T$1005)/$H109)</f>
        <v/>
      </c>
      <c r="L109" s="34" t="str">
        <f aca="false">IF(OR($B109="",$C$12=0),"",$H109/$C$12)</f>
        <v/>
      </c>
    </row>
    <row r="110" customFormat="false" ht="15" hidden="false" customHeight="false" outlineLevel="0" collapsed="false">
      <c r="B110" s="14" t="str">
        <f aca="false">IF(Clients!$B95="","",Clients!$B95)</f>
        <v/>
      </c>
      <c r="C110" s="35" t="str">
        <f aca="false">IF($B110="","",COUNTIFS(Investments!$A$6:$A$1005,$B110))</f>
        <v/>
      </c>
      <c r="D110" s="17" t="str">
        <f aca="false">IF($B110="","",SUMIFS(Investments!$G$6:$G$1005,Investments!$A$6:$A$1005,$B110))</f>
        <v/>
      </c>
      <c r="E110" s="17" t="str">
        <f aca="false">IF($B110="","",SUMIFS(Investments!$H$6:$H$1005,Investments!$A$6:$A$1005,$B110))</f>
        <v/>
      </c>
      <c r="F110" s="17" t="str">
        <f aca="false">IF($B110="","",SUMIFS(Investments!$P$6:$P$1005,Investments!$A$6:$A$1005,$B110))</f>
        <v/>
      </c>
      <c r="G110" s="17" t="str">
        <f aca="false">IF($B110="","",SUMIFS(Investments!$J$6:$J$1005,Investments!$A$6:$A$1005,$B110)+SUMIFS(Investments!$K$6:$K$1005,Investments!$A$6:$A$1005,$B110)+SUMIFS(Investments!$L$6:$L$1005,Investments!$A$6:$A$1005,$B110))</f>
        <v/>
      </c>
      <c r="H110" s="17" t="str">
        <f aca="false">IF($B110="","",SUMIFS(Investments!$M$6:$M$1005,Investments!$A$6:$A$1005,$B110))</f>
        <v/>
      </c>
      <c r="I110" s="17" t="str">
        <f aca="false">IF($B110="","",($H110+$G110)-$F110)</f>
        <v/>
      </c>
      <c r="J110" s="18" t="str">
        <f aca="false">IF(OR($B110="",$F110=0),"",$I110/$F110)</f>
        <v/>
      </c>
      <c r="K110" s="18" t="str">
        <f aca="false">IF(OR($B110="",$H110=0),"",SUMPRODUCT((Investments!$A$6:$A$1005=$B110)*Investments!$M$6:$M$1005*Investments!$T$6:$T$1005)/$H110)</f>
        <v/>
      </c>
      <c r="L110" s="18" t="str">
        <f aca="false">IF(OR($B110="",$C$12=0),"",$H110/$C$12)</f>
        <v/>
      </c>
    </row>
    <row r="111" customFormat="false" ht="15" hidden="false" customHeight="false" outlineLevel="0" collapsed="false">
      <c r="B111" s="31" t="str">
        <f aca="false">IF(Clients!$B96="","",Clients!$B96)</f>
        <v/>
      </c>
      <c r="C111" s="32" t="str">
        <f aca="false">IF($B111="","",COUNTIFS(Investments!$A$6:$A$1005,$B111))</f>
        <v/>
      </c>
      <c r="D111" s="33" t="str">
        <f aca="false">IF($B111="","",SUMIFS(Investments!$G$6:$G$1005,Investments!$A$6:$A$1005,$B111))</f>
        <v/>
      </c>
      <c r="E111" s="33" t="str">
        <f aca="false">IF($B111="","",SUMIFS(Investments!$H$6:$H$1005,Investments!$A$6:$A$1005,$B111))</f>
        <v/>
      </c>
      <c r="F111" s="33" t="str">
        <f aca="false">IF($B111="","",SUMIFS(Investments!$P$6:$P$1005,Investments!$A$6:$A$1005,$B111))</f>
        <v/>
      </c>
      <c r="G111" s="33" t="str">
        <f aca="false">IF($B111="","",SUMIFS(Investments!$J$6:$J$1005,Investments!$A$6:$A$1005,$B111)+SUMIFS(Investments!$K$6:$K$1005,Investments!$A$6:$A$1005,$B111)+SUMIFS(Investments!$L$6:$L$1005,Investments!$A$6:$A$1005,$B111))</f>
        <v/>
      </c>
      <c r="H111" s="33" t="str">
        <f aca="false">IF($B111="","",SUMIFS(Investments!$M$6:$M$1005,Investments!$A$6:$A$1005,$B111))</f>
        <v/>
      </c>
      <c r="I111" s="33" t="str">
        <f aca="false">IF($B111="","",($H111+$G111)-$F111)</f>
        <v/>
      </c>
      <c r="J111" s="34" t="str">
        <f aca="false">IF(OR($B111="",$F111=0),"",$I111/$F111)</f>
        <v/>
      </c>
      <c r="K111" s="34" t="str">
        <f aca="false">IF(OR($B111="",$H111=0),"",SUMPRODUCT((Investments!$A$6:$A$1005=$B111)*Investments!$M$6:$M$1005*Investments!$T$6:$T$1005)/$H111)</f>
        <v/>
      </c>
      <c r="L111" s="34" t="str">
        <f aca="false">IF(OR($B111="",$C$12=0),"",$H111/$C$12)</f>
        <v/>
      </c>
    </row>
    <row r="112" customFormat="false" ht="15" hidden="false" customHeight="false" outlineLevel="0" collapsed="false">
      <c r="B112" s="14" t="str">
        <f aca="false">IF(Clients!$B97="","",Clients!$B97)</f>
        <v/>
      </c>
      <c r="C112" s="35" t="str">
        <f aca="false">IF($B112="","",COUNTIFS(Investments!$A$6:$A$1005,$B112))</f>
        <v/>
      </c>
      <c r="D112" s="17" t="str">
        <f aca="false">IF($B112="","",SUMIFS(Investments!$G$6:$G$1005,Investments!$A$6:$A$1005,$B112))</f>
        <v/>
      </c>
      <c r="E112" s="17" t="str">
        <f aca="false">IF($B112="","",SUMIFS(Investments!$H$6:$H$1005,Investments!$A$6:$A$1005,$B112))</f>
        <v/>
      </c>
      <c r="F112" s="17" t="str">
        <f aca="false">IF($B112="","",SUMIFS(Investments!$P$6:$P$1005,Investments!$A$6:$A$1005,$B112))</f>
        <v/>
      </c>
      <c r="G112" s="17" t="str">
        <f aca="false">IF($B112="","",SUMIFS(Investments!$J$6:$J$1005,Investments!$A$6:$A$1005,$B112)+SUMIFS(Investments!$K$6:$K$1005,Investments!$A$6:$A$1005,$B112)+SUMIFS(Investments!$L$6:$L$1005,Investments!$A$6:$A$1005,$B112))</f>
        <v/>
      </c>
      <c r="H112" s="17" t="str">
        <f aca="false">IF($B112="","",SUMIFS(Investments!$M$6:$M$1005,Investments!$A$6:$A$1005,$B112))</f>
        <v/>
      </c>
      <c r="I112" s="17" t="str">
        <f aca="false">IF($B112="","",($H112+$G112)-$F112)</f>
        <v/>
      </c>
      <c r="J112" s="18" t="str">
        <f aca="false">IF(OR($B112="",$F112=0),"",$I112/$F112)</f>
        <v/>
      </c>
      <c r="K112" s="18" t="str">
        <f aca="false">IF(OR($B112="",$H112=0),"",SUMPRODUCT((Investments!$A$6:$A$1005=$B112)*Investments!$M$6:$M$1005*Investments!$T$6:$T$1005)/$H112)</f>
        <v/>
      </c>
      <c r="L112" s="18" t="str">
        <f aca="false">IF(OR($B112="",$C$12=0),"",$H112/$C$12)</f>
        <v/>
      </c>
    </row>
    <row r="113" customFormat="false" ht="15" hidden="false" customHeight="false" outlineLevel="0" collapsed="false">
      <c r="B113" s="31" t="str">
        <f aca="false">IF(Clients!$B98="","",Clients!$B98)</f>
        <v/>
      </c>
      <c r="C113" s="32" t="str">
        <f aca="false">IF($B113="","",COUNTIFS(Investments!$A$6:$A$1005,$B113))</f>
        <v/>
      </c>
      <c r="D113" s="33" t="str">
        <f aca="false">IF($B113="","",SUMIFS(Investments!$G$6:$G$1005,Investments!$A$6:$A$1005,$B113))</f>
        <v/>
      </c>
      <c r="E113" s="33" t="str">
        <f aca="false">IF($B113="","",SUMIFS(Investments!$H$6:$H$1005,Investments!$A$6:$A$1005,$B113))</f>
        <v/>
      </c>
      <c r="F113" s="33" t="str">
        <f aca="false">IF($B113="","",SUMIFS(Investments!$P$6:$P$1005,Investments!$A$6:$A$1005,$B113))</f>
        <v/>
      </c>
      <c r="G113" s="33" t="str">
        <f aca="false">IF($B113="","",SUMIFS(Investments!$J$6:$J$1005,Investments!$A$6:$A$1005,$B113)+SUMIFS(Investments!$K$6:$K$1005,Investments!$A$6:$A$1005,$B113)+SUMIFS(Investments!$L$6:$L$1005,Investments!$A$6:$A$1005,$B113))</f>
        <v/>
      </c>
      <c r="H113" s="33" t="str">
        <f aca="false">IF($B113="","",SUMIFS(Investments!$M$6:$M$1005,Investments!$A$6:$A$1005,$B113))</f>
        <v/>
      </c>
      <c r="I113" s="33" t="str">
        <f aca="false">IF($B113="","",($H113+$G113)-$F113)</f>
        <v/>
      </c>
      <c r="J113" s="34" t="str">
        <f aca="false">IF(OR($B113="",$F113=0),"",$I113/$F113)</f>
        <v/>
      </c>
      <c r="K113" s="34" t="str">
        <f aca="false">IF(OR($B113="",$H113=0),"",SUMPRODUCT((Investments!$A$6:$A$1005=$B113)*Investments!$M$6:$M$1005*Investments!$T$6:$T$1005)/$H113)</f>
        <v/>
      </c>
      <c r="L113" s="34" t="str">
        <f aca="false">IF(OR($B113="",$C$12=0),"",$H113/$C$12)</f>
        <v/>
      </c>
    </row>
    <row r="114" customFormat="false" ht="15" hidden="false" customHeight="false" outlineLevel="0" collapsed="false">
      <c r="B114" s="14" t="str">
        <f aca="false">IF(Clients!$B99="","",Clients!$B99)</f>
        <v/>
      </c>
      <c r="C114" s="35" t="str">
        <f aca="false">IF($B114="","",COUNTIFS(Investments!$A$6:$A$1005,$B114))</f>
        <v/>
      </c>
      <c r="D114" s="17" t="str">
        <f aca="false">IF($B114="","",SUMIFS(Investments!$G$6:$G$1005,Investments!$A$6:$A$1005,$B114))</f>
        <v/>
      </c>
      <c r="E114" s="17" t="str">
        <f aca="false">IF($B114="","",SUMIFS(Investments!$H$6:$H$1005,Investments!$A$6:$A$1005,$B114))</f>
        <v/>
      </c>
      <c r="F114" s="17" t="str">
        <f aca="false">IF($B114="","",SUMIFS(Investments!$P$6:$P$1005,Investments!$A$6:$A$1005,$B114))</f>
        <v/>
      </c>
      <c r="G114" s="17" t="str">
        <f aca="false">IF($B114="","",SUMIFS(Investments!$J$6:$J$1005,Investments!$A$6:$A$1005,$B114)+SUMIFS(Investments!$K$6:$K$1005,Investments!$A$6:$A$1005,$B114)+SUMIFS(Investments!$L$6:$L$1005,Investments!$A$6:$A$1005,$B114))</f>
        <v/>
      </c>
      <c r="H114" s="17" t="str">
        <f aca="false">IF($B114="","",SUMIFS(Investments!$M$6:$M$1005,Investments!$A$6:$A$1005,$B114))</f>
        <v/>
      </c>
      <c r="I114" s="17" t="str">
        <f aca="false">IF($B114="","",($H114+$G114)-$F114)</f>
        <v/>
      </c>
      <c r="J114" s="18" t="str">
        <f aca="false">IF(OR($B114="",$F114=0),"",$I114/$F114)</f>
        <v/>
      </c>
      <c r="K114" s="18" t="str">
        <f aca="false">IF(OR($B114="",$H114=0),"",SUMPRODUCT((Investments!$A$6:$A$1005=$B114)*Investments!$M$6:$M$1005*Investments!$T$6:$T$1005)/$H114)</f>
        <v/>
      </c>
      <c r="L114" s="18" t="str">
        <f aca="false">IF(OR($B114="",$C$12=0),"",$H114/$C$12)</f>
        <v/>
      </c>
    </row>
    <row r="115" customFormat="false" ht="15" hidden="false" customHeight="false" outlineLevel="0" collapsed="false">
      <c r="B115" s="31" t="str">
        <f aca="false">IF(Clients!$B100="","",Clients!$B100)</f>
        <v/>
      </c>
      <c r="C115" s="32" t="str">
        <f aca="false">IF($B115="","",COUNTIFS(Investments!$A$6:$A$1005,$B115))</f>
        <v/>
      </c>
      <c r="D115" s="33" t="str">
        <f aca="false">IF($B115="","",SUMIFS(Investments!$G$6:$G$1005,Investments!$A$6:$A$1005,$B115))</f>
        <v/>
      </c>
      <c r="E115" s="33" t="str">
        <f aca="false">IF($B115="","",SUMIFS(Investments!$H$6:$H$1005,Investments!$A$6:$A$1005,$B115))</f>
        <v/>
      </c>
      <c r="F115" s="33" t="str">
        <f aca="false">IF($B115="","",SUMIFS(Investments!$P$6:$P$1005,Investments!$A$6:$A$1005,$B115))</f>
        <v/>
      </c>
      <c r="G115" s="33" t="str">
        <f aca="false">IF($B115="","",SUMIFS(Investments!$J$6:$J$1005,Investments!$A$6:$A$1005,$B115)+SUMIFS(Investments!$K$6:$K$1005,Investments!$A$6:$A$1005,$B115)+SUMIFS(Investments!$L$6:$L$1005,Investments!$A$6:$A$1005,$B115))</f>
        <v/>
      </c>
      <c r="H115" s="33" t="str">
        <f aca="false">IF($B115="","",SUMIFS(Investments!$M$6:$M$1005,Investments!$A$6:$A$1005,$B115))</f>
        <v/>
      </c>
      <c r="I115" s="33" t="str">
        <f aca="false">IF($B115="","",($H115+$G115)-$F115)</f>
        <v/>
      </c>
      <c r="J115" s="34" t="str">
        <f aca="false">IF(OR($B115="",$F115=0),"",$I115/$F115)</f>
        <v/>
      </c>
      <c r="K115" s="34" t="str">
        <f aca="false">IF(OR($B115="",$H115=0),"",SUMPRODUCT((Investments!$A$6:$A$1005=$B115)*Investments!$M$6:$M$1005*Investments!$T$6:$T$1005)/$H115)</f>
        <v/>
      </c>
      <c r="L115" s="34" t="str">
        <f aca="false">IF(OR($B115="",$C$12=0),"",$H115/$C$12)</f>
        <v/>
      </c>
    </row>
    <row r="116" customFormat="false" ht="15" hidden="false" customHeight="false" outlineLevel="0" collapsed="false">
      <c r="B116" s="14" t="str">
        <f aca="false">IF(Clients!$B101="","",Clients!$B101)</f>
        <v/>
      </c>
      <c r="C116" s="35" t="str">
        <f aca="false">IF($B116="","",COUNTIFS(Investments!$A$6:$A$1005,$B116))</f>
        <v/>
      </c>
      <c r="D116" s="17" t="str">
        <f aca="false">IF($B116="","",SUMIFS(Investments!$G$6:$G$1005,Investments!$A$6:$A$1005,$B116))</f>
        <v/>
      </c>
      <c r="E116" s="17" t="str">
        <f aca="false">IF($B116="","",SUMIFS(Investments!$H$6:$H$1005,Investments!$A$6:$A$1005,$B116))</f>
        <v/>
      </c>
      <c r="F116" s="17" t="str">
        <f aca="false">IF($B116="","",SUMIFS(Investments!$P$6:$P$1005,Investments!$A$6:$A$1005,$B116))</f>
        <v/>
      </c>
      <c r="G116" s="17" t="str">
        <f aca="false">IF($B116="","",SUMIFS(Investments!$J$6:$J$1005,Investments!$A$6:$A$1005,$B116)+SUMIFS(Investments!$K$6:$K$1005,Investments!$A$6:$A$1005,$B116)+SUMIFS(Investments!$L$6:$L$1005,Investments!$A$6:$A$1005,$B116))</f>
        <v/>
      </c>
      <c r="H116" s="17" t="str">
        <f aca="false">IF($B116="","",SUMIFS(Investments!$M$6:$M$1005,Investments!$A$6:$A$1005,$B116))</f>
        <v/>
      </c>
      <c r="I116" s="17" t="str">
        <f aca="false">IF($B116="","",($H116+$G116)-$F116)</f>
        <v/>
      </c>
      <c r="J116" s="18" t="str">
        <f aca="false">IF(OR($B116="",$F116=0),"",$I116/$F116)</f>
        <v/>
      </c>
      <c r="K116" s="18" t="str">
        <f aca="false">IF(OR($B116="",$H116=0),"",SUMPRODUCT((Investments!$A$6:$A$1005=$B116)*Investments!$M$6:$M$1005*Investments!$T$6:$T$1005)/$H116)</f>
        <v/>
      </c>
      <c r="L116" s="18" t="str">
        <f aca="false">IF(OR($B116="",$C$12=0),"",$H116/$C$12)</f>
        <v/>
      </c>
    </row>
    <row r="117" customFormat="false" ht="15" hidden="false" customHeight="false" outlineLevel="0" collapsed="false">
      <c r="B117" s="31" t="str">
        <f aca="false">IF(Clients!$B102="","",Clients!$B102)</f>
        <v/>
      </c>
      <c r="C117" s="32" t="str">
        <f aca="false">IF($B117="","",COUNTIFS(Investments!$A$6:$A$1005,$B117))</f>
        <v/>
      </c>
      <c r="D117" s="33" t="str">
        <f aca="false">IF($B117="","",SUMIFS(Investments!$G$6:$G$1005,Investments!$A$6:$A$1005,$B117))</f>
        <v/>
      </c>
      <c r="E117" s="33" t="str">
        <f aca="false">IF($B117="","",SUMIFS(Investments!$H$6:$H$1005,Investments!$A$6:$A$1005,$B117))</f>
        <v/>
      </c>
      <c r="F117" s="33" t="str">
        <f aca="false">IF($B117="","",SUMIFS(Investments!$P$6:$P$1005,Investments!$A$6:$A$1005,$B117))</f>
        <v/>
      </c>
      <c r="G117" s="33" t="str">
        <f aca="false">IF($B117="","",SUMIFS(Investments!$J$6:$J$1005,Investments!$A$6:$A$1005,$B117)+SUMIFS(Investments!$K$6:$K$1005,Investments!$A$6:$A$1005,$B117)+SUMIFS(Investments!$L$6:$L$1005,Investments!$A$6:$A$1005,$B117))</f>
        <v/>
      </c>
      <c r="H117" s="33" t="str">
        <f aca="false">IF($B117="","",SUMIFS(Investments!$M$6:$M$1005,Investments!$A$6:$A$1005,$B117))</f>
        <v/>
      </c>
      <c r="I117" s="33" t="str">
        <f aca="false">IF($B117="","",($H117+$G117)-$F117)</f>
        <v/>
      </c>
      <c r="J117" s="34" t="str">
        <f aca="false">IF(OR($B117="",$F117=0),"",$I117/$F117)</f>
        <v/>
      </c>
      <c r="K117" s="34" t="str">
        <f aca="false">IF(OR($B117="",$H117=0),"",SUMPRODUCT((Investments!$A$6:$A$1005=$B117)*Investments!$M$6:$M$1005*Investments!$T$6:$T$1005)/$H117)</f>
        <v/>
      </c>
      <c r="L117" s="34" t="str">
        <f aca="false">IF(OR($B117="",$C$12=0),"",$H117/$C$12)</f>
        <v/>
      </c>
    </row>
    <row r="118" customFormat="false" ht="15" hidden="false" customHeight="false" outlineLevel="0" collapsed="false">
      <c r="B118" s="14" t="str">
        <f aca="false">IF(Clients!$B103="","",Clients!$B103)</f>
        <v/>
      </c>
      <c r="C118" s="35" t="str">
        <f aca="false">IF($B118="","",COUNTIFS(Investments!$A$6:$A$1005,$B118))</f>
        <v/>
      </c>
      <c r="D118" s="17" t="str">
        <f aca="false">IF($B118="","",SUMIFS(Investments!$G$6:$G$1005,Investments!$A$6:$A$1005,$B118))</f>
        <v/>
      </c>
      <c r="E118" s="17" t="str">
        <f aca="false">IF($B118="","",SUMIFS(Investments!$H$6:$H$1005,Investments!$A$6:$A$1005,$B118))</f>
        <v/>
      </c>
      <c r="F118" s="17" t="str">
        <f aca="false">IF($B118="","",SUMIFS(Investments!$P$6:$P$1005,Investments!$A$6:$A$1005,$B118))</f>
        <v/>
      </c>
      <c r="G118" s="17" t="str">
        <f aca="false">IF($B118="","",SUMIFS(Investments!$J$6:$J$1005,Investments!$A$6:$A$1005,$B118)+SUMIFS(Investments!$K$6:$K$1005,Investments!$A$6:$A$1005,$B118)+SUMIFS(Investments!$L$6:$L$1005,Investments!$A$6:$A$1005,$B118))</f>
        <v/>
      </c>
      <c r="H118" s="17" t="str">
        <f aca="false">IF($B118="","",SUMIFS(Investments!$M$6:$M$1005,Investments!$A$6:$A$1005,$B118))</f>
        <v/>
      </c>
      <c r="I118" s="17" t="str">
        <f aca="false">IF($B118="","",($H118+$G118)-$F118)</f>
        <v/>
      </c>
      <c r="J118" s="18" t="str">
        <f aca="false">IF(OR($B118="",$F118=0),"",$I118/$F118)</f>
        <v/>
      </c>
      <c r="K118" s="18" t="str">
        <f aca="false">IF(OR($B118="",$H118=0),"",SUMPRODUCT((Investments!$A$6:$A$1005=$B118)*Investments!$M$6:$M$1005*Investments!$T$6:$T$1005)/$H118)</f>
        <v/>
      </c>
      <c r="L118" s="18" t="str">
        <f aca="false">IF(OR($B118="",$C$12=0),"",$H118/$C$12)</f>
        <v/>
      </c>
    </row>
    <row r="119" customFormat="false" ht="15" hidden="false" customHeight="false" outlineLevel="0" collapsed="false">
      <c r="B119" s="31" t="str">
        <f aca="false">IF(Clients!$B104="","",Clients!$B104)</f>
        <v/>
      </c>
      <c r="C119" s="32" t="str">
        <f aca="false">IF($B119="","",COUNTIFS(Investments!$A$6:$A$1005,$B119))</f>
        <v/>
      </c>
      <c r="D119" s="33" t="str">
        <f aca="false">IF($B119="","",SUMIFS(Investments!$G$6:$G$1005,Investments!$A$6:$A$1005,$B119))</f>
        <v/>
      </c>
      <c r="E119" s="33" t="str">
        <f aca="false">IF($B119="","",SUMIFS(Investments!$H$6:$H$1005,Investments!$A$6:$A$1005,$B119))</f>
        <v/>
      </c>
      <c r="F119" s="33" t="str">
        <f aca="false">IF($B119="","",SUMIFS(Investments!$P$6:$P$1005,Investments!$A$6:$A$1005,$B119))</f>
        <v/>
      </c>
      <c r="G119" s="33" t="str">
        <f aca="false">IF($B119="","",SUMIFS(Investments!$J$6:$J$1005,Investments!$A$6:$A$1005,$B119)+SUMIFS(Investments!$K$6:$K$1005,Investments!$A$6:$A$1005,$B119)+SUMIFS(Investments!$L$6:$L$1005,Investments!$A$6:$A$1005,$B119))</f>
        <v/>
      </c>
      <c r="H119" s="33" t="str">
        <f aca="false">IF($B119="","",SUMIFS(Investments!$M$6:$M$1005,Investments!$A$6:$A$1005,$B119))</f>
        <v/>
      </c>
      <c r="I119" s="33" t="str">
        <f aca="false">IF($B119="","",($H119+$G119)-$F119)</f>
        <v/>
      </c>
      <c r="J119" s="34" t="str">
        <f aca="false">IF(OR($B119="",$F119=0),"",$I119/$F119)</f>
        <v/>
      </c>
      <c r="K119" s="34" t="str">
        <f aca="false">IF(OR($B119="",$H119=0),"",SUMPRODUCT((Investments!$A$6:$A$1005=$B119)*Investments!$M$6:$M$1005*Investments!$T$6:$T$1005)/$H119)</f>
        <v/>
      </c>
      <c r="L119" s="34" t="str">
        <f aca="false">IF(OR($B119="",$C$12=0),"",$H119/$C$12)</f>
        <v/>
      </c>
    </row>
    <row r="120" customFormat="false" ht="15" hidden="false" customHeight="false" outlineLevel="0" collapsed="false">
      <c r="B120" s="14" t="str">
        <f aca="false">IF(Clients!$B105="","",Clients!$B105)</f>
        <v/>
      </c>
      <c r="C120" s="35" t="str">
        <f aca="false">IF($B120="","",COUNTIFS(Investments!$A$6:$A$1005,$B120))</f>
        <v/>
      </c>
      <c r="D120" s="17" t="str">
        <f aca="false">IF($B120="","",SUMIFS(Investments!$G$6:$G$1005,Investments!$A$6:$A$1005,$B120))</f>
        <v/>
      </c>
      <c r="E120" s="17" t="str">
        <f aca="false">IF($B120="","",SUMIFS(Investments!$H$6:$H$1005,Investments!$A$6:$A$1005,$B120))</f>
        <v/>
      </c>
      <c r="F120" s="17" t="str">
        <f aca="false">IF($B120="","",SUMIFS(Investments!$P$6:$P$1005,Investments!$A$6:$A$1005,$B120))</f>
        <v/>
      </c>
      <c r="G120" s="17" t="str">
        <f aca="false">IF($B120="","",SUMIFS(Investments!$J$6:$J$1005,Investments!$A$6:$A$1005,$B120)+SUMIFS(Investments!$K$6:$K$1005,Investments!$A$6:$A$1005,$B120)+SUMIFS(Investments!$L$6:$L$1005,Investments!$A$6:$A$1005,$B120))</f>
        <v/>
      </c>
      <c r="H120" s="17" t="str">
        <f aca="false">IF($B120="","",SUMIFS(Investments!$M$6:$M$1005,Investments!$A$6:$A$1005,$B120))</f>
        <v/>
      </c>
      <c r="I120" s="17" t="str">
        <f aca="false">IF($B120="","",($H120+$G120)-$F120)</f>
        <v/>
      </c>
      <c r="J120" s="18" t="str">
        <f aca="false">IF(OR($B120="",$F120=0),"",$I120/$F120)</f>
        <v/>
      </c>
      <c r="K120" s="18" t="str">
        <f aca="false">IF(OR($B120="",$H120=0),"",SUMPRODUCT((Investments!$A$6:$A$1005=$B120)*Investments!$M$6:$M$1005*Investments!$T$6:$T$1005)/$H120)</f>
        <v/>
      </c>
      <c r="L120" s="18" t="str">
        <f aca="false">IF(OR($B120="",$C$12=0),"",$H120/$C$12)</f>
        <v/>
      </c>
    </row>
    <row r="121" customFormat="false" ht="15" hidden="false" customHeight="false" outlineLevel="0" collapsed="false">
      <c r="B121" s="31" t="str">
        <f aca="false">IF(Clients!$B106="","",Clients!$B106)</f>
        <v/>
      </c>
      <c r="C121" s="32" t="str">
        <f aca="false">IF($B121="","",COUNTIFS(Investments!$A$6:$A$1005,$B121))</f>
        <v/>
      </c>
      <c r="D121" s="33" t="str">
        <f aca="false">IF($B121="","",SUMIFS(Investments!$G$6:$G$1005,Investments!$A$6:$A$1005,$B121))</f>
        <v/>
      </c>
      <c r="E121" s="33" t="str">
        <f aca="false">IF($B121="","",SUMIFS(Investments!$H$6:$H$1005,Investments!$A$6:$A$1005,$B121))</f>
        <v/>
      </c>
      <c r="F121" s="33" t="str">
        <f aca="false">IF($B121="","",SUMIFS(Investments!$P$6:$P$1005,Investments!$A$6:$A$1005,$B121))</f>
        <v/>
      </c>
      <c r="G121" s="33" t="str">
        <f aca="false">IF($B121="","",SUMIFS(Investments!$J$6:$J$1005,Investments!$A$6:$A$1005,$B121)+SUMIFS(Investments!$K$6:$K$1005,Investments!$A$6:$A$1005,$B121)+SUMIFS(Investments!$L$6:$L$1005,Investments!$A$6:$A$1005,$B121))</f>
        <v/>
      </c>
      <c r="H121" s="33" t="str">
        <f aca="false">IF($B121="","",SUMIFS(Investments!$M$6:$M$1005,Investments!$A$6:$A$1005,$B121))</f>
        <v/>
      </c>
      <c r="I121" s="33" t="str">
        <f aca="false">IF($B121="","",($H121+$G121)-$F121)</f>
        <v/>
      </c>
      <c r="J121" s="34" t="str">
        <f aca="false">IF(OR($B121="",$F121=0),"",$I121/$F121)</f>
        <v/>
      </c>
      <c r="K121" s="34" t="str">
        <f aca="false">IF(OR($B121="",$H121=0),"",SUMPRODUCT((Investments!$A$6:$A$1005=$B121)*Investments!$M$6:$M$1005*Investments!$T$6:$T$1005)/$H121)</f>
        <v/>
      </c>
      <c r="L121" s="34" t="str">
        <f aca="false">IF(OR($B121="",$C$12=0),"",$H121/$C$12)</f>
        <v/>
      </c>
    </row>
    <row r="122" customFormat="false" ht="15" hidden="false" customHeight="false" outlineLevel="0" collapsed="false">
      <c r="B122" s="14" t="str">
        <f aca="false">IF(Clients!$B107="","",Clients!$B107)</f>
        <v/>
      </c>
      <c r="C122" s="35" t="str">
        <f aca="false">IF($B122="","",COUNTIFS(Investments!$A$6:$A$1005,$B122))</f>
        <v/>
      </c>
      <c r="D122" s="17" t="str">
        <f aca="false">IF($B122="","",SUMIFS(Investments!$G$6:$G$1005,Investments!$A$6:$A$1005,$B122))</f>
        <v/>
      </c>
      <c r="E122" s="17" t="str">
        <f aca="false">IF($B122="","",SUMIFS(Investments!$H$6:$H$1005,Investments!$A$6:$A$1005,$B122))</f>
        <v/>
      </c>
      <c r="F122" s="17" t="str">
        <f aca="false">IF($B122="","",SUMIFS(Investments!$P$6:$P$1005,Investments!$A$6:$A$1005,$B122))</f>
        <v/>
      </c>
      <c r="G122" s="17" t="str">
        <f aca="false">IF($B122="","",SUMIFS(Investments!$J$6:$J$1005,Investments!$A$6:$A$1005,$B122)+SUMIFS(Investments!$K$6:$K$1005,Investments!$A$6:$A$1005,$B122)+SUMIFS(Investments!$L$6:$L$1005,Investments!$A$6:$A$1005,$B122))</f>
        <v/>
      </c>
      <c r="H122" s="17" t="str">
        <f aca="false">IF($B122="","",SUMIFS(Investments!$M$6:$M$1005,Investments!$A$6:$A$1005,$B122))</f>
        <v/>
      </c>
      <c r="I122" s="17" t="str">
        <f aca="false">IF($B122="","",($H122+$G122)-$F122)</f>
        <v/>
      </c>
      <c r="J122" s="18" t="str">
        <f aca="false">IF(OR($B122="",$F122=0),"",$I122/$F122)</f>
        <v/>
      </c>
      <c r="K122" s="18" t="str">
        <f aca="false">IF(OR($B122="",$H122=0),"",SUMPRODUCT((Investments!$A$6:$A$1005=$B122)*Investments!$M$6:$M$1005*Investments!$T$6:$T$1005)/$H122)</f>
        <v/>
      </c>
      <c r="L122" s="18" t="str">
        <f aca="false">IF(OR($B122="",$C$12=0),"",$H122/$C$12)</f>
        <v/>
      </c>
    </row>
    <row r="123" customFormat="false" ht="15" hidden="false" customHeight="false" outlineLevel="0" collapsed="false">
      <c r="B123" s="31" t="str">
        <f aca="false">IF(Clients!$B108="","",Clients!$B108)</f>
        <v/>
      </c>
      <c r="C123" s="32" t="str">
        <f aca="false">IF($B123="","",COUNTIFS(Investments!$A$6:$A$1005,$B123))</f>
        <v/>
      </c>
      <c r="D123" s="33" t="str">
        <f aca="false">IF($B123="","",SUMIFS(Investments!$G$6:$G$1005,Investments!$A$6:$A$1005,$B123))</f>
        <v/>
      </c>
      <c r="E123" s="33" t="str">
        <f aca="false">IF($B123="","",SUMIFS(Investments!$H$6:$H$1005,Investments!$A$6:$A$1005,$B123))</f>
        <v/>
      </c>
      <c r="F123" s="33" t="str">
        <f aca="false">IF($B123="","",SUMIFS(Investments!$P$6:$P$1005,Investments!$A$6:$A$1005,$B123))</f>
        <v/>
      </c>
      <c r="G123" s="33" t="str">
        <f aca="false">IF($B123="","",SUMIFS(Investments!$J$6:$J$1005,Investments!$A$6:$A$1005,$B123)+SUMIFS(Investments!$K$6:$K$1005,Investments!$A$6:$A$1005,$B123)+SUMIFS(Investments!$L$6:$L$1005,Investments!$A$6:$A$1005,$B123))</f>
        <v/>
      </c>
      <c r="H123" s="33" t="str">
        <f aca="false">IF($B123="","",SUMIFS(Investments!$M$6:$M$1005,Investments!$A$6:$A$1005,$B123))</f>
        <v/>
      </c>
      <c r="I123" s="33" t="str">
        <f aca="false">IF($B123="","",($H123+$G123)-$F123)</f>
        <v/>
      </c>
      <c r="J123" s="34" t="str">
        <f aca="false">IF(OR($B123="",$F123=0),"",$I123/$F123)</f>
        <v/>
      </c>
      <c r="K123" s="34" t="str">
        <f aca="false">IF(OR($B123="",$H123=0),"",SUMPRODUCT((Investments!$A$6:$A$1005=$B123)*Investments!$M$6:$M$1005*Investments!$T$6:$T$1005)/$H123)</f>
        <v/>
      </c>
      <c r="L123" s="34" t="str">
        <f aca="false">IF(OR($B123="",$C$12=0),"",$H123/$C$12)</f>
        <v/>
      </c>
    </row>
    <row r="124" customFormat="false" ht="15" hidden="false" customHeight="false" outlineLevel="0" collapsed="false">
      <c r="B124" s="14" t="str">
        <f aca="false">IF(Clients!$B109="","",Clients!$B109)</f>
        <v/>
      </c>
      <c r="C124" s="35" t="str">
        <f aca="false">IF($B124="","",COUNTIFS(Investments!$A$6:$A$1005,$B124))</f>
        <v/>
      </c>
      <c r="D124" s="17" t="str">
        <f aca="false">IF($B124="","",SUMIFS(Investments!$G$6:$G$1005,Investments!$A$6:$A$1005,$B124))</f>
        <v/>
      </c>
      <c r="E124" s="17" t="str">
        <f aca="false">IF($B124="","",SUMIFS(Investments!$H$6:$H$1005,Investments!$A$6:$A$1005,$B124))</f>
        <v/>
      </c>
      <c r="F124" s="17" t="str">
        <f aca="false">IF($B124="","",SUMIFS(Investments!$P$6:$P$1005,Investments!$A$6:$A$1005,$B124))</f>
        <v/>
      </c>
      <c r="G124" s="17" t="str">
        <f aca="false">IF($B124="","",SUMIFS(Investments!$J$6:$J$1005,Investments!$A$6:$A$1005,$B124)+SUMIFS(Investments!$K$6:$K$1005,Investments!$A$6:$A$1005,$B124)+SUMIFS(Investments!$L$6:$L$1005,Investments!$A$6:$A$1005,$B124))</f>
        <v/>
      </c>
      <c r="H124" s="17" t="str">
        <f aca="false">IF($B124="","",SUMIFS(Investments!$M$6:$M$1005,Investments!$A$6:$A$1005,$B124))</f>
        <v/>
      </c>
      <c r="I124" s="17" t="str">
        <f aca="false">IF($B124="","",($H124+$G124)-$F124)</f>
        <v/>
      </c>
      <c r="J124" s="18" t="str">
        <f aca="false">IF(OR($B124="",$F124=0),"",$I124/$F124)</f>
        <v/>
      </c>
      <c r="K124" s="18" t="str">
        <f aca="false">IF(OR($B124="",$H124=0),"",SUMPRODUCT((Investments!$A$6:$A$1005=$B124)*Investments!$M$6:$M$1005*Investments!$T$6:$T$1005)/$H124)</f>
        <v/>
      </c>
      <c r="L124" s="18" t="str">
        <f aca="false">IF(OR($B124="",$C$12=0),"",$H124/$C$12)</f>
        <v/>
      </c>
    </row>
    <row r="125" customFormat="false" ht="15" hidden="false" customHeight="false" outlineLevel="0" collapsed="false">
      <c r="B125" s="31" t="str">
        <f aca="false">IF(Clients!$B110="","",Clients!$B110)</f>
        <v/>
      </c>
      <c r="C125" s="32" t="str">
        <f aca="false">IF($B125="","",COUNTIFS(Investments!$A$6:$A$1005,$B125))</f>
        <v/>
      </c>
      <c r="D125" s="33" t="str">
        <f aca="false">IF($B125="","",SUMIFS(Investments!$G$6:$G$1005,Investments!$A$6:$A$1005,$B125))</f>
        <v/>
      </c>
      <c r="E125" s="33" t="str">
        <f aca="false">IF($B125="","",SUMIFS(Investments!$H$6:$H$1005,Investments!$A$6:$A$1005,$B125))</f>
        <v/>
      </c>
      <c r="F125" s="33" t="str">
        <f aca="false">IF($B125="","",SUMIFS(Investments!$P$6:$P$1005,Investments!$A$6:$A$1005,$B125))</f>
        <v/>
      </c>
      <c r="G125" s="33" t="str">
        <f aca="false">IF($B125="","",SUMIFS(Investments!$J$6:$J$1005,Investments!$A$6:$A$1005,$B125)+SUMIFS(Investments!$K$6:$K$1005,Investments!$A$6:$A$1005,$B125)+SUMIFS(Investments!$L$6:$L$1005,Investments!$A$6:$A$1005,$B125))</f>
        <v/>
      </c>
      <c r="H125" s="33" t="str">
        <f aca="false">IF($B125="","",SUMIFS(Investments!$M$6:$M$1005,Investments!$A$6:$A$1005,$B125))</f>
        <v/>
      </c>
      <c r="I125" s="33" t="str">
        <f aca="false">IF($B125="","",($H125+$G125)-$F125)</f>
        <v/>
      </c>
      <c r="J125" s="34" t="str">
        <f aca="false">IF(OR($B125="",$F125=0),"",$I125/$F125)</f>
        <v/>
      </c>
      <c r="K125" s="34" t="str">
        <f aca="false">IF(OR($B125="",$H125=0),"",SUMPRODUCT((Investments!$A$6:$A$1005=$B125)*Investments!$M$6:$M$1005*Investments!$T$6:$T$1005)/$H125)</f>
        <v/>
      </c>
      <c r="L125" s="34" t="str">
        <f aca="false">IF(OR($B125="",$C$12=0),"",$H125/$C$12)</f>
        <v/>
      </c>
    </row>
    <row r="126" customFormat="false" ht="15" hidden="false" customHeight="false" outlineLevel="0" collapsed="false">
      <c r="B126" s="14" t="str">
        <f aca="false">IF(Clients!$B111="","",Clients!$B111)</f>
        <v/>
      </c>
      <c r="C126" s="35" t="str">
        <f aca="false">IF($B126="","",COUNTIFS(Investments!$A$6:$A$1005,$B126))</f>
        <v/>
      </c>
      <c r="D126" s="17" t="str">
        <f aca="false">IF($B126="","",SUMIFS(Investments!$G$6:$G$1005,Investments!$A$6:$A$1005,$B126))</f>
        <v/>
      </c>
      <c r="E126" s="17" t="str">
        <f aca="false">IF($B126="","",SUMIFS(Investments!$H$6:$H$1005,Investments!$A$6:$A$1005,$B126))</f>
        <v/>
      </c>
      <c r="F126" s="17" t="str">
        <f aca="false">IF($B126="","",SUMIFS(Investments!$P$6:$P$1005,Investments!$A$6:$A$1005,$B126))</f>
        <v/>
      </c>
      <c r="G126" s="17" t="str">
        <f aca="false">IF($B126="","",SUMIFS(Investments!$J$6:$J$1005,Investments!$A$6:$A$1005,$B126)+SUMIFS(Investments!$K$6:$K$1005,Investments!$A$6:$A$1005,$B126)+SUMIFS(Investments!$L$6:$L$1005,Investments!$A$6:$A$1005,$B126))</f>
        <v/>
      </c>
      <c r="H126" s="17" t="str">
        <f aca="false">IF($B126="","",SUMIFS(Investments!$M$6:$M$1005,Investments!$A$6:$A$1005,$B126))</f>
        <v/>
      </c>
      <c r="I126" s="17" t="str">
        <f aca="false">IF($B126="","",($H126+$G126)-$F126)</f>
        <v/>
      </c>
      <c r="J126" s="18" t="str">
        <f aca="false">IF(OR($B126="",$F126=0),"",$I126/$F126)</f>
        <v/>
      </c>
      <c r="K126" s="18" t="str">
        <f aca="false">IF(OR($B126="",$H126=0),"",SUMPRODUCT((Investments!$A$6:$A$1005=$B126)*Investments!$M$6:$M$1005*Investments!$T$6:$T$1005)/$H126)</f>
        <v/>
      </c>
      <c r="L126" s="18" t="str">
        <f aca="false">IF(OR($B126="",$C$12=0),"",$H126/$C$12)</f>
        <v/>
      </c>
    </row>
    <row r="127" customFormat="false" ht="15" hidden="false" customHeight="false" outlineLevel="0" collapsed="false">
      <c r="B127" s="31" t="str">
        <f aca="false">IF(Clients!$B112="","",Clients!$B112)</f>
        <v/>
      </c>
      <c r="C127" s="32" t="str">
        <f aca="false">IF($B127="","",COUNTIFS(Investments!$A$6:$A$1005,$B127))</f>
        <v/>
      </c>
      <c r="D127" s="33" t="str">
        <f aca="false">IF($B127="","",SUMIFS(Investments!$G$6:$G$1005,Investments!$A$6:$A$1005,$B127))</f>
        <v/>
      </c>
      <c r="E127" s="33" t="str">
        <f aca="false">IF($B127="","",SUMIFS(Investments!$H$6:$H$1005,Investments!$A$6:$A$1005,$B127))</f>
        <v/>
      </c>
      <c r="F127" s="33" t="str">
        <f aca="false">IF($B127="","",SUMIFS(Investments!$P$6:$P$1005,Investments!$A$6:$A$1005,$B127))</f>
        <v/>
      </c>
      <c r="G127" s="33" t="str">
        <f aca="false">IF($B127="","",SUMIFS(Investments!$J$6:$J$1005,Investments!$A$6:$A$1005,$B127)+SUMIFS(Investments!$K$6:$K$1005,Investments!$A$6:$A$1005,$B127)+SUMIFS(Investments!$L$6:$L$1005,Investments!$A$6:$A$1005,$B127))</f>
        <v/>
      </c>
      <c r="H127" s="33" t="str">
        <f aca="false">IF($B127="","",SUMIFS(Investments!$M$6:$M$1005,Investments!$A$6:$A$1005,$B127))</f>
        <v/>
      </c>
      <c r="I127" s="33" t="str">
        <f aca="false">IF($B127="","",($H127+$G127)-$F127)</f>
        <v/>
      </c>
      <c r="J127" s="34" t="str">
        <f aca="false">IF(OR($B127="",$F127=0),"",$I127/$F127)</f>
        <v/>
      </c>
      <c r="K127" s="34" t="str">
        <f aca="false">IF(OR($B127="",$H127=0),"",SUMPRODUCT((Investments!$A$6:$A$1005=$B127)*Investments!$M$6:$M$1005*Investments!$T$6:$T$1005)/$H127)</f>
        <v/>
      </c>
      <c r="L127" s="34" t="str">
        <f aca="false">IF(OR($B127="",$C$12=0),"",$H127/$C$12)</f>
        <v/>
      </c>
    </row>
    <row r="128" customFormat="false" ht="15" hidden="false" customHeight="false" outlineLevel="0" collapsed="false">
      <c r="B128" s="14" t="str">
        <f aca="false">IF(Clients!$B113="","",Clients!$B113)</f>
        <v/>
      </c>
      <c r="C128" s="35" t="str">
        <f aca="false">IF($B128="","",COUNTIFS(Investments!$A$6:$A$1005,$B128))</f>
        <v/>
      </c>
      <c r="D128" s="17" t="str">
        <f aca="false">IF($B128="","",SUMIFS(Investments!$G$6:$G$1005,Investments!$A$6:$A$1005,$B128))</f>
        <v/>
      </c>
      <c r="E128" s="17" t="str">
        <f aca="false">IF($B128="","",SUMIFS(Investments!$H$6:$H$1005,Investments!$A$6:$A$1005,$B128))</f>
        <v/>
      </c>
      <c r="F128" s="17" t="str">
        <f aca="false">IF($B128="","",SUMIFS(Investments!$P$6:$P$1005,Investments!$A$6:$A$1005,$B128))</f>
        <v/>
      </c>
      <c r="G128" s="17" t="str">
        <f aca="false">IF($B128="","",SUMIFS(Investments!$J$6:$J$1005,Investments!$A$6:$A$1005,$B128)+SUMIFS(Investments!$K$6:$K$1005,Investments!$A$6:$A$1005,$B128)+SUMIFS(Investments!$L$6:$L$1005,Investments!$A$6:$A$1005,$B128))</f>
        <v/>
      </c>
      <c r="H128" s="17" t="str">
        <f aca="false">IF($B128="","",SUMIFS(Investments!$M$6:$M$1005,Investments!$A$6:$A$1005,$B128))</f>
        <v/>
      </c>
      <c r="I128" s="17" t="str">
        <f aca="false">IF($B128="","",($H128+$G128)-$F128)</f>
        <v/>
      </c>
      <c r="J128" s="18" t="str">
        <f aca="false">IF(OR($B128="",$F128=0),"",$I128/$F128)</f>
        <v/>
      </c>
      <c r="K128" s="18" t="str">
        <f aca="false">IF(OR($B128="",$H128=0),"",SUMPRODUCT((Investments!$A$6:$A$1005=$B128)*Investments!$M$6:$M$1005*Investments!$T$6:$T$1005)/$H128)</f>
        <v/>
      </c>
      <c r="L128" s="18" t="str">
        <f aca="false">IF(OR($B128="",$C$12=0),"",$H128/$C$12)</f>
        <v/>
      </c>
    </row>
    <row r="129" customFormat="false" ht="15" hidden="false" customHeight="false" outlineLevel="0" collapsed="false">
      <c r="B129" s="31" t="str">
        <f aca="false">IF(Clients!$B114="","",Clients!$B114)</f>
        <v/>
      </c>
      <c r="C129" s="32" t="str">
        <f aca="false">IF($B129="","",COUNTIFS(Investments!$A$6:$A$1005,$B129))</f>
        <v/>
      </c>
      <c r="D129" s="33" t="str">
        <f aca="false">IF($B129="","",SUMIFS(Investments!$G$6:$G$1005,Investments!$A$6:$A$1005,$B129))</f>
        <v/>
      </c>
      <c r="E129" s="33" t="str">
        <f aca="false">IF($B129="","",SUMIFS(Investments!$H$6:$H$1005,Investments!$A$6:$A$1005,$B129))</f>
        <v/>
      </c>
      <c r="F129" s="33" t="str">
        <f aca="false">IF($B129="","",SUMIFS(Investments!$P$6:$P$1005,Investments!$A$6:$A$1005,$B129))</f>
        <v/>
      </c>
      <c r="G129" s="33" t="str">
        <f aca="false">IF($B129="","",SUMIFS(Investments!$J$6:$J$1005,Investments!$A$6:$A$1005,$B129)+SUMIFS(Investments!$K$6:$K$1005,Investments!$A$6:$A$1005,$B129)+SUMIFS(Investments!$L$6:$L$1005,Investments!$A$6:$A$1005,$B129))</f>
        <v/>
      </c>
      <c r="H129" s="33" t="str">
        <f aca="false">IF($B129="","",SUMIFS(Investments!$M$6:$M$1005,Investments!$A$6:$A$1005,$B129))</f>
        <v/>
      </c>
      <c r="I129" s="33" t="str">
        <f aca="false">IF($B129="","",($H129+$G129)-$F129)</f>
        <v/>
      </c>
      <c r="J129" s="34" t="str">
        <f aca="false">IF(OR($B129="",$F129=0),"",$I129/$F129)</f>
        <v/>
      </c>
      <c r="K129" s="34" t="str">
        <f aca="false">IF(OR($B129="",$H129=0),"",SUMPRODUCT((Investments!$A$6:$A$1005=$B129)*Investments!$M$6:$M$1005*Investments!$T$6:$T$1005)/$H129)</f>
        <v/>
      </c>
      <c r="L129" s="34" t="str">
        <f aca="false">IF(OR($B129="",$C$12=0),"",$H129/$C$12)</f>
        <v/>
      </c>
    </row>
    <row r="130" customFormat="false" ht="15" hidden="false" customHeight="false" outlineLevel="0" collapsed="false">
      <c r="B130" s="14" t="str">
        <f aca="false">IF(Clients!$B115="","",Clients!$B115)</f>
        <v/>
      </c>
      <c r="C130" s="35" t="str">
        <f aca="false">IF($B130="","",COUNTIFS(Investments!$A$6:$A$1005,$B130))</f>
        <v/>
      </c>
      <c r="D130" s="17" t="str">
        <f aca="false">IF($B130="","",SUMIFS(Investments!$G$6:$G$1005,Investments!$A$6:$A$1005,$B130))</f>
        <v/>
      </c>
      <c r="E130" s="17" t="str">
        <f aca="false">IF($B130="","",SUMIFS(Investments!$H$6:$H$1005,Investments!$A$6:$A$1005,$B130))</f>
        <v/>
      </c>
      <c r="F130" s="17" t="str">
        <f aca="false">IF($B130="","",SUMIFS(Investments!$P$6:$P$1005,Investments!$A$6:$A$1005,$B130))</f>
        <v/>
      </c>
      <c r="G130" s="17" t="str">
        <f aca="false">IF($B130="","",SUMIFS(Investments!$J$6:$J$1005,Investments!$A$6:$A$1005,$B130)+SUMIFS(Investments!$K$6:$K$1005,Investments!$A$6:$A$1005,$B130)+SUMIFS(Investments!$L$6:$L$1005,Investments!$A$6:$A$1005,$B130))</f>
        <v/>
      </c>
      <c r="H130" s="17" t="str">
        <f aca="false">IF($B130="","",SUMIFS(Investments!$M$6:$M$1005,Investments!$A$6:$A$1005,$B130))</f>
        <v/>
      </c>
      <c r="I130" s="17" t="str">
        <f aca="false">IF($B130="","",($H130+$G130)-$F130)</f>
        <v/>
      </c>
      <c r="J130" s="18" t="str">
        <f aca="false">IF(OR($B130="",$F130=0),"",$I130/$F130)</f>
        <v/>
      </c>
      <c r="K130" s="18" t="str">
        <f aca="false">IF(OR($B130="",$H130=0),"",SUMPRODUCT((Investments!$A$6:$A$1005=$B130)*Investments!$M$6:$M$1005*Investments!$T$6:$T$1005)/$H130)</f>
        <v/>
      </c>
      <c r="L130" s="18" t="str">
        <f aca="false">IF(OR($B130="",$C$12=0),"",$H130/$C$12)</f>
        <v/>
      </c>
    </row>
    <row r="131" customFormat="false" ht="15" hidden="false" customHeight="false" outlineLevel="0" collapsed="false">
      <c r="B131" s="31" t="str">
        <f aca="false">IF(Clients!$B116="","",Clients!$B116)</f>
        <v/>
      </c>
      <c r="C131" s="32" t="str">
        <f aca="false">IF($B131="","",COUNTIFS(Investments!$A$6:$A$1005,$B131))</f>
        <v/>
      </c>
      <c r="D131" s="33" t="str">
        <f aca="false">IF($B131="","",SUMIFS(Investments!$G$6:$G$1005,Investments!$A$6:$A$1005,$B131))</f>
        <v/>
      </c>
      <c r="E131" s="33" t="str">
        <f aca="false">IF($B131="","",SUMIFS(Investments!$H$6:$H$1005,Investments!$A$6:$A$1005,$B131))</f>
        <v/>
      </c>
      <c r="F131" s="33" t="str">
        <f aca="false">IF($B131="","",SUMIFS(Investments!$P$6:$P$1005,Investments!$A$6:$A$1005,$B131))</f>
        <v/>
      </c>
      <c r="G131" s="33" t="str">
        <f aca="false">IF($B131="","",SUMIFS(Investments!$J$6:$J$1005,Investments!$A$6:$A$1005,$B131)+SUMIFS(Investments!$K$6:$K$1005,Investments!$A$6:$A$1005,$B131)+SUMIFS(Investments!$L$6:$L$1005,Investments!$A$6:$A$1005,$B131))</f>
        <v/>
      </c>
      <c r="H131" s="33" t="str">
        <f aca="false">IF($B131="","",SUMIFS(Investments!$M$6:$M$1005,Investments!$A$6:$A$1005,$B131))</f>
        <v/>
      </c>
      <c r="I131" s="33" t="str">
        <f aca="false">IF($B131="","",($H131+$G131)-$F131)</f>
        <v/>
      </c>
      <c r="J131" s="34" t="str">
        <f aca="false">IF(OR($B131="",$F131=0),"",$I131/$F131)</f>
        <v/>
      </c>
      <c r="K131" s="34" t="str">
        <f aca="false">IF(OR($B131="",$H131=0),"",SUMPRODUCT((Investments!$A$6:$A$1005=$B131)*Investments!$M$6:$M$1005*Investments!$T$6:$T$1005)/$H131)</f>
        <v/>
      </c>
      <c r="L131" s="34" t="str">
        <f aca="false">IF(OR($B131="",$C$12=0),"",$H131/$C$12)</f>
        <v/>
      </c>
    </row>
    <row r="132" customFormat="false" ht="15" hidden="false" customHeight="false" outlineLevel="0" collapsed="false">
      <c r="B132" s="14" t="str">
        <f aca="false">IF(Clients!$B117="","",Clients!$B117)</f>
        <v/>
      </c>
      <c r="C132" s="35" t="str">
        <f aca="false">IF($B132="","",COUNTIFS(Investments!$A$6:$A$1005,$B132))</f>
        <v/>
      </c>
      <c r="D132" s="17" t="str">
        <f aca="false">IF($B132="","",SUMIFS(Investments!$G$6:$G$1005,Investments!$A$6:$A$1005,$B132))</f>
        <v/>
      </c>
      <c r="E132" s="17" t="str">
        <f aca="false">IF($B132="","",SUMIFS(Investments!$H$6:$H$1005,Investments!$A$6:$A$1005,$B132))</f>
        <v/>
      </c>
      <c r="F132" s="17" t="str">
        <f aca="false">IF($B132="","",SUMIFS(Investments!$P$6:$P$1005,Investments!$A$6:$A$1005,$B132))</f>
        <v/>
      </c>
      <c r="G132" s="17" t="str">
        <f aca="false">IF($B132="","",SUMIFS(Investments!$J$6:$J$1005,Investments!$A$6:$A$1005,$B132)+SUMIFS(Investments!$K$6:$K$1005,Investments!$A$6:$A$1005,$B132)+SUMIFS(Investments!$L$6:$L$1005,Investments!$A$6:$A$1005,$B132))</f>
        <v/>
      </c>
      <c r="H132" s="17" t="str">
        <f aca="false">IF($B132="","",SUMIFS(Investments!$M$6:$M$1005,Investments!$A$6:$A$1005,$B132))</f>
        <v/>
      </c>
      <c r="I132" s="17" t="str">
        <f aca="false">IF($B132="","",($H132+$G132)-$F132)</f>
        <v/>
      </c>
      <c r="J132" s="18" t="str">
        <f aca="false">IF(OR($B132="",$F132=0),"",$I132/$F132)</f>
        <v/>
      </c>
      <c r="K132" s="18" t="str">
        <f aca="false">IF(OR($B132="",$H132=0),"",SUMPRODUCT((Investments!$A$6:$A$1005=$B132)*Investments!$M$6:$M$1005*Investments!$T$6:$T$1005)/$H132)</f>
        <v/>
      </c>
      <c r="L132" s="18" t="str">
        <f aca="false">IF(OR($B132="",$C$12=0),"",$H132/$C$12)</f>
        <v/>
      </c>
    </row>
    <row r="133" customFormat="false" ht="15" hidden="false" customHeight="false" outlineLevel="0" collapsed="false">
      <c r="B133" s="31" t="str">
        <f aca="false">IF(Clients!$B118="","",Clients!$B118)</f>
        <v/>
      </c>
      <c r="C133" s="32" t="str">
        <f aca="false">IF($B133="","",COUNTIFS(Investments!$A$6:$A$1005,$B133))</f>
        <v/>
      </c>
      <c r="D133" s="33" t="str">
        <f aca="false">IF($B133="","",SUMIFS(Investments!$G$6:$G$1005,Investments!$A$6:$A$1005,$B133))</f>
        <v/>
      </c>
      <c r="E133" s="33" t="str">
        <f aca="false">IF($B133="","",SUMIFS(Investments!$H$6:$H$1005,Investments!$A$6:$A$1005,$B133))</f>
        <v/>
      </c>
      <c r="F133" s="33" t="str">
        <f aca="false">IF($B133="","",SUMIFS(Investments!$P$6:$P$1005,Investments!$A$6:$A$1005,$B133))</f>
        <v/>
      </c>
      <c r="G133" s="33" t="str">
        <f aca="false">IF($B133="","",SUMIFS(Investments!$J$6:$J$1005,Investments!$A$6:$A$1005,$B133)+SUMIFS(Investments!$K$6:$K$1005,Investments!$A$6:$A$1005,$B133)+SUMIFS(Investments!$L$6:$L$1005,Investments!$A$6:$A$1005,$B133))</f>
        <v/>
      </c>
      <c r="H133" s="33" t="str">
        <f aca="false">IF($B133="","",SUMIFS(Investments!$M$6:$M$1005,Investments!$A$6:$A$1005,$B133))</f>
        <v/>
      </c>
      <c r="I133" s="33" t="str">
        <f aca="false">IF($B133="","",($H133+$G133)-$F133)</f>
        <v/>
      </c>
      <c r="J133" s="34" t="str">
        <f aca="false">IF(OR($B133="",$F133=0),"",$I133/$F133)</f>
        <v/>
      </c>
      <c r="K133" s="34" t="str">
        <f aca="false">IF(OR($B133="",$H133=0),"",SUMPRODUCT((Investments!$A$6:$A$1005=$B133)*Investments!$M$6:$M$1005*Investments!$T$6:$T$1005)/$H133)</f>
        <v/>
      </c>
      <c r="L133" s="34" t="str">
        <f aca="false">IF(OR($B133="",$C$12=0),"",$H133/$C$12)</f>
        <v/>
      </c>
    </row>
    <row r="134" customFormat="false" ht="15" hidden="false" customHeight="false" outlineLevel="0" collapsed="false">
      <c r="B134" s="14" t="str">
        <f aca="false">IF(Clients!$B119="","",Clients!$B119)</f>
        <v/>
      </c>
      <c r="C134" s="35" t="str">
        <f aca="false">IF($B134="","",COUNTIFS(Investments!$A$6:$A$1005,$B134))</f>
        <v/>
      </c>
      <c r="D134" s="17" t="str">
        <f aca="false">IF($B134="","",SUMIFS(Investments!$G$6:$G$1005,Investments!$A$6:$A$1005,$B134))</f>
        <v/>
      </c>
      <c r="E134" s="17" t="str">
        <f aca="false">IF($B134="","",SUMIFS(Investments!$H$6:$H$1005,Investments!$A$6:$A$1005,$B134))</f>
        <v/>
      </c>
      <c r="F134" s="17" t="str">
        <f aca="false">IF($B134="","",SUMIFS(Investments!$P$6:$P$1005,Investments!$A$6:$A$1005,$B134))</f>
        <v/>
      </c>
      <c r="G134" s="17" t="str">
        <f aca="false">IF($B134="","",SUMIFS(Investments!$J$6:$J$1005,Investments!$A$6:$A$1005,$B134)+SUMIFS(Investments!$K$6:$K$1005,Investments!$A$6:$A$1005,$B134)+SUMIFS(Investments!$L$6:$L$1005,Investments!$A$6:$A$1005,$B134))</f>
        <v/>
      </c>
      <c r="H134" s="17" t="str">
        <f aca="false">IF($B134="","",SUMIFS(Investments!$M$6:$M$1005,Investments!$A$6:$A$1005,$B134))</f>
        <v/>
      </c>
      <c r="I134" s="17" t="str">
        <f aca="false">IF($B134="","",($H134+$G134)-$F134)</f>
        <v/>
      </c>
      <c r="J134" s="18" t="str">
        <f aca="false">IF(OR($B134="",$F134=0),"",$I134/$F134)</f>
        <v/>
      </c>
      <c r="K134" s="18" t="str">
        <f aca="false">IF(OR($B134="",$H134=0),"",SUMPRODUCT((Investments!$A$6:$A$1005=$B134)*Investments!$M$6:$M$1005*Investments!$T$6:$T$1005)/$H134)</f>
        <v/>
      </c>
      <c r="L134" s="18" t="str">
        <f aca="false">IF(OR($B134="",$C$12=0),"",$H134/$C$12)</f>
        <v/>
      </c>
    </row>
    <row r="135" customFormat="false" ht="15" hidden="false" customHeight="false" outlineLevel="0" collapsed="false">
      <c r="B135" s="31" t="str">
        <f aca="false">IF(Clients!$B120="","",Clients!$B120)</f>
        <v/>
      </c>
      <c r="C135" s="32" t="str">
        <f aca="false">IF($B135="","",COUNTIFS(Investments!$A$6:$A$1005,$B135))</f>
        <v/>
      </c>
      <c r="D135" s="33" t="str">
        <f aca="false">IF($B135="","",SUMIFS(Investments!$G$6:$G$1005,Investments!$A$6:$A$1005,$B135))</f>
        <v/>
      </c>
      <c r="E135" s="33" t="str">
        <f aca="false">IF($B135="","",SUMIFS(Investments!$H$6:$H$1005,Investments!$A$6:$A$1005,$B135))</f>
        <v/>
      </c>
      <c r="F135" s="33" t="str">
        <f aca="false">IF($B135="","",SUMIFS(Investments!$P$6:$P$1005,Investments!$A$6:$A$1005,$B135))</f>
        <v/>
      </c>
      <c r="G135" s="33" t="str">
        <f aca="false">IF($B135="","",SUMIFS(Investments!$J$6:$J$1005,Investments!$A$6:$A$1005,$B135)+SUMIFS(Investments!$K$6:$K$1005,Investments!$A$6:$A$1005,$B135)+SUMIFS(Investments!$L$6:$L$1005,Investments!$A$6:$A$1005,$B135))</f>
        <v/>
      </c>
      <c r="H135" s="33" t="str">
        <f aca="false">IF($B135="","",SUMIFS(Investments!$M$6:$M$1005,Investments!$A$6:$A$1005,$B135))</f>
        <v/>
      </c>
      <c r="I135" s="33" t="str">
        <f aca="false">IF($B135="","",($H135+$G135)-$F135)</f>
        <v/>
      </c>
      <c r="J135" s="34" t="str">
        <f aca="false">IF(OR($B135="",$F135=0),"",$I135/$F135)</f>
        <v/>
      </c>
      <c r="K135" s="34" t="str">
        <f aca="false">IF(OR($B135="",$H135=0),"",SUMPRODUCT((Investments!$A$6:$A$1005=$B135)*Investments!$M$6:$M$1005*Investments!$T$6:$T$1005)/$H135)</f>
        <v/>
      </c>
      <c r="L135" s="34" t="str">
        <f aca="false">IF(OR($B135="",$C$12=0),"",$H135/$C$12)</f>
        <v/>
      </c>
    </row>
    <row r="136" customFormat="false" ht="15" hidden="false" customHeight="false" outlineLevel="0" collapsed="false">
      <c r="B136" s="14" t="str">
        <f aca="false">IF(Clients!$B121="","",Clients!$B121)</f>
        <v/>
      </c>
      <c r="C136" s="35" t="str">
        <f aca="false">IF($B136="","",COUNTIFS(Investments!$A$6:$A$1005,$B136))</f>
        <v/>
      </c>
      <c r="D136" s="17" t="str">
        <f aca="false">IF($B136="","",SUMIFS(Investments!$G$6:$G$1005,Investments!$A$6:$A$1005,$B136))</f>
        <v/>
      </c>
      <c r="E136" s="17" t="str">
        <f aca="false">IF($B136="","",SUMIFS(Investments!$H$6:$H$1005,Investments!$A$6:$A$1005,$B136))</f>
        <v/>
      </c>
      <c r="F136" s="17" t="str">
        <f aca="false">IF($B136="","",SUMIFS(Investments!$P$6:$P$1005,Investments!$A$6:$A$1005,$B136))</f>
        <v/>
      </c>
      <c r="G136" s="17" t="str">
        <f aca="false">IF($B136="","",SUMIFS(Investments!$J$6:$J$1005,Investments!$A$6:$A$1005,$B136)+SUMIFS(Investments!$K$6:$K$1005,Investments!$A$6:$A$1005,$B136)+SUMIFS(Investments!$L$6:$L$1005,Investments!$A$6:$A$1005,$B136))</f>
        <v/>
      </c>
      <c r="H136" s="17" t="str">
        <f aca="false">IF($B136="","",SUMIFS(Investments!$M$6:$M$1005,Investments!$A$6:$A$1005,$B136))</f>
        <v/>
      </c>
      <c r="I136" s="17" t="str">
        <f aca="false">IF($B136="","",($H136+$G136)-$F136)</f>
        <v/>
      </c>
      <c r="J136" s="18" t="str">
        <f aca="false">IF(OR($B136="",$F136=0),"",$I136/$F136)</f>
        <v/>
      </c>
      <c r="K136" s="18" t="str">
        <f aca="false">IF(OR($B136="",$H136=0),"",SUMPRODUCT((Investments!$A$6:$A$1005=$B136)*Investments!$M$6:$M$1005*Investments!$T$6:$T$1005)/$H136)</f>
        <v/>
      </c>
      <c r="L136" s="18" t="str">
        <f aca="false">IF(OR($B136="",$C$12=0),"",$H136/$C$12)</f>
        <v/>
      </c>
    </row>
    <row r="137" customFormat="false" ht="15" hidden="false" customHeight="false" outlineLevel="0" collapsed="false">
      <c r="B137" s="31" t="str">
        <f aca="false">IF(Clients!$B122="","",Clients!$B122)</f>
        <v/>
      </c>
      <c r="C137" s="32" t="str">
        <f aca="false">IF($B137="","",COUNTIFS(Investments!$A$6:$A$1005,$B137))</f>
        <v/>
      </c>
      <c r="D137" s="33" t="str">
        <f aca="false">IF($B137="","",SUMIFS(Investments!$G$6:$G$1005,Investments!$A$6:$A$1005,$B137))</f>
        <v/>
      </c>
      <c r="E137" s="33" t="str">
        <f aca="false">IF($B137="","",SUMIFS(Investments!$H$6:$H$1005,Investments!$A$6:$A$1005,$B137))</f>
        <v/>
      </c>
      <c r="F137" s="33" t="str">
        <f aca="false">IF($B137="","",SUMIFS(Investments!$P$6:$P$1005,Investments!$A$6:$A$1005,$B137))</f>
        <v/>
      </c>
      <c r="G137" s="33" t="str">
        <f aca="false">IF($B137="","",SUMIFS(Investments!$J$6:$J$1005,Investments!$A$6:$A$1005,$B137)+SUMIFS(Investments!$K$6:$K$1005,Investments!$A$6:$A$1005,$B137)+SUMIFS(Investments!$L$6:$L$1005,Investments!$A$6:$A$1005,$B137))</f>
        <v/>
      </c>
      <c r="H137" s="33" t="str">
        <f aca="false">IF($B137="","",SUMIFS(Investments!$M$6:$M$1005,Investments!$A$6:$A$1005,$B137))</f>
        <v/>
      </c>
      <c r="I137" s="33" t="str">
        <f aca="false">IF($B137="","",($H137+$G137)-$F137)</f>
        <v/>
      </c>
      <c r="J137" s="34" t="str">
        <f aca="false">IF(OR($B137="",$F137=0),"",$I137/$F137)</f>
        <v/>
      </c>
      <c r="K137" s="34" t="str">
        <f aca="false">IF(OR($B137="",$H137=0),"",SUMPRODUCT((Investments!$A$6:$A$1005=$B137)*Investments!$M$6:$M$1005*Investments!$T$6:$T$1005)/$H137)</f>
        <v/>
      </c>
      <c r="L137" s="34" t="str">
        <f aca="false">IF(OR($B137="",$C$12=0),"",$H137/$C$12)</f>
        <v/>
      </c>
    </row>
    <row r="138" customFormat="false" ht="15" hidden="false" customHeight="false" outlineLevel="0" collapsed="false">
      <c r="B138" s="14" t="str">
        <f aca="false">IF(Clients!$B123="","",Clients!$B123)</f>
        <v/>
      </c>
      <c r="C138" s="35" t="str">
        <f aca="false">IF($B138="","",COUNTIFS(Investments!$A$6:$A$1005,$B138))</f>
        <v/>
      </c>
      <c r="D138" s="17" t="str">
        <f aca="false">IF($B138="","",SUMIFS(Investments!$G$6:$G$1005,Investments!$A$6:$A$1005,$B138))</f>
        <v/>
      </c>
      <c r="E138" s="17" t="str">
        <f aca="false">IF($B138="","",SUMIFS(Investments!$H$6:$H$1005,Investments!$A$6:$A$1005,$B138))</f>
        <v/>
      </c>
      <c r="F138" s="17" t="str">
        <f aca="false">IF($B138="","",SUMIFS(Investments!$P$6:$P$1005,Investments!$A$6:$A$1005,$B138))</f>
        <v/>
      </c>
      <c r="G138" s="17" t="str">
        <f aca="false">IF($B138="","",SUMIFS(Investments!$J$6:$J$1005,Investments!$A$6:$A$1005,$B138)+SUMIFS(Investments!$K$6:$K$1005,Investments!$A$6:$A$1005,$B138)+SUMIFS(Investments!$L$6:$L$1005,Investments!$A$6:$A$1005,$B138))</f>
        <v/>
      </c>
      <c r="H138" s="17" t="str">
        <f aca="false">IF($B138="","",SUMIFS(Investments!$M$6:$M$1005,Investments!$A$6:$A$1005,$B138))</f>
        <v/>
      </c>
      <c r="I138" s="17" t="str">
        <f aca="false">IF($B138="","",($H138+$G138)-$F138)</f>
        <v/>
      </c>
      <c r="J138" s="18" t="str">
        <f aca="false">IF(OR($B138="",$F138=0),"",$I138/$F138)</f>
        <v/>
      </c>
      <c r="K138" s="18" t="str">
        <f aca="false">IF(OR($B138="",$H138=0),"",SUMPRODUCT((Investments!$A$6:$A$1005=$B138)*Investments!$M$6:$M$1005*Investments!$T$6:$T$1005)/$H138)</f>
        <v/>
      </c>
      <c r="L138" s="18" t="str">
        <f aca="false">IF(OR($B138="",$C$12=0),"",$H138/$C$12)</f>
        <v/>
      </c>
    </row>
    <row r="139" customFormat="false" ht="15" hidden="false" customHeight="false" outlineLevel="0" collapsed="false">
      <c r="B139" s="31" t="str">
        <f aca="false">IF(Clients!$B124="","",Clients!$B124)</f>
        <v/>
      </c>
      <c r="C139" s="32" t="str">
        <f aca="false">IF($B139="","",COUNTIFS(Investments!$A$6:$A$1005,$B139))</f>
        <v/>
      </c>
      <c r="D139" s="33" t="str">
        <f aca="false">IF($B139="","",SUMIFS(Investments!$G$6:$G$1005,Investments!$A$6:$A$1005,$B139))</f>
        <v/>
      </c>
      <c r="E139" s="33" t="str">
        <f aca="false">IF($B139="","",SUMIFS(Investments!$H$6:$H$1005,Investments!$A$6:$A$1005,$B139))</f>
        <v/>
      </c>
      <c r="F139" s="33" t="str">
        <f aca="false">IF($B139="","",SUMIFS(Investments!$P$6:$P$1005,Investments!$A$6:$A$1005,$B139))</f>
        <v/>
      </c>
      <c r="G139" s="33" t="str">
        <f aca="false">IF($B139="","",SUMIFS(Investments!$J$6:$J$1005,Investments!$A$6:$A$1005,$B139)+SUMIFS(Investments!$K$6:$K$1005,Investments!$A$6:$A$1005,$B139)+SUMIFS(Investments!$L$6:$L$1005,Investments!$A$6:$A$1005,$B139))</f>
        <v/>
      </c>
      <c r="H139" s="33" t="str">
        <f aca="false">IF($B139="","",SUMIFS(Investments!$M$6:$M$1005,Investments!$A$6:$A$1005,$B139))</f>
        <v/>
      </c>
      <c r="I139" s="33" t="str">
        <f aca="false">IF($B139="","",($H139+$G139)-$F139)</f>
        <v/>
      </c>
      <c r="J139" s="34" t="str">
        <f aca="false">IF(OR($B139="",$F139=0),"",$I139/$F139)</f>
        <v/>
      </c>
      <c r="K139" s="34" t="str">
        <f aca="false">IF(OR($B139="",$H139=0),"",SUMPRODUCT((Investments!$A$6:$A$1005=$B139)*Investments!$M$6:$M$1005*Investments!$T$6:$T$1005)/$H139)</f>
        <v/>
      </c>
      <c r="L139" s="34" t="str">
        <f aca="false">IF(OR($B139="",$C$12=0),"",$H139/$C$12)</f>
        <v/>
      </c>
    </row>
    <row r="140" customFormat="false" ht="15" hidden="false" customHeight="false" outlineLevel="0" collapsed="false">
      <c r="B140" s="14" t="str">
        <f aca="false">IF(Clients!$B125="","",Clients!$B125)</f>
        <v/>
      </c>
      <c r="C140" s="35" t="str">
        <f aca="false">IF($B140="","",COUNTIFS(Investments!$A$6:$A$1005,$B140))</f>
        <v/>
      </c>
      <c r="D140" s="17" t="str">
        <f aca="false">IF($B140="","",SUMIFS(Investments!$G$6:$G$1005,Investments!$A$6:$A$1005,$B140))</f>
        <v/>
      </c>
      <c r="E140" s="17" t="str">
        <f aca="false">IF($B140="","",SUMIFS(Investments!$H$6:$H$1005,Investments!$A$6:$A$1005,$B140))</f>
        <v/>
      </c>
      <c r="F140" s="17" t="str">
        <f aca="false">IF($B140="","",SUMIFS(Investments!$P$6:$P$1005,Investments!$A$6:$A$1005,$B140))</f>
        <v/>
      </c>
      <c r="G140" s="17" t="str">
        <f aca="false">IF($B140="","",SUMIFS(Investments!$J$6:$J$1005,Investments!$A$6:$A$1005,$B140)+SUMIFS(Investments!$K$6:$K$1005,Investments!$A$6:$A$1005,$B140)+SUMIFS(Investments!$L$6:$L$1005,Investments!$A$6:$A$1005,$B140))</f>
        <v/>
      </c>
      <c r="H140" s="17" t="str">
        <f aca="false">IF($B140="","",SUMIFS(Investments!$M$6:$M$1005,Investments!$A$6:$A$1005,$B140))</f>
        <v/>
      </c>
      <c r="I140" s="17" t="str">
        <f aca="false">IF($B140="","",($H140+$G140)-$F140)</f>
        <v/>
      </c>
      <c r="J140" s="18" t="str">
        <f aca="false">IF(OR($B140="",$F140=0),"",$I140/$F140)</f>
        <v/>
      </c>
      <c r="K140" s="18" t="str">
        <f aca="false">IF(OR($B140="",$H140=0),"",SUMPRODUCT((Investments!$A$6:$A$1005=$B140)*Investments!$M$6:$M$1005*Investments!$T$6:$T$1005)/$H140)</f>
        <v/>
      </c>
      <c r="L140" s="18" t="str">
        <f aca="false">IF(OR($B140="",$C$12=0),"",$H140/$C$12)</f>
        <v/>
      </c>
    </row>
    <row r="141" customFormat="false" ht="15" hidden="false" customHeight="false" outlineLevel="0" collapsed="false">
      <c r="B141" s="31" t="str">
        <f aca="false">IF(Clients!$B126="","",Clients!$B126)</f>
        <v/>
      </c>
      <c r="C141" s="32" t="str">
        <f aca="false">IF($B141="","",COUNTIFS(Investments!$A$6:$A$1005,$B141))</f>
        <v/>
      </c>
      <c r="D141" s="33" t="str">
        <f aca="false">IF($B141="","",SUMIFS(Investments!$G$6:$G$1005,Investments!$A$6:$A$1005,$B141))</f>
        <v/>
      </c>
      <c r="E141" s="33" t="str">
        <f aca="false">IF($B141="","",SUMIFS(Investments!$H$6:$H$1005,Investments!$A$6:$A$1005,$B141))</f>
        <v/>
      </c>
      <c r="F141" s="33" t="str">
        <f aca="false">IF($B141="","",SUMIFS(Investments!$P$6:$P$1005,Investments!$A$6:$A$1005,$B141))</f>
        <v/>
      </c>
      <c r="G141" s="33" t="str">
        <f aca="false">IF($B141="","",SUMIFS(Investments!$J$6:$J$1005,Investments!$A$6:$A$1005,$B141)+SUMIFS(Investments!$K$6:$K$1005,Investments!$A$6:$A$1005,$B141)+SUMIFS(Investments!$L$6:$L$1005,Investments!$A$6:$A$1005,$B141))</f>
        <v/>
      </c>
      <c r="H141" s="33" t="str">
        <f aca="false">IF($B141="","",SUMIFS(Investments!$M$6:$M$1005,Investments!$A$6:$A$1005,$B141))</f>
        <v/>
      </c>
      <c r="I141" s="33" t="str">
        <f aca="false">IF($B141="","",($H141+$G141)-$F141)</f>
        <v/>
      </c>
      <c r="J141" s="34" t="str">
        <f aca="false">IF(OR($B141="",$F141=0),"",$I141/$F141)</f>
        <v/>
      </c>
      <c r="K141" s="34" t="str">
        <f aca="false">IF(OR($B141="",$H141=0),"",SUMPRODUCT((Investments!$A$6:$A$1005=$B141)*Investments!$M$6:$M$1005*Investments!$T$6:$T$1005)/$H141)</f>
        <v/>
      </c>
      <c r="L141" s="34" t="str">
        <f aca="false">IF(OR($B141="",$C$12=0),"",$H141/$C$12)</f>
        <v/>
      </c>
    </row>
    <row r="142" customFormat="false" ht="15" hidden="false" customHeight="false" outlineLevel="0" collapsed="false">
      <c r="B142" s="14" t="str">
        <f aca="false">IF(Clients!$B127="","",Clients!$B127)</f>
        <v/>
      </c>
      <c r="C142" s="35" t="str">
        <f aca="false">IF($B142="","",COUNTIFS(Investments!$A$6:$A$1005,$B142))</f>
        <v/>
      </c>
      <c r="D142" s="17" t="str">
        <f aca="false">IF($B142="","",SUMIFS(Investments!$G$6:$G$1005,Investments!$A$6:$A$1005,$B142))</f>
        <v/>
      </c>
      <c r="E142" s="17" t="str">
        <f aca="false">IF($B142="","",SUMIFS(Investments!$H$6:$H$1005,Investments!$A$6:$A$1005,$B142))</f>
        <v/>
      </c>
      <c r="F142" s="17" t="str">
        <f aca="false">IF($B142="","",SUMIFS(Investments!$P$6:$P$1005,Investments!$A$6:$A$1005,$B142))</f>
        <v/>
      </c>
      <c r="G142" s="17" t="str">
        <f aca="false">IF($B142="","",SUMIFS(Investments!$J$6:$J$1005,Investments!$A$6:$A$1005,$B142)+SUMIFS(Investments!$K$6:$K$1005,Investments!$A$6:$A$1005,$B142)+SUMIFS(Investments!$L$6:$L$1005,Investments!$A$6:$A$1005,$B142))</f>
        <v/>
      </c>
      <c r="H142" s="17" t="str">
        <f aca="false">IF($B142="","",SUMIFS(Investments!$M$6:$M$1005,Investments!$A$6:$A$1005,$B142))</f>
        <v/>
      </c>
      <c r="I142" s="17" t="str">
        <f aca="false">IF($B142="","",($H142+$G142)-$F142)</f>
        <v/>
      </c>
      <c r="J142" s="18" t="str">
        <f aca="false">IF(OR($B142="",$F142=0),"",$I142/$F142)</f>
        <v/>
      </c>
      <c r="K142" s="18" t="str">
        <f aca="false">IF(OR($B142="",$H142=0),"",SUMPRODUCT((Investments!$A$6:$A$1005=$B142)*Investments!$M$6:$M$1005*Investments!$T$6:$T$1005)/$H142)</f>
        <v/>
      </c>
      <c r="L142" s="18" t="str">
        <f aca="false">IF(OR($B142="",$C$12=0),"",$H142/$C$12)</f>
        <v/>
      </c>
    </row>
    <row r="143" customFormat="false" ht="15" hidden="false" customHeight="false" outlineLevel="0" collapsed="false">
      <c r="B143" s="31" t="str">
        <f aca="false">IF(Clients!$B128="","",Clients!$B128)</f>
        <v/>
      </c>
      <c r="C143" s="32" t="str">
        <f aca="false">IF($B143="","",COUNTIFS(Investments!$A$6:$A$1005,$B143))</f>
        <v/>
      </c>
      <c r="D143" s="33" t="str">
        <f aca="false">IF($B143="","",SUMIFS(Investments!$G$6:$G$1005,Investments!$A$6:$A$1005,$B143))</f>
        <v/>
      </c>
      <c r="E143" s="33" t="str">
        <f aca="false">IF($B143="","",SUMIFS(Investments!$H$6:$H$1005,Investments!$A$6:$A$1005,$B143))</f>
        <v/>
      </c>
      <c r="F143" s="33" t="str">
        <f aca="false">IF($B143="","",SUMIFS(Investments!$P$6:$P$1005,Investments!$A$6:$A$1005,$B143))</f>
        <v/>
      </c>
      <c r="G143" s="33" t="str">
        <f aca="false">IF($B143="","",SUMIFS(Investments!$J$6:$J$1005,Investments!$A$6:$A$1005,$B143)+SUMIFS(Investments!$K$6:$K$1005,Investments!$A$6:$A$1005,$B143)+SUMIFS(Investments!$L$6:$L$1005,Investments!$A$6:$A$1005,$B143))</f>
        <v/>
      </c>
      <c r="H143" s="33" t="str">
        <f aca="false">IF($B143="","",SUMIFS(Investments!$M$6:$M$1005,Investments!$A$6:$A$1005,$B143))</f>
        <v/>
      </c>
      <c r="I143" s="33" t="str">
        <f aca="false">IF($B143="","",($H143+$G143)-$F143)</f>
        <v/>
      </c>
      <c r="J143" s="34" t="str">
        <f aca="false">IF(OR($B143="",$F143=0),"",$I143/$F143)</f>
        <v/>
      </c>
      <c r="K143" s="34" t="str">
        <f aca="false">IF(OR($B143="",$H143=0),"",SUMPRODUCT((Investments!$A$6:$A$1005=$B143)*Investments!$M$6:$M$1005*Investments!$T$6:$T$1005)/$H143)</f>
        <v/>
      </c>
      <c r="L143" s="34" t="str">
        <f aca="false">IF(OR($B143="",$C$12=0),"",$H143/$C$12)</f>
        <v/>
      </c>
    </row>
    <row r="144" customFormat="false" ht="15" hidden="false" customHeight="false" outlineLevel="0" collapsed="false">
      <c r="B144" s="14" t="str">
        <f aca="false">IF(Clients!$B129="","",Clients!$B129)</f>
        <v/>
      </c>
      <c r="C144" s="35" t="str">
        <f aca="false">IF($B144="","",COUNTIFS(Investments!$A$6:$A$1005,$B144))</f>
        <v/>
      </c>
      <c r="D144" s="17" t="str">
        <f aca="false">IF($B144="","",SUMIFS(Investments!$G$6:$G$1005,Investments!$A$6:$A$1005,$B144))</f>
        <v/>
      </c>
      <c r="E144" s="17" t="str">
        <f aca="false">IF($B144="","",SUMIFS(Investments!$H$6:$H$1005,Investments!$A$6:$A$1005,$B144))</f>
        <v/>
      </c>
      <c r="F144" s="17" t="str">
        <f aca="false">IF($B144="","",SUMIFS(Investments!$P$6:$P$1005,Investments!$A$6:$A$1005,$B144))</f>
        <v/>
      </c>
      <c r="G144" s="17" t="str">
        <f aca="false">IF($B144="","",SUMIFS(Investments!$J$6:$J$1005,Investments!$A$6:$A$1005,$B144)+SUMIFS(Investments!$K$6:$K$1005,Investments!$A$6:$A$1005,$B144)+SUMIFS(Investments!$L$6:$L$1005,Investments!$A$6:$A$1005,$B144))</f>
        <v/>
      </c>
      <c r="H144" s="17" t="str">
        <f aca="false">IF($B144="","",SUMIFS(Investments!$M$6:$M$1005,Investments!$A$6:$A$1005,$B144))</f>
        <v/>
      </c>
      <c r="I144" s="17" t="str">
        <f aca="false">IF($B144="","",($H144+$G144)-$F144)</f>
        <v/>
      </c>
      <c r="J144" s="18" t="str">
        <f aca="false">IF(OR($B144="",$F144=0),"",$I144/$F144)</f>
        <v/>
      </c>
      <c r="K144" s="18" t="str">
        <f aca="false">IF(OR($B144="",$H144=0),"",SUMPRODUCT((Investments!$A$6:$A$1005=$B144)*Investments!$M$6:$M$1005*Investments!$T$6:$T$1005)/$H144)</f>
        <v/>
      </c>
      <c r="L144" s="18" t="str">
        <f aca="false">IF(OR($B144="",$C$12=0),"",$H144/$C$12)</f>
        <v/>
      </c>
    </row>
    <row r="145" customFormat="false" ht="15" hidden="false" customHeight="false" outlineLevel="0" collapsed="false">
      <c r="B145" s="31" t="str">
        <f aca="false">IF(Clients!$B130="","",Clients!$B130)</f>
        <v/>
      </c>
      <c r="C145" s="32" t="str">
        <f aca="false">IF($B145="","",COUNTIFS(Investments!$A$6:$A$1005,$B145))</f>
        <v/>
      </c>
      <c r="D145" s="33" t="str">
        <f aca="false">IF($B145="","",SUMIFS(Investments!$G$6:$G$1005,Investments!$A$6:$A$1005,$B145))</f>
        <v/>
      </c>
      <c r="E145" s="33" t="str">
        <f aca="false">IF($B145="","",SUMIFS(Investments!$H$6:$H$1005,Investments!$A$6:$A$1005,$B145))</f>
        <v/>
      </c>
      <c r="F145" s="33" t="str">
        <f aca="false">IF($B145="","",SUMIFS(Investments!$P$6:$P$1005,Investments!$A$6:$A$1005,$B145))</f>
        <v/>
      </c>
      <c r="G145" s="33" t="str">
        <f aca="false">IF($B145="","",SUMIFS(Investments!$J$6:$J$1005,Investments!$A$6:$A$1005,$B145)+SUMIFS(Investments!$K$6:$K$1005,Investments!$A$6:$A$1005,$B145)+SUMIFS(Investments!$L$6:$L$1005,Investments!$A$6:$A$1005,$B145))</f>
        <v/>
      </c>
      <c r="H145" s="33" t="str">
        <f aca="false">IF($B145="","",SUMIFS(Investments!$M$6:$M$1005,Investments!$A$6:$A$1005,$B145))</f>
        <v/>
      </c>
      <c r="I145" s="33" t="str">
        <f aca="false">IF($B145="","",($H145+$G145)-$F145)</f>
        <v/>
      </c>
      <c r="J145" s="34" t="str">
        <f aca="false">IF(OR($B145="",$F145=0),"",$I145/$F145)</f>
        <v/>
      </c>
      <c r="K145" s="34" t="str">
        <f aca="false">IF(OR($B145="",$H145=0),"",SUMPRODUCT((Investments!$A$6:$A$1005=$B145)*Investments!$M$6:$M$1005*Investments!$T$6:$T$1005)/$H145)</f>
        <v/>
      </c>
      <c r="L145" s="34" t="str">
        <f aca="false">IF(OR($B145="",$C$12=0),"",$H145/$C$12)</f>
        <v/>
      </c>
    </row>
    <row r="146" customFormat="false" ht="15" hidden="false" customHeight="false" outlineLevel="0" collapsed="false">
      <c r="B146" s="14" t="str">
        <f aca="false">IF(Clients!$B131="","",Clients!$B131)</f>
        <v/>
      </c>
      <c r="C146" s="35" t="str">
        <f aca="false">IF($B146="","",COUNTIFS(Investments!$A$6:$A$1005,$B146))</f>
        <v/>
      </c>
      <c r="D146" s="17" t="str">
        <f aca="false">IF($B146="","",SUMIFS(Investments!$G$6:$G$1005,Investments!$A$6:$A$1005,$B146))</f>
        <v/>
      </c>
      <c r="E146" s="17" t="str">
        <f aca="false">IF($B146="","",SUMIFS(Investments!$H$6:$H$1005,Investments!$A$6:$A$1005,$B146))</f>
        <v/>
      </c>
      <c r="F146" s="17" t="str">
        <f aca="false">IF($B146="","",SUMIFS(Investments!$P$6:$P$1005,Investments!$A$6:$A$1005,$B146))</f>
        <v/>
      </c>
      <c r="G146" s="17" t="str">
        <f aca="false">IF($B146="","",SUMIFS(Investments!$J$6:$J$1005,Investments!$A$6:$A$1005,$B146)+SUMIFS(Investments!$K$6:$K$1005,Investments!$A$6:$A$1005,$B146)+SUMIFS(Investments!$L$6:$L$1005,Investments!$A$6:$A$1005,$B146))</f>
        <v/>
      </c>
      <c r="H146" s="17" t="str">
        <f aca="false">IF($B146="","",SUMIFS(Investments!$M$6:$M$1005,Investments!$A$6:$A$1005,$B146))</f>
        <v/>
      </c>
      <c r="I146" s="17" t="str">
        <f aca="false">IF($B146="","",($H146+$G146)-$F146)</f>
        <v/>
      </c>
      <c r="J146" s="18" t="str">
        <f aca="false">IF(OR($B146="",$F146=0),"",$I146/$F146)</f>
        <v/>
      </c>
      <c r="K146" s="18" t="str">
        <f aca="false">IF(OR($B146="",$H146=0),"",SUMPRODUCT((Investments!$A$6:$A$1005=$B146)*Investments!$M$6:$M$1005*Investments!$T$6:$T$1005)/$H146)</f>
        <v/>
      </c>
      <c r="L146" s="18" t="str">
        <f aca="false">IF(OR($B146="",$C$12=0),"",$H146/$C$12)</f>
        <v/>
      </c>
    </row>
    <row r="147" customFormat="false" ht="15" hidden="false" customHeight="false" outlineLevel="0" collapsed="false">
      <c r="B147" s="31" t="str">
        <f aca="false">IF(Clients!$B132="","",Clients!$B132)</f>
        <v/>
      </c>
      <c r="C147" s="32" t="str">
        <f aca="false">IF($B147="","",COUNTIFS(Investments!$A$6:$A$1005,$B147))</f>
        <v/>
      </c>
      <c r="D147" s="33" t="str">
        <f aca="false">IF($B147="","",SUMIFS(Investments!$G$6:$G$1005,Investments!$A$6:$A$1005,$B147))</f>
        <v/>
      </c>
      <c r="E147" s="33" t="str">
        <f aca="false">IF($B147="","",SUMIFS(Investments!$H$6:$H$1005,Investments!$A$6:$A$1005,$B147))</f>
        <v/>
      </c>
      <c r="F147" s="33" t="str">
        <f aca="false">IF($B147="","",SUMIFS(Investments!$P$6:$P$1005,Investments!$A$6:$A$1005,$B147))</f>
        <v/>
      </c>
      <c r="G147" s="33" t="str">
        <f aca="false">IF($B147="","",SUMIFS(Investments!$J$6:$J$1005,Investments!$A$6:$A$1005,$B147)+SUMIFS(Investments!$K$6:$K$1005,Investments!$A$6:$A$1005,$B147)+SUMIFS(Investments!$L$6:$L$1005,Investments!$A$6:$A$1005,$B147))</f>
        <v/>
      </c>
      <c r="H147" s="33" t="str">
        <f aca="false">IF($B147="","",SUMIFS(Investments!$M$6:$M$1005,Investments!$A$6:$A$1005,$B147))</f>
        <v/>
      </c>
      <c r="I147" s="33" t="str">
        <f aca="false">IF($B147="","",($H147+$G147)-$F147)</f>
        <v/>
      </c>
      <c r="J147" s="34" t="str">
        <f aca="false">IF(OR($B147="",$F147=0),"",$I147/$F147)</f>
        <v/>
      </c>
      <c r="K147" s="34" t="str">
        <f aca="false">IF(OR($B147="",$H147=0),"",SUMPRODUCT((Investments!$A$6:$A$1005=$B147)*Investments!$M$6:$M$1005*Investments!$T$6:$T$1005)/$H147)</f>
        <v/>
      </c>
      <c r="L147" s="34" t="str">
        <f aca="false">IF(OR($B147="",$C$12=0),"",$H147/$C$12)</f>
        <v/>
      </c>
    </row>
    <row r="148" customFormat="false" ht="15" hidden="false" customHeight="false" outlineLevel="0" collapsed="false">
      <c r="B148" s="14" t="str">
        <f aca="false">IF(Clients!$B133="","",Clients!$B133)</f>
        <v/>
      </c>
      <c r="C148" s="35" t="str">
        <f aca="false">IF($B148="","",COUNTIFS(Investments!$A$6:$A$1005,$B148))</f>
        <v/>
      </c>
      <c r="D148" s="17" t="str">
        <f aca="false">IF($B148="","",SUMIFS(Investments!$G$6:$G$1005,Investments!$A$6:$A$1005,$B148))</f>
        <v/>
      </c>
      <c r="E148" s="17" t="str">
        <f aca="false">IF($B148="","",SUMIFS(Investments!$H$6:$H$1005,Investments!$A$6:$A$1005,$B148))</f>
        <v/>
      </c>
      <c r="F148" s="17" t="str">
        <f aca="false">IF($B148="","",SUMIFS(Investments!$P$6:$P$1005,Investments!$A$6:$A$1005,$B148))</f>
        <v/>
      </c>
      <c r="G148" s="17" t="str">
        <f aca="false">IF($B148="","",SUMIFS(Investments!$J$6:$J$1005,Investments!$A$6:$A$1005,$B148)+SUMIFS(Investments!$K$6:$K$1005,Investments!$A$6:$A$1005,$B148)+SUMIFS(Investments!$L$6:$L$1005,Investments!$A$6:$A$1005,$B148))</f>
        <v/>
      </c>
      <c r="H148" s="17" t="str">
        <f aca="false">IF($B148="","",SUMIFS(Investments!$M$6:$M$1005,Investments!$A$6:$A$1005,$B148))</f>
        <v/>
      </c>
      <c r="I148" s="17" t="str">
        <f aca="false">IF($B148="","",($H148+$G148)-$F148)</f>
        <v/>
      </c>
      <c r="J148" s="18" t="str">
        <f aca="false">IF(OR($B148="",$F148=0),"",$I148/$F148)</f>
        <v/>
      </c>
      <c r="K148" s="18" t="str">
        <f aca="false">IF(OR($B148="",$H148=0),"",SUMPRODUCT((Investments!$A$6:$A$1005=$B148)*Investments!$M$6:$M$1005*Investments!$T$6:$T$1005)/$H148)</f>
        <v/>
      </c>
      <c r="L148" s="18" t="str">
        <f aca="false">IF(OR($B148="",$C$12=0),"",$H148/$C$12)</f>
        <v/>
      </c>
    </row>
    <row r="149" customFormat="false" ht="15" hidden="false" customHeight="false" outlineLevel="0" collapsed="false">
      <c r="B149" s="31" t="str">
        <f aca="false">IF(Clients!$B134="","",Clients!$B134)</f>
        <v/>
      </c>
      <c r="C149" s="32" t="str">
        <f aca="false">IF($B149="","",COUNTIFS(Investments!$A$6:$A$1005,$B149))</f>
        <v/>
      </c>
      <c r="D149" s="33" t="str">
        <f aca="false">IF($B149="","",SUMIFS(Investments!$G$6:$G$1005,Investments!$A$6:$A$1005,$B149))</f>
        <v/>
      </c>
      <c r="E149" s="33" t="str">
        <f aca="false">IF($B149="","",SUMIFS(Investments!$H$6:$H$1005,Investments!$A$6:$A$1005,$B149))</f>
        <v/>
      </c>
      <c r="F149" s="33" t="str">
        <f aca="false">IF($B149="","",SUMIFS(Investments!$P$6:$P$1005,Investments!$A$6:$A$1005,$B149))</f>
        <v/>
      </c>
      <c r="G149" s="33" t="str">
        <f aca="false">IF($B149="","",SUMIFS(Investments!$J$6:$J$1005,Investments!$A$6:$A$1005,$B149)+SUMIFS(Investments!$K$6:$K$1005,Investments!$A$6:$A$1005,$B149)+SUMIFS(Investments!$L$6:$L$1005,Investments!$A$6:$A$1005,$B149))</f>
        <v/>
      </c>
      <c r="H149" s="33" t="str">
        <f aca="false">IF($B149="","",SUMIFS(Investments!$M$6:$M$1005,Investments!$A$6:$A$1005,$B149))</f>
        <v/>
      </c>
      <c r="I149" s="33" t="str">
        <f aca="false">IF($B149="","",($H149+$G149)-$F149)</f>
        <v/>
      </c>
      <c r="J149" s="34" t="str">
        <f aca="false">IF(OR($B149="",$F149=0),"",$I149/$F149)</f>
        <v/>
      </c>
      <c r="K149" s="34" t="str">
        <f aca="false">IF(OR($B149="",$H149=0),"",SUMPRODUCT((Investments!$A$6:$A$1005=$B149)*Investments!$M$6:$M$1005*Investments!$T$6:$T$1005)/$H149)</f>
        <v/>
      </c>
      <c r="L149" s="34" t="str">
        <f aca="false">IF(OR($B149="",$C$12=0),"",$H149/$C$12)</f>
        <v/>
      </c>
    </row>
    <row r="150" customFormat="false" ht="15" hidden="false" customHeight="false" outlineLevel="0" collapsed="false">
      <c r="B150" s="14" t="str">
        <f aca="false">IF(Clients!$B135="","",Clients!$B135)</f>
        <v/>
      </c>
      <c r="C150" s="35" t="str">
        <f aca="false">IF($B150="","",COUNTIFS(Investments!$A$6:$A$1005,$B150))</f>
        <v/>
      </c>
      <c r="D150" s="17" t="str">
        <f aca="false">IF($B150="","",SUMIFS(Investments!$G$6:$G$1005,Investments!$A$6:$A$1005,$B150))</f>
        <v/>
      </c>
      <c r="E150" s="17" t="str">
        <f aca="false">IF($B150="","",SUMIFS(Investments!$H$6:$H$1005,Investments!$A$6:$A$1005,$B150))</f>
        <v/>
      </c>
      <c r="F150" s="17" t="str">
        <f aca="false">IF($B150="","",SUMIFS(Investments!$P$6:$P$1005,Investments!$A$6:$A$1005,$B150))</f>
        <v/>
      </c>
      <c r="G150" s="17" t="str">
        <f aca="false">IF($B150="","",SUMIFS(Investments!$J$6:$J$1005,Investments!$A$6:$A$1005,$B150)+SUMIFS(Investments!$K$6:$K$1005,Investments!$A$6:$A$1005,$B150)+SUMIFS(Investments!$L$6:$L$1005,Investments!$A$6:$A$1005,$B150))</f>
        <v/>
      </c>
      <c r="H150" s="17" t="str">
        <f aca="false">IF($B150="","",SUMIFS(Investments!$M$6:$M$1005,Investments!$A$6:$A$1005,$B150))</f>
        <v/>
      </c>
      <c r="I150" s="17" t="str">
        <f aca="false">IF($B150="","",($H150+$G150)-$F150)</f>
        <v/>
      </c>
      <c r="J150" s="18" t="str">
        <f aca="false">IF(OR($B150="",$F150=0),"",$I150/$F150)</f>
        <v/>
      </c>
      <c r="K150" s="18" t="str">
        <f aca="false">IF(OR($B150="",$H150=0),"",SUMPRODUCT((Investments!$A$6:$A$1005=$B150)*Investments!$M$6:$M$1005*Investments!$T$6:$T$1005)/$H150)</f>
        <v/>
      </c>
      <c r="L150" s="18" t="str">
        <f aca="false">IF(OR($B150="",$C$12=0),"",$H150/$C$12)</f>
        <v/>
      </c>
    </row>
    <row r="151" customFormat="false" ht="15" hidden="false" customHeight="false" outlineLevel="0" collapsed="false">
      <c r="B151" s="31" t="str">
        <f aca="false">IF(Clients!$B136="","",Clients!$B136)</f>
        <v/>
      </c>
      <c r="C151" s="32" t="str">
        <f aca="false">IF($B151="","",COUNTIFS(Investments!$A$6:$A$1005,$B151))</f>
        <v/>
      </c>
      <c r="D151" s="33" t="str">
        <f aca="false">IF($B151="","",SUMIFS(Investments!$G$6:$G$1005,Investments!$A$6:$A$1005,$B151))</f>
        <v/>
      </c>
      <c r="E151" s="33" t="str">
        <f aca="false">IF($B151="","",SUMIFS(Investments!$H$6:$H$1005,Investments!$A$6:$A$1005,$B151))</f>
        <v/>
      </c>
      <c r="F151" s="33" t="str">
        <f aca="false">IF($B151="","",SUMIFS(Investments!$P$6:$P$1005,Investments!$A$6:$A$1005,$B151))</f>
        <v/>
      </c>
      <c r="G151" s="33" t="str">
        <f aca="false">IF($B151="","",SUMIFS(Investments!$J$6:$J$1005,Investments!$A$6:$A$1005,$B151)+SUMIFS(Investments!$K$6:$K$1005,Investments!$A$6:$A$1005,$B151)+SUMIFS(Investments!$L$6:$L$1005,Investments!$A$6:$A$1005,$B151))</f>
        <v/>
      </c>
      <c r="H151" s="33" t="str">
        <f aca="false">IF($B151="","",SUMIFS(Investments!$M$6:$M$1005,Investments!$A$6:$A$1005,$B151))</f>
        <v/>
      </c>
      <c r="I151" s="33" t="str">
        <f aca="false">IF($B151="","",($H151+$G151)-$F151)</f>
        <v/>
      </c>
      <c r="J151" s="34" t="str">
        <f aca="false">IF(OR($B151="",$F151=0),"",$I151/$F151)</f>
        <v/>
      </c>
      <c r="K151" s="34" t="str">
        <f aca="false">IF(OR($B151="",$H151=0),"",SUMPRODUCT((Investments!$A$6:$A$1005=$B151)*Investments!$M$6:$M$1005*Investments!$T$6:$T$1005)/$H151)</f>
        <v/>
      </c>
      <c r="L151" s="34" t="str">
        <f aca="false">IF(OR($B151="",$C$12=0),"",$H151/$C$12)</f>
        <v/>
      </c>
    </row>
    <row r="152" customFormat="false" ht="15" hidden="false" customHeight="false" outlineLevel="0" collapsed="false">
      <c r="B152" s="14" t="str">
        <f aca="false">IF(Clients!$B137="","",Clients!$B137)</f>
        <v/>
      </c>
      <c r="C152" s="35" t="str">
        <f aca="false">IF($B152="","",COUNTIFS(Investments!$A$6:$A$1005,$B152))</f>
        <v/>
      </c>
      <c r="D152" s="17" t="str">
        <f aca="false">IF($B152="","",SUMIFS(Investments!$G$6:$G$1005,Investments!$A$6:$A$1005,$B152))</f>
        <v/>
      </c>
      <c r="E152" s="17" t="str">
        <f aca="false">IF($B152="","",SUMIFS(Investments!$H$6:$H$1005,Investments!$A$6:$A$1005,$B152))</f>
        <v/>
      </c>
      <c r="F152" s="17" t="str">
        <f aca="false">IF($B152="","",SUMIFS(Investments!$P$6:$P$1005,Investments!$A$6:$A$1005,$B152))</f>
        <v/>
      </c>
      <c r="G152" s="17" t="str">
        <f aca="false">IF($B152="","",SUMIFS(Investments!$J$6:$J$1005,Investments!$A$6:$A$1005,$B152)+SUMIFS(Investments!$K$6:$K$1005,Investments!$A$6:$A$1005,$B152)+SUMIFS(Investments!$L$6:$L$1005,Investments!$A$6:$A$1005,$B152))</f>
        <v/>
      </c>
      <c r="H152" s="17" t="str">
        <f aca="false">IF($B152="","",SUMIFS(Investments!$M$6:$M$1005,Investments!$A$6:$A$1005,$B152))</f>
        <v/>
      </c>
      <c r="I152" s="17" t="str">
        <f aca="false">IF($B152="","",($H152+$G152)-$F152)</f>
        <v/>
      </c>
      <c r="J152" s="18" t="str">
        <f aca="false">IF(OR($B152="",$F152=0),"",$I152/$F152)</f>
        <v/>
      </c>
      <c r="K152" s="18" t="str">
        <f aca="false">IF(OR($B152="",$H152=0),"",SUMPRODUCT((Investments!$A$6:$A$1005=$B152)*Investments!$M$6:$M$1005*Investments!$T$6:$T$1005)/$H152)</f>
        <v/>
      </c>
      <c r="L152" s="18" t="str">
        <f aca="false">IF(OR($B152="",$C$12=0),"",$H152/$C$12)</f>
        <v/>
      </c>
    </row>
    <row r="153" customFormat="false" ht="15" hidden="false" customHeight="false" outlineLevel="0" collapsed="false">
      <c r="B153" s="31" t="str">
        <f aca="false">IF(Clients!$B138="","",Clients!$B138)</f>
        <v/>
      </c>
      <c r="C153" s="32" t="str">
        <f aca="false">IF($B153="","",COUNTIFS(Investments!$A$6:$A$1005,$B153))</f>
        <v/>
      </c>
      <c r="D153" s="33" t="str">
        <f aca="false">IF($B153="","",SUMIFS(Investments!$G$6:$G$1005,Investments!$A$6:$A$1005,$B153))</f>
        <v/>
      </c>
      <c r="E153" s="33" t="str">
        <f aca="false">IF($B153="","",SUMIFS(Investments!$H$6:$H$1005,Investments!$A$6:$A$1005,$B153))</f>
        <v/>
      </c>
      <c r="F153" s="33" t="str">
        <f aca="false">IF($B153="","",SUMIFS(Investments!$P$6:$P$1005,Investments!$A$6:$A$1005,$B153))</f>
        <v/>
      </c>
      <c r="G153" s="33" t="str">
        <f aca="false">IF($B153="","",SUMIFS(Investments!$J$6:$J$1005,Investments!$A$6:$A$1005,$B153)+SUMIFS(Investments!$K$6:$K$1005,Investments!$A$6:$A$1005,$B153)+SUMIFS(Investments!$L$6:$L$1005,Investments!$A$6:$A$1005,$B153))</f>
        <v/>
      </c>
      <c r="H153" s="33" t="str">
        <f aca="false">IF($B153="","",SUMIFS(Investments!$M$6:$M$1005,Investments!$A$6:$A$1005,$B153))</f>
        <v/>
      </c>
      <c r="I153" s="33" t="str">
        <f aca="false">IF($B153="","",($H153+$G153)-$F153)</f>
        <v/>
      </c>
      <c r="J153" s="34" t="str">
        <f aca="false">IF(OR($B153="",$F153=0),"",$I153/$F153)</f>
        <v/>
      </c>
      <c r="K153" s="34" t="str">
        <f aca="false">IF(OR($B153="",$H153=0),"",SUMPRODUCT((Investments!$A$6:$A$1005=$B153)*Investments!$M$6:$M$1005*Investments!$T$6:$T$1005)/$H153)</f>
        <v/>
      </c>
      <c r="L153" s="34" t="str">
        <f aca="false">IF(OR($B153="",$C$12=0),"",$H153/$C$12)</f>
        <v/>
      </c>
    </row>
    <row r="154" customFormat="false" ht="15" hidden="false" customHeight="false" outlineLevel="0" collapsed="false">
      <c r="B154" s="14" t="str">
        <f aca="false">IF(Clients!$B139="","",Clients!$B139)</f>
        <v/>
      </c>
      <c r="C154" s="35" t="str">
        <f aca="false">IF($B154="","",COUNTIFS(Investments!$A$6:$A$1005,$B154))</f>
        <v/>
      </c>
      <c r="D154" s="17" t="str">
        <f aca="false">IF($B154="","",SUMIFS(Investments!$G$6:$G$1005,Investments!$A$6:$A$1005,$B154))</f>
        <v/>
      </c>
      <c r="E154" s="17" t="str">
        <f aca="false">IF($B154="","",SUMIFS(Investments!$H$6:$H$1005,Investments!$A$6:$A$1005,$B154))</f>
        <v/>
      </c>
      <c r="F154" s="17" t="str">
        <f aca="false">IF($B154="","",SUMIFS(Investments!$P$6:$P$1005,Investments!$A$6:$A$1005,$B154))</f>
        <v/>
      </c>
      <c r="G154" s="17" t="str">
        <f aca="false">IF($B154="","",SUMIFS(Investments!$J$6:$J$1005,Investments!$A$6:$A$1005,$B154)+SUMIFS(Investments!$K$6:$K$1005,Investments!$A$6:$A$1005,$B154)+SUMIFS(Investments!$L$6:$L$1005,Investments!$A$6:$A$1005,$B154))</f>
        <v/>
      </c>
      <c r="H154" s="17" t="str">
        <f aca="false">IF($B154="","",SUMIFS(Investments!$M$6:$M$1005,Investments!$A$6:$A$1005,$B154))</f>
        <v/>
      </c>
      <c r="I154" s="17" t="str">
        <f aca="false">IF($B154="","",($H154+$G154)-$F154)</f>
        <v/>
      </c>
      <c r="J154" s="18" t="str">
        <f aca="false">IF(OR($B154="",$F154=0),"",$I154/$F154)</f>
        <v/>
      </c>
      <c r="K154" s="18" t="str">
        <f aca="false">IF(OR($B154="",$H154=0),"",SUMPRODUCT((Investments!$A$6:$A$1005=$B154)*Investments!$M$6:$M$1005*Investments!$T$6:$T$1005)/$H154)</f>
        <v/>
      </c>
      <c r="L154" s="18" t="str">
        <f aca="false">IF(OR($B154="",$C$12=0),"",$H154/$C$12)</f>
        <v/>
      </c>
    </row>
    <row r="155" customFormat="false" ht="15" hidden="false" customHeight="false" outlineLevel="0" collapsed="false">
      <c r="B155" s="31" t="str">
        <f aca="false">IF(Clients!$B140="","",Clients!$B140)</f>
        <v/>
      </c>
      <c r="C155" s="32" t="str">
        <f aca="false">IF($B155="","",COUNTIFS(Investments!$A$6:$A$1005,$B155))</f>
        <v/>
      </c>
      <c r="D155" s="33" t="str">
        <f aca="false">IF($B155="","",SUMIFS(Investments!$G$6:$G$1005,Investments!$A$6:$A$1005,$B155))</f>
        <v/>
      </c>
      <c r="E155" s="33" t="str">
        <f aca="false">IF($B155="","",SUMIFS(Investments!$H$6:$H$1005,Investments!$A$6:$A$1005,$B155))</f>
        <v/>
      </c>
      <c r="F155" s="33" t="str">
        <f aca="false">IF($B155="","",SUMIFS(Investments!$P$6:$P$1005,Investments!$A$6:$A$1005,$B155))</f>
        <v/>
      </c>
      <c r="G155" s="33" t="str">
        <f aca="false">IF($B155="","",SUMIFS(Investments!$J$6:$J$1005,Investments!$A$6:$A$1005,$B155)+SUMIFS(Investments!$K$6:$K$1005,Investments!$A$6:$A$1005,$B155)+SUMIFS(Investments!$L$6:$L$1005,Investments!$A$6:$A$1005,$B155))</f>
        <v/>
      </c>
      <c r="H155" s="33" t="str">
        <f aca="false">IF($B155="","",SUMIFS(Investments!$M$6:$M$1005,Investments!$A$6:$A$1005,$B155))</f>
        <v/>
      </c>
      <c r="I155" s="33" t="str">
        <f aca="false">IF($B155="","",($H155+$G155)-$F155)</f>
        <v/>
      </c>
      <c r="J155" s="34" t="str">
        <f aca="false">IF(OR($B155="",$F155=0),"",$I155/$F155)</f>
        <v/>
      </c>
      <c r="K155" s="34" t="str">
        <f aca="false">IF(OR($B155="",$H155=0),"",SUMPRODUCT((Investments!$A$6:$A$1005=$B155)*Investments!$M$6:$M$1005*Investments!$T$6:$T$1005)/$H155)</f>
        <v/>
      </c>
      <c r="L155" s="34" t="str">
        <f aca="false">IF(OR($B155="",$C$12=0),"",$H155/$C$12)</f>
        <v/>
      </c>
    </row>
    <row r="156" customFormat="false" ht="15" hidden="false" customHeight="false" outlineLevel="0" collapsed="false">
      <c r="B156" s="14" t="str">
        <f aca="false">IF(Clients!$B141="","",Clients!$B141)</f>
        <v/>
      </c>
      <c r="C156" s="35" t="str">
        <f aca="false">IF($B156="","",COUNTIFS(Investments!$A$6:$A$1005,$B156))</f>
        <v/>
      </c>
      <c r="D156" s="17" t="str">
        <f aca="false">IF($B156="","",SUMIFS(Investments!$G$6:$G$1005,Investments!$A$6:$A$1005,$B156))</f>
        <v/>
      </c>
      <c r="E156" s="17" t="str">
        <f aca="false">IF($B156="","",SUMIFS(Investments!$H$6:$H$1005,Investments!$A$6:$A$1005,$B156))</f>
        <v/>
      </c>
      <c r="F156" s="17" t="str">
        <f aca="false">IF($B156="","",SUMIFS(Investments!$P$6:$P$1005,Investments!$A$6:$A$1005,$B156))</f>
        <v/>
      </c>
      <c r="G156" s="17" t="str">
        <f aca="false">IF($B156="","",SUMIFS(Investments!$J$6:$J$1005,Investments!$A$6:$A$1005,$B156)+SUMIFS(Investments!$K$6:$K$1005,Investments!$A$6:$A$1005,$B156)+SUMIFS(Investments!$L$6:$L$1005,Investments!$A$6:$A$1005,$B156))</f>
        <v/>
      </c>
      <c r="H156" s="17" t="str">
        <f aca="false">IF($B156="","",SUMIFS(Investments!$M$6:$M$1005,Investments!$A$6:$A$1005,$B156))</f>
        <v/>
      </c>
      <c r="I156" s="17" t="str">
        <f aca="false">IF($B156="","",($H156+$G156)-$F156)</f>
        <v/>
      </c>
      <c r="J156" s="18" t="str">
        <f aca="false">IF(OR($B156="",$F156=0),"",$I156/$F156)</f>
        <v/>
      </c>
      <c r="K156" s="18" t="str">
        <f aca="false">IF(OR($B156="",$H156=0),"",SUMPRODUCT((Investments!$A$6:$A$1005=$B156)*Investments!$M$6:$M$1005*Investments!$T$6:$T$1005)/$H156)</f>
        <v/>
      </c>
      <c r="L156" s="18" t="str">
        <f aca="false">IF(OR($B156="",$C$12=0),"",$H156/$C$12)</f>
        <v/>
      </c>
    </row>
    <row r="157" customFormat="false" ht="15" hidden="false" customHeight="false" outlineLevel="0" collapsed="false">
      <c r="B157" s="31" t="str">
        <f aca="false">IF(Clients!$B142="","",Clients!$B142)</f>
        <v/>
      </c>
      <c r="C157" s="32" t="str">
        <f aca="false">IF($B157="","",COUNTIFS(Investments!$A$6:$A$1005,$B157))</f>
        <v/>
      </c>
      <c r="D157" s="33" t="str">
        <f aca="false">IF($B157="","",SUMIFS(Investments!$G$6:$G$1005,Investments!$A$6:$A$1005,$B157))</f>
        <v/>
      </c>
      <c r="E157" s="33" t="str">
        <f aca="false">IF($B157="","",SUMIFS(Investments!$H$6:$H$1005,Investments!$A$6:$A$1005,$B157))</f>
        <v/>
      </c>
      <c r="F157" s="33" t="str">
        <f aca="false">IF($B157="","",SUMIFS(Investments!$P$6:$P$1005,Investments!$A$6:$A$1005,$B157))</f>
        <v/>
      </c>
      <c r="G157" s="33" t="str">
        <f aca="false">IF($B157="","",SUMIFS(Investments!$J$6:$J$1005,Investments!$A$6:$A$1005,$B157)+SUMIFS(Investments!$K$6:$K$1005,Investments!$A$6:$A$1005,$B157)+SUMIFS(Investments!$L$6:$L$1005,Investments!$A$6:$A$1005,$B157))</f>
        <v/>
      </c>
      <c r="H157" s="33" t="str">
        <f aca="false">IF($B157="","",SUMIFS(Investments!$M$6:$M$1005,Investments!$A$6:$A$1005,$B157))</f>
        <v/>
      </c>
      <c r="I157" s="33" t="str">
        <f aca="false">IF($B157="","",($H157+$G157)-$F157)</f>
        <v/>
      </c>
      <c r="J157" s="34" t="str">
        <f aca="false">IF(OR($B157="",$F157=0),"",$I157/$F157)</f>
        <v/>
      </c>
      <c r="K157" s="34" t="str">
        <f aca="false">IF(OR($B157="",$H157=0),"",SUMPRODUCT((Investments!$A$6:$A$1005=$B157)*Investments!$M$6:$M$1005*Investments!$T$6:$T$1005)/$H157)</f>
        <v/>
      </c>
      <c r="L157" s="34" t="str">
        <f aca="false">IF(OR($B157="",$C$12=0),"",$H157/$C$12)</f>
        <v/>
      </c>
    </row>
    <row r="158" customFormat="false" ht="15" hidden="false" customHeight="false" outlineLevel="0" collapsed="false">
      <c r="B158" s="14" t="str">
        <f aca="false">IF(Clients!$B143="","",Clients!$B143)</f>
        <v/>
      </c>
      <c r="C158" s="35" t="str">
        <f aca="false">IF($B158="","",COUNTIFS(Investments!$A$6:$A$1005,$B158))</f>
        <v/>
      </c>
      <c r="D158" s="17" t="str">
        <f aca="false">IF($B158="","",SUMIFS(Investments!$G$6:$G$1005,Investments!$A$6:$A$1005,$B158))</f>
        <v/>
      </c>
      <c r="E158" s="17" t="str">
        <f aca="false">IF($B158="","",SUMIFS(Investments!$H$6:$H$1005,Investments!$A$6:$A$1005,$B158))</f>
        <v/>
      </c>
      <c r="F158" s="17" t="str">
        <f aca="false">IF($B158="","",SUMIFS(Investments!$P$6:$P$1005,Investments!$A$6:$A$1005,$B158))</f>
        <v/>
      </c>
      <c r="G158" s="17" t="str">
        <f aca="false">IF($B158="","",SUMIFS(Investments!$J$6:$J$1005,Investments!$A$6:$A$1005,$B158)+SUMIFS(Investments!$K$6:$K$1005,Investments!$A$6:$A$1005,$B158)+SUMIFS(Investments!$L$6:$L$1005,Investments!$A$6:$A$1005,$B158))</f>
        <v/>
      </c>
      <c r="H158" s="17" t="str">
        <f aca="false">IF($B158="","",SUMIFS(Investments!$M$6:$M$1005,Investments!$A$6:$A$1005,$B158))</f>
        <v/>
      </c>
      <c r="I158" s="17" t="str">
        <f aca="false">IF($B158="","",($H158+$G158)-$F158)</f>
        <v/>
      </c>
      <c r="J158" s="18" t="str">
        <f aca="false">IF(OR($B158="",$F158=0),"",$I158/$F158)</f>
        <v/>
      </c>
      <c r="K158" s="18" t="str">
        <f aca="false">IF(OR($B158="",$H158=0),"",SUMPRODUCT((Investments!$A$6:$A$1005=$B158)*Investments!$M$6:$M$1005*Investments!$T$6:$T$1005)/$H158)</f>
        <v/>
      </c>
      <c r="L158" s="18" t="str">
        <f aca="false">IF(OR($B158="",$C$12=0),"",$H158/$C$12)</f>
        <v/>
      </c>
    </row>
    <row r="159" customFormat="false" ht="15" hidden="false" customHeight="false" outlineLevel="0" collapsed="false">
      <c r="B159" s="31" t="str">
        <f aca="false">IF(Clients!$B144="","",Clients!$B144)</f>
        <v/>
      </c>
      <c r="C159" s="32" t="str">
        <f aca="false">IF($B159="","",COUNTIFS(Investments!$A$6:$A$1005,$B159))</f>
        <v/>
      </c>
      <c r="D159" s="33" t="str">
        <f aca="false">IF($B159="","",SUMIFS(Investments!$G$6:$G$1005,Investments!$A$6:$A$1005,$B159))</f>
        <v/>
      </c>
      <c r="E159" s="33" t="str">
        <f aca="false">IF($B159="","",SUMIFS(Investments!$H$6:$H$1005,Investments!$A$6:$A$1005,$B159))</f>
        <v/>
      </c>
      <c r="F159" s="33" t="str">
        <f aca="false">IF($B159="","",SUMIFS(Investments!$P$6:$P$1005,Investments!$A$6:$A$1005,$B159))</f>
        <v/>
      </c>
      <c r="G159" s="33" t="str">
        <f aca="false">IF($B159="","",SUMIFS(Investments!$J$6:$J$1005,Investments!$A$6:$A$1005,$B159)+SUMIFS(Investments!$K$6:$K$1005,Investments!$A$6:$A$1005,$B159)+SUMIFS(Investments!$L$6:$L$1005,Investments!$A$6:$A$1005,$B159))</f>
        <v/>
      </c>
      <c r="H159" s="33" t="str">
        <f aca="false">IF($B159="","",SUMIFS(Investments!$M$6:$M$1005,Investments!$A$6:$A$1005,$B159))</f>
        <v/>
      </c>
      <c r="I159" s="33" t="str">
        <f aca="false">IF($B159="","",($H159+$G159)-$F159)</f>
        <v/>
      </c>
      <c r="J159" s="34" t="str">
        <f aca="false">IF(OR($B159="",$F159=0),"",$I159/$F159)</f>
        <v/>
      </c>
      <c r="K159" s="34" t="str">
        <f aca="false">IF(OR($B159="",$H159=0),"",SUMPRODUCT((Investments!$A$6:$A$1005=$B159)*Investments!$M$6:$M$1005*Investments!$T$6:$T$1005)/$H159)</f>
        <v/>
      </c>
      <c r="L159" s="34" t="str">
        <f aca="false">IF(OR($B159="",$C$12=0),"",$H159/$C$12)</f>
        <v/>
      </c>
    </row>
    <row r="160" customFormat="false" ht="15" hidden="false" customHeight="false" outlineLevel="0" collapsed="false">
      <c r="B160" s="14" t="str">
        <f aca="false">IF(Clients!$B145="","",Clients!$B145)</f>
        <v/>
      </c>
      <c r="C160" s="35" t="str">
        <f aca="false">IF($B160="","",COUNTIFS(Investments!$A$6:$A$1005,$B160))</f>
        <v/>
      </c>
      <c r="D160" s="17" t="str">
        <f aca="false">IF($B160="","",SUMIFS(Investments!$G$6:$G$1005,Investments!$A$6:$A$1005,$B160))</f>
        <v/>
      </c>
      <c r="E160" s="17" t="str">
        <f aca="false">IF($B160="","",SUMIFS(Investments!$H$6:$H$1005,Investments!$A$6:$A$1005,$B160))</f>
        <v/>
      </c>
      <c r="F160" s="17" t="str">
        <f aca="false">IF($B160="","",SUMIFS(Investments!$P$6:$P$1005,Investments!$A$6:$A$1005,$B160))</f>
        <v/>
      </c>
      <c r="G160" s="17" t="str">
        <f aca="false">IF($B160="","",SUMIFS(Investments!$J$6:$J$1005,Investments!$A$6:$A$1005,$B160)+SUMIFS(Investments!$K$6:$K$1005,Investments!$A$6:$A$1005,$B160)+SUMIFS(Investments!$L$6:$L$1005,Investments!$A$6:$A$1005,$B160))</f>
        <v/>
      </c>
      <c r="H160" s="17" t="str">
        <f aca="false">IF($B160="","",SUMIFS(Investments!$M$6:$M$1005,Investments!$A$6:$A$1005,$B160))</f>
        <v/>
      </c>
      <c r="I160" s="17" t="str">
        <f aca="false">IF($B160="","",($H160+$G160)-$F160)</f>
        <v/>
      </c>
      <c r="J160" s="18" t="str">
        <f aca="false">IF(OR($B160="",$F160=0),"",$I160/$F160)</f>
        <v/>
      </c>
      <c r="K160" s="18" t="str">
        <f aca="false">IF(OR($B160="",$H160=0),"",SUMPRODUCT((Investments!$A$6:$A$1005=$B160)*Investments!$M$6:$M$1005*Investments!$T$6:$T$1005)/$H160)</f>
        <v/>
      </c>
      <c r="L160" s="18" t="str">
        <f aca="false">IF(OR($B160="",$C$12=0),"",$H160/$C$12)</f>
        <v/>
      </c>
    </row>
    <row r="161" customFormat="false" ht="15" hidden="false" customHeight="false" outlineLevel="0" collapsed="false">
      <c r="B161" s="31" t="str">
        <f aca="false">IF(Clients!$B146="","",Clients!$B146)</f>
        <v/>
      </c>
      <c r="C161" s="32" t="str">
        <f aca="false">IF($B161="","",COUNTIFS(Investments!$A$6:$A$1005,$B161))</f>
        <v/>
      </c>
      <c r="D161" s="33" t="str">
        <f aca="false">IF($B161="","",SUMIFS(Investments!$G$6:$G$1005,Investments!$A$6:$A$1005,$B161))</f>
        <v/>
      </c>
      <c r="E161" s="33" t="str">
        <f aca="false">IF($B161="","",SUMIFS(Investments!$H$6:$H$1005,Investments!$A$6:$A$1005,$B161))</f>
        <v/>
      </c>
      <c r="F161" s="33" t="str">
        <f aca="false">IF($B161="","",SUMIFS(Investments!$P$6:$P$1005,Investments!$A$6:$A$1005,$B161))</f>
        <v/>
      </c>
      <c r="G161" s="33" t="str">
        <f aca="false">IF($B161="","",SUMIFS(Investments!$J$6:$J$1005,Investments!$A$6:$A$1005,$B161)+SUMIFS(Investments!$K$6:$K$1005,Investments!$A$6:$A$1005,$B161)+SUMIFS(Investments!$L$6:$L$1005,Investments!$A$6:$A$1005,$B161))</f>
        <v/>
      </c>
      <c r="H161" s="33" t="str">
        <f aca="false">IF($B161="","",SUMIFS(Investments!$M$6:$M$1005,Investments!$A$6:$A$1005,$B161))</f>
        <v/>
      </c>
      <c r="I161" s="33" t="str">
        <f aca="false">IF($B161="","",($H161+$G161)-$F161)</f>
        <v/>
      </c>
      <c r="J161" s="34" t="str">
        <f aca="false">IF(OR($B161="",$F161=0),"",$I161/$F161)</f>
        <v/>
      </c>
      <c r="K161" s="34" t="str">
        <f aca="false">IF(OR($B161="",$H161=0),"",SUMPRODUCT((Investments!$A$6:$A$1005=$B161)*Investments!$M$6:$M$1005*Investments!$T$6:$T$1005)/$H161)</f>
        <v/>
      </c>
      <c r="L161" s="34" t="str">
        <f aca="false">IF(OR($B161="",$C$12=0),"",$H161/$C$12)</f>
        <v/>
      </c>
    </row>
    <row r="162" customFormat="false" ht="15" hidden="false" customHeight="false" outlineLevel="0" collapsed="false">
      <c r="B162" s="14" t="str">
        <f aca="false">IF(Clients!$B147="","",Clients!$B147)</f>
        <v/>
      </c>
      <c r="C162" s="35" t="str">
        <f aca="false">IF($B162="","",COUNTIFS(Investments!$A$6:$A$1005,$B162))</f>
        <v/>
      </c>
      <c r="D162" s="17" t="str">
        <f aca="false">IF($B162="","",SUMIFS(Investments!$G$6:$G$1005,Investments!$A$6:$A$1005,$B162))</f>
        <v/>
      </c>
      <c r="E162" s="17" t="str">
        <f aca="false">IF($B162="","",SUMIFS(Investments!$H$6:$H$1005,Investments!$A$6:$A$1005,$B162))</f>
        <v/>
      </c>
      <c r="F162" s="17" t="str">
        <f aca="false">IF($B162="","",SUMIFS(Investments!$P$6:$P$1005,Investments!$A$6:$A$1005,$B162))</f>
        <v/>
      </c>
      <c r="G162" s="17" t="str">
        <f aca="false">IF($B162="","",SUMIFS(Investments!$J$6:$J$1005,Investments!$A$6:$A$1005,$B162)+SUMIFS(Investments!$K$6:$K$1005,Investments!$A$6:$A$1005,$B162)+SUMIFS(Investments!$L$6:$L$1005,Investments!$A$6:$A$1005,$B162))</f>
        <v/>
      </c>
      <c r="H162" s="17" t="str">
        <f aca="false">IF($B162="","",SUMIFS(Investments!$M$6:$M$1005,Investments!$A$6:$A$1005,$B162))</f>
        <v/>
      </c>
      <c r="I162" s="17" t="str">
        <f aca="false">IF($B162="","",($H162+$G162)-$F162)</f>
        <v/>
      </c>
      <c r="J162" s="18" t="str">
        <f aca="false">IF(OR($B162="",$F162=0),"",$I162/$F162)</f>
        <v/>
      </c>
      <c r="K162" s="18" t="str">
        <f aca="false">IF(OR($B162="",$H162=0),"",SUMPRODUCT((Investments!$A$6:$A$1005=$B162)*Investments!$M$6:$M$1005*Investments!$T$6:$T$1005)/$H162)</f>
        <v/>
      </c>
      <c r="L162" s="18" t="str">
        <f aca="false">IF(OR($B162="",$C$12=0),"",$H162/$C$12)</f>
        <v/>
      </c>
    </row>
    <row r="163" customFormat="false" ht="15" hidden="false" customHeight="false" outlineLevel="0" collapsed="false">
      <c r="B163" s="31" t="str">
        <f aca="false">IF(Clients!$B148="","",Clients!$B148)</f>
        <v/>
      </c>
      <c r="C163" s="32" t="str">
        <f aca="false">IF($B163="","",COUNTIFS(Investments!$A$6:$A$1005,$B163))</f>
        <v/>
      </c>
      <c r="D163" s="33" t="str">
        <f aca="false">IF($B163="","",SUMIFS(Investments!$G$6:$G$1005,Investments!$A$6:$A$1005,$B163))</f>
        <v/>
      </c>
      <c r="E163" s="33" t="str">
        <f aca="false">IF($B163="","",SUMIFS(Investments!$H$6:$H$1005,Investments!$A$6:$A$1005,$B163))</f>
        <v/>
      </c>
      <c r="F163" s="33" t="str">
        <f aca="false">IF($B163="","",SUMIFS(Investments!$P$6:$P$1005,Investments!$A$6:$A$1005,$B163))</f>
        <v/>
      </c>
      <c r="G163" s="33" t="str">
        <f aca="false">IF($B163="","",SUMIFS(Investments!$J$6:$J$1005,Investments!$A$6:$A$1005,$B163)+SUMIFS(Investments!$K$6:$K$1005,Investments!$A$6:$A$1005,$B163)+SUMIFS(Investments!$L$6:$L$1005,Investments!$A$6:$A$1005,$B163))</f>
        <v/>
      </c>
      <c r="H163" s="33" t="str">
        <f aca="false">IF($B163="","",SUMIFS(Investments!$M$6:$M$1005,Investments!$A$6:$A$1005,$B163))</f>
        <v/>
      </c>
      <c r="I163" s="33" t="str">
        <f aca="false">IF($B163="","",($H163+$G163)-$F163)</f>
        <v/>
      </c>
      <c r="J163" s="34" t="str">
        <f aca="false">IF(OR($B163="",$F163=0),"",$I163/$F163)</f>
        <v/>
      </c>
      <c r="K163" s="34" t="str">
        <f aca="false">IF(OR($B163="",$H163=0),"",SUMPRODUCT((Investments!$A$6:$A$1005=$B163)*Investments!$M$6:$M$1005*Investments!$T$6:$T$1005)/$H163)</f>
        <v/>
      </c>
      <c r="L163" s="34" t="str">
        <f aca="false">IF(OR($B163="",$C$12=0),"",$H163/$C$12)</f>
        <v/>
      </c>
    </row>
    <row r="164" customFormat="false" ht="15" hidden="false" customHeight="false" outlineLevel="0" collapsed="false">
      <c r="B164" s="14" t="str">
        <f aca="false">IF(Clients!$B149="","",Clients!$B149)</f>
        <v/>
      </c>
      <c r="C164" s="35" t="str">
        <f aca="false">IF($B164="","",COUNTIFS(Investments!$A$6:$A$1005,$B164))</f>
        <v/>
      </c>
      <c r="D164" s="17" t="str">
        <f aca="false">IF($B164="","",SUMIFS(Investments!$G$6:$G$1005,Investments!$A$6:$A$1005,$B164))</f>
        <v/>
      </c>
      <c r="E164" s="17" t="str">
        <f aca="false">IF($B164="","",SUMIFS(Investments!$H$6:$H$1005,Investments!$A$6:$A$1005,$B164))</f>
        <v/>
      </c>
      <c r="F164" s="17" t="str">
        <f aca="false">IF($B164="","",SUMIFS(Investments!$P$6:$P$1005,Investments!$A$6:$A$1005,$B164))</f>
        <v/>
      </c>
      <c r="G164" s="17" t="str">
        <f aca="false">IF($B164="","",SUMIFS(Investments!$J$6:$J$1005,Investments!$A$6:$A$1005,$B164)+SUMIFS(Investments!$K$6:$K$1005,Investments!$A$6:$A$1005,$B164)+SUMIFS(Investments!$L$6:$L$1005,Investments!$A$6:$A$1005,$B164))</f>
        <v/>
      </c>
      <c r="H164" s="17" t="str">
        <f aca="false">IF($B164="","",SUMIFS(Investments!$M$6:$M$1005,Investments!$A$6:$A$1005,$B164))</f>
        <v/>
      </c>
      <c r="I164" s="17" t="str">
        <f aca="false">IF($B164="","",($H164+$G164)-$F164)</f>
        <v/>
      </c>
      <c r="J164" s="18" t="str">
        <f aca="false">IF(OR($B164="",$F164=0),"",$I164/$F164)</f>
        <v/>
      </c>
      <c r="K164" s="18" t="str">
        <f aca="false">IF(OR($B164="",$H164=0),"",SUMPRODUCT((Investments!$A$6:$A$1005=$B164)*Investments!$M$6:$M$1005*Investments!$T$6:$T$1005)/$H164)</f>
        <v/>
      </c>
      <c r="L164" s="18" t="str">
        <f aca="false">IF(OR($B164="",$C$12=0),"",$H164/$C$12)</f>
        <v/>
      </c>
    </row>
    <row r="165" customFormat="false" ht="15" hidden="false" customHeight="false" outlineLevel="0" collapsed="false">
      <c r="B165" s="31" t="str">
        <f aca="false">IF(Clients!$B150="","",Clients!$B150)</f>
        <v/>
      </c>
      <c r="C165" s="32" t="str">
        <f aca="false">IF($B165="","",COUNTIFS(Investments!$A$6:$A$1005,$B165))</f>
        <v/>
      </c>
      <c r="D165" s="33" t="str">
        <f aca="false">IF($B165="","",SUMIFS(Investments!$G$6:$G$1005,Investments!$A$6:$A$1005,$B165))</f>
        <v/>
      </c>
      <c r="E165" s="33" t="str">
        <f aca="false">IF($B165="","",SUMIFS(Investments!$H$6:$H$1005,Investments!$A$6:$A$1005,$B165))</f>
        <v/>
      </c>
      <c r="F165" s="33" t="str">
        <f aca="false">IF($B165="","",SUMIFS(Investments!$P$6:$P$1005,Investments!$A$6:$A$1005,$B165))</f>
        <v/>
      </c>
      <c r="G165" s="33" t="str">
        <f aca="false">IF($B165="","",SUMIFS(Investments!$J$6:$J$1005,Investments!$A$6:$A$1005,$B165)+SUMIFS(Investments!$K$6:$K$1005,Investments!$A$6:$A$1005,$B165)+SUMIFS(Investments!$L$6:$L$1005,Investments!$A$6:$A$1005,$B165))</f>
        <v/>
      </c>
      <c r="H165" s="33" t="str">
        <f aca="false">IF($B165="","",SUMIFS(Investments!$M$6:$M$1005,Investments!$A$6:$A$1005,$B165))</f>
        <v/>
      </c>
      <c r="I165" s="33" t="str">
        <f aca="false">IF($B165="","",($H165+$G165)-$F165)</f>
        <v/>
      </c>
      <c r="J165" s="34" t="str">
        <f aca="false">IF(OR($B165="",$F165=0),"",$I165/$F165)</f>
        <v/>
      </c>
      <c r="K165" s="34" t="str">
        <f aca="false">IF(OR($B165="",$H165=0),"",SUMPRODUCT((Investments!$A$6:$A$1005=$B165)*Investments!$M$6:$M$1005*Investments!$T$6:$T$1005)/$H165)</f>
        <v/>
      </c>
      <c r="L165" s="34" t="str">
        <f aca="false">IF(OR($B165="",$C$12=0),"",$H165/$C$12)</f>
        <v/>
      </c>
    </row>
    <row r="166" customFormat="false" ht="15" hidden="false" customHeight="false" outlineLevel="0" collapsed="false">
      <c r="B166" s="14" t="str">
        <f aca="false">IF(Clients!$B151="","",Clients!$B151)</f>
        <v/>
      </c>
      <c r="C166" s="35" t="str">
        <f aca="false">IF($B166="","",COUNTIFS(Investments!$A$6:$A$1005,$B166))</f>
        <v/>
      </c>
      <c r="D166" s="17" t="str">
        <f aca="false">IF($B166="","",SUMIFS(Investments!$G$6:$G$1005,Investments!$A$6:$A$1005,$B166))</f>
        <v/>
      </c>
      <c r="E166" s="17" t="str">
        <f aca="false">IF($B166="","",SUMIFS(Investments!$H$6:$H$1005,Investments!$A$6:$A$1005,$B166))</f>
        <v/>
      </c>
      <c r="F166" s="17" t="str">
        <f aca="false">IF($B166="","",SUMIFS(Investments!$P$6:$P$1005,Investments!$A$6:$A$1005,$B166))</f>
        <v/>
      </c>
      <c r="G166" s="17" t="str">
        <f aca="false">IF($B166="","",SUMIFS(Investments!$J$6:$J$1005,Investments!$A$6:$A$1005,$B166)+SUMIFS(Investments!$K$6:$K$1005,Investments!$A$6:$A$1005,$B166)+SUMIFS(Investments!$L$6:$L$1005,Investments!$A$6:$A$1005,$B166))</f>
        <v/>
      </c>
      <c r="H166" s="17" t="str">
        <f aca="false">IF($B166="","",SUMIFS(Investments!$M$6:$M$1005,Investments!$A$6:$A$1005,$B166))</f>
        <v/>
      </c>
      <c r="I166" s="17" t="str">
        <f aca="false">IF($B166="","",($H166+$G166)-$F166)</f>
        <v/>
      </c>
      <c r="J166" s="18" t="str">
        <f aca="false">IF(OR($B166="",$F166=0),"",$I166/$F166)</f>
        <v/>
      </c>
      <c r="K166" s="18" t="str">
        <f aca="false">IF(OR($B166="",$H166=0),"",SUMPRODUCT((Investments!$A$6:$A$1005=$B166)*Investments!$M$6:$M$1005*Investments!$T$6:$T$1005)/$H166)</f>
        <v/>
      </c>
      <c r="L166" s="18" t="str">
        <f aca="false">IF(OR($B166="",$C$12=0),"",$H166/$C$12)</f>
        <v/>
      </c>
    </row>
    <row r="167" customFormat="false" ht="15" hidden="false" customHeight="false" outlineLevel="0" collapsed="false">
      <c r="B167" s="31" t="str">
        <f aca="false">IF(Clients!$B152="","",Clients!$B152)</f>
        <v/>
      </c>
      <c r="C167" s="32" t="str">
        <f aca="false">IF($B167="","",COUNTIFS(Investments!$A$6:$A$1005,$B167))</f>
        <v/>
      </c>
      <c r="D167" s="33" t="str">
        <f aca="false">IF($B167="","",SUMIFS(Investments!$G$6:$G$1005,Investments!$A$6:$A$1005,$B167))</f>
        <v/>
      </c>
      <c r="E167" s="33" t="str">
        <f aca="false">IF($B167="","",SUMIFS(Investments!$H$6:$H$1005,Investments!$A$6:$A$1005,$B167))</f>
        <v/>
      </c>
      <c r="F167" s="33" t="str">
        <f aca="false">IF($B167="","",SUMIFS(Investments!$P$6:$P$1005,Investments!$A$6:$A$1005,$B167))</f>
        <v/>
      </c>
      <c r="G167" s="33" t="str">
        <f aca="false">IF($B167="","",SUMIFS(Investments!$J$6:$J$1005,Investments!$A$6:$A$1005,$B167)+SUMIFS(Investments!$K$6:$K$1005,Investments!$A$6:$A$1005,$B167)+SUMIFS(Investments!$L$6:$L$1005,Investments!$A$6:$A$1005,$B167))</f>
        <v/>
      </c>
      <c r="H167" s="33" t="str">
        <f aca="false">IF($B167="","",SUMIFS(Investments!$M$6:$M$1005,Investments!$A$6:$A$1005,$B167))</f>
        <v/>
      </c>
      <c r="I167" s="33" t="str">
        <f aca="false">IF($B167="","",($H167+$G167)-$F167)</f>
        <v/>
      </c>
      <c r="J167" s="34" t="str">
        <f aca="false">IF(OR($B167="",$F167=0),"",$I167/$F167)</f>
        <v/>
      </c>
      <c r="K167" s="34" t="str">
        <f aca="false">IF(OR($B167="",$H167=0),"",SUMPRODUCT((Investments!$A$6:$A$1005=$B167)*Investments!$M$6:$M$1005*Investments!$T$6:$T$1005)/$H167)</f>
        <v/>
      </c>
      <c r="L167" s="34" t="str">
        <f aca="false">IF(OR($B167="",$C$12=0),"",$H167/$C$12)</f>
        <v/>
      </c>
    </row>
    <row r="168" customFormat="false" ht="15" hidden="false" customHeight="false" outlineLevel="0" collapsed="false">
      <c r="B168" s="14" t="str">
        <f aca="false">IF(Clients!$B153="","",Clients!$B153)</f>
        <v/>
      </c>
      <c r="C168" s="35" t="str">
        <f aca="false">IF($B168="","",COUNTIFS(Investments!$A$6:$A$1005,$B168))</f>
        <v/>
      </c>
      <c r="D168" s="17" t="str">
        <f aca="false">IF($B168="","",SUMIFS(Investments!$G$6:$G$1005,Investments!$A$6:$A$1005,$B168))</f>
        <v/>
      </c>
      <c r="E168" s="17" t="str">
        <f aca="false">IF($B168="","",SUMIFS(Investments!$H$6:$H$1005,Investments!$A$6:$A$1005,$B168))</f>
        <v/>
      </c>
      <c r="F168" s="17" t="str">
        <f aca="false">IF($B168="","",SUMIFS(Investments!$P$6:$P$1005,Investments!$A$6:$A$1005,$B168))</f>
        <v/>
      </c>
      <c r="G168" s="17" t="str">
        <f aca="false">IF($B168="","",SUMIFS(Investments!$J$6:$J$1005,Investments!$A$6:$A$1005,$B168)+SUMIFS(Investments!$K$6:$K$1005,Investments!$A$6:$A$1005,$B168)+SUMIFS(Investments!$L$6:$L$1005,Investments!$A$6:$A$1005,$B168))</f>
        <v/>
      </c>
      <c r="H168" s="17" t="str">
        <f aca="false">IF($B168="","",SUMIFS(Investments!$M$6:$M$1005,Investments!$A$6:$A$1005,$B168))</f>
        <v/>
      </c>
      <c r="I168" s="17" t="str">
        <f aca="false">IF($B168="","",($H168+$G168)-$F168)</f>
        <v/>
      </c>
      <c r="J168" s="18" t="str">
        <f aca="false">IF(OR($B168="",$F168=0),"",$I168/$F168)</f>
        <v/>
      </c>
      <c r="K168" s="18" t="str">
        <f aca="false">IF(OR($B168="",$H168=0),"",SUMPRODUCT((Investments!$A$6:$A$1005=$B168)*Investments!$M$6:$M$1005*Investments!$T$6:$T$1005)/$H168)</f>
        <v/>
      </c>
      <c r="L168" s="18" t="str">
        <f aca="false">IF(OR($B168="",$C$12=0),"",$H168/$C$12)</f>
        <v/>
      </c>
    </row>
    <row r="169" customFormat="false" ht="15" hidden="false" customHeight="false" outlineLevel="0" collapsed="false">
      <c r="B169" s="31" t="str">
        <f aca="false">IF(Clients!$B154="","",Clients!$B154)</f>
        <v/>
      </c>
      <c r="C169" s="32" t="str">
        <f aca="false">IF($B169="","",COUNTIFS(Investments!$A$6:$A$1005,$B169))</f>
        <v/>
      </c>
      <c r="D169" s="33" t="str">
        <f aca="false">IF($B169="","",SUMIFS(Investments!$G$6:$G$1005,Investments!$A$6:$A$1005,$B169))</f>
        <v/>
      </c>
      <c r="E169" s="33" t="str">
        <f aca="false">IF($B169="","",SUMIFS(Investments!$H$6:$H$1005,Investments!$A$6:$A$1005,$B169))</f>
        <v/>
      </c>
      <c r="F169" s="33" t="str">
        <f aca="false">IF($B169="","",SUMIFS(Investments!$P$6:$P$1005,Investments!$A$6:$A$1005,$B169))</f>
        <v/>
      </c>
      <c r="G169" s="33" t="str">
        <f aca="false">IF($B169="","",SUMIFS(Investments!$J$6:$J$1005,Investments!$A$6:$A$1005,$B169)+SUMIFS(Investments!$K$6:$K$1005,Investments!$A$6:$A$1005,$B169)+SUMIFS(Investments!$L$6:$L$1005,Investments!$A$6:$A$1005,$B169))</f>
        <v/>
      </c>
      <c r="H169" s="33" t="str">
        <f aca="false">IF($B169="","",SUMIFS(Investments!$M$6:$M$1005,Investments!$A$6:$A$1005,$B169))</f>
        <v/>
      </c>
      <c r="I169" s="33" t="str">
        <f aca="false">IF($B169="","",($H169+$G169)-$F169)</f>
        <v/>
      </c>
      <c r="J169" s="34" t="str">
        <f aca="false">IF(OR($B169="",$F169=0),"",$I169/$F169)</f>
        <v/>
      </c>
      <c r="K169" s="34" t="str">
        <f aca="false">IF(OR($B169="",$H169=0),"",SUMPRODUCT((Investments!$A$6:$A$1005=$B169)*Investments!$M$6:$M$1005*Investments!$T$6:$T$1005)/$H169)</f>
        <v/>
      </c>
      <c r="L169" s="34" t="str">
        <f aca="false">IF(OR($B169="",$C$12=0),"",$H169/$C$12)</f>
        <v/>
      </c>
    </row>
    <row r="170" customFormat="false" ht="15" hidden="false" customHeight="false" outlineLevel="0" collapsed="false">
      <c r="B170" s="14" t="str">
        <f aca="false">IF(Clients!$B155="","",Clients!$B155)</f>
        <v/>
      </c>
      <c r="C170" s="35" t="str">
        <f aca="false">IF($B170="","",COUNTIFS(Investments!$A$6:$A$1005,$B170))</f>
        <v/>
      </c>
      <c r="D170" s="17" t="str">
        <f aca="false">IF($B170="","",SUMIFS(Investments!$G$6:$G$1005,Investments!$A$6:$A$1005,$B170))</f>
        <v/>
      </c>
      <c r="E170" s="17" t="str">
        <f aca="false">IF($B170="","",SUMIFS(Investments!$H$6:$H$1005,Investments!$A$6:$A$1005,$B170))</f>
        <v/>
      </c>
      <c r="F170" s="17" t="str">
        <f aca="false">IF($B170="","",SUMIFS(Investments!$P$6:$P$1005,Investments!$A$6:$A$1005,$B170))</f>
        <v/>
      </c>
      <c r="G170" s="17" t="str">
        <f aca="false">IF($B170="","",SUMIFS(Investments!$J$6:$J$1005,Investments!$A$6:$A$1005,$B170)+SUMIFS(Investments!$K$6:$K$1005,Investments!$A$6:$A$1005,$B170)+SUMIFS(Investments!$L$6:$L$1005,Investments!$A$6:$A$1005,$B170))</f>
        <v/>
      </c>
      <c r="H170" s="17" t="str">
        <f aca="false">IF($B170="","",SUMIFS(Investments!$M$6:$M$1005,Investments!$A$6:$A$1005,$B170))</f>
        <v/>
      </c>
      <c r="I170" s="17" t="str">
        <f aca="false">IF($B170="","",($H170+$G170)-$F170)</f>
        <v/>
      </c>
      <c r="J170" s="18" t="str">
        <f aca="false">IF(OR($B170="",$F170=0),"",$I170/$F170)</f>
        <v/>
      </c>
      <c r="K170" s="18" t="str">
        <f aca="false">IF(OR($B170="",$H170=0),"",SUMPRODUCT((Investments!$A$6:$A$1005=$B170)*Investments!$M$6:$M$1005*Investments!$T$6:$T$1005)/$H170)</f>
        <v/>
      </c>
      <c r="L170" s="18" t="str">
        <f aca="false">IF(OR($B170="",$C$12=0),"",$H170/$C$12)</f>
        <v/>
      </c>
    </row>
    <row r="171" customFormat="false" ht="15" hidden="false" customHeight="false" outlineLevel="0" collapsed="false">
      <c r="B171" s="31" t="str">
        <f aca="false">IF(Clients!$B156="","",Clients!$B156)</f>
        <v/>
      </c>
      <c r="C171" s="32" t="str">
        <f aca="false">IF($B171="","",COUNTIFS(Investments!$A$6:$A$1005,$B171))</f>
        <v/>
      </c>
      <c r="D171" s="33" t="str">
        <f aca="false">IF($B171="","",SUMIFS(Investments!$G$6:$G$1005,Investments!$A$6:$A$1005,$B171))</f>
        <v/>
      </c>
      <c r="E171" s="33" t="str">
        <f aca="false">IF($B171="","",SUMIFS(Investments!$H$6:$H$1005,Investments!$A$6:$A$1005,$B171))</f>
        <v/>
      </c>
      <c r="F171" s="33" t="str">
        <f aca="false">IF($B171="","",SUMIFS(Investments!$P$6:$P$1005,Investments!$A$6:$A$1005,$B171))</f>
        <v/>
      </c>
      <c r="G171" s="33" t="str">
        <f aca="false">IF($B171="","",SUMIFS(Investments!$J$6:$J$1005,Investments!$A$6:$A$1005,$B171)+SUMIFS(Investments!$K$6:$K$1005,Investments!$A$6:$A$1005,$B171)+SUMIFS(Investments!$L$6:$L$1005,Investments!$A$6:$A$1005,$B171))</f>
        <v/>
      </c>
      <c r="H171" s="33" t="str">
        <f aca="false">IF($B171="","",SUMIFS(Investments!$M$6:$M$1005,Investments!$A$6:$A$1005,$B171))</f>
        <v/>
      </c>
      <c r="I171" s="33" t="str">
        <f aca="false">IF($B171="","",($H171+$G171)-$F171)</f>
        <v/>
      </c>
      <c r="J171" s="34" t="str">
        <f aca="false">IF(OR($B171="",$F171=0),"",$I171/$F171)</f>
        <v/>
      </c>
      <c r="K171" s="34" t="str">
        <f aca="false">IF(OR($B171="",$H171=0),"",SUMPRODUCT((Investments!$A$6:$A$1005=$B171)*Investments!$M$6:$M$1005*Investments!$T$6:$T$1005)/$H171)</f>
        <v/>
      </c>
      <c r="L171" s="34" t="str">
        <f aca="false">IF(OR($B171="",$C$12=0),"",$H171/$C$12)</f>
        <v/>
      </c>
    </row>
    <row r="172" customFormat="false" ht="15" hidden="false" customHeight="false" outlineLevel="0" collapsed="false">
      <c r="B172" s="14" t="str">
        <f aca="false">IF(Clients!$B157="","",Clients!$B157)</f>
        <v/>
      </c>
      <c r="C172" s="35" t="str">
        <f aca="false">IF($B172="","",COUNTIFS(Investments!$A$6:$A$1005,$B172))</f>
        <v/>
      </c>
      <c r="D172" s="17" t="str">
        <f aca="false">IF($B172="","",SUMIFS(Investments!$G$6:$G$1005,Investments!$A$6:$A$1005,$B172))</f>
        <v/>
      </c>
      <c r="E172" s="17" t="str">
        <f aca="false">IF($B172="","",SUMIFS(Investments!$H$6:$H$1005,Investments!$A$6:$A$1005,$B172))</f>
        <v/>
      </c>
      <c r="F172" s="17" t="str">
        <f aca="false">IF($B172="","",SUMIFS(Investments!$P$6:$P$1005,Investments!$A$6:$A$1005,$B172))</f>
        <v/>
      </c>
      <c r="G172" s="17" t="str">
        <f aca="false">IF($B172="","",SUMIFS(Investments!$J$6:$J$1005,Investments!$A$6:$A$1005,$B172)+SUMIFS(Investments!$K$6:$K$1005,Investments!$A$6:$A$1005,$B172)+SUMIFS(Investments!$L$6:$L$1005,Investments!$A$6:$A$1005,$B172))</f>
        <v/>
      </c>
      <c r="H172" s="17" t="str">
        <f aca="false">IF($B172="","",SUMIFS(Investments!$M$6:$M$1005,Investments!$A$6:$A$1005,$B172))</f>
        <v/>
      </c>
      <c r="I172" s="17" t="str">
        <f aca="false">IF($B172="","",($H172+$G172)-$F172)</f>
        <v/>
      </c>
      <c r="J172" s="18" t="str">
        <f aca="false">IF(OR($B172="",$F172=0),"",$I172/$F172)</f>
        <v/>
      </c>
      <c r="K172" s="18" t="str">
        <f aca="false">IF(OR($B172="",$H172=0),"",SUMPRODUCT((Investments!$A$6:$A$1005=$B172)*Investments!$M$6:$M$1005*Investments!$T$6:$T$1005)/$H172)</f>
        <v/>
      </c>
      <c r="L172" s="18" t="str">
        <f aca="false">IF(OR($B172="",$C$12=0),"",$H172/$C$12)</f>
        <v/>
      </c>
    </row>
    <row r="173" customFormat="false" ht="15" hidden="false" customHeight="false" outlineLevel="0" collapsed="false">
      <c r="B173" s="31" t="str">
        <f aca="false">IF(Clients!$B158="","",Clients!$B158)</f>
        <v/>
      </c>
      <c r="C173" s="32" t="str">
        <f aca="false">IF($B173="","",COUNTIFS(Investments!$A$6:$A$1005,$B173))</f>
        <v/>
      </c>
      <c r="D173" s="33" t="str">
        <f aca="false">IF($B173="","",SUMIFS(Investments!$G$6:$G$1005,Investments!$A$6:$A$1005,$B173))</f>
        <v/>
      </c>
      <c r="E173" s="33" t="str">
        <f aca="false">IF($B173="","",SUMIFS(Investments!$H$6:$H$1005,Investments!$A$6:$A$1005,$B173))</f>
        <v/>
      </c>
      <c r="F173" s="33" t="str">
        <f aca="false">IF($B173="","",SUMIFS(Investments!$P$6:$P$1005,Investments!$A$6:$A$1005,$B173))</f>
        <v/>
      </c>
      <c r="G173" s="33" t="str">
        <f aca="false">IF($B173="","",SUMIFS(Investments!$J$6:$J$1005,Investments!$A$6:$A$1005,$B173)+SUMIFS(Investments!$K$6:$K$1005,Investments!$A$6:$A$1005,$B173)+SUMIFS(Investments!$L$6:$L$1005,Investments!$A$6:$A$1005,$B173))</f>
        <v/>
      </c>
      <c r="H173" s="33" t="str">
        <f aca="false">IF($B173="","",SUMIFS(Investments!$M$6:$M$1005,Investments!$A$6:$A$1005,$B173))</f>
        <v/>
      </c>
      <c r="I173" s="33" t="str">
        <f aca="false">IF($B173="","",($H173+$G173)-$F173)</f>
        <v/>
      </c>
      <c r="J173" s="34" t="str">
        <f aca="false">IF(OR($B173="",$F173=0),"",$I173/$F173)</f>
        <v/>
      </c>
      <c r="K173" s="34" t="str">
        <f aca="false">IF(OR($B173="",$H173=0),"",SUMPRODUCT((Investments!$A$6:$A$1005=$B173)*Investments!$M$6:$M$1005*Investments!$T$6:$T$1005)/$H173)</f>
        <v/>
      </c>
      <c r="L173" s="34" t="str">
        <f aca="false">IF(OR($B173="",$C$12=0),"",$H173/$C$12)</f>
        <v/>
      </c>
    </row>
    <row r="174" customFormat="false" ht="15" hidden="false" customHeight="false" outlineLevel="0" collapsed="false">
      <c r="B174" s="14" t="str">
        <f aca="false">IF(Clients!$B159="","",Clients!$B159)</f>
        <v/>
      </c>
      <c r="C174" s="35" t="str">
        <f aca="false">IF($B174="","",COUNTIFS(Investments!$A$6:$A$1005,$B174))</f>
        <v/>
      </c>
      <c r="D174" s="17" t="str">
        <f aca="false">IF($B174="","",SUMIFS(Investments!$G$6:$G$1005,Investments!$A$6:$A$1005,$B174))</f>
        <v/>
      </c>
      <c r="E174" s="17" t="str">
        <f aca="false">IF($B174="","",SUMIFS(Investments!$H$6:$H$1005,Investments!$A$6:$A$1005,$B174))</f>
        <v/>
      </c>
      <c r="F174" s="17" t="str">
        <f aca="false">IF($B174="","",SUMIFS(Investments!$P$6:$P$1005,Investments!$A$6:$A$1005,$B174))</f>
        <v/>
      </c>
      <c r="G174" s="17" t="str">
        <f aca="false">IF($B174="","",SUMIFS(Investments!$J$6:$J$1005,Investments!$A$6:$A$1005,$B174)+SUMIFS(Investments!$K$6:$K$1005,Investments!$A$6:$A$1005,$B174)+SUMIFS(Investments!$L$6:$L$1005,Investments!$A$6:$A$1005,$B174))</f>
        <v/>
      </c>
      <c r="H174" s="17" t="str">
        <f aca="false">IF($B174="","",SUMIFS(Investments!$M$6:$M$1005,Investments!$A$6:$A$1005,$B174))</f>
        <v/>
      </c>
      <c r="I174" s="17" t="str">
        <f aca="false">IF($B174="","",($H174+$G174)-$F174)</f>
        <v/>
      </c>
      <c r="J174" s="18" t="str">
        <f aca="false">IF(OR($B174="",$F174=0),"",$I174/$F174)</f>
        <v/>
      </c>
      <c r="K174" s="18" t="str">
        <f aca="false">IF(OR($B174="",$H174=0),"",SUMPRODUCT((Investments!$A$6:$A$1005=$B174)*Investments!$M$6:$M$1005*Investments!$T$6:$T$1005)/$H174)</f>
        <v/>
      </c>
      <c r="L174" s="18" t="str">
        <f aca="false">IF(OR($B174="",$C$12=0),"",$H174/$C$12)</f>
        <v/>
      </c>
    </row>
    <row r="175" customFormat="false" ht="15" hidden="false" customHeight="false" outlineLevel="0" collapsed="false">
      <c r="B175" s="31" t="str">
        <f aca="false">IF(Clients!$B160="","",Clients!$B160)</f>
        <v/>
      </c>
      <c r="C175" s="32" t="str">
        <f aca="false">IF($B175="","",COUNTIFS(Investments!$A$6:$A$1005,$B175))</f>
        <v/>
      </c>
      <c r="D175" s="33" t="str">
        <f aca="false">IF($B175="","",SUMIFS(Investments!$G$6:$G$1005,Investments!$A$6:$A$1005,$B175))</f>
        <v/>
      </c>
      <c r="E175" s="33" t="str">
        <f aca="false">IF($B175="","",SUMIFS(Investments!$H$6:$H$1005,Investments!$A$6:$A$1005,$B175))</f>
        <v/>
      </c>
      <c r="F175" s="33" t="str">
        <f aca="false">IF($B175="","",SUMIFS(Investments!$P$6:$P$1005,Investments!$A$6:$A$1005,$B175))</f>
        <v/>
      </c>
      <c r="G175" s="33" t="str">
        <f aca="false">IF($B175="","",SUMIFS(Investments!$J$6:$J$1005,Investments!$A$6:$A$1005,$B175)+SUMIFS(Investments!$K$6:$K$1005,Investments!$A$6:$A$1005,$B175)+SUMIFS(Investments!$L$6:$L$1005,Investments!$A$6:$A$1005,$B175))</f>
        <v/>
      </c>
      <c r="H175" s="33" t="str">
        <f aca="false">IF($B175="","",SUMIFS(Investments!$M$6:$M$1005,Investments!$A$6:$A$1005,$B175))</f>
        <v/>
      </c>
      <c r="I175" s="33" t="str">
        <f aca="false">IF($B175="","",($H175+$G175)-$F175)</f>
        <v/>
      </c>
      <c r="J175" s="34" t="str">
        <f aca="false">IF(OR($B175="",$F175=0),"",$I175/$F175)</f>
        <v/>
      </c>
      <c r="K175" s="34" t="str">
        <f aca="false">IF(OR($B175="",$H175=0),"",SUMPRODUCT((Investments!$A$6:$A$1005=$B175)*Investments!$M$6:$M$1005*Investments!$T$6:$T$1005)/$H175)</f>
        <v/>
      </c>
      <c r="L175" s="34" t="str">
        <f aca="false">IF(OR($B175="",$C$12=0),"",$H175/$C$12)</f>
        <v/>
      </c>
    </row>
    <row r="176" customFormat="false" ht="15" hidden="false" customHeight="false" outlineLevel="0" collapsed="false">
      <c r="B176" s="14" t="str">
        <f aca="false">IF(Clients!$B161="","",Clients!$B161)</f>
        <v/>
      </c>
      <c r="C176" s="35" t="str">
        <f aca="false">IF($B176="","",COUNTIFS(Investments!$A$6:$A$1005,$B176))</f>
        <v/>
      </c>
      <c r="D176" s="17" t="str">
        <f aca="false">IF($B176="","",SUMIFS(Investments!$G$6:$G$1005,Investments!$A$6:$A$1005,$B176))</f>
        <v/>
      </c>
      <c r="E176" s="17" t="str">
        <f aca="false">IF($B176="","",SUMIFS(Investments!$H$6:$H$1005,Investments!$A$6:$A$1005,$B176))</f>
        <v/>
      </c>
      <c r="F176" s="17" t="str">
        <f aca="false">IF($B176="","",SUMIFS(Investments!$P$6:$P$1005,Investments!$A$6:$A$1005,$B176))</f>
        <v/>
      </c>
      <c r="G176" s="17" t="str">
        <f aca="false">IF($B176="","",SUMIFS(Investments!$J$6:$J$1005,Investments!$A$6:$A$1005,$B176)+SUMIFS(Investments!$K$6:$K$1005,Investments!$A$6:$A$1005,$B176)+SUMIFS(Investments!$L$6:$L$1005,Investments!$A$6:$A$1005,$B176))</f>
        <v/>
      </c>
      <c r="H176" s="17" t="str">
        <f aca="false">IF($B176="","",SUMIFS(Investments!$M$6:$M$1005,Investments!$A$6:$A$1005,$B176))</f>
        <v/>
      </c>
      <c r="I176" s="17" t="str">
        <f aca="false">IF($B176="","",($H176+$G176)-$F176)</f>
        <v/>
      </c>
      <c r="J176" s="18" t="str">
        <f aca="false">IF(OR($B176="",$F176=0),"",$I176/$F176)</f>
        <v/>
      </c>
      <c r="K176" s="18" t="str">
        <f aca="false">IF(OR($B176="",$H176=0),"",SUMPRODUCT((Investments!$A$6:$A$1005=$B176)*Investments!$M$6:$M$1005*Investments!$T$6:$T$1005)/$H176)</f>
        <v/>
      </c>
      <c r="L176" s="18" t="str">
        <f aca="false">IF(OR($B176="",$C$12=0),"",$H176/$C$12)</f>
        <v/>
      </c>
    </row>
    <row r="177" customFormat="false" ht="15" hidden="false" customHeight="false" outlineLevel="0" collapsed="false">
      <c r="B177" s="31" t="str">
        <f aca="false">IF(Clients!$B162="","",Clients!$B162)</f>
        <v/>
      </c>
      <c r="C177" s="32" t="str">
        <f aca="false">IF($B177="","",COUNTIFS(Investments!$A$6:$A$1005,$B177))</f>
        <v/>
      </c>
      <c r="D177" s="33" t="str">
        <f aca="false">IF($B177="","",SUMIFS(Investments!$G$6:$G$1005,Investments!$A$6:$A$1005,$B177))</f>
        <v/>
      </c>
      <c r="E177" s="33" t="str">
        <f aca="false">IF($B177="","",SUMIFS(Investments!$H$6:$H$1005,Investments!$A$6:$A$1005,$B177))</f>
        <v/>
      </c>
      <c r="F177" s="33" t="str">
        <f aca="false">IF($B177="","",SUMIFS(Investments!$P$6:$P$1005,Investments!$A$6:$A$1005,$B177))</f>
        <v/>
      </c>
      <c r="G177" s="33" t="str">
        <f aca="false">IF($B177="","",SUMIFS(Investments!$J$6:$J$1005,Investments!$A$6:$A$1005,$B177)+SUMIFS(Investments!$K$6:$K$1005,Investments!$A$6:$A$1005,$B177)+SUMIFS(Investments!$L$6:$L$1005,Investments!$A$6:$A$1005,$B177))</f>
        <v/>
      </c>
      <c r="H177" s="33" t="str">
        <f aca="false">IF($B177="","",SUMIFS(Investments!$M$6:$M$1005,Investments!$A$6:$A$1005,$B177))</f>
        <v/>
      </c>
      <c r="I177" s="33" t="str">
        <f aca="false">IF($B177="","",($H177+$G177)-$F177)</f>
        <v/>
      </c>
      <c r="J177" s="34" t="str">
        <f aca="false">IF(OR($B177="",$F177=0),"",$I177/$F177)</f>
        <v/>
      </c>
      <c r="K177" s="34" t="str">
        <f aca="false">IF(OR($B177="",$H177=0),"",SUMPRODUCT((Investments!$A$6:$A$1005=$B177)*Investments!$M$6:$M$1005*Investments!$T$6:$T$1005)/$H177)</f>
        <v/>
      </c>
      <c r="L177" s="34" t="str">
        <f aca="false">IF(OR($B177="",$C$12=0),"",$H177/$C$12)</f>
        <v/>
      </c>
    </row>
    <row r="178" customFormat="false" ht="15" hidden="false" customHeight="false" outlineLevel="0" collapsed="false">
      <c r="B178" s="14" t="str">
        <f aca="false">IF(Clients!$B163="","",Clients!$B163)</f>
        <v/>
      </c>
      <c r="C178" s="35" t="str">
        <f aca="false">IF($B178="","",COUNTIFS(Investments!$A$6:$A$1005,$B178))</f>
        <v/>
      </c>
      <c r="D178" s="17" t="str">
        <f aca="false">IF($B178="","",SUMIFS(Investments!$G$6:$G$1005,Investments!$A$6:$A$1005,$B178))</f>
        <v/>
      </c>
      <c r="E178" s="17" t="str">
        <f aca="false">IF($B178="","",SUMIFS(Investments!$H$6:$H$1005,Investments!$A$6:$A$1005,$B178))</f>
        <v/>
      </c>
      <c r="F178" s="17" t="str">
        <f aca="false">IF($B178="","",SUMIFS(Investments!$P$6:$P$1005,Investments!$A$6:$A$1005,$B178))</f>
        <v/>
      </c>
      <c r="G178" s="17" t="str">
        <f aca="false">IF($B178="","",SUMIFS(Investments!$J$6:$J$1005,Investments!$A$6:$A$1005,$B178)+SUMIFS(Investments!$K$6:$K$1005,Investments!$A$6:$A$1005,$B178)+SUMIFS(Investments!$L$6:$L$1005,Investments!$A$6:$A$1005,$B178))</f>
        <v/>
      </c>
      <c r="H178" s="17" t="str">
        <f aca="false">IF($B178="","",SUMIFS(Investments!$M$6:$M$1005,Investments!$A$6:$A$1005,$B178))</f>
        <v/>
      </c>
      <c r="I178" s="17" t="str">
        <f aca="false">IF($B178="","",($H178+$G178)-$F178)</f>
        <v/>
      </c>
      <c r="J178" s="18" t="str">
        <f aca="false">IF(OR($B178="",$F178=0),"",$I178/$F178)</f>
        <v/>
      </c>
      <c r="K178" s="18" t="str">
        <f aca="false">IF(OR($B178="",$H178=0),"",SUMPRODUCT((Investments!$A$6:$A$1005=$B178)*Investments!$M$6:$M$1005*Investments!$T$6:$T$1005)/$H178)</f>
        <v/>
      </c>
      <c r="L178" s="18" t="str">
        <f aca="false">IF(OR($B178="",$C$12=0),"",$H178/$C$12)</f>
        <v/>
      </c>
    </row>
    <row r="179" customFormat="false" ht="15" hidden="false" customHeight="false" outlineLevel="0" collapsed="false">
      <c r="B179" s="31" t="str">
        <f aca="false">IF(Clients!$B164="","",Clients!$B164)</f>
        <v/>
      </c>
      <c r="C179" s="32" t="str">
        <f aca="false">IF($B179="","",COUNTIFS(Investments!$A$6:$A$1005,$B179))</f>
        <v/>
      </c>
      <c r="D179" s="33" t="str">
        <f aca="false">IF($B179="","",SUMIFS(Investments!$G$6:$G$1005,Investments!$A$6:$A$1005,$B179))</f>
        <v/>
      </c>
      <c r="E179" s="33" t="str">
        <f aca="false">IF($B179="","",SUMIFS(Investments!$H$6:$H$1005,Investments!$A$6:$A$1005,$B179))</f>
        <v/>
      </c>
      <c r="F179" s="33" t="str">
        <f aca="false">IF($B179="","",SUMIFS(Investments!$P$6:$P$1005,Investments!$A$6:$A$1005,$B179))</f>
        <v/>
      </c>
      <c r="G179" s="33" t="str">
        <f aca="false">IF($B179="","",SUMIFS(Investments!$J$6:$J$1005,Investments!$A$6:$A$1005,$B179)+SUMIFS(Investments!$K$6:$K$1005,Investments!$A$6:$A$1005,$B179)+SUMIFS(Investments!$L$6:$L$1005,Investments!$A$6:$A$1005,$B179))</f>
        <v/>
      </c>
      <c r="H179" s="33" t="str">
        <f aca="false">IF($B179="","",SUMIFS(Investments!$M$6:$M$1005,Investments!$A$6:$A$1005,$B179))</f>
        <v/>
      </c>
      <c r="I179" s="33" t="str">
        <f aca="false">IF($B179="","",($H179+$G179)-$F179)</f>
        <v/>
      </c>
      <c r="J179" s="34" t="str">
        <f aca="false">IF(OR($B179="",$F179=0),"",$I179/$F179)</f>
        <v/>
      </c>
      <c r="K179" s="34" t="str">
        <f aca="false">IF(OR($B179="",$H179=0),"",SUMPRODUCT((Investments!$A$6:$A$1005=$B179)*Investments!$M$6:$M$1005*Investments!$T$6:$T$1005)/$H179)</f>
        <v/>
      </c>
      <c r="L179" s="34" t="str">
        <f aca="false">IF(OR($B179="",$C$12=0),"",$H179/$C$12)</f>
        <v/>
      </c>
    </row>
    <row r="180" customFormat="false" ht="15" hidden="false" customHeight="false" outlineLevel="0" collapsed="false">
      <c r="B180" s="14" t="str">
        <f aca="false">IF(Clients!$B165="","",Clients!$B165)</f>
        <v/>
      </c>
      <c r="C180" s="35" t="str">
        <f aca="false">IF($B180="","",COUNTIFS(Investments!$A$6:$A$1005,$B180))</f>
        <v/>
      </c>
      <c r="D180" s="17" t="str">
        <f aca="false">IF($B180="","",SUMIFS(Investments!$G$6:$G$1005,Investments!$A$6:$A$1005,$B180))</f>
        <v/>
      </c>
      <c r="E180" s="17" t="str">
        <f aca="false">IF($B180="","",SUMIFS(Investments!$H$6:$H$1005,Investments!$A$6:$A$1005,$B180))</f>
        <v/>
      </c>
      <c r="F180" s="17" t="str">
        <f aca="false">IF($B180="","",SUMIFS(Investments!$P$6:$P$1005,Investments!$A$6:$A$1005,$B180))</f>
        <v/>
      </c>
      <c r="G180" s="17" t="str">
        <f aca="false">IF($B180="","",SUMIFS(Investments!$J$6:$J$1005,Investments!$A$6:$A$1005,$B180)+SUMIFS(Investments!$K$6:$K$1005,Investments!$A$6:$A$1005,$B180)+SUMIFS(Investments!$L$6:$L$1005,Investments!$A$6:$A$1005,$B180))</f>
        <v/>
      </c>
      <c r="H180" s="17" t="str">
        <f aca="false">IF($B180="","",SUMIFS(Investments!$M$6:$M$1005,Investments!$A$6:$A$1005,$B180))</f>
        <v/>
      </c>
      <c r="I180" s="17" t="str">
        <f aca="false">IF($B180="","",($H180+$G180)-$F180)</f>
        <v/>
      </c>
      <c r="J180" s="18" t="str">
        <f aca="false">IF(OR($B180="",$F180=0),"",$I180/$F180)</f>
        <v/>
      </c>
      <c r="K180" s="18" t="str">
        <f aca="false">IF(OR($B180="",$H180=0),"",SUMPRODUCT((Investments!$A$6:$A$1005=$B180)*Investments!$M$6:$M$1005*Investments!$T$6:$T$1005)/$H180)</f>
        <v/>
      </c>
      <c r="L180" s="18" t="str">
        <f aca="false">IF(OR($B180="",$C$12=0),"",$H180/$C$12)</f>
        <v/>
      </c>
    </row>
    <row r="181" customFormat="false" ht="15" hidden="false" customHeight="false" outlineLevel="0" collapsed="false">
      <c r="B181" s="31" t="str">
        <f aca="false">IF(Clients!$B166="","",Clients!$B166)</f>
        <v/>
      </c>
      <c r="C181" s="32" t="str">
        <f aca="false">IF($B181="","",COUNTIFS(Investments!$A$6:$A$1005,$B181))</f>
        <v/>
      </c>
      <c r="D181" s="33" t="str">
        <f aca="false">IF($B181="","",SUMIFS(Investments!$G$6:$G$1005,Investments!$A$6:$A$1005,$B181))</f>
        <v/>
      </c>
      <c r="E181" s="33" t="str">
        <f aca="false">IF($B181="","",SUMIFS(Investments!$H$6:$H$1005,Investments!$A$6:$A$1005,$B181))</f>
        <v/>
      </c>
      <c r="F181" s="33" t="str">
        <f aca="false">IF($B181="","",SUMIFS(Investments!$P$6:$P$1005,Investments!$A$6:$A$1005,$B181))</f>
        <v/>
      </c>
      <c r="G181" s="33" t="str">
        <f aca="false">IF($B181="","",SUMIFS(Investments!$J$6:$J$1005,Investments!$A$6:$A$1005,$B181)+SUMIFS(Investments!$K$6:$K$1005,Investments!$A$6:$A$1005,$B181)+SUMIFS(Investments!$L$6:$L$1005,Investments!$A$6:$A$1005,$B181))</f>
        <v/>
      </c>
      <c r="H181" s="33" t="str">
        <f aca="false">IF($B181="","",SUMIFS(Investments!$M$6:$M$1005,Investments!$A$6:$A$1005,$B181))</f>
        <v/>
      </c>
      <c r="I181" s="33" t="str">
        <f aca="false">IF($B181="","",($H181+$G181)-$F181)</f>
        <v/>
      </c>
      <c r="J181" s="34" t="str">
        <f aca="false">IF(OR($B181="",$F181=0),"",$I181/$F181)</f>
        <v/>
      </c>
      <c r="K181" s="34" t="str">
        <f aca="false">IF(OR($B181="",$H181=0),"",SUMPRODUCT((Investments!$A$6:$A$1005=$B181)*Investments!$M$6:$M$1005*Investments!$T$6:$T$1005)/$H181)</f>
        <v/>
      </c>
      <c r="L181" s="34" t="str">
        <f aca="false">IF(OR($B181="",$C$12=0),"",$H181/$C$12)</f>
        <v/>
      </c>
    </row>
    <row r="182" customFormat="false" ht="15" hidden="false" customHeight="false" outlineLevel="0" collapsed="false">
      <c r="B182" s="14" t="str">
        <f aca="false">IF(Clients!$B167="","",Clients!$B167)</f>
        <v/>
      </c>
      <c r="C182" s="35" t="str">
        <f aca="false">IF($B182="","",COUNTIFS(Investments!$A$6:$A$1005,$B182))</f>
        <v/>
      </c>
      <c r="D182" s="17" t="str">
        <f aca="false">IF($B182="","",SUMIFS(Investments!$G$6:$G$1005,Investments!$A$6:$A$1005,$B182))</f>
        <v/>
      </c>
      <c r="E182" s="17" t="str">
        <f aca="false">IF($B182="","",SUMIFS(Investments!$H$6:$H$1005,Investments!$A$6:$A$1005,$B182))</f>
        <v/>
      </c>
      <c r="F182" s="17" t="str">
        <f aca="false">IF($B182="","",SUMIFS(Investments!$P$6:$P$1005,Investments!$A$6:$A$1005,$B182))</f>
        <v/>
      </c>
      <c r="G182" s="17" t="str">
        <f aca="false">IF($B182="","",SUMIFS(Investments!$J$6:$J$1005,Investments!$A$6:$A$1005,$B182)+SUMIFS(Investments!$K$6:$K$1005,Investments!$A$6:$A$1005,$B182)+SUMIFS(Investments!$L$6:$L$1005,Investments!$A$6:$A$1005,$B182))</f>
        <v/>
      </c>
      <c r="H182" s="17" t="str">
        <f aca="false">IF($B182="","",SUMIFS(Investments!$M$6:$M$1005,Investments!$A$6:$A$1005,$B182))</f>
        <v/>
      </c>
      <c r="I182" s="17" t="str">
        <f aca="false">IF($B182="","",($H182+$G182)-$F182)</f>
        <v/>
      </c>
      <c r="J182" s="18" t="str">
        <f aca="false">IF(OR($B182="",$F182=0),"",$I182/$F182)</f>
        <v/>
      </c>
      <c r="K182" s="18" t="str">
        <f aca="false">IF(OR($B182="",$H182=0),"",SUMPRODUCT((Investments!$A$6:$A$1005=$B182)*Investments!$M$6:$M$1005*Investments!$T$6:$T$1005)/$H182)</f>
        <v/>
      </c>
      <c r="L182" s="18" t="str">
        <f aca="false">IF(OR($B182="",$C$12=0),"",$H182/$C$12)</f>
        <v/>
      </c>
    </row>
    <row r="183" customFormat="false" ht="15" hidden="false" customHeight="false" outlineLevel="0" collapsed="false">
      <c r="B183" s="31" t="str">
        <f aca="false">IF(Clients!$B168="","",Clients!$B168)</f>
        <v/>
      </c>
      <c r="C183" s="32" t="str">
        <f aca="false">IF($B183="","",COUNTIFS(Investments!$A$6:$A$1005,$B183))</f>
        <v/>
      </c>
      <c r="D183" s="33" t="str">
        <f aca="false">IF($B183="","",SUMIFS(Investments!$G$6:$G$1005,Investments!$A$6:$A$1005,$B183))</f>
        <v/>
      </c>
      <c r="E183" s="33" t="str">
        <f aca="false">IF($B183="","",SUMIFS(Investments!$H$6:$H$1005,Investments!$A$6:$A$1005,$B183))</f>
        <v/>
      </c>
      <c r="F183" s="33" t="str">
        <f aca="false">IF($B183="","",SUMIFS(Investments!$P$6:$P$1005,Investments!$A$6:$A$1005,$B183))</f>
        <v/>
      </c>
      <c r="G183" s="33" t="str">
        <f aca="false">IF($B183="","",SUMIFS(Investments!$J$6:$J$1005,Investments!$A$6:$A$1005,$B183)+SUMIFS(Investments!$K$6:$K$1005,Investments!$A$6:$A$1005,$B183)+SUMIFS(Investments!$L$6:$L$1005,Investments!$A$6:$A$1005,$B183))</f>
        <v/>
      </c>
      <c r="H183" s="33" t="str">
        <f aca="false">IF($B183="","",SUMIFS(Investments!$M$6:$M$1005,Investments!$A$6:$A$1005,$B183))</f>
        <v/>
      </c>
      <c r="I183" s="33" t="str">
        <f aca="false">IF($B183="","",($H183+$G183)-$F183)</f>
        <v/>
      </c>
      <c r="J183" s="34" t="str">
        <f aca="false">IF(OR($B183="",$F183=0),"",$I183/$F183)</f>
        <v/>
      </c>
      <c r="K183" s="34" t="str">
        <f aca="false">IF(OR($B183="",$H183=0),"",SUMPRODUCT((Investments!$A$6:$A$1005=$B183)*Investments!$M$6:$M$1005*Investments!$T$6:$T$1005)/$H183)</f>
        <v/>
      </c>
      <c r="L183" s="34" t="str">
        <f aca="false">IF(OR($B183="",$C$12=0),"",$H183/$C$12)</f>
        <v/>
      </c>
    </row>
    <row r="184" customFormat="false" ht="15" hidden="false" customHeight="false" outlineLevel="0" collapsed="false">
      <c r="B184" s="14" t="str">
        <f aca="false">IF(Clients!$B169="","",Clients!$B169)</f>
        <v/>
      </c>
      <c r="C184" s="35" t="str">
        <f aca="false">IF($B184="","",COUNTIFS(Investments!$A$6:$A$1005,$B184))</f>
        <v/>
      </c>
      <c r="D184" s="17" t="str">
        <f aca="false">IF($B184="","",SUMIFS(Investments!$G$6:$G$1005,Investments!$A$6:$A$1005,$B184))</f>
        <v/>
      </c>
      <c r="E184" s="17" t="str">
        <f aca="false">IF($B184="","",SUMIFS(Investments!$H$6:$H$1005,Investments!$A$6:$A$1005,$B184))</f>
        <v/>
      </c>
      <c r="F184" s="17" t="str">
        <f aca="false">IF($B184="","",SUMIFS(Investments!$P$6:$P$1005,Investments!$A$6:$A$1005,$B184))</f>
        <v/>
      </c>
      <c r="G184" s="17" t="str">
        <f aca="false">IF($B184="","",SUMIFS(Investments!$J$6:$J$1005,Investments!$A$6:$A$1005,$B184)+SUMIFS(Investments!$K$6:$K$1005,Investments!$A$6:$A$1005,$B184)+SUMIFS(Investments!$L$6:$L$1005,Investments!$A$6:$A$1005,$B184))</f>
        <v/>
      </c>
      <c r="H184" s="17" t="str">
        <f aca="false">IF($B184="","",SUMIFS(Investments!$M$6:$M$1005,Investments!$A$6:$A$1005,$B184))</f>
        <v/>
      </c>
      <c r="I184" s="17" t="str">
        <f aca="false">IF($B184="","",($H184+$G184)-$F184)</f>
        <v/>
      </c>
      <c r="J184" s="18" t="str">
        <f aca="false">IF(OR($B184="",$F184=0),"",$I184/$F184)</f>
        <v/>
      </c>
      <c r="K184" s="18" t="str">
        <f aca="false">IF(OR($B184="",$H184=0),"",SUMPRODUCT((Investments!$A$6:$A$1005=$B184)*Investments!$M$6:$M$1005*Investments!$T$6:$T$1005)/$H184)</f>
        <v/>
      </c>
      <c r="L184" s="18" t="str">
        <f aca="false">IF(OR($B184="",$C$12=0),"",$H184/$C$12)</f>
        <v/>
      </c>
    </row>
    <row r="185" customFormat="false" ht="15" hidden="false" customHeight="false" outlineLevel="0" collapsed="false">
      <c r="B185" s="31" t="str">
        <f aca="false">IF(Clients!$B170="","",Clients!$B170)</f>
        <v/>
      </c>
      <c r="C185" s="32" t="str">
        <f aca="false">IF($B185="","",COUNTIFS(Investments!$A$6:$A$1005,$B185))</f>
        <v/>
      </c>
      <c r="D185" s="33" t="str">
        <f aca="false">IF($B185="","",SUMIFS(Investments!$G$6:$G$1005,Investments!$A$6:$A$1005,$B185))</f>
        <v/>
      </c>
      <c r="E185" s="33" t="str">
        <f aca="false">IF($B185="","",SUMIFS(Investments!$H$6:$H$1005,Investments!$A$6:$A$1005,$B185))</f>
        <v/>
      </c>
      <c r="F185" s="33" t="str">
        <f aca="false">IF($B185="","",SUMIFS(Investments!$P$6:$P$1005,Investments!$A$6:$A$1005,$B185))</f>
        <v/>
      </c>
      <c r="G185" s="33" t="str">
        <f aca="false">IF($B185="","",SUMIFS(Investments!$J$6:$J$1005,Investments!$A$6:$A$1005,$B185)+SUMIFS(Investments!$K$6:$K$1005,Investments!$A$6:$A$1005,$B185)+SUMIFS(Investments!$L$6:$L$1005,Investments!$A$6:$A$1005,$B185))</f>
        <v/>
      </c>
      <c r="H185" s="33" t="str">
        <f aca="false">IF($B185="","",SUMIFS(Investments!$M$6:$M$1005,Investments!$A$6:$A$1005,$B185))</f>
        <v/>
      </c>
      <c r="I185" s="33" t="str">
        <f aca="false">IF($B185="","",($H185+$G185)-$F185)</f>
        <v/>
      </c>
      <c r="J185" s="34" t="str">
        <f aca="false">IF(OR($B185="",$F185=0),"",$I185/$F185)</f>
        <v/>
      </c>
      <c r="K185" s="34" t="str">
        <f aca="false">IF(OR($B185="",$H185=0),"",SUMPRODUCT((Investments!$A$6:$A$1005=$B185)*Investments!$M$6:$M$1005*Investments!$T$6:$T$1005)/$H185)</f>
        <v/>
      </c>
      <c r="L185" s="34" t="str">
        <f aca="false">IF(OR($B185="",$C$12=0),"",$H185/$C$12)</f>
        <v/>
      </c>
    </row>
    <row r="186" customFormat="false" ht="15" hidden="false" customHeight="false" outlineLevel="0" collapsed="false">
      <c r="B186" s="14" t="str">
        <f aca="false">IF(Clients!$B171="","",Clients!$B171)</f>
        <v/>
      </c>
      <c r="C186" s="35" t="str">
        <f aca="false">IF($B186="","",COUNTIFS(Investments!$A$6:$A$1005,$B186))</f>
        <v/>
      </c>
      <c r="D186" s="17" t="str">
        <f aca="false">IF($B186="","",SUMIFS(Investments!$G$6:$G$1005,Investments!$A$6:$A$1005,$B186))</f>
        <v/>
      </c>
      <c r="E186" s="17" t="str">
        <f aca="false">IF($B186="","",SUMIFS(Investments!$H$6:$H$1005,Investments!$A$6:$A$1005,$B186))</f>
        <v/>
      </c>
      <c r="F186" s="17" t="str">
        <f aca="false">IF($B186="","",SUMIFS(Investments!$P$6:$P$1005,Investments!$A$6:$A$1005,$B186))</f>
        <v/>
      </c>
      <c r="G186" s="17" t="str">
        <f aca="false">IF($B186="","",SUMIFS(Investments!$J$6:$J$1005,Investments!$A$6:$A$1005,$B186)+SUMIFS(Investments!$K$6:$K$1005,Investments!$A$6:$A$1005,$B186)+SUMIFS(Investments!$L$6:$L$1005,Investments!$A$6:$A$1005,$B186))</f>
        <v/>
      </c>
      <c r="H186" s="17" t="str">
        <f aca="false">IF($B186="","",SUMIFS(Investments!$M$6:$M$1005,Investments!$A$6:$A$1005,$B186))</f>
        <v/>
      </c>
      <c r="I186" s="17" t="str">
        <f aca="false">IF($B186="","",($H186+$G186)-$F186)</f>
        <v/>
      </c>
      <c r="J186" s="18" t="str">
        <f aca="false">IF(OR($B186="",$F186=0),"",$I186/$F186)</f>
        <v/>
      </c>
      <c r="K186" s="18" t="str">
        <f aca="false">IF(OR($B186="",$H186=0),"",SUMPRODUCT((Investments!$A$6:$A$1005=$B186)*Investments!$M$6:$M$1005*Investments!$T$6:$T$1005)/$H186)</f>
        <v/>
      </c>
      <c r="L186" s="18" t="str">
        <f aca="false">IF(OR($B186="",$C$12=0),"",$H186/$C$12)</f>
        <v/>
      </c>
    </row>
    <row r="187" customFormat="false" ht="15" hidden="false" customHeight="false" outlineLevel="0" collapsed="false">
      <c r="B187" s="31" t="str">
        <f aca="false">IF(Clients!$B172="","",Clients!$B172)</f>
        <v/>
      </c>
      <c r="C187" s="32" t="str">
        <f aca="false">IF($B187="","",COUNTIFS(Investments!$A$6:$A$1005,$B187))</f>
        <v/>
      </c>
      <c r="D187" s="33" t="str">
        <f aca="false">IF($B187="","",SUMIFS(Investments!$G$6:$G$1005,Investments!$A$6:$A$1005,$B187))</f>
        <v/>
      </c>
      <c r="E187" s="33" t="str">
        <f aca="false">IF($B187="","",SUMIFS(Investments!$H$6:$H$1005,Investments!$A$6:$A$1005,$B187))</f>
        <v/>
      </c>
      <c r="F187" s="33" t="str">
        <f aca="false">IF($B187="","",SUMIFS(Investments!$P$6:$P$1005,Investments!$A$6:$A$1005,$B187))</f>
        <v/>
      </c>
      <c r="G187" s="33" t="str">
        <f aca="false">IF($B187="","",SUMIFS(Investments!$J$6:$J$1005,Investments!$A$6:$A$1005,$B187)+SUMIFS(Investments!$K$6:$K$1005,Investments!$A$6:$A$1005,$B187)+SUMIFS(Investments!$L$6:$L$1005,Investments!$A$6:$A$1005,$B187))</f>
        <v/>
      </c>
      <c r="H187" s="33" t="str">
        <f aca="false">IF($B187="","",SUMIFS(Investments!$M$6:$M$1005,Investments!$A$6:$A$1005,$B187))</f>
        <v/>
      </c>
      <c r="I187" s="33" t="str">
        <f aca="false">IF($B187="","",($H187+$G187)-$F187)</f>
        <v/>
      </c>
      <c r="J187" s="34" t="str">
        <f aca="false">IF(OR($B187="",$F187=0),"",$I187/$F187)</f>
        <v/>
      </c>
      <c r="K187" s="34" t="str">
        <f aca="false">IF(OR($B187="",$H187=0),"",SUMPRODUCT((Investments!$A$6:$A$1005=$B187)*Investments!$M$6:$M$1005*Investments!$T$6:$T$1005)/$H187)</f>
        <v/>
      </c>
      <c r="L187" s="34" t="str">
        <f aca="false">IF(OR($B187="",$C$12=0),"",$H187/$C$12)</f>
        <v/>
      </c>
    </row>
    <row r="188" customFormat="false" ht="15" hidden="false" customHeight="false" outlineLevel="0" collapsed="false">
      <c r="B188" s="14" t="str">
        <f aca="false">IF(Clients!$B173="","",Clients!$B173)</f>
        <v/>
      </c>
      <c r="C188" s="35" t="str">
        <f aca="false">IF($B188="","",COUNTIFS(Investments!$A$6:$A$1005,$B188))</f>
        <v/>
      </c>
      <c r="D188" s="17" t="str">
        <f aca="false">IF($B188="","",SUMIFS(Investments!$G$6:$G$1005,Investments!$A$6:$A$1005,$B188))</f>
        <v/>
      </c>
      <c r="E188" s="17" t="str">
        <f aca="false">IF($B188="","",SUMIFS(Investments!$H$6:$H$1005,Investments!$A$6:$A$1005,$B188))</f>
        <v/>
      </c>
      <c r="F188" s="17" t="str">
        <f aca="false">IF($B188="","",SUMIFS(Investments!$P$6:$P$1005,Investments!$A$6:$A$1005,$B188))</f>
        <v/>
      </c>
      <c r="G188" s="17" t="str">
        <f aca="false">IF($B188="","",SUMIFS(Investments!$J$6:$J$1005,Investments!$A$6:$A$1005,$B188)+SUMIFS(Investments!$K$6:$K$1005,Investments!$A$6:$A$1005,$B188)+SUMIFS(Investments!$L$6:$L$1005,Investments!$A$6:$A$1005,$B188))</f>
        <v/>
      </c>
      <c r="H188" s="17" t="str">
        <f aca="false">IF($B188="","",SUMIFS(Investments!$M$6:$M$1005,Investments!$A$6:$A$1005,$B188))</f>
        <v/>
      </c>
      <c r="I188" s="17" t="str">
        <f aca="false">IF($B188="","",($H188+$G188)-$F188)</f>
        <v/>
      </c>
      <c r="J188" s="18" t="str">
        <f aca="false">IF(OR($B188="",$F188=0),"",$I188/$F188)</f>
        <v/>
      </c>
      <c r="K188" s="18" t="str">
        <f aca="false">IF(OR($B188="",$H188=0),"",SUMPRODUCT((Investments!$A$6:$A$1005=$B188)*Investments!$M$6:$M$1005*Investments!$T$6:$T$1005)/$H188)</f>
        <v/>
      </c>
      <c r="L188" s="18" t="str">
        <f aca="false">IF(OR($B188="",$C$12=0),"",$H188/$C$12)</f>
        <v/>
      </c>
    </row>
    <row r="189" customFormat="false" ht="15" hidden="false" customHeight="false" outlineLevel="0" collapsed="false">
      <c r="B189" s="31" t="str">
        <f aca="false">IF(Clients!$B174="","",Clients!$B174)</f>
        <v/>
      </c>
      <c r="C189" s="32" t="str">
        <f aca="false">IF($B189="","",COUNTIFS(Investments!$A$6:$A$1005,$B189))</f>
        <v/>
      </c>
      <c r="D189" s="33" t="str">
        <f aca="false">IF($B189="","",SUMIFS(Investments!$G$6:$G$1005,Investments!$A$6:$A$1005,$B189))</f>
        <v/>
      </c>
      <c r="E189" s="33" t="str">
        <f aca="false">IF($B189="","",SUMIFS(Investments!$H$6:$H$1005,Investments!$A$6:$A$1005,$B189))</f>
        <v/>
      </c>
      <c r="F189" s="33" t="str">
        <f aca="false">IF($B189="","",SUMIFS(Investments!$P$6:$P$1005,Investments!$A$6:$A$1005,$B189))</f>
        <v/>
      </c>
      <c r="G189" s="33" t="str">
        <f aca="false">IF($B189="","",SUMIFS(Investments!$J$6:$J$1005,Investments!$A$6:$A$1005,$B189)+SUMIFS(Investments!$K$6:$K$1005,Investments!$A$6:$A$1005,$B189)+SUMIFS(Investments!$L$6:$L$1005,Investments!$A$6:$A$1005,$B189))</f>
        <v/>
      </c>
      <c r="H189" s="33" t="str">
        <f aca="false">IF($B189="","",SUMIFS(Investments!$M$6:$M$1005,Investments!$A$6:$A$1005,$B189))</f>
        <v/>
      </c>
      <c r="I189" s="33" t="str">
        <f aca="false">IF($B189="","",($H189+$G189)-$F189)</f>
        <v/>
      </c>
      <c r="J189" s="34" t="str">
        <f aca="false">IF(OR($B189="",$F189=0),"",$I189/$F189)</f>
        <v/>
      </c>
      <c r="K189" s="34" t="str">
        <f aca="false">IF(OR($B189="",$H189=0),"",SUMPRODUCT((Investments!$A$6:$A$1005=$B189)*Investments!$M$6:$M$1005*Investments!$T$6:$T$1005)/$H189)</f>
        <v/>
      </c>
      <c r="L189" s="34" t="str">
        <f aca="false">IF(OR($B189="",$C$12=0),"",$H189/$C$12)</f>
        <v/>
      </c>
    </row>
    <row r="190" customFormat="false" ht="15" hidden="false" customHeight="false" outlineLevel="0" collapsed="false">
      <c r="B190" s="14" t="str">
        <f aca="false">IF(Clients!$B175="","",Clients!$B175)</f>
        <v/>
      </c>
      <c r="C190" s="35" t="str">
        <f aca="false">IF($B190="","",COUNTIFS(Investments!$A$6:$A$1005,$B190))</f>
        <v/>
      </c>
      <c r="D190" s="17" t="str">
        <f aca="false">IF($B190="","",SUMIFS(Investments!$G$6:$G$1005,Investments!$A$6:$A$1005,$B190))</f>
        <v/>
      </c>
      <c r="E190" s="17" t="str">
        <f aca="false">IF($B190="","",SUMIFS(Investments!$H$6:$H$1005,Investments!$A$6:$A$1005,$B190))</f>
        <v/>
      </c>
      <c r="F190" s="17" t="str">
        <f aca="false">IF($B190="","",SUMIFS(Investments!$P$6:$P$1005,Investments!$A$6:$A$1005,$B190))</f>
        <v/>
      </c>
      <c r="G190" s="17" t="str">
        <f aca="false">IF($B190="","",SUMIFS(Investments!$J$6:$J$1005,Investments!$A$6:$A$1005,$B190)+SUMIFS(Investments!$K$6:$K$1005,Investments!$A$6:$A$1005,$B190)+SUMIFS(Investments!$L$6:$L$1005,Investments!$A$6:$A$1005,$B190))</f>
        <v/>
      </c>
      <c r="H190" s="17" t="str">
        <f aca="false">IF($B190="","",SUMIFS(Investments!$M$6:$M$1005,Investments!$A$6:$A$1005,$B190))</f>
        <v/>
      </c>
      <c r="I190" s="17" t="str">
        <f aca="false">IF($B190="","",($H190+$G190)-$F190)</f>
        <v/>
      </c>
      <c r="J190" s="18" t="str">
        <f aca="false">IF(OR($B190="",$F190=0),"",$I190/$F190)</f>
        <v/>
      </c>
      <c r="K190" s="18" t="str">
        <f aca="false">IF(OR($B190="",$H190=0),"",SUMPRODUCT((Investments!$A$6:$A$1005=$B190)*Investments!$M$6:$M$1005*Investments!$T$6:$T$1005)/$H190)</f>
        <v/>
      </c>
      <c r="L190" s="18" t="str">
        <f aca="false">IF(OR($B190="",$C$12=0),"",$H190/$C$12)</f>
        <v/>
      </c>
    </row>
    <row r="191" customFormat="false" ht="15" hidden="false" customHeight="false" outlineLevel="0" collapsed="false">
      <c r="B191" s="31" t="str">
        <f aca="false">IF(Clients!$B176="","",Clients!$B176)</f>
        <v/>
      </c>
      <c r="C191" s="32" t="str">
        <f aca="false">IF($B191="","",COUNTIFS(Investments!$A$6:$A$1005,$B191))</f>
        <v/>
      </c>
      <c r="D191" s="33" t="str">
        <f aca="false">IF($B191="","",SUMIFS(Investments!$G$6:$G$1005,Investments!$A$6:$A$1005,$B191))</f>
        <v/>
      </c>
      <c r="E191" s="33" t="str">
        <f aca="false">IF($B191="","",SUMIFS(Investments!$H$6:$H$1005,Investments!$A$6:$A$1005,$B191))</f>
        <v/>
      </c>
      <c r="F191" s="33" t="str">
        <f aca="false">IF($B191="","",SUMIFS(Investments!$P$6:$P$1005,Investments!$A$6:$A$1005,$B191))</f>
        <v/>
      </c>
      <c r="G191" s="33" t="str">
        <f aca="false">IF($B191="","",SUMIFS(Investments!$J$6:$J$1005,Investments!$A$6:$A$1005,$B191)+SUMIFS(Investments!$K$6:$K$1005,Investments!$A$6:$A$1005,$B191)+SUMIFS(Investments!$L$6:$L$1005,Investments!$A$6:$A$1005,$B191))</f>
        <v/>
      </c>
      <c r="H191" s="33" t="str">
        <f aca="false">IF($B191="","",SUMIFS(Investments!$M$6:$M$1005,Investments!$A$6:$A$1005,$B191))</f>
        <v/>
      </c>
      <c r="I191" s="33" t="str">
        <f aca="false">IF($B191="","",($H191+$G191)-$F191)</f>
        <v/>
      </c>
      <c r="J191" s="34" t="str">
        <f aca="false">IF(OR($B191="",$F191=0),"",$I191/$F191)</f>
        <v/>
      </c>
      <c r="K191" s="34" t="str">
        <f aca="false">IF(OR($B191="",$H191=0),"",SUMPRODUCT((Investments!$A$6:$A$1005=$B191)*Investments!$M$6:$M$1005*Investments!$T$6:$T$1005)/$H191)</f>
        <v/>
      </c>
      <c r="L191" s="34" t="str">
        <f aca="false">IF(OR($B191="",$C$12=0),"",$H191/$C$12)</f>
        <v/>
      </c>
    </row>
    <row r="192" customFormat="false" ht="15" hidden="false" customHeight="false" outlineLevel="0" collapsed="false">
      <c r="B192" s="14" t="str">
        <f aca="false">IF(Clients!$B177="","",Clients!$B177)</f>
        <v/>
      </c>
      <c r="C192" s="35" t="str">
        <f aca="false">IF($B192="","",COUNTIFS(Investments!$A$6:$A$1005,$B192))</f>
        <v/>
      </c>
      <c r="D192" s="17" t="str">
        <f aca="false">IF($B192="","",SUMIFS(Investments!$G$6:$G$1005,Investments!$A$6:$A$1005,$B192))</f>
        <v/>
      </c>
      <c r="E192" s="17" t="str">
        <f aca="false">IF($B192="","",SUMIFS(Investments!$H$6:$H$1005,Investments!$A$6:$A$1005,$B192))</f>
        <v/>
      </c>
      <c r="F192" s="17" t="str">
        <f aca="false">IF($B192="","",SUMIFS(Investments!$P$6:$P$1005,Investments!$A$6:$A$1005,$B192))</f>
        <v/>
      </c>
      <c r="G192" s="17" t="str">
        <f aca="false">IF($B192="","",SUMIFS(Investments!$J$6:$J$1005,Investments!$A$6:$A$1005,$B192)+SUMIFS(Investments!$K$6:$K$1005,Investments!$A$6:$A$1005,$B192)+SUMIFS(Investments!$L$6:$L$1005,Investments!$A$6:$A$1005,$B192))</f>
        <v/>
      </c>
      <c r="H192" s="17" t="str">
        <f aca="false">IF($B192="","",SUMIFS(Investments!$M$6:$M$1005,Investments!$A$6:$A$1005,$B192))</f>
        <v/>
      </c>
      <c r="I192" s="17" t="str">
        <f aca="false">IF($B192="","",($H192+$G192)-$F192)</f>
        <v/>
      </c>
      <c r="J192" s="18" t="str">
        <f aca="false">IF(OR($B192="",$F192=0),"",$I192/$F192)</f>
        <v/>
      </c>
      <c r="K192" s="18" t="str">
        <f aca="false">IF(OR($B192="",$H192=0),"",SUMPRODUCT((Investments!$A$6:$A$1005=$B192)*Investments!$M$6:$M$1005*Investments!$T$6:$T$1005)/$H192)</f>
        <v/>
      </c>
      <c r="L192" s="18" t="str">
        <f aca="false">IF(OR($B192="",$C$12=0),"",$H192/$C$12)</f>
        <v/>
      </c>
    </row>
    <row r="193" customFormat="false" ht="15" hidden="false" customHeight="false" outlineLevel="0" collapsed="false">
      <c r="B193" s="31" t="str">
        <f aca="false">IF(Clients!$B178="","",Clients!$B178)</f>
        <v/>
      </c>
      <c r="C193" s="32" t="str">
        <f aca="false">IF($B193="","",COUNTIFS(Investments!$A$6:$A$1005,$B193))</f>
        <v/>
      </c>
      <c r="D193" s="33" t="str">
        <f aca="false">IF($B193="","",SUMIFS(Investments!$G$6:$G$1005,Investments!$A$6:$A$1005,$B193))</f>
        <v/>
      </c>
      <c r="E193" s="33" t="str">
        <f aca="false">IF($B193="","",SUMIFS(Investments!$H$6:$H$1005,Investments!$A$6:$A$1005,$B193))</f>
        <v/>
      </c>
      <c r="F193" s="33" t="str">
        <f aca="false">IF($B193="","",SUMIFS(Investments!$P$6:$P$1005,Investments!$A$6:$A$1005,$B193))</f>
        <v/>
      </c>
      <c r="G193" s="33" t="str">
        <f aca="false">IF($B193="","",SUMIFS(Investments!$J$6:$J$1005,Investments!$A$6:$A$1005,$B193)+SUMIFS(Investments!$K$6:$K$1005,Investments!$A$6:$A$1005,$B193)+SUMIFS(Investments!$L$6:$L$1005,Investments!$A$6:$A$1005,$B193))</f>
        <v/>
      </c>
      <c r="H193" s="33" t="str">
        <f aca="false">IF($B193="","",SUMIFS(Investments!$M$6:$M$1005,Investments!$A$6:$A$1005,$B193))</f>
        <v/>
      </c>
      <c r="I193" s="33" t="str">
        <f aca="false">IF($B193="","",($H193+$G193)-$F193)</f>
        <v/>
      </c>
      <c r="J193" s="34" t="str">
        <f aca="false">IF(OR($B193="",$F193=0),"",$I193/$F193)</f>
        <v/>
      </c>
      <c r="K193" s="34" t="str">
        <f aca="false">IF(OR($B193="",$H193=0),"",SUMPRODUCT((Investments!$A$6:$A$1005=$B193)*Investments!$M$6:$M$1005*Investments!$T$6:$T$1005)/$H193)</f>
        <v/>
      </c>
      <c r="L193" s="34" t="str">
        <f aca="false">IF(OR($B193="",$C$12=0),"",$H193/$C$12)</f>
        <v/>
      </c>
    </row>
    <row r="194" customFormat="false" ht="15" hidden="false" customHeight="false" outlineLevel="0" collapsed="false">
      <c r="B194" s="14" t="str">
        <f aca="false">IF(Clients!$B179="","",Clients!$B179)</f>
        <v/>
      </c>
      <c r="C194" s="35" t="str">
        <f aca="false">IF($B194="","",COUNTIFS(Investments!$A$6:$A$1005,$B194))</f>
        <v/>
      </c>
      <c r="D194" s="17" t="str">
        <f aca="false">IF($B194="","",SUMIFS(Investments!$G$6:$G$1005,Investments!$A$6:$A$1005,$B194))</f>
        <v/>
      </c>
      <c r="E194" s="17" t="str">
        <f aca="false">IF($B194="","",SUMIFS(Investments!$H$6:$H$1005,Investments!$A$6:$A$1005,$B194))</f>
        <v/>
      </c>
      <c r="F194" s="17" t="str">
        <f aca="false">IF($B194="","",SUMIFS(Investments!$P$6:$P$1005,Investments!$A$6:$A$1005,$B194))</f>
        <v/>
      </c>
      <c r="G194" s="17" t="str">
        <f aca="false">IF($B194="","",SUMIFS(Investments!$J$6:$J$1005,Investments!$A$6:$A$1005,$B194)+SUMIFS(Investments!$K$6:$K$1005,Investments!$A$6:$A$1005,$B194)+SUMIFS(Investments!$L$6:$L$1005,Investments!$A$6:$A$1005,$B194))</f>
        <v/>
      </c>
      <c r="H194" s="17" t="str">
        <f aca="false">IF($B194="","",SUMIFS(Investments!$M$6:$M$1005,Investments!$A$6:$A$1005,$B194))</f>
        <v/>
      </c>
      <c r="I194" s="17" t="str">
        <f aca="false">IF($B194="","",($H194+$G194)-$F194)</f>
        <v/>
      </c>
      <c r="J194" s="18" t="str">
        <f aca="false">IF(OR($B194="",$F194=0),"",$I194/$F194)</f>
        <v/>
      </c>
      <c r="K194" s="18" t="str">
        <f aca="false">IF(OR($B194="",$H194=0),"",SUMPRODUCT((Investments!$A$6:$A$1005=$B194)*Investments!$M$6:$M$1005*Investments!$T$6:$T$1005)/$H194)</f>
        <v/>
      </c>
      <c r="L194" s="18" t="str">
        <f aca="false">IF(OR($B194="",$C$12=0),"",$H194/$C$12)</f>
        <v/>
      </c>
    </row>
    <row r="195" customFormat="false" ht="15" hidden="false" customHeight="false" outlineLevel="0" collapsed="false">
      <c r="B195" s="31" t="str">
        <f aca="false">IF(Clients!$B180="","",Clients!$B180)</f>
        <v/>
      </c>
      <c r="C195" s="32" t="str">
        <f aca="false">IF($B195="","",COUNTIFS(Investments!$A$6:$A$1005,$B195))</f>
        <v/>
      </c>
      <c r="D195" s="33" t="str">
        <f aca="false">IF($B195="","",SUMIFS(Investments!$G$6:$G$1005,Investments!$A$6:$A$1005,$B195))</f>
        <v/>
      </c>
      <c r="E195" s="33" t="str">
        <f aca="false">IF($B195="","",SUMIFS(Investments!$H$6:$H$1005,Investments!$A$6:$A$1005,$B195))</f>
        <v/>
      </c>
      <c r="F195" s="33" t="str">
        <f aca="false">IF($B195="","",SUMIFS(Investments!$P$6:$P$1005,Investments!$A$6:$A$1005,$B195))</f>
        <v/>
      </c>
      <c r="G195" s="33" t="str">
        <f aca="false">IF($B195="","",SUMIFS(Investments!$J$6:$J$1005,Investments!$A$6:$A$1005,$B195)+SUMIFS(Investments!$K$6:$K$1005,Investments!$A$6:$A$1005,$B195)+SUMIFS(Investments!$L$6:$L$1005,Investments!$A$6:$A$1005,$B195))</f>
        <v/>
      </c>
      <c r="H195" s="33" t="str">
        <f aca="false">IF($B195="","",SUMIFS(Investments!$M$6:$M$1005,Investments!$A$6:$A$1005,$B195))</f>
        <v/>
      </c>
      <c r="I195" s="33" t="str">
        <f aca="false">IF($B195="","",($H195+$G195)-$F195)</f>
        <v/>
      </c>
      <c r="J195" s="34" t="str">
        <f aca="false">IF(OR($B195="",$F195=0),"",$I195/$F195)</f>
        <v/>
      </c>
      <c r="K195" s="34" t="str">
        <f aca="false">IF(OR($B195="",$H195=0),"",SUMPRODUCT((Investments!$A$6:$A$1005=$B195)*Investments!$M$6:$M$1005*Investments!$T$6:$T$1005)/$H195)</f>
        <v/>
      </c>
      <c r="L195" s="34" t="str">
        <f aca="false">IF(OR($B195="",$C$12=0),"",$H195/$C$12)</f>
        <v/>
      </c>
    </row>
    <row r="196" customFormat="false" ht="15" hidden="false" customHeight="false" outlineLevel="0" collapsed="false">
      <c r="B196" s="14" t="str">
        <f aca="false">IF(Clients!$B181="","",Clients!$B181)</f>
        <v/>
      </c>
      <c r="C196" s="35" t="str">
        <f aca="false">IF($B196="","",COUNTIFS(Investments!$A$6:$A$1005,$B196))</f>
        <v/>
      </c>
      <c r="D196" s="17" t="str">
        <f aca="false">IF($B196="","",SUMIFS(Investments!$G$6:$G$1005,Investments!$A$6:$A$1005,$B196))</f>
        <v/>
      </c>
      <c r="E196" s="17" t="str">
        <f aca="false">IF($B196="","",SUMIFS(Investments!$H$6:$H$1005,Investments!$A$6:$A$1005,$B196))</f>
        <v/>
      </c>
      <c r="F196" s="17" t="str">
        <f aca="false">IF($B196="","",SUMIFS(Investments!$P$6:$P$1005,Investments!$A$6:$A$1005,$B196))</f>
        <v/>
      </c>
      <c r="G196" s="17" t="str">
        <f aca="false">IF($B196="","",SUMIFS(Investments!$J$6:$J$1005,Investments!$A$6:$A$1005,$B196)+SUMIFS(Investments!$K$6:$K$1005,Investments!$A$6:$A$1005,$B196)+SUMIFS(Investments!$L$6:$L$1005,Investments!$A$6:$A$1005,$B196))</f>
        <v/>
      </c>
      <c r="H196" s="17" t="str">
        <f aca="false">IF($B196="","",SUMIFS(Investments!$M$6:$M$1005,Investments!$A$6:$A$1005,$B196))</f>
        <v/>
      </c>
      <c r="I196" s="17" t="str">
        <f aca="false">IF($B196="","",($H196+$G196)-$F196)</f>
        <v/>
      </c>
      <c r="J196" s="18" t="str">
        <f aca="false">IF(OR($B196="",$F196=0),"",$I196/$F196)</f>
        <v/>
      </c>
      <c r="K196" s="18" t="str">
        <f aca="false">IF(OR($B196="",$H196=0),"",SUMPRODUCT((Investments!$A$6:$A$1005=$B196)*Investments!$M$6:$M$1005*Investments!$T$6:$T$1005)/$H196)</f>
        <v/>
      </c>
      <c r="L196" s="18" t="str">
        <f aca="false">IF(OR($B196="",$C$12=0),"",$H196/$C$12)</f>
        <v/>
      </c>
    </row>
    <row r="197" customFormat="false" ht="15" hidden="false" customHeight="false" outlineLevel="0" collapsed="false">
      <c r="B197" s="31" t="str">
        <f aca="false">IF(Clients!$B182="","",Clients!$B182)</f>
        <v/>
      </c>
      <c r="C197" s="32" t="str">
        <f aca="false">IF($B197="","",COUNTIFS(Investments!$A$6:$A$1005,$B197))</f>
        <v/>
      </c>
      <c r="D197" s="33" t="str">
        <f aca="false">IF($B197="","",SUMIFS(Investments!$G$6:$G$1005,Investments!$A$6:$A$1005,$B197))</f>
        <v/>
      </c>
      <c r="E197" s="33" t="str">
        <f aca="false">IF($B197="","",SUMIFS(Investments!$H$6:$H$1005,Investments!$A$6:$A$1005,$B197))</f>
        <v/>
      </c>
      <c r="F197" s="33" t="str">
        <f aca="false">IF($B197="","",SUMIFS(Investments!$P$6:$P$1005,Investments!$A$6:$A$1005,$B197))</f>
        <v/>
      </c>
      <c r="G197" s="33" t="str">
        <f aca="false">IF($B197="","",SUMIFS(Investments!$J$6:$J$1005,Investments!$A$6:$A$1005,$B197)+SUMIFS(Investments!$K$6:$K$1005,Investments!$A$6:$A$1005,$B197)+SUMIFS(Investments!$L$6:$L$1005,Investments!$A$6:$A$1005,$B197))</f>
        <v/>
      </c>
      <c r="H197" s="33" t="str">
        <f aca="false">IF($B197="","",SUMIFS(Investments!$M$6:$M$1005,Investments!$A$6:$A$1005,$B197))</f>
        <v/>
      </c>
      <c r="I197" s="33" t="str">
        <f aca="false">IF($B197="","",($H197+$G197)-$F197)</f>
        <v/>
      </c>
      <c r="J197" s="34" t="str">
        <f aca="false">IF(OR($B197="",$F197=0),"",$I197/$F197)</f>
        <v/>
      </c>
      <c r="K197" s="34" t="str">
        <f aca="false">IF(OR($B197="",$H197=0),"",SUMPRODUCT((Investments!$A$6:$A$1005=$B197)*Investments!$M$6:$M$1005*Investments!$T$6:$T$1005)/$H197)</f>
        <v/>
      </c>
      <c r="L197" s="34" t="str">
        <f aca="false">IF(OR($B197="",$C$12=0),"",$H197/$C$12)</f>
        <v/>
      </c>
    </row>
    <row r="198" customFormat="false" ht="15" hidden="false" customHeight="false" outlineLevel="0" collapsed="false">
      <c r="B198" s="14" t="str">
        <f aca="false">IF(Clients!$B183="","",Clients!$B183)</f>
        <v/>
      </c>
      <c r="C198" s="35" t="str">
        <f aca="false">IF($B198="","",COUNTIFS(Investments!$A$6:$A$1005,$B198))</f>
        <v/>
      </c>
      <c r="D198" s="17" t="str">
        <f aca="false">IF($B198="","",SUMIFS(Investments!$G$6:$G$1005,Investments!$A$6:$A$1005,$B198))</f>
        <v/>
      </c>
      <c r="E198" s="17" t="str">
        <f aca="false">IF($B198="","",SUMIFS(Investments!$H$6:$H$1005,Investments!$A$6:$A$1005,$B198))</f>
        <v/>
      </c>
      <c r="F198" s="17" t="str">
        <f aca="false">IF($B198="","",SUMIFS(Investments!$P$6:$P$1005,Investments!$A$6:$A$1005,$B198))</f>
        <v/>
      </c>
      <c r="G198" s="17" t="str">
        <f aca="false">IF($B198="","",SUMIFS(Investments!$J$6:$J$1005,Investments!$A$6:$A$1005,$B198)+SUMIFS(Investments!$K$6:$K$1005,Investments!$A$6:$A$1005,$B198)+SUMIFS(Investments!$L$6:$L$1005,Investments!$A$6:$A$1005,$B198))</f>
        <v/>
      </c>
      <c r="H198" s="17" t="str">
        <f aca="false">IF($B198="","",SUMIFS(Investments!$M$6:$M$1005,Investments!$A$6:$A$1005,$B198))</f>
        <v/>
      </c>
      <c r="I198" s="17" t="str">
        <f aca="false">IF($B198="","",($H198+$G198)-$F198)</f>
        <v/>
      </c>
      <c r="J198" s="18" t="str">
        <f aca="false">IF(OR($B198="",$F198=0),"",$I198/$F198)</f>
        <v/>
      </c>
      <c r="K198" s="18" t="str">
        <f aca="false">IF(OR($B198="",$H198=0),"",SUMPRODUCT((Investments!$A$6:$A$1005=$B198)*Investments!$M$6:$M$1005*Investments!$T$6:$T$1005)/$H198)</f>
        <v/>
      </c>
      <c r="L198" s="18" t="str">
        <f aca="false">IF(OR($B198="",$C$12=0),"",$H198/$C$12)</f>
        <v/>
      </c>
    </row>
    <row r="199" customFormat="false" ht="15" hidden="false" customHeight="false" outlineLevel="0" collapsed="false">
      <c r="B199" s="31" t="str">
        <f aca="false">IF(Clients!$B184="","",Clients!$B184)</f>
        <v/>
      </c>
      <c r="C199" s="32" t="str">
        <f aca="false">IF($B199="","",COUNTIFS(Investments!$A$6:$A$1005,$B199))</f>
        <v/>
      </c>
      <c r="D199" s="33" t="str">
        <f aca="false">IF($B199="","",SUMIFS(Investments!$G$6:$G$1005,Investments!$A$6:$A$1005,$B199))</f>
        <v/>
      </c>
      <c r="E199" s="33" t="str">
        <f aca="false">IF($B199="","",SUMIFS(Investments!$H$6:$H$1005,Investments!$A$6:$A$1005,$B199))</f>
        <v/>
      </c>
      <c r="F199" s="33" t="str">
        <f aca="false">IF($B199="","",SUMIFS(Investments!$P$6:$P$1005,Investments!$A$6:$A$1005,$B199))</f>
        <v/>
      </c>
      <c r="G199" s="33" t="str">
        <f aca="false">IF($B199="","",SUMIFS(Investments!$J$6:$J$1005,Investments!$A$6:$A$1005,$B199)+SUMIFS(Investments!$K$6:$K$1005,Investments!$A$6:$A$1005,$B199)+SUMIFS(Investments!$L$6:$L$1005,Investments!$A$6:$A$1005,$B199))</f>
        <v/>
      </c>
      <c r="H199" s="33" t="str">
        <f aca="false">IF($B199="","",SUMIFS(Investments!$M$6:$M$1005,Investments!$A$6:$A$1005,$B199))</f>
        <v/>
      </c>
      <c r="I199" s="33" t="str">
        <f aca="false">IF($B199="","",($H199+$G199)-$F199)</f>
        <v/>
      </c>
      <c r="J199" s="34" t="str">
        <f aca="false">IF(OR($B199="",$F199=0),"",$I199/$F199)</f>
        <v/>
      </c>
      <c r="K199" s="34" t="str">
        <f aca="false">IF(OR($B199="",$H199=0),"",SUMPRODUCT((Investments!$A$6:$A$1005=$B199)*Investments!$M$6:$M$1005*Investments!$T$6:$T$1005)/$H199)</f>
        <v/>
      </c>
      <c r="L199" s="34" t="str">
        <f aca="false">IF(OR($B199="",$C$12=0),"",$H199/$C$12)</f>
        <v/>
      </c>
    </row>
    <row r="200" customFormat="false" ht="15" hidden="false" customHeight="false" outlineLevel="0" collapsed="false">
      <c r="B200" s="14" t="str">
        <f aca="false">IF(Clients!$B185="","",Clients!$B185)</f>
        <v/>
      </c>
      <c r="C200" s="35" t="str">
        <f aca="false">IF($B200="","",COUNTIFS(Investments!$A$6:$A$1005,$B200))</f>
        <v/>
      </c>
      <c r="D200" s="17" t="str">
        <f aca="false">IF($B200="","",SUMIFS(Investments!$G$6:$G$1005,Investments!$A$6:$A$1005,$B200))</f>
        <v/>
      </c>
      <c r="E200" s="17" t="str">
        <f aca="false">IF($B200="","",SUMIFS(Investments!$H$6:$H$1005,Investments!$A$6:$A$1005,$B200))</f>
        <v/>
      </c>
      <c r="F200" s="17" t="str">
        <f aca="false">IF($B200="","",SUMIFS(Investments!$P$6:$P$1005,Investments!$A$6:$A$1005,$B200))</f>
        <v/>
      </c>
      <c r="G200" s="17" t="str">
        <f aca="false">IF($B200="","",SUMIFS(Investments!$J$6:$J$1005,Investments!$A$6:$A$1005,$B200)+SUMIFS(Investments!$K$6:$K$1005,Investments!$A$6:$A$1005,$B200)+SUMIFS(Investments!$L$6:$L$1005,Investments!$A$6:$A$1005,$B200))</f>
        <v/>
      </c>
      <c r="H200" s="17" t="str">
        <f aca="false">IF($B200="","",SUMIFS(Investments!$M$6:$M$1005,Investments!$A$6:$A$1005,$B200))</f>
        <v/>
      </c>
      <c r="I200" s="17" t="str">
        <f aca="false">IF($B200="","",($H200+$G200)-$F200)</f>
        <v/>
      </c>
      <c r="J200" s="18" t="str">
        <f aca="false">IF(OR($B200="",$F200=0),"",$I200/$F200)</f>
        <v/>
      </c>
      <c r="K200" s="18" t="str">
        <f aca="false">IF(OR($B200="",$H200=0),"",SUMPRODUCT((Investments!$A$6:$A$1005=$B200)*Investments!$M$6:$M$1005*Investments!$T$6:$T$1005)/$H200)</f>
        <v/>
      </c>
      <c r="L200" s="18" t="str">
        <f aca="false">IF(OR($B200="",$C$12=0),"",$H200/$C$12)</f>
        <v/>
      </c>
    </row>
    <row r="201" customFormat="false" ht="15" hidden="false" customHeight="false" outlineLevel="0" collapsed="false">
      <c r="B201" s="31" t="str">
        <f aca="false">IF(Clients!$B186="","",Clients!$B186)</f>
        <v/>
      </c>
      <c r="C201" s="32" t="str">
        <f aca="false">IF($B201="","",COUNTIFS(Investments!$A$6:$A$1005,$B201))</f>
        <v/>
      </c>
      <c r="D201" s="33" t="str">
        <f aca="false">IF($B201="","",SUMIFS(Investments!$G$6:$G$1005,Investments!$A$6:$A$1005,$B201))</f>
        <v/>
      </c>
      <c r="E201" s="33" t="str">
        <f aca="false">IF($B201="","",SUMIFS(Investments!$H$6:$H$1005,Investments!$A$6:$A$1005,$B201))</f>
        <v/>
      </c>
      <c r="F201" s="33" t="str">
        <f aca="false">IF($B201="","",SUMIFS(Investments!$P$6:$P$1005,Investments!$A$6:$A$1005,$B201))</f>
        <v/>
      </c>
      <c r="G201" s="33" t="str">
        <f aca="false">IF($B201="","",SUMIFS(Investments!$J$6:$J$1005,Investments!$A$6:$A$1005,$B201)+SUMIFS(Investments!$K$6:$K$1005,Investments!$A$6:$A$1005,$B201)+SUMIFS(Investments!$L$6:$L$1005,Investments!$A$6:$A$1005,$B201))</f>
        <v/>
      </c>
      <c r="H201" s="33" t="str">
        <f aca="false">IF($B201="","",SUMIFS(Investments!$M$6:$M$1005,Investments!$A$6:$A$1005,$B201))</f>
        <v/>
      </c>
      <c r="I201" s="33" t="str">
        <f aca="false">IF($B201="","",($H201+$G201)-$F201)</f>
        <v/>
      </c>
      <c r="J201" s="34" t="str">
        <f aca="false">IF(OR($B201="",$F201=0),"",$I201/$F201)</f>
        <v/>
      </c>
      <c r="K201" s="34" t="str">
        <f aca="false">IF(OR($B201="",$H201=0),"",SUMPRODUCT((Investments!$A$6:$A$1005=$B201)*Investments!$M$6:$M$1005*Investments!$T$6:$T$1005)/$H201)</f>
        <v/>
      </c>
      <c r="L201" s="34" t="str">
        <f aca="false">IF(OR($B201="",$C$12=0),"",$H201/$C$12)</f>
        <v/>
      </c>
    </row>
    <row r="202" customFormat="false" ht="15" hidden="false" customHeight="false" outlineLevel="0" collapsed="false">
      <c r="B202" s="14" t="str">
        <f aca="false">IF(Clients!$B187="","",Clients!$B187)</f>
        <v/>
      </c>
      <c r="C202" s="35" t="str">
        <f aca="false">IF($B202="","",COUNTIFS(Investments!$A$6:$A$1005,$B202))</f>
        <v/>
      </c>
      <c r="D202" s="17" t="str">
        <f aca="false">IF($B202="","",SUMIFS(Investments!$G$6:$G$1005,Investments!$A$6:$A$1005,$B202))</f>
        <v/>
      </c>
      <c r="E202" s="17" t="str">
        <f aca="false">IF($B202="","",SUMIFS(Investments!$H$6:$H$1005,Investments!$A$6:$A$1005,$B202))</f>
        <v/>
      </c>
      <c r="F202" s="17" t="str">
        <f aca="false">IF($B202="","",SUMIFS(Investments!$P$6:$P$1005,Investments!$A$6:$A$1005,$B202))</f>
        <v/>
      </c>
      <c r="G202" s="17" t="str">
        <f aca="false">IF($B202="","",SUMIFS(Investments!$J$6:$J$1005,Investments!$A$6:$A$1005,$B202)+SUMIFS(Investments!$K$6:$K$1005,Investments!$A$6:$A$1005,$B202)+SUMIFS(Investments!$L$6:$L$1005,Investments!$A$6:$A$1005,$B202))</f>
        <v/>
      </c>
      <c r="H202" s="17" t="str">
        <f aca="false">IF($B202="","",SUMIFS(Investments!$M$6:$M$1005,Investments!$A$6:$A$1005,$B202))</f>
        <v/>
      </c>
      <c r="I202" s="17" t="str">
        <f aca="false">IF($B202="","",($H202+$G202)-$F202)</f>
        <v/>
      </c>
      <c r="J202" s="18" t="str">
        <f aca="false">IF(OR($B202="",$F202=0),"",$I202/$F202)</f>
        <v/>
      </c>
      <c r="K202" s="18" t="str">
        <f aca="false">IF(OR($B202="",$H202=0),"",SUMPRODUCT((Investments!$A$6:$A$1005=$B202)*Investments!$M$6:$M$1005*Investments!$T$6:$T$1005)/$H202)</f>
        <v/>
      </c>
      <c r="L202" s="18" t="str">
        <f aca="false">IF(OR($B202="",$C$12=0),"",$H202/$C$12)</f>
        <v/>
      </c>
    </row>
    <row r="203" customFormat="false" ht="15" hidden="false" customHeight="false" outlineLevel="0" collapsed="false">
      <c r="B203" s="31" t="str">
        <f aca="false">IF(Clients!$B188="","",Clients!$B188)</f>
        <v/>
      </c>
      <c r="C203" s="32" t="str">
        <f aca="false">IF($B203="","",COUNTIFS(Investments!$A$6:$A$1005,$B203))</f>
        <v/>
      </c>
      <c r="D203" s="33" t="str">
        <f aca="false">IF($B203="","",SUMIFS(Investments!$G$6:$G$1005,Investments!$A$6:$A$1005,$B203))</f>
        <v/>
      </c>
      <c r="E203" s="33" t="str">
        <f aca="false">IF($B203="","",SUMIFS(Investments!$H$6:$H$1005,Investments!$A$6:$A$1005,$B203))</f>
        <v/>
      </c>
      <c r="F203" s="33" t="str">
        <f aca="false">IF($B203="","",SUMIFS(Investments!$P$6:$P$1005,Investments!$A$6:$A$1005,$B203))</f>
        <v/>
      </c>
      <c r="G203" s="33" t="str">
        <f aca="false">IF($B203="","",SUMIFS(Investments!$J$6:$J$1005,Investments!$A$6:$A$1005,$B203)+SUMIFS(Investments!$K$6:$K$1005,Investments!$A$6:$A$1005,$B203)+SUMIFS(Investments!$L$6:$L$1005,Investments!$A$6:$A$1005,$B203))</f>
        <v/>
      </c>
      <c r="H203" s="33" t="str">
        <f aca="false">IF($B203="","",SUMIFS(Investments!$M$6:$M$1005,Investments!$A$6:$A$1005,$B203))</f>
        <v/>
      </c>
      <c r="I203" s="33" t="str">
        <f aca="false">IF($B203="","",($H203+$G203)-$F203)</f>
        <v/>
      </c>
      <c r="J203" s="34" t="str">
        <f aca="false">IF(OR($B203="",$F203=0),"",$I203/$F203)</f>
        <v/>
      </c>
      <c r="K203" s="34" t="str">
        <f aca="false">IF(OR($B203="",$H203=0),"",SUMPRODUCT((Investments!$A$6:$A$1005=$B203)*Investments!$M$6:$M$1005*Investments!$T$6:$T$1005)/$H203)</f>
        <v/>
      </c>
      <c r="L203" s="34" t="str">
        <f aca="false">IF(OR($B203="",$C$12=0),"",$H203/$C$12)</f>
        <v/>
      </c>
    </row>
    <row r="204" customFormat="false" ht="15" hidden="false" customHeight="false" outlineLevel="0" collapsed="false">
      <c r="B204" s="14" t="str">
        <f aca="false">IF(Clients!$B189="","",Clients!$B189)</f>
        <v/>
      </c>
      <c r="C204" s="35" t="str">
        <f aca="false">IF($B204="","",COUNTIFS(Investments!$A$6:$A$1005,$B204))</f>
        <v/>
      </c>
      <c r="D204" s="17" t="str">
        <f aca="false">IF($B204="","",SUMIFS(Investments!$G$6:$G$1005,Investments!$A$6:$A$1005,$B204))</f>
        <v/>
      </c>
      <c r="E204" s="17" t="str">
        <f aca="false">IF($B204="","",SUMIFS(Investments!$H$6:$H$1005,Investments!$A$6:$A$1005,$B204))</f>
        <v/>
      </c>
      <c r="F204" s="17" t="str">
        <f aca="false">IF($B204="","",SUMIFS(Investments!$P$6:$P$1005,Investments!$A$6:$A$1005,$B204))</f>
        <v/>
      </c>
      <c r="G204" s="17" t="str">
        <f aca="false">IF($B204="","",SUMIFS(Investments!$J$6:$J$1005,Investments!$A$6:$A$1005,$B204)+SUMIFS(Investments!$K$6:$K$1005,Investments!$A$6:$A$1005,$B204)+SUMIFS(Investments!$L$6:$L$1005,Investments!$A$6:$A$1005,$B204))</f>
        <v/>
      </c>
      <c r="H204" s="17" t="str">
        <f aca="false">IF($B204="","",SUMIFS(Investments!$M$6:$M$1005,Investments!$A$6:$A$1005,$B204))</f>
        <v/>
      </c>
      <c r="I204" s="17" t="str">
        <f aca="false">IF($B204="","",($H204+$G204)-$F204)</f>
        <v/>
      </c>
      <c r="J204" s="18" t="str">
        <f aca="false">IF(OR($B204="",$F204=0),"",$I204/$F204)</f>
        <v/>
      </c>
      <c r="K204" s="18" t="str">
        <f aca="false">IF(OR($B204="",$H204=0),"",SUMPRODUCT((Investments!$A$6:$A$1005=$B204)*Investments!$M$6:$M$1005*Investments!$T$6:$T$1005)/$H204)</f>
        <v/>
      </c>
      <c r="L204" s="18" t="str">
        <f aca="false">IF(OR($B204="",$C$12=0),"",$H204/$C$12)</f>
        <v/>
      </c>
    </row>
    <row r="205" customFormat="false" ht="15" hidden="false" customHeight="false" outlineLevel="0" collapsed="false">
      <c r="B205" s="31" t="str">
        <f aca="false">IF(Clients!$B190="","",Clients!$B190)</f>
        <v/>
      </c>
      <c r="C205" s="32" t="str">
        <f aca="false">IF($B205="","",COUNTIFS(Investments!$A$6:$A$1005,$B205))</f>
        <v/>
      </c>
      <c r="D205" s="33" t="str">
        <f aca="false">IF($B205="","",SUMIFS(Investments!$G$6:$G$1005,Investments!$A$6:$A$1005,$B205))</f>
        <v/>
      </c>
      <c r="E205" s="33" t="str">
        <f aca="false">IF($B205="","",SUMIFS(Investments!$H$6:$H$1005,Investments!$A$6:$A$1005,$B205))</f>
        <v/>
      </c>
      <c r="F205" s="33" t="str">
        <f aca="false">IF($B205="","",SUMIFS(Investments!$P$6:$P$1005,Investments!$A$6:$A$1005,$B205))</f>
        <v/>
      </c>
      <c r="G205" s="33" t="str">
        <f aca="false">IF($B205="","",SUMIFS(Investments!$J$6:$J$1005,Investments!$A$6:$A$1005,$B205)+SUMIFS(Investments!$K$6:$K$1005,Investments!$A$6:$A$1005,$B205)+SUMIFS(Investments!$L$6:$L$1005,Investments!$A$6:$A$1005,$B205))</f>
        <v/>
      </c>
      <c r="H205" s="33" t="str">
        <f aca="false">IF($B205="","",SUMIFS(Investments!$M$6:$M$1005,Investments!$A$6:$A$1005,$B205))</f>
        <v/>
      </c>
      <c r="I205" s="33" t="str">
        <f aca="false">IF($B205="","",($H205+$G205)-$F205)</f>
        <v/>
      </c>
      <c r="J205" s="34" t="str">
        <f aca="false">IF(OR($B205="",$F205=0),"",$I205/$F205)</f>
        <v/>
      </c>
      <c r="K205" s="34" t="str">
        <f aca="false">IF(OR($B205="",$H205=0),"",SUMPRODUCT((Investments!$A$6:$A$1005=$B205)*Investments!$M$6:$M$1005*Investments!$T$6:$T$1005)/$H205)</f>
        <v/>
      </c>
      <c r="L205" s="34" t="str">
        <f aca="false">IF(OR($B205="",$C$12=0),"",$H205/$C$12)</f>
        <v/>
      </c>
    </row>
    <row r="206" customFormat="false" ht="15" hidden="false" customHeight="false" outlineLevel="0" collapsed="false">
      <c r="B206" s="14" t="str">
        <f aca="false">IF(Clients!$B191="","",Clients!$B191)</f>
        <v/>
      </c>
      <c r="C206" s="35" t="str">
        <f aca="false">IF($B206="","",COUNTIFS(Investments!$A$6:$A$1005,$B206))</f>
        <v/>
      </c>
      <c r="D206" s="17" t="str">
        <f aca="false">IF($B206="","",SUMIFS(Investments!$G$6:$G$1005,Investments!$A$6:$A$1005,$B206))</f>
        <v/>
      </c>
      <c r="E206" s="17" t="str">
        <f aca="false">IF($B206="","",SUMIFS(Investments!$H$6:$H$1005,Investments!$A$6:$A$1005,$B206))</f>
        <v/>
      </c>
      <c r="F206" s="17" t="str">
        <f aca="false">IF($B206="","",SUMIFS(Investments!$P$6:$P$1005,Investments!$A$6:$A$1005,$B206))</f>
        <v/>
      </c>
      <c r="G206" s="17" t="str">
        <f aca="false">IF($B206="","",SUMIFS(Investments!$J$6:$J$1005,Investments!$A$6:$A$1005,$B206)+SUMIFS(Investments!$K$6:$K$1005,Investments!$A$6:$A$1005,$B206)+SUMIFS(Investments!$L$6:$L$1005,Investments!$A$6:$A$1005,$B206))</f>
        <v/>
      </c>
      <c r="H206" s="17" t="str">
        <f aca="false">IF($B206="","",SUMIFS(Investments!$M$6:$M$1005,Investments!$A$6:$A$1005,$B206))</f>
        <v/>
      </c>
      <c r="I206" s="17" t="str">
        <f aca="false">IF($B206="","",($H206+$G206)-$F206)</f>
        <v/>
      </c>
      <c r="J206" s="18" t="str">
        <f aca="false">IF(OR($B206="",$F206=0),"",$I206/$F206)</f>
        <v/>
      </c>
      <c r="K206" s="18" t="str">
        <f aca="false">IF(OR($B206="",$H206=0),"",SUMPRODUCT((Investments!$A$6:$A$1005=$B206)*Investments!$M$6:$M$1005*Investments!$T$6:$T$1005)/$H206)</f>
        <v/>
      </c>
      <c r="L206" s="18" t="str">
        <f aca="false">IF(OR($B206="",$C$12=0),"",$H206/$C$12)</f>
        <v/>
      </c>
    </row>
    <row r="207" customFormat="false" ht="15" hidden="false" customHeight="false" outlineLevel="0" collapsed="false">
      <c r="B207" s="31" t="str">
        <f aca="false">IF(Clients!$B192="","",Clients!$B192)</f>
        <v/>
      </c>
      <c r="C207" s="32" t="str">
        <f aca="false">IF($B207="","",COUNTIFS(Investments!$A$6:$A$1005,$B207))</f>
        <v/>
      </c>
      <c r="D207" s="33" t="str">
        <f aca="false">IF($B207="","",SUMIFS(Investments!$G$6:$G$1005,Investments!$A$6:$A$1005,$B207))</f>
        <v/>
      </c>
      <c r="E207" s="33" t="str">
        <f aca="false">IF($B207="","",SUMIFS(Investments!$H$6:$H$1005,Investments!$A$6:$A$1005,$B207))</f>
        <v/>
      </c>
      <c r="F207" s="33" t="str">
        <f aca="false">IF($B207="","",SUMIFS(Investments!$P$6:$P$1005,Investments!$A$6:$A$1005,$B207))</f>
        <v/>
      </c>
      <c r="G207" s="33" t="str">
        <f aca="false">IF($B207="","",SUMIFS(Investments!$J$6:$J$1005,Investments!$A$6:$A$1005,$B207)+SUMIFS(Investments!$K$6:$K$1005,Investments!$A$6:$A$1005,$B207)+SUMIFS(Investments!$L$6:$L$1005,Investments!$A$6:$A$1005,$B207))</f>
        <v/>
      </c>
      <c r="H207" s="33" t="str">
        <f aca="false">IF($B207="","",SUMIFS(Investments!$M$6:$M$1005,Investments!$A$6:$A$1005,$B207))</f>
        <v/>
      </c>
      <c r="I207" s="33" t="str">
        <f aca="false">IF($B207="","",($H207+$G207)-$F207)</f>
        <v/>
      </c>
      <c r="J207" s="34" t="str">
        <f aca="false">IF(OR($B207="",$F207=0),"",$I207/$F207)</f>
        <v/>
      </c>
      <c r="K207" s="34" t="str">
        <f aca="false">IF(OR($B207="",$H207=0),"",SUMPRODUCT((Investments!$A$6:$A$1005=$B207)*Investments!$M$6:$M$1005*Investments!$T$6:$T$1005)/$H207)</f>
        <v/>
      </c>
      <c r="L207" s="34" t="str">
        <f aca="false">IF(OR($B207="",$C$12=0),"",$H207/$C$12)</f>
        <v/>
      </c>
    </row>
    <row r="208" customFormat="false" ht="15" hidden="false" customHeight="false" outlineLevel="0" collapsed="false">
      <c r="B208" s="14" t="str">
        <f aca="false">IF(Clients!$B193="","",Clients!$B193)</f>
        <v/>
      </c>
      <c r="C208" s="35" t="str">
        <f aca="false">IF($B208="","",COUNTIFS(Investments!$A$6:$A$1005,$B208))</f>
        <v/>
      </c>
      <c r="D208" s="17" t="str">
        <f aca="false">IF($B208="","",SUMIFS(Investments!$G$6:$G$1005,Investments!$A$6:$A$1005,$B208))</f>
        <v/>
      </c>
      <c r="E208" s="17" t="str">
        <f aca="false">IF($B208="","",SUMIFS(Investments!$H$6:$H$1005,Investments!$A$6:$A$1005,$B208))</f>
        <v/>
      </c>
      <c r="F208" s="17" t="str">
        <f aca="false">IF($B208="","",SUMIFS(Investments!$P$6:$P$1005,Investments!$A$6:$A$1005,$B208))</f>
        <v/>
      </c>
      <c r="G208" s="17" t="str">
        <f aca="false">IF($B208="","",SUMIFS(Investments!$J$6:$J$1005,Investments!$A$6:$A$1005,$B208)+SUMIFS(Investments!$K$6:$K$1005,Investments!$A$6:$A$1005,$B208)+SUMIFS(Investments!$L$6:$L$1005,Investments!$A$6:$A$1005,$B208))</f>
        <v/>
      </c>
      <c r="H208" s="17" t="str">
        <f aca="false">IF($B208="","",SUMIFS(Investments!$M$6:$M$1005,Investments!$A$6:$A$1005,$B208))</f>
        <v/>
      </c>
      <c r="I208" s="17" t="str">
        <f aca="false">IF($B208="","",($H208+$G208)-$F208)</f>
        <v/>
      </c>
      <c r="J208" s="18" t="str">
        <f aca="false">IF(OR($B208="",$F208=0),"",$I208/$F208)</f>
        <v/>
      </c>
      <c r="K208" s="18" t="str">
        <f aca="false">IF(OR($B208="",$H208=0),"",SUMPRODUCT((Investments!$A$6:$A$1005=$B208)*Investments!$M$6:$M$1005*Investments!$T$6:$T$1005)/$H208)</f>
        <v/>
      </c>
      <c r="L208" s="18" t="str">
        <f aca="false">IF(OR($B208="",$C$12=0),"",$H208/$C$12)</f>
        <v/>
      </c>
    </row>
    <row r="209" customFormat="false" ht="15" hidden="false" customHeight="false" outlineLevel="0" collapsed="false">
      <c r="B209" s="31" t="str">
        <f aca="false">IF(Clients!$B194="","",Clients!$B194)</f>
        <v/>
      </c>
      <c r="C209" s="32" t="str">
        <f aca="false">IF($B209="","",COUNTIFS(Investments!$A$6:$A$1005,$B209))</f>
        <v/>
      </c>
      <c r="D209" s="33" t="str">
        <f aca="false">IF($B209="","",SUMIFS(Investments!$G$6:$G$1005,Investments!$A$6:$A$1005,$B209))</f>
        <v/>
      </c>
      <c r="E209" s="33" t="str">
        <f aca="false">IF($B209="","",SUMIFS(Investments!$H$6:$H$1005,Investments!$A$6:$A$1005,$B209))</f>
        <v/>
      </c>
      <c r="F209" s="33" t="str">
        <f aca="false">IF($B209="","",SUMIFS(Investments!$P$6:$P$1005,Investments!$A$6:$A$1005,$B209))</f>
        <v/>
      </c>
      <c r="G209" s="33" t="str">
        <f aca="false">IF($B209="","",SUMIFS(Investments!$J$6:$J$1005,Investments!$A$6:$A$1005,$B209)+SUMIFS(Investments!$K$6:$K$1005,Investments!$A$6:$A$1005,$B209)+SUMIFS(Investments!$L$6:$L$1005,Investments!$A$6:$A$1005,$B209))</f>
        <v/>
      </c>
      <c r="H209" s="33" t="str">
        <f aca="false">IF($B209="","",SUMIFS(Investments!$M$6:$M$1005,Investments!$A$6:$A$1005,$B209))</f>
        <v/>
      </c>
      <c r="I209" s="33" t="str">
        <f aca="false">IF($B209="","",($H209+$G209)-$F209)</f>
        <v/>
      </c>
      <c r="J209" s="34" t="str">
        <f aca="false">IF(OR($B209="",$F209=0),"",$I209/$F209)</f>
        <v/>
      </c>
      <c r="K209" s="34" t="str">
        <f aca="false">IF(OR($B209="",$H209=0),"",SUMPRODUCT((Investments!$A$6:$A$1005=$B209)*Investments!$M$6:$M$1005*Investments!$T$6:$T$1005)/$H209)</f>
        <v/>
      </c>
      <c r="L209" s="34" t="str">
        <f aca="false">IF(OR($B209="",$C$12=0),"",$H209/$C$12)</f>
        <v/>
      </c>
    </row>
    <row r="210" customFormat="false" ht="15" hidden="false" customHeight="false" outlineLevel="0" collapsed="false">
      <c r="B210" s="14" t="str">
        <f aca="false">IF(Clients!$B195="","",Clients!$B195)</f>
        <v/>
      </c>
      <c r="C210" s="35" t="str">
        <f aca="false">IF($B210="","",COUNTIFS(Investments!$A$6:$A$1005,$B210))</f>
        <v/>
      </c>
      <c r="D210" s="17" t="str">
        <f aca="false">IF($B210="","",SUMIFS(Investments!$G$6:$G$1005,Investments!$A$6:$A$1005,$B210))</f>
        <v/>
      </c>
      <c r="E210" s="17" t="str">
        <f aca="false">IF($B210="","",SUMIFS(Investments!$H$6:$H$1005,Investments!$A$6:$A$1005,$B210))</f>
        <v/>
      </c>
      <c r="F210" s="17" t="str">
        <f aca="false">IF($B210="","",SUMIFS(Investments!$P$6:$P$1005,Investments!$A$6:$A$1005,$B210))</f>
        <v/>
      </c>
      <c r="G210" s="17" t="str">
        <f aca="false">IF($B210="","",SUMIFS(Investments!$J$6:$J$1005,Investments!$A$6:$A$1005,$B210)+SUMIFS(Investments!$K$6:$K$1005,Investments!$A$6:$A$1005,$B210)+SUMIFS(Investments!$L$6:$L$1005,Investments!$A$6:$A$1005,$B210))</f>
        <v/>
      </c>
      <c r="H210" s="17" t="str">
        <f aca="false">IF($B210="","",SUMIFS(Investments!$M$6:$M$1005,Investments!$A$6:$A$1005,$B210))</f>
        <v/>
      </c>
      <c r="I210" s="17" t="str">
        <f aca="false">IF($B210="","",($H210+$G210)-$F210)</f>
        <v/>
      </c>
      <c r="J210" s="18" t="str">
        <f aca="false">IF(OR($B210="",$F210=0),"",$I210/$F210)</f>
        <v/>
      </c>
      <c r="K210" s="18" t="str">
        <f aca="false">IF(OR($B210="",$H210=0),"",SUMPRODUCT((Investments!$A$6:$A$1005=$B210)*Investments!$M$6:$M$1005*Investments!$T$6:$T$1005)/$H210)</f>
        <v/>
      </c>
      <c r="L210" s="18" t="str">
        <f aca="false">IF(OR($B210="",$C$12=0),"",$H210/$C$12)</f>
        <v/>
      </c>
    </row>
    <row r="211" customFormat="false" ht="15" hidden="false" customHeight="false" outlineLevel="0" collapsed="false">
      <c r="B211" s="31" t="str">
        <f aca="false">IF(Clients!$B196="","",Clients!$B196)</f>
        <v/>
      </c>
      <c r="C211" s="32" t="str">
        <f aca="false">IF($B211="","",COUNTIFS(Investments!$A$6:$A$1005,$B211))</f>
        <v/>
      </c>
      <c r="D211" s="33" t="str">
        <f aca="false">IF($B211="","",SUMIFS(Investments!$G$6:$G$1005,Investments!$A$6:$A$1005,$B211))</f>
        <v/>
      </c>
      <c r="E211" s="33" t="str">
        <f aca="false">IF($B211="","",SUMIFS(Investments!$H$6:$H$1005,Investments!$A$6:$A$1005,$B211))</f>
        <v/>
      </c>
      <c r="F211" s="33" t="str">
        <f aca="false">IF($B211="","",SUMIFS(Investments!$P$6:$P$1005,Investments!$A$6:$A$1005,$B211))</f>
        <v/>
      </c>
      <c r="G211" s="33" t="str">
        <f aca="false">IF($B211="","",SUMIFS(Investments!$J$6:$J$1005,Investments!$A$6:$A$1005,$B211)+SUMIFS(Investments!$K$6:$K$1005,Investments!$A$6:$A$1005,$B211)+SUMIFS(Investments!$L$6:$L$1005,Investments!$A$6:$A$1005,$B211))</f>
        <v/>
      </c>
      <c r="H211" s="33" t="str">
        <f aca="false">IF($B211="","",SUMIFS(Investments!$M$6:$M$1005,Investments!$A$6:$A$1005,$B211))</f>
        <v/>
      </c>
      <c r="I211" s="33" t="str">
        <f aca="false">IF($B211="","",($H211+$G211)-$F211)</f>
        <v/>
      </c>
      <c r="J211" s="34" t="str">
        <f aca="false">IF(OR($B211="",$F211=0),"",$I211/$F211)</f>
        <v/>
      </c>
      <c r="K211" s="34" t="str">
        <f aca="false">IF(OR($B211="",$H211=0),"",SUMPRODUCT((Investments!$A$6:$A$1005=$B211)*Investments!$M$6:$M$1005*Investments!$T$6:$T$1005)/$H211)</f>
        <v/>
      </c>
      <c r="L211" s="34" t="str">
        <f aca="false">IF(OR($B211="",$C$12=0),"",$H211/$C$12)</f>
        <v/>
      </c>
    </row>
    <row r="212" customFormat="false" ht="15" hidden="false" customHeight="false" outlineLevel="0" collapsed="false">
      <c r="B212" s="14" t="str">
        <f aca="false">IF(Clients!$B197="","",Clients!$B197)</f>
        <v/>
      </c>
      <c r="C212" s="35" t="str">
        <f aca="false">IF($B212="","",COUNTIFS(Investments!$A$6:$A$1005,$B212))</f>
        <v/>
      </c>
      <c r="D212" s="17" t="str">
        <f aca="false">IF($B212="","",SUMIFS(Investments!$G$6:$G$1005,Investments!$A$6:$A$1005,$B212))</f>
        <v/>
      </c>
      <c r="E212" s="17" t="str">
        <f aca="false">IF($B212="","",SUMIFS(Investments!$H$6:$H$1005,Investments!$A$6:$A$1005,$B212))</f>
        <v/>
      </c>
      <c r="F212" s="17" t="str">
        <f aca="false">IF($B212="","",SUMIFS(Investments!$P$6:$P$1005,Investments!$A$6:$A$1005,$B212))</f>
        <v/>
      </c>
      <c r="G212" s="17" t="str">
        <f aca="false">IF($B212="","",SUMIFS(Investments!$J$6:$J$1005,Investments!$A$6:$A$1005,$B212)+SUMIFS(Investments!$K$6:$K$1005,Investments!$A$6:$A$1005,$B212)+SUMIFS(Investments!$L$6:$L$1005,Investments!$A$6:$A$1005,$B212))</f>
        <v/>
      </c>
      <c r="H212" s="17" t="str">
        <f aca="false">IF($B212="","",SUMIFS(Investments!$M$6:$M$1005,Investments!$A$6:$A$1005,$B212))</f>
        <v/>
      </c>
      <c r="I212" s="17" t="str">
        <f aca="false">IF($B212="","",($H212+$G212)-$F212)</f>
        <v/>
      </c>
      <c r="J212" s="18" t="str">
        <f aca="false">IF(OR($B212="",$F212=0),"",$I212/$F212)</f>
        <v/>
      </c>
      <c r="K212" s="18" t="str">
        <f aca="false">IF(OR($B212="",$H212=0),"",SUMPRODUCT((Investments!$A$6:$A$1005=$B212)*Investments!$M$6:$M$1005*Investments!$T$6:$T$1005)/$H212)</f>
        <v/>
      </c>
      <c r="L212" s="18" t="str">
        <f aca="false">IF(OR($B212="",$C$12=0),"",$H212/$C$12)</f>
        <v/>
      </c>
    </row>
    <row r="213" customFormat="false" ht="15" hidden="false" customHeight="false" outlineLevel="0" collapsed="false">
      <c r="B213" s="31" t="str">
        <f aca="false">IF(Clients!$B198="","",Clients!$B198)</f>
        <v/>
      </c>
      <c r="C213" s="32" t="str">
        <f aca="false">IF($B213="","",COUNTIFS(Investments!$A$6:$A$1005,$B213))</f>
        <v/>
      </c>
      <c r="D213" s="33" t="str">
        <f aca="false">IF($B213="","",SUMIFS(Investments!$G$6:$G$1005,Investments!$A$6:$A$1005,$B213))</f>
        <v/>
      </c>
      <c r="E213" s="33" t="str">
        <f aca="false">IF($B213="","",SUMIFS(Investments!$H$6:$H$1005,Investments!$A$6:$A$1005,$B213))</f>
        <v/>
      </c>
      <c r="F213" s="33" t="str">
        <f aca="false">IF($B213="","",SUMIFS(Investments!$P$6:$P$1005,Investments!$A$6:$A$1005,$B213))</f>
        <v/>
      </c>
      <c r="G213" s="33" t="str">
        <f aca="false">IF($B213="","",SUMIFS(Investments!$J$6:$J$1005,Investments!$A$6:$A$1005,$B213)+SUMIFS(Investments!$K$6:$K$1005,Investments!$A$6:$A$1005,$B213)+SUMIFS(Investments!$L$6:$L$1005,Investments!$A$6:$A$1005,$B213))</f>
        <v/>
      </c>
      <c r="H213" s="33" t="str">
        <f aca="false">IF($B213="","",SUMIFS(Investments!$M$6:$M$1005,Investments!$A$6:$A$1005,$B213))</f>
        <v/>
      </c>
      <c r="I213" s="33" t="str">
        <f aca="false">IF($B213="","",($H213+$G213)-$F213)</f>
        <v/>
      </c>
      <c r="J213" s="34" t="str">
        <f aca="false">IF(OR($B213="",$F213=0),"",$I213/$F213)</f>
        <v/>
      </c>
      <c r="K213" s="34" t="str">
        <f aca="false">IF(OR($B213="",$H213=0),"",SUMPRODUCT((Investments!$A$6:$A$1005=$B213)*Investments!$M$6:$M$1005*Investments!$T$6:$T$1005)/$H213)</f>
        <v/>
      </c>
      <c r="L213" s="34" t="str">
        <f aca="false">IF(OR($B213="",$C$12=0),"",$H213/$C$12)</f>
        <v/>
      </c>
    </row>
    <row r="214" customFormat="false" ht="15" hidden="false" customHeight="false" outlineLevel="0" collapsed="false">
      <c r="B214" s="14" t="str">
        <f aca="false">IF(Clients!$B199="","",Clients!$B199)</f>
        <v/>
      </c>
      <c r="C214" s="35" t="str">
        <f aca="false">IF($B214="","",COUNTIFS(Investments!$A$6:$A$1005,$B214))</f>
        <v/>
      </c>
      <c r="D214" s="17" t="str">
        <f aca="false">IF($B214="","",SUMIFS(Investments!$G$6:$G$1005,Investments!$A$6:$A$1005,$B214))</f>
        <v/>
      </c>
      <c r="E214" s="17" t="str">
        <f aca="false">IF($B214="","",SUMIFS(Investments!$H$6:$H$1005,Investments!$A$6:$A$1005,$B214))</f>
        <v/>
      </c>
      <c r="F214" s="17" t="str">
        <f aca="false">IF($B214="","",SUMIFS(Investments!$P$6:$P$1005,Investments!$A$6:$A$1005,$B214))</f>
        <v/>
      </c>
      <c r="G214" s="17" t="str">
        <f aca="false">IF($B214="","",SUMIFS(Investments!$J$6:$J$1005,Investments!$A$6:$A$1005,$B214)+SUMIFS(Investments!$K$6:$K$1005,Investments!$A$6:$A$1005,$B214)+SUMIFS(Investments!$L$6:$L$1005,Investments!$A$6:$A$1005,$B214))</f>
        <v/>
      </c>
      <c r="H214" s="17" t="str">
        <f aca="false">IF($B214="","",SUMIFS(Investments!$M$6:$M$1005,Investments!$A$6:$A$1005,$B214))</f>
        <v/>
      </c>
      <c r="I214" s="17" t="str">
        <f aca="false">IF($B214="","",($H214+$G214)-$F214)</f>
        <v/>
      </c>
      <c r="J214" s="18" t="str">
        <f aca="false">IF(OR($B214="",$F214=0),"",$I214/$F214)</f>
        <v/>
      </c>
      <c r="K214" s="18" t="str">
        <f aca="false">IF(OR($B214="",$H214=0),"",SUMPRODUCT((Investments!$A$6:$A$1005=$B214)*Investments!$M$6:$M$1005*Investments!$T$6:$T$1005)/$H214)</f>
        <v/>
      </c>
      <c r="L214" s="18" t="str">
        <f aca="false">IF(OR($B214="",$C$12=0),"",$H214/$C$12)</f>
        <v/>
      </c>
    </row>
    <row r="215" customFormat="false" ht="15" hidden="false" customHeight="false" outlineLevel="0" collapsed="false">
      <c r="B215" s="31" t="str">
        <f aca="false">IF(Clients!$B200="","",Clients!$B200)</f>
        <v/>
      </c>
      <c r="C215" s="32" t="str">
        <f aca="false">IF($B215="","",COUNTIFS(Investments!$A$6:$A$1005,$B215))</f>
        <v/>
      </c>
      <c r="D215" s="33" t="str">
        <f aca="false">IF($B215="","",SUMIFS(Investments!$G$6:$G$1005,Investments!$A$6:$A$1005,$B215))</f>
        <v/>
      </c>
      <c r="E215" s="33" t="str">
        <f aca="false">IF($B215="","",SUMIFS(Investments!$H$6:$H$1005,Investments!$A$6:$A$1005,$B215))</f>
        <v/>
      </c>
      <c r="F215" s="33" t="str">
        <f aca="false">IF($B215="","",SUMIFS(Investments!$P$6:$P$1005,Investments!$A$6:$A$1005,$B215))</f>
        <v/>
      </c>
      <c r="G215" s="33" t="str">
        <f aca="false">IF($B215="","",SUMIFS(Investments!$J$6:$J$1005,Investments!$A$6:$A$1005,$B215)+SUMIFS(Investments!$K$6:$K$1005,Investments!$A$6:$A$1005,$B215)+SUMIFS(Investments!$L$6:$L$1005,Investments!$A$6:$A$1005,$B215))</f>
        <v/>
      </c>
      <c r="H215" s="33" t="str">
        <f aca="false">IF($B215="","",SUMIFS(Investments!$M$6:$M$1005,Investments!$A$6:$A$1005,$B215))</f>
        <v/>
      </c>
      <c r="I215" s="33" t="str">
        <f aca="false">IF($B215="","",($H215+$G215)-$F215)</f>
        <v/>
      </c>
      <c r="J215" s="34" t="str">
        <f aca="false">IF(OR($B215="",$F215=0),"",$I215/$F215)</f>
        <v/>
      </c>
      <c r="K215" s="34" t="str">
        <f aca="false">IF(OR($B215="",$H215=0),"",SUMPRODUCT((Investments!$A$6:$A$1005=$B215)*Investments!$M$6:$M$1005*Investments!$T$6:$T$1005)/$H215)</f>
        <v/>
      </c>
      <c r="L215" s="34" t="str">
        <f aca="false">IF(OR($B215="",$C$12=0),"",$H215/$C$12)</f>
        <v/>
      </c>
    </row>
    <row r="216" customFormat="false" ht="15" hidden="false" customHeight="false" outlineLevel="0" collapsed="false">
      <c r="B216" s="14" t="str">
        <f aca="false">IF(Clients!$B201="","",Clients!$B201)</f>
        <v/>
      </c>
      <c r="C216" s="35" t="str">
        <f aca="false">IF($B216="","",COUNTIFS(Investments!$A$6:$A$1005,$B216))</f>
        <v/>
      </c>
      <c r="D216" s="17" t="str">
        <f aca="false">IF($B216="","",SUMIFS(Investments!$G$6:$G$1005,Investments!$A$6:$A$1005,$B216))</f>
        <v/>
      </c>
      <c r="E216" s="17" t="str">
        <f aca="false">IF($B216="","",SUMIFS(Investments!$H$6:$H$1005,Investments!$A$6:$A$1005,$B216))</f>
        <v/>
      </c>
      <c r="F216" s="17" t="str">
        <f aca="false">IF($B216="","",SUMIFS(Investments!$P$6:$P$1005,Investments!$A$6:$A$1005,$B216))</f>
        <v/>
      </c>
      <c r="G216" s="17" t="str">
        <f aca="false">IF($B216="","",SUMIFS(Investments!$J$6:$J$1005,Investments!$A$6:$A$1005,$B216)+SUMIFS(Investments!$K$6:$K$1005,Investments!$A$6:$A$1005,$B216)+SUMIFS(Investments!$L$6:$L$1005,Investments!$A$6:$A$1005,$B216))</f>
        <v/>
      </c>
      <c r="H216" s="17" t="str">
        <f aca="false">IF($B216="","",SUMIFS(Investments!$M$6:$M$1005,Investments!$A$6:$A$1005,$B216))</f>
        <v/>
      </c>
      <c r="I216" s="17" t="str">
        <f aca="false">IF($B216="","",($H216+$G216)-$F216)</f>
        <v/>
      </c>
      <c r="J216" s="18" t="str">
        <f aca="false">IF(OR($B216="",$F216=0),"",$I216/$F216)</f>
        <v/>
      </c>
      <c r="K216" s="18" t="str">
        <f aca="false">IF(OR($B216="",$H216=0),"",SUMPRODUCT((Investments!$A$6:$A$1005=$B216)*Investments!$M$6:$M$1005*Investments!$T$6:$T$1005)/$H216)</f>
        <v/>
      </c>
      <c r="L216" s="18" t="str">
        <f aca="false">IF(OR($B216="",$C$12=0),"",$H216/$C$12)</f>
        <v/>
      </c>
    </row>
    <row r="217" customFormat="false" ht="15" hidden="false" customHeight="false" outlineLevel="0" collapsed="false">
      <c r="B217" s="31" t="str">
        <f aca="false">IF(Clients!$B202="","",Clients!$B202)</f>
        <v/>
      </c>
      <c r="C217" s="32" t="str">
        <f aca="false">IF($B217="","",COUNTIFS(Investments!$A$6:$A$1005,$B217))</f>
        <v/>
      </c>
      <c r="D217" s="33" t="str">
        <f aca="false">IF($B217="","",SUMIFS(Investments!$G$6:$G$1005,Investments!$A$6:$A$1005,$B217))</f>
        <v/>
      </c>
      <c r="E217" s="33" t="str">
        <f aca="false">IF($B217="","",SUMIFS(Investments!$H$6:$H$1005,Investments!$A$6:$A$1005,$B217))</f>
        <v/>
      </c>
      <c r="F217" s="33" t="str">
        <f aca="false">IF($B217="","",SUMIFS(Investments!$P$6:$P$1005,Investments!$A$6:$A$1005,$B217))</f>
        <v/>
      </c>
      <c r="G217" s="33" t="str">
        <f aca="false">IF($B217="","",SUMIFS(Investments!$J$6:$J$1005,Investments!$A$6:$A$1005,$B217)+SUMIFS(Investments!$K$6:$K$1005,Investments!$A$6:$A$1005,$B217)+SUMIFS(Investments!$L$6:$L$1005,Investments!$A$6:$A$1005,$B217))</f>
        <v/>
      </c>
      <c r="H217" s="33" t="str">
        <f aca="false">IF($B217="","",SUMIFS(Investments!$M$6:$M$1005,Investments!$A$6:$A$1005,$B217))</f>
        <v/>
      </c>
      <c r="I217" s="33" t="str">
        <f aca="false">IF($B217="","",($H217+$G217)-$F217)</f>
        <v/>
      </c>
      <c r="J217" s="34" t="str">
        <f aca="false">IF(OR($B217="",$F217=0),"",$I217/$F217)</f>
        <v/>
      </c>
      <c r="K217" s="34" t="str">
        <f aca="false">IF(OR($B217="",$H217=0),"",SUMPRODUCT((Investments!$A$6:$A$1005=$B217)*Investments!$M$6:$M$1005*Investments!$T$6:$T$1005)/$H217)</f>
        <v/>
      </c>
      <c r="L217" s="34" t="str">
        <f aca="false">IF(OR($B217="",$C$12=0),"",$H217/$C$12)</f>
        <v/>
      </c>
    </row>
    <row r="218" customFormat="false" ht="15" hidden="false" customHeight="false" outlineLevel="0" collapsed="false">
      <c r="B218" s="14" t="str">
        <f aca="false">IF(Clients!$B203="","",Clients!$B203)</f>
        <v/>
      </c>
      <c r="C218" s="35" t="str">
        <f aca="false">IF($B218="","",COUNTIFS(Investments!$A$6:$A$1005,$B218))</f>
        <v/>
      </c>
      <c r="D218" s="17" t="str">
        <f aca="false">IF($B218="","",SUMIFS(Investments!$G$6:$G$1005,Investments!$A$6:$A$1005,$B218))</f>
        <v/>
      </c>
      <c r="E218" s="17" t="str">
        <f aca="false">IF($B218="","",SUMIFS(Investments!$H$6:$H$1005,Investments!$A$6:$A$1005,$B218))</f>
        <v/>
      </c>
      <c r="F218" s="17" t="str">
        <f aca="false">IF($B218="","",SUMIFS(Investments!$P$6:$P$1005,Investments!$A$6:$A$1005,$B218))</f>
        <v/>
      </c>
      <c r="G218" s="17" t="str">
        <f aca="false">IF($B218="","",SUMIFS(Investments!$J$6:$J$1005,Investments!$A$6:$A$1005,$B218)+SUMIFS(Investments!$K$6:$K$1005,Investments!$A$6:$A$1005,$B218)+SUMIFS(Investments!$L$6:$L$1005,Investments!$A$6:$A$1005,$B218))</f>
        <v/>
      </c>
      <c r="H218" s="17" t="str">
        <f aca="false">IF($B218="","",SUMIFS(Investments!$M$6:$M$1005,Investments!$A$6:$A$1005,$B218))</f>
        <v/>
      </c>
      <c r="I218" s="17" t="str">
        <f aca="false">IF($B218="","",($H218+$G218)-$F218)</f>
        <v/>
      </c>
      <c r="J218" s="18" t="str">
        <f aca="false">IF(OR($B218="",$F218=0),"",$I218/$F218)</f>
        <v/>
      </c>
      <c r="K218" s="18" t="str">
        <f aca="false">IF(OR($B218="",$H218=0),"",SUMPRODUCT((Investments!$A$6:$A$1005=$B218)*Investments!$M$6:$M$1005*Investments!$T$6:$T$1005)/$H218)</f>
        <v/>
      </c>
      <c r="L218" s="18" t="str">
        <f aca="false">IF(OR($B218="",$C$12=0),"",$H218/$C$12)</f>
        <v/>
      </c>
    </row>
    <row r="219" customFormat="false" ht="15" hidden="false" customHeight="false" outlineLevel="0" collapsed="false">
      <c r="B219" s="36" t="s">
        <v>113</v>
      </c>
      <c r="C219" s="37" t="n">
        <f aca="false">SUM($C$19:$C$218)</f>
        <v>1</v>
      </c>
      <c r="D219" s="38" t="n">
        <f aca="false">SUM($D$19:$D$218)</f>
        <v>0</v>
      </c>
      <c r="E219" s="38" t="n">
        <f aca="false">SUM($E$19:$E$218)</f>
        <v>190000</v>
      </c>
      <c r="F219" s="38" t="n">
        <f aca="false">SUM($F$19:$F$218)</f>
        <v>190000</v>
      </c>
      <c r="G219" s="38" t="n">
        <f aca="false">SUM($G$19:$G$218)</f>
        <v>195243.79</v>
      </c>
      <c r="H219" s="38" t="n">
        <f aca="false">SUM($H$19:$H$218)</f>
        <v>0</v>
      </c>
      <c r="I219" s="38" t="n">
        <f aca="false">($H$219+$G$219)-$F$219</f>
        <v>5243.79000000001</v>
      </c>
      <c r="J219" s="39" t="n">
        <f aca="false">IF($F$219=0,"",$I$219/$F$219)</f>
        <v>0.0275988947368422</v>
      </c>
      <c r="K219" s="39" t="str">
        <f aca="false">IF($H$219=0,"",SUMPRODUCT(Investments!$M$6:$M$1005,Investments!$T$6:$T$1005)/$H$219)</f>
        <v/>
      </c>
      <c r="L219" s="39" t="str">
        <f aca="false">IF($C$12=0,"",$H$219/$C$12)</f>
        <v/>
      </c>
    </row>
    <row r="221" customFormat="false" ht="19.5" hidden="false" customHeight="true" outlineLevel="0" collapsed="false">
      <c r="B221" s="25" t="s">
        <v>114</v>
      </c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customFormat="false" ht="30" hidden="false" customHeight="true" outlineLevel="0" collapsed="false">
      <c r="B222" s="8" t="s">
        <v>36</v>
      </c>
      <c r="C222" s="8" t="s">
        <v>110</v>
      </c>
      <c r="D222" s="8" t="s">
        <v>79</v>
      </c>
      <c r="E222" s="8" t="s">
        <v>80</v>
      </c>
      <c r="F222" s="8" t="s">
        <v>12</v>
      </c>
      <c r="G222" s="8" t="s">
        <v>14</v>
      </c>
      <c r="H222" s="8" t="s">
        <v>85</v>
      </c>
      <c r="I222" s="8" t="s">
        <v>16</v>
      </c>
      <c r="J222" s="8" t="s">
        <v>18</v>
      </c>
      <c r="K222" s="8" t="s">
        <v>111</v>
      </c>
      <c r="L222" s="8" t="s">
        <v>112</v>
      </c>
    </row>
    <row r="223" customFormat="false" ht="15" hidden="false" customHeight="false" outlineLevel="0" collapsed="false">
      <c r="B223" s="31" t="str">
        <f aca="false">IF(Lists!$B2="","",Lists!$B2)</f>
        <v>Equity</v>
      </c>
      <c r="C223" s="32" t="n">
        <f aca="false">IF($B223="","",COUNTIFS(Investments!$C$6:$C$1005,$B223))</f>
        <v>0</v>
      </c>
      <c r="D223" s="33" t="n">
        <f aca="false">IF($B223="","",SUMIFS(Investments!$G$6:$G$1005,Investments!$C$6:$C$1005,$B223))</f>
        <v>0</v>
      </c>
      <c r="E223" s="33" t="n">
        <f aca="false">IF($B223="","",SUMIFS(Investments!$H$6:$H$1005,Investments!$C$6:$C$1005,$B223))</f>
        <v>0</v>
      </c>
      <c r="F223" s="33" t="n">
        <f aca="false">IF($B223="","",SUMIFS(Investments!$P$6:$P$1005,Investments!$C$6:$C$1005,$B223))</f>
        <v>0</v>
      </c>
      <c r="G223" s="33" t="n">
        <f aca="false">IF($B223="","",SUMIFS(Investments!$J$6:$J$1005,Investments!$C$6:$C$1005,$B223)+SUMIFS(Investments!$K$6:$K$1005,Investments!$C$6:$C$1005,$B223)+SUMIFS(Investments!$L$6:$L$1005,Investments!$C$6:$C$1005,$B223))</f>
        <v>0</v>
      </c>
      <c r="H223" s="33" t="n">
        <f aca="false">IF($B223="","",SUMIFS(Investments!$M$6:$M$1005,Investments!$C$6:$C$1005,$B223))</f>
        <v>0</v>
      </c>
      <c r="I223" s="33" t="n">
        <f aca="false">IF($B223="","",($H223+$G223)-$F223)</f>
        <v>0</v>
      </c>
      <c r="J223" s="34" t="str">
        <f aca="false">IF(OR($B223="",$F223=0),"",$I223/$F223)</f>
        <v/>
      </c>
      <c r="K223" s="34" t="str">
        <f aca="false">IF(OR($B223="",$H223=0),"",SUMPRODUCT((Investments!$C$6:$C$1005=$B223)*Investments!$M$6:$M$1005*Investments!$T$6:$T$1005)/$H223)</f>
        <v/>
      </c>
      <c r="L223" s="34" t="str">
        <f aca="false">IF(OR($B223="",$C$12=0),"",$H223/$C$12)</f>
        <v/>
      </c>
    </row>
    <row r="224" customFormat="false" ht="15" hidden="false" customHeight="false" outlineLevel="0" collapsed="false">
      <c r="B224" s="14" t="str">
        <f aca="false">IF(Lists!$B3="","",Lists!$B3)</f>
        <v>Debt</v>
      </c>
      <c r="C224" s="35" t="n">
        <f aca="false">IF($B224="","",COUNTIFS(Investments!$C$6:$C$1005,$B224))</f>
        <v>1</v>
      </c>
      <c r="D224" s="17" t="n">
        <f aca="false">IF($B224="","",SUMIFS(Investments!$G$6:$G$1005,Investments!$C$6:$C$1005,$B224))</f>
        <v>0</v>
      </c>
      <c r="E224" s="17" t="n">
        <f aca="false">IF($B224="","",SUMIFS(Investments!$H$6:$H$1005,Investments!$C$6:$C$1005,$B224))</f>
        <v>190000</v>
      </c>
      <c r="F224" s="17" t="n">
        <f aca="false">IF($B224="","",SUMIFS(Investments!$P$6:$P$1005,Investments!$C$6:$C$1005,$B224))</f>
        <v>190000</v>
      </c>
      <c r="G224" s="17" t="n">
        <f aca="false">IF($B224="","",SUMIFS(Investments!$J$6:$J$1005,Investments!$C$6:$C$1005,$B224)+SUMIFS(Investments!$K$6:$K$1005,Investments!$C$6:$C$1005,$B224)+SUMIFS(Investments!$L$6:$L$1005,Investments!$C$6:$C$1005,$B224))</f>
        <v>195243.79</v>
      </c>
      <c r="H224" s="17" t="n">
        <f aca="false">IF($B224="","",SUMIFS(Investments!$M$6:$M$1005,Investments!$C$6:$C$1005,$B224))</f>
        <v>0</v>
      </c>
      <c r="I224" s="17" t="n">
        <f aca="false">IF($B224="","",($H224+$G224)-$F224)</f>
        <v>5243.79000000001</v>
      </c>
      <c r="J224" s="18" t="n">
        <f aca="false">IF(OR($B224="",$F224=0),"",$I224/$F224)</f>
        <v>0.0275988947368422</v>
      </c>
      <c r="K224" s="18" t="str">
        <f aca="false">IF(OR($B224="",$H224=0),"",SUMPRODUCT((Investments!$C$6:$C$1005=$B224)*Investments!$M$6:$M$1005*Investments!$T$6:$T$1005)/$H224)</f>
        <v/>
      </c>
      <c r="L224" s="18" t="str">
        <f aca="false">IF(OR($B224="",$C$12=0),"",$H224/$C$12)</f>
        <v/>
      </c>
    </row>
    <row r="225" customFormat="false" ht="15" hidden="false" customHeight="false" outlineLevel="0" collapsed="false">
      <c r="B225" s="31" t="str">
        <f aca="false">IF(Lists!$B4="","",Lists!$B4)</f>
        <v>Hybrid</v>
      </c>
      <c r="C225" s="32" t="n">
        <f aca="false">IF($B225="","",COUNTIFS(Investments!$C$6:$C$1005,$B225))</f>
        <v>0</v>
      </c>
      <c r="D225" s="33" t="n">
        <f aca="false">IF($B225="","",SUMIFS(Investments!$G$6:$G$1005,Investments!$C$6:$C$1005,$B225))</f>
        <v>0</v>
      </c>
      <c r="E225" s="33" t="n">
        <f aca="false">IF($B225="","",SUMIFS(Investments!$H$6:$H$1005,Investments!$C$6:$C$1005,$B225))</f>
        <v>0</v>
      </c>
      <c r="F225" s="33" t="n">
        <f aca="false">IF($B225="","",SUMIFS(Investments!$P$6:$P$1005,Investments!$C$6:$C$1005,$B225))</f>
        <v>0</v>
      </c>
      <c r="G225" s="33" t="n">
        <f aca="false">IF($B225="","",SUMIFS(Investments!$J$6:$J$1005,Investments!$C$6:$C$1005,$B225)+SUMIFS(Investments!$K$6:$K$1005,Investments!$C$6:$C$1005,$B225)+SUMIFS(Investments!$L$6:$L$1005,Investments!$C$6:$C$1005,$B225))</f>
        <v>0</v>
      </c>
      <c r="H225" s="33" t="n">
        <f aca="false">IF($B225="","",SUMIFS(Investments!$M$6:$M$1005,Investments!$C$6:$C$1005,$B225))</f>
        <v>0</v>
      </c>
      <c r="I225" s="33" t="n">
        <f aca="false">IF($B225="","",($H225+$G225)-$F225)</f>
        <v>0</v>
      </c>
      <c r="J225" s="34" t="str">
        <f aca="false">IF(OR($B225="",$F225=0),"",$I225/$F225)</f>
        <v/>
      </c>
      <c r="K225" s="34" t="str">
        <f aca="false">IF(OR($B225="",$H225=0),"",SUMPRODUCT((Investments!$C$6:$C$1005=$B225)*Investments!$M$6:$M$1005*Investments!$T$6:$T$1005)/$H225)</f>
        <v/>
      </c>
      <c r="L225" s="34" t="str">
        <f aca="false">IF(OR($B225="",$C$12=0),"",$H225/$C$12)</f>
        <v/>
      </c>
    </row>
    <row r="226" customFormat="false" ht="15" hidden="false" customHeight="false" outlineLevel="0" collapsed="false">
      <c r="B226" s="14" t="str">
        <f aca="false">IF(Lists!$B5="","",Lists!$B5)</f>
        <v>Others</v>
      </c>
      <c r="C226" s="35" t="n">
        <f aca="false">IF($B226="","",COUNTIFS(Investments!$C$6:$C$1005,$B226))</f>
        <v>0</v>
      </c>
      <c r="D226" s="17" t="n">
        <f aca="false">IF($B226="","",SUMIFS(Investments!$G$6:$G$1005,Investments!$C$6:$C$1005,$B226))</f>
        <v>0</v>
      </c>
      <c r="E226" s="17" t="n">
        <f aca="false">IF($B226="","",SUMIFS(Investments!$H$6:$H$1005,Investments!$C$6:$C$1005,$B226))</f>
        <v>0</v>
      </c>
      <c r="F226" s="17" t="n">
        <f aca="false">IF($B226="","",SUMIFS(Investments!$P$6:$P$1005,Investments!$C$6:$C$1005,$B226))</f>
        <v>0</v>
      </c>
      <c r="G226" s="17" t="n">
        <f aca="false">IF($B226="","",SUMIFS(Investments!$J$6:$J$1005,Investments!$C$6:$C$1005,$B226)+SUMIFS(Investments!$K$6:$K$1005,Investments!$C$6:$C$1005,$B226)+SUMIFS(Investments!$L$6:$L$1005,Investments!$C$6:$C$1005,$B226))</f>
        <v>0</v>
      </c>
      <c r="H226" s="17" t="n">
        <f aca="false">IF($B226="","",SUMIFS(Investments!$M$6:$M$1005,Investments!$C$6:$C$1005,$B226))</f>
        <v>0</v>
      </c>
      <c r="I226" s="17" t="n">
        <f aca="false">IF($B226="","",($H226+$G226)-$F226)</f>
        <v>0</v>
      </c>
      <c r="J226" s="18" t="str">
        <f aca="false">IF(OR($B226="",$F226=0),"",$I226/$F226)</f>
        <v/>
      </c>
      <c r="K226" s="18" t="str">
        <f aca="false">IF(OR($B226="",$H226=0),"",SUMPRODUCT((Investments!$C$6:$C$1005=$B226)*Investments!$M$6:$M$1005*Investments!$T$6:$T$1005)/$H226)</f>
        <v/>
      </c>
      <c r="L226" s="18" t="str">
        <f aca="false">IF(OR($B226="",$C$12=0),"",$H226/$C$12)</f>
        <v/>
      </c>
    </row>
    <row r="227" customFormat="false" ht="15" hidden="false" customHeight="false" outlineLevel="0" collapsed="false">
      <c r="B227" s="36" t="s">
        <v>115</v>
      </c>
      <c r="C227" s="37" t="n">
        <f aca="false">SUM($C$223:$C$226)</f>
        <v>1</v>
      </c>
      <c r="D227" s="38" t="n">
        <f aca="false">SUM($D$223:$D$226)</f>
        <v>0</v>
      </c>
      <c r="E227" s="38" t="n">
        <f aca="false">SUM($E$223:$E$226)</f>
        <v>190000</v>
      </c>
      <c r="F227" s="38" t="n">
        <f aca="false">SUM($F$223:$F$226)</f>
        <v>190000</v>
      </c>
      <c r="G227" s="38" t="n">
        <f aca="false">SUM($G$223:$G$226)</f>
        <v>195243.79</v>
      </c>
      <c r="H227" s="38" t="n">
        <f aca="false">SUM($H$223:$H$226)</f>
        <v>0</v>
      </c>
      <c r="I227" s="38" t="n">
        <f aca="false">($H$227+$G$227)-$F$227</f>
        <v>5243.79000000001</v>
      </c>
      <c r="J227" s="39" t="n">
        <f aca="false">IF($F$227=0,"",$I$227/$F$227)</f>
        <v>0.0275988947368422</v>
      </c>
      <c r="K227" s="39" t="str">
        <f aca="false">IF($H$227=0,"",SUMPRODUCT(Investments!$M$6:$M$1005,Investments!$T$6:$T$1005)/$H$227)</f>
        <v/>
      </c>
      <c r="L227" s="39" t="str">
        <f aca="false">IF($C$12=0,"",$H$227/$C$12)</f>
        <v/>
      </c>
    </row>
    <row r="229" customFormat="false" ht="19.5" hidden="false" customHeight="true" outlineLevel="0" collapsed="false">
      <c r="B229" s="25" t="s">
        <v>116</v>
      </c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customFormat="false" ht="30" hidden="false" customHeight="true" outlineLevel="0" collapsed="false">
      <c r="B230" s="8" t="s">
        <v>75</v>
      </c>
      <c r="C230" s="8" t="s">
        <v>110</v>
      </c>
      <c r="D230" s="8" t="s">
        <v>79</v>
      </c>
      <c r="E230" s="8" t="s">
        <v>80</v>
      </c>
      <c r="F230" s="8" t="s">
        <v>12</v>
      </c>
      <c r="G230" s="8" t="s">
        <v>14</v>
      </c>
      <c r="H230" s="8" t="s">
        <v>85</v>
      </c>
      <c r="I230" s="8" t="s">
        <v>16</v>
      </c>
      <c r="J230" s="8" t="s">
        <v>18</v>
      </c>
      <c r="K230" s="8" t="s">
        <v>111</v>
      </c>
      <c r="L230" s="8" t="s">
        <v>112</v>
      </c>
    </row>
    <row r="231" customFormat="false" ht="15" hidden="false" customHeight="false" outlineLevel="0" collapsed="false">
      <c r="B231" s="31" t="str">
        <f aca="false">IF(Lists!$A2="","",Lists!$A2)</f>
        <v>Equity - Large Cap Fund</v>
      </c>
      <c r="C231" s="32" t="n">
        <f aca="false">IF($B231="","",COUNTIFS(Investments!$B$6:$B$1005,$B231))</f>
        <v>0</v>
      </c>
      <c r="D231" s="33" t="n">
        <f aca="false">IF($B231="","",SUMIFS(Investments!$G$6:$G$1005,Investments!$B$6:$B$1005,$B231))</f>
        <v>0</v>
      </c>
      <c r="E231" s="33" t="n">
        <f aca="false">IF($B231="","",SUMIFS(Investments!$H$6:$H$1005,Investments!$B$6:$B$1005,$B231))</f>
        <v>0</v>
      </c>
      <c r="F231" s="33" t="n">
        <f aca="false">IF($B231="","",SUMIFS(Investments!$P$6:$P$1005,Investments!$B$6:$B$1005,$B231))</f>
        <v>0</v>
      </c>
      <c r="G231" s="33" t="n">
        <f aca="false">IF($B231="","",SUMIFS(Investments!$J$6:$J$1005,Investments!$B$6:$B$1005,$B231)+SUMIFS(Investments!$K$6:$K$1005,Investments!$B$6:$B$1005,$B231)+SUMIFS(Investments!$L$6:$L$1005,Investments!$B$6:$B$1005,$B231))</f>
        <v>0</v>
      </c>
      <c r="H231" s="33" t="n">
        <f aca="false">IF($B231="","",SUMIFS(Investments!$M$6:$M$1005,Investments!$B$6:$B$1005,$B231))</f>
        <v>0</v>
      </c>
      <c r="I231" s="33" t="n">
        <f aca="false">IF($B231="","",($H231+$G231)-$F231)</f>
        <v>0</v>
      </c>
      <c r="J231" s="34" t="str">
        <f aca="false">IF(OR($B231="",$F231=0),"",$I231/$F231)</f>
        <v/>
      </c>
      <c r="K231" s="34" t="str">
        <f aca="false">IF(OR($B231="",$H231=0),"",SUMPRODUCT((Investments!$B$6:$B$1005=$B231)*Investments!$M$6:$M$1005*Investments!$T$6:$T$1005)/$H231)</f>
        <v/>
      </c>
      <c r="L231" s="34" t="str">
        <f aca="false">IF(OR($B231="",$C$12=0),"",$H231/$C$12)</f>
        <v/>
      </c>
    </row>
    <row r="232" customFormat="false" ht="15" hidden="false" customHeight="false" outlineLevel="0" collapsed="false">
      <c r="B232" s="14" t="str">
        <f aca="false">IF(Lists!$A3="","",Lists!$A3)</f>
        <v>Equity - Large &amp; Mid Cap Fund</v>
      </c>
      <c r="C232" s="35" t="n">
        <f aca="false">IF($B232="","",COUNTIFS(Investments!$B$6:$B$1005,$B232))</f>
        <v>0</v>
      </c>
      <c r="D232" s="17" t="n">
        <f aca="false">IF($B232="","",SUMIFS(Investments!$G$6:$G$1005,Investments!$B$6:$B$1005,$B232))</f>
        <v>0</v>
      </c>
      <c r="E232" s="17" t="n">
        <f aca="false">IF($B232="","",SUMIFS(Investments!$H$6:$H$1005,Investments!$B$6:$B$1005,$B232))</f>
        <v>0</v>
      </c>
      <c r="F232" s="17" t="n">
        <f aca="false">IF($B232="","",SUMIFS(Investments!$P$6:$P$1005,Investments!$B$6:$B$1005,$B232))</f>
        <v>0</v>
      </c>
      <c r="G232" s="17" t="n">
        <f aca="false">IF($B232="","",SUMIFS(Investments!$J$6:$J$1005,Investments!$B$6:$B$1005,$B232)+SUMIFS(Investments!$K$6:$K$1005,Investments!$B$6:$B$1005,$B232)+SUMIFS(Investments!$L$6:$L$1005,Investments!$B$6:$B$1005,$B232))</f>
        <v>0</v>
      </c>
      <c r="H232" s="17" t="n">
        <f aca="false">IF($B232="","",SUMIFS(Investments!$M$6:$M$1005,Investments!$B$6:$B$1005,$B232))</f>
        <v>0</v>
      </c>
      <c r="I232" s="17" t="n">
        <f aca="false">IF($B232="","",($H232+$G232)-$F232)</f>
        <v>0</v>
      </c>
      <c r="J232" s="18" t="str">
        <f aca="false">IF(OR($B232="",$F232=0),"",$I232/$F232)</f>
        <v/>
      </c>
      <c r="K232" s="18" t="str">
        <f aca="false">IF(OR($B232="",$H232=0),"",SUMPRODUCT((Investments!$B$6:$B$1005=$B232)*Investments!$M$6:$M$1005*Investments!$T$6:$T$1005)/$H232)</f>
        <v/>
      </c>
      <c r="L232" s="18" t="str">
        <f aca="false">IF(OR($B232="",$C$12=0),"",$H232/$C$12)</f>
        <v/>
      </c>
    </row>
    <row r="233" customFormat="false" ht="15" hidden="false" customHeight="false" outlineLevel="0" collapsed="false">
      <c r="B233" s="31" t="str">
        <f aca="false">IF(Lists!$A4="","",Lists!$A4)</f>
        <v>Equity - Mid Cap Fund</v>
      </c>
      <c r="C233" s="32" t="n">
        <f aca="false">IF($B233="","",COUNTIFS(Investments!$B$6:$B$1005,$B233))</f>
        <v>0</v>
      </c>
      <c r="D233" s="33" t="n">
        <f aca="false">IF($B233="","",SUMIFS(Investments!$G$6:$G$1005,Investments!$B$6:$B$1005,$B233))</f>
        <v>0</v>
      </c>
      <c r="E233" s="33" t="n">
        <f aca="false">IF($B233="","",SUMIFS(Investments!$H$6:$H$1005,Investments!$B$6:$B$1005,$B233))</f>
        <v>0</v>
      </c>
      <c r="F233" s="33" t="n">
        <f aca="false">IF($B233="","",SUMIFS(Investments!$P$6:$P$1005,Investments!$B$6:$B$1005,$B233))</f>
        <v>0</v>
      </c>
      <c r="G233" s="33" t="n">
        <f aca="false">IF($B233="","",SUMIFS(Investments!$J$6:$J$1005,Investments!$B$6:$B$1005,$B233)+SUMIFS(Investments!$K$6:$K$1005,Investments!$B$6:$B$1005,$B233)+SUMIFS(Investments!$L$6:$L$1005,Investments!$B$6:$B$1005,$B233))</f>
        <v>0</v>
      </c>
      <c r="H233" s="33" t="n">
        <f aca="false">IF($B233="","",SUMIFS(Investments!$M$6:$M$1005,Investments!$B$6:$B$1005,$B233))</f>
        <v>0</v>
      </c>
      <c r="I233" s="33" t="n">
        <f aca="false">IF($B233="","",($H233+$G233)-$F233)</f>
        <v>0</v>
      </c>
      <c r="J233" s="34" t="str">
        <f aca="false">IF(OR($B233="",$F233=0),"",$I233/$F233)</f>
        <v/>
      </c>
      <c r="K233" s="34" t="str">
        <f aca="false">IF(OR($B233="",$H233=0),"",SUMPRODUCT((Investments!$B$6:$B$1005=$B233)*Investments!$M$6:$M$1005*Investments!$T$6:$T$1005)/$H233)</f>
        <v/>
      </c>
      <c r="L233" s="34" t="str">
        <f aca="false">IF(OR($B233="",$C$12=0),"",$H233/$C$12)</f>
        <v/>
      </c>
    </row>
    <row r="234" customFormat="false" ht="15" hidden="false" customHeight="false" outlineLevel="0" collapsed="false">
      <c r="B234" s="14" t="str">
        <f aca="false">IF(Lists!$A5="","",Lists!$A5)</f>
        <v>Equity - Small Cap Fund</v>
      </c>
      <c r="C234" s="35" t="n">
        <f aca="false">IF($B234="","",COUNTIFS(Investments!$B$6:$B$1005,$B234))</f>
        <v>0</v>
      </c>
      <c r="D234" s="17" t="n">
        <f aca="false">IF($B234="","",SUMIFS(Investments!$G$6:$G$1005,Investments!$B$6:$B$1005,$B234))</f>
        <v>0</v>
      </c>
      <c r="E234" s="17" t="n">
        <f aca="false">IF($B234="","",SUMIFS(Investments!$H$6:$H$1005,Investments!$B$6:$B$1005,$B234))</f>
        <v>0</v>
      </c>
      <c r="F234" s="17" t="n">
        <f aca="false">IF($B234="","",SUMIFS(Investments!$P$6:$P$1005,Investments!$B$6:$B$1005,$B234))</f>
        <v>0</v>
      </c>
      <c r="G234" s="17" t="n">
        <f aca="false">IF($B234="","",SUMIFS(Investments!$J$6:$J$1005,Investments!$B$6:$B$1005,$B234)+SUMIFS(Investments!$K$6:$K$1005,Investments!$B$6:$B$1005,$B234)+SUMIFS(Investments!$L$6:$L$1005,Investments!$B$6:$B$1005,$B234))</f>
        <v>0</v>
      </c>
      <c r="H234" s="17" t="n">
        <f aca="false">IF($B234="","",SUMIFS(Investments!$M$6:$M$1005,Investments!$B$6:$B$1005,$B234))</f>
        <v>0</v>
      </c>
      <c r="I234" s="17" t="n">
        <f aca="false">IF($B234="","",($H234+$G234)-$F234)</f>
        <v>0</v>
      </c>
      <c r="J234" s="18" t="str">
        <f aca="false">IF(OR($B234="",$F234=0),"",$I234/$F234)</f>
        <v/>
      </c>
      <c r="K234" s="18" t="str">
        <f aca="false">IF(OR($B234="",$H234=0),"",SUMPRODUCT((Investments!$B$6:$B$1005=$B234)*Investments!$M$6:$M$1005*Investments!$T$6:$T$1005)/$H234)</f>
        <v/>
      </c>
      <c r="L234" s="18" t="str">
        <f aca="false">IF(OR($B234="",$C$12=0),"",$H234/$C$12)</f>
        <v/>
      </c>
    </row>
    <row r="235" customFormat="false" ht="15" hidden="false" customHeight="false" outlineLevel="0" collapsed="false">
      <c r="B235" s="31" t="str">
        <f aca="false">IF(Lists!$A6="","",Lists!$A6)</f>
        <v>Equity - Multi Cap Fund</v>
      </c>
      <c r="C235" s="32" t="n">
        <f aca="false">IF($B235="","",COUNTIFS(Investments!$B$6:$B$1005,$B235))</f>
        <v>0</v>
      </c>
      <c r="D235" s="33" t="n">
        <f aca="false">IF($B235="","",SUMIFS(Investments!$G$6:$G$1005,Investments!$B$6:$B$1005,$B235))</f>
        <v>0</v>
      </c>
      <c r="E235" s="33" t="n">
        <f aca="false">IF($B235="","",SUMIFS(Investments!$H$6:$H$1005,Investments!$B$6:$B$1005,$B235))</f>
        <v>0</v>
      </c>
      <c r="F235" s="33" t="n">
        <f aca="false">IF($B235="","",SUMIFS(Investments!$P$6:$P$1005,Investments!$B$6:$B$1005,$B235))</f>
        <v>0</v>
      </c>
      <c r="G235" s="33" t="n">
        <f aca="false">IF($B235="","",SUMIFS(Investments!$J$6:$J$1005,Investments!$B$6:$B$1005,$B235)+SUMIFS(Investments!$K$6:$K$1005,Investments!$B$6:$B$1005,$B235)+SUMIFS(Investments!$L$6:$L$1005,Investments!$B$6:$B$1005,$B235))</f>
        <v>0</v>
      </c>
      <c r="H235" s="33" t="n">
        <f aca="false">IF($B235="","",SUMIFS(Investments!$M$6:$M$1005,Investments!$B$6:$B$1005,$B235))</f>
        <v>0</v>
      </c>
      <c r="I235" s="33" t="n">
        <f aca="false">IF($B235="","",($H235+$G235)-$F235)</f>
        <v>0</v>
      </c>
      <c r="J235" s="34" t="str">
        <f aca="false">IF(OR($B235="",$F235=0),"",$I235/$F235)</f>
        <v/>
      </c>
      <c r="K235" s="34" t="str">
        <f aca="false">IF(OR($B235="",$H235=0),"",SUMPRODUCT((Investments!$B$6:$B$1005=$B235)*Investments!$M$6:$M$1005*Investments!$T$6:$T$1005)/$H235)</f>
        <v/>
      </c>
      <c r="L235" s="34" t="str">
        <f aca="false">IF(OR($B235="",$C$12=0),"",$H235/$C$12)</f>
        <v/>
      </c>
    </row>
    <row r="236" customFormat="false" ht="15" hidden="false" customHeight="false" outlineLevel="0" collapsed="false">
      <c r="B236" s="14" t="str">
        <f aca="false">IF(Lists!$A7="","",Lists!$A7)</f>
        <v>Equity - Flexi Cap Fund</v>
      </c>
      <c r="C236" s="35" t="n">
        <f aca="false">IF($B236="","",COUNTIFS(Investments!$B$6:$B$1005,$B236))</f>
        <v>0</v>
      </c>
      <c r="D236" s="17" t="n">
        <f aca="false">IF($B236="","",SUMIFS(Investments!$G$6:$G$1005,Investments!$B$6:$B$1005,$B236))</f>
        <v>0</v>
      </c>
      <c r="E236" s="17" t="n">
        <f aca="false">IF($B236="","",SUMIFS(Investments!$H$6:$H$1005,Investments!$B$6:$B$1005,$B236))</f>
        <v>0</v>
      </c>
      <c r="F236" s="17" t="n">
        <f aca="false">IF($B236="","",SUMIFS(Investments!$P$6:$P$1005,Investments!$B$6:$B$1005,$B236))</f>
        <v>0</v>
      </c>
      <c r="G236" s="17" t="n">
        <f aca="false">IF($B236="","",SUMIFS(Investments!$J$6:$J$1005,Investments!$B$6:$B$1005,$B236)+SUMIFS(Investments!$K$6:$K$1005,Investments!$B$6:$B$1005,$B236)+SUMIFS(Investments!$L$6:$L$1005,Investments!$B$6:$B$1005,$B236))</f>
        <v>0</v>
      </c>
      <c r="H236" s="17" t="n">
        <f aca="false">IF($B236="","",SUMIFS(Investments!$M$6:$M$1005,Investments!$B$6:$B$1005,$B236))</f>
        <v>0</v>
      </c>
      <c r="I236" s="17" t="n">
        <f aca="false">IF($B236="","",($H236+$G236)-$F236)</f>
        <v>0</v>
      </c>
      <c r="J236" s="18" t="str">
        <f aca="false">IF(OR($B236="",$F236=0),"",$I236/$F236)</f>
        <v/>
      </c>
      <c r="K236" s="18" t="str">
        <f aca="false">IF(OR($B236="",$H236=0),"",SUMPRODUCT((Investments!$B$6:$B$1005=$B236)*Investments!$M$6:$M$1005*Investments!$T$6:$T$1005)/$H236)</f>
        <v/>
      </c>
      <c r="L236" s="18" t="str">
        <f aca="false">IF(OR($B236="",$C$12=0),"",$H236/$C$12)</f>
        <v/>
      </c>
    </row>
    <row r="237" customFormat="false" ht="15" hidden="false" customHeight="false" outlineLevel="0" collapsed="false">
      <c r="B237" s="31" t="str">
        <f aca="false">IF(Lists!$A8="","",Lists!$A8)</f>
        <v>Equity - Focused Fund</v>
      </c>
      <c r="C237" s="32" t="n">
        <f aca="false">IF($B237="","",COUNTIFS(Investments!$B$6:$B$1005,$B237))</f>
        <v>0</v>
      </c>
      <c r="D237" s="33" t="n">
        <f aca="false">IF($B237="","",SUMIFS(Investments!$G$6:$G$1005,Investments!$B$6:$B$1005,$B237))</f>
        <v>0</v>
      </c>
      <c r="E237" s="33" t="n">
        <f aca="false">IF($B237="","",SUMIFS(Investments!$H$6:$H$1005,Investments!$B$6:$B$1005,$B237))</f>
        <v>0</v>
      </c>
      <c r="F237" s="33" t="n">
        <f aca="false">IF($B237="","",SUMIFS(Investments!$P$6:$P$1005,Investments!$B$6:$B$1005,$B237))</f>
        <v>0</v>
      </c>
      <c r="G237" s="33" t="n">
        <f aca="false">IF($B237="","",SUMIFS(Investments!$J$6:$J$1005,Investments!$B$6:$B$1005,$B237)+SUMIFS(Investments!$K$6:$K$1005,Investments!$B$6:$B$1005,$B237)+SUMIFS(Investments!$L$6:$L$1005,Investments!$B$6:$B$1005,$B237))</f>
        <v>0</v>
      </c>
      <c r="H237" s="33" t="n">
        <f aca="false">IF($B237="","",SUMIFS(Investments!$M$6:$M$1005,Investments!$B$6:$B$1005,$B237))</f>
        <v>0</v>
      </c>
      <c r="I237" s="33" t="n">
        <f aca="false">IF($B237="","",($H237+$G237)-$F237)</f>
        <v>0</v>
      </c>
      <c r="J237" s="34" t="str">
        <f aca="false">IF(OR($B237="",$F237=0),"",$I237/$F237)</f>
        <v/>
      </c>
      <c r="K237" s="34" t="str">
        <f aca="false">IF(OR($B237="",$H237=0),"",SUMPRODUCT((Investments!$B$6:$B$1005=$B237)*Investments!$M$6:$M$1005*Investments!$T$6:$T$1005)/$H237)</f>
        <v/>
      </c>
      <c r="L237" s="34" t="str">
        <f aca="false">IF(OR($B237="",$C$12=0),"",$H237/$C$12)</f>
        <v/>
      </c>
    </row>
    <row r="238" customFormat="false" ht="15" hidden="false" customHeight="false" outlineLevel="0" collapsed="false">
      <c r="B238" s="14" t="str">
        <f aca="false">IF(Lists!$A9="","",Lists!$A9)</f>
        <v>Equity - Value Fund</v>
      </c>
      <c r="C238" s="35" t="n">
        <f aca="false">IF($B238="","",COUNTIFS(Investments!$B$6:$B$1005,$B238))</f>
        <v>0</v>
      </c>
      <c r="D238" s="17" t="n">
        <f aca="false">IF($B238="","",SUMIFS(Investments!$G$6:$G$1005,Investments!$B$6:$B$1005,$B238))</f>
        <v>0</v>
      </c>
      <c r="E238" s="17" t="n">
        <f aca="false">IF($B238="","",SUMIFS(Investments!$H$6:$H$1005,Investments!$B$6:$B$1005,$B238))</f>
        <v>0</v>
      </c>
      <c r="F238" s="17" t="n">
        <f aca="false">IF($B238="","",SUMIFS(Investments!$P$6:$P$1005,Investments!$B$6:$B$1005,$B238))</f>
        <v>0</v>
      </c>
      <c r="G238" s="17" t="n">
        <f aca="false">IF($B238="","",SUMIFS(Investments!$J$6:$J$1005,Investments!$B$6:$B$1005,$B238)+SUMIFS(Investments!$K$6:$K$1005,Investments!$B$6:$B$1005,$B238)+SUMIFS(Investments!$L$6:$L$1005,Investments!$B$6:$B$1005,$B238))</f>
        <v>0</v>
      </c>
      <c r="H238" s="17" t="n">
        <f aca="false">IF($B238="","",SUMIFS(Investments!$M$6:$M$1005,Investments!$B$6:$B$1005,$B238))</f>
        <v>0</v>
      </c>
      <c r="I238" s="17" t="n">
        <f aca="false">IF($B238="","",($H238+$G238)-$F238)</f>
        <v>0</v>
      </c>
      <c r="J238" s="18" t="str">
        <f aca="false">IF(OR($B238="",$F238=0),"",$I238/$F238)</f>
        <v/>
      </c>
      <c r="K238" s="18" t="str">
        <f aca="false">IF(OR($B238="",$H238=0),"",SUMPRODUCT((Investments!$B$6:$B$1005=$B238)*Investments!$M$6:$M$1005*Investments!$T$6:$T$1005)/$H238)</f>
        <v/>
      </c>
      <c r="L238" s="18" t="str">
        <f aca="false">IF(OR($B238="",$C$12=0),"",$H238/$C$12)</f>
        <v/>
      </c>
    </row>
    <row r="239" customFormat="false" ht="15" hidden="false" customHeight="false" outlineLevel="0" collapsed="false">
      <c r="B239" s="31" t="str">
        <f aca="false">IF(Lists!$A10="","",Lists!$A10)</f>
        <v>Equity - Contra Fund</v>
      </c>
      <c r="C239" s="32" t="n">
        <f aca="false">IF($B239="","",COUNTIFS(Investments!$B$6:$B$1005,$B239))</f>
        <v>0</v>
      </c>
      <c r="D239" s="33" t="n">
        <f aca="false">IF($B239="","",SUMIFS(Investments!$G$6:$G$1005,Investments!$B$6:$B$1005,$B239))</f>
        <v>0</v>
      </c>
      <c r="E239" s="33" t="n">
        <f aca="false">IF($B239="","",SUMIFS(Investments!$H$6:$H$1005,Investments!$B$6:$B$1005,$B239))</f>
        <v>0</v>
      </c>
      <c r="F239" s="33" t="n">
        <f aca="false">IF($B239="","",SUMIFS(Investments!$P$6:$P$1005,Investments!$B$6:$B$1005,$B239))</f>
        <v>0</v>
      </c>
      <c r="G239" s="33" t="n">
        <f aca="false">IF($B239="","",SUMIFS(Investments!$J$6:$J$1005,Investments!$B$6:$B$1005,$B239)+SUMIFS(Investments!$K$6:$K$1005,Investments!$B$6:$B$1005,$B239)+SUMIFS(Investments!$L$6:$L$1005,Investments!$B$6:$B$1005,$B239))</f>
        <v>0</v>
      </c>
      <c r="H239" s="33" t="n">
        <f aca="false">IF($B239="","",SUMIFS(Investments!$M$6:$M$1005,Investments!$B$6:$B$1005,$B239))</f>
        <v>0</v>
      </c>
      <c r="I239" s="33" t="n">
        <f aca="false">IF($B239="","",($H239+$G239)-$F239)</f>
        <v>0</v>
      </c>
      <c r="J239" s="34" t="str">
        <f aca="false">IF(OR($B239="",$F239=0),"",$I239/$F239)</f>
        <v/>
      </c>
      <c r="K239" s="34" t="str">
        <f aca="false">IF(OR($B239="",$H239=0),"",SUMPRODUCT((Investments!$B$6:$B$1005=$B239)*Investments!$M$6:$M$1005*Investments!$T$6:$T$1005)/$H239)</f>
        <v/>
      </c>
      <c r="L239" s="34" t="str">
        <f aca="false">IF(OR($B239="",$C$12=0),"",$H239/$C$12)</f>
        <v/>
      </c>
    </row>
    <row r="240" customFormat="false" ht="15" hidden="false" customHeight="false" outlineLevel="0" collapsed="false">
      <c r="B240" s="14" t="str">
        <f aca="false">IF(Lists!$A11="","",Lists!$A11)</f>
        <v>Equity - Dividend Yield Fund</v>
      </c>
      <c r="C240" s="35" t="n">
        <f aca="false">IF($B240="","",COUNTIFS(Investments!$B$6:$B$1005,$B240))</f>
        <v>0</v>
      </c>
      <c r="D240" s="17" t="n">
        <f aca="false">IF($B240="","",SUMIFS(Investments!$G$6:$G$1005,Investments!$B$6:$B$1005,$B240))</f>
        <v>0</v>
      </c>
      <c r="E240" s="17" t="n">
        <f aca="false">IF($B240="","",SUMIFS(Investments!$H$6:$H$1005,Investments!$B$6:$B$1005,$B240))</f>
        <v>0</v>
      </c>
      <c r="F240" s="17" t="n">
        <f aca="false">IF($B240="","",SUMIFS(Investments!$P$6:$P$1005,Investments!$B$6:$B$1005,$B240))</f>
        <v>0</v>
      </c>
      <c r="G240" s="17" t="n">
        <f aca="false">IF($B240="","",SUMIFS(Investments!$J$6:$J$1005,Investments!$B$6:$B$1005,$B240)+SUMIFS(Investments!$K$6:$K$1005,Investments!$B$6:$B$1005,$B240)+SUMIFS(Investments!$L$6:$L$1005,Investments!$B$6:$B$1005,$B240))</f>
        <v>0</v>
      </c>
      <c r="H240" s="17" t="n">
        <f aca="false">IF($B240="","",SUMIFS(Investments!$M$6:$M$1005,Investments!$B$6:$B$1005,$B240))</f>
        <v>0</v>
      </c>
      <c r="I240" s="17" t="n">
        <f aca="false">IF($B240="","",($H240+$G240)-$F240)</f>
        <v>0</v>
      </c>
      <c r="J240" s="18" t="str">
        <f aca="false">IF(OR($B240="",$F240=0),"",$I240/$F240)</f>
        <v/>
      </c>
      <c r="K240" s="18" t="str">
        <f aca="false">IF(OR($B240="",$H240=0),"",SUMPRODUCT((Investments!$B$6:$B$1005=$B240)*Investments!$M$6:$M$1005*Investments!$T$6:$T$1005)/$H240)</f>
        <v/>
      </c>
      <c r="L240" s="18" t="str">
        <f aca="false">IF(OR($B240="",$C$12=0),"",$H240/$C$12)</f>
        <v/>
      </c>
    </row>
    <row r="241" customFormat="false" ht="15" hidden="false" customHeight="false" outlineLevel="0" collapsed="false">
      <c r="B241" s="31" t="str">
        <f aca="false">IF(Lists!$A12="","",Lists!$A12)</f>
        <v>Equity - ELSS</v>
      </c>
      <c r="C241" s="32" t="n">
        <f aca="false">IF($B241="","",COUNTIFS(Investments!$B$6:$B$1005,$B241))</f>
        <v>0</v>
      </c>
      <c r="D241" s="33" t="n">
        <f aca="false">IF($B241="","",SUMIFS(Investments!$G$6:$G$1005,Investments!$B$6:$B$1005,$B241))</f>
        <v>0</v>
      </c>
      <c r="E241" s="33" t="n">
        <f aca="false">IF($B241="","",SUMIFS(Investments!$H$6:$H$1005,Investments!$B$6:$B$1005,$B241))</f>
        <v>0</v>
      </c>
      <c r="F241" s="33" t="n">
        <f aca="false">IF($B241="","",SUMIFS(Investments!$P$6:$P$1005,Investments!$B$6:$B$1005,$B241))</f>
        <v>0</v>
      </c>
      <c r="G241" s="33" t="n">
        <f aca="false">IF($B241="","",SUMIFS(Investments!$J$6:$J$1005,Investments!$B$6:$B$1005,$B241)+SUMIFS(Investments!$K$6:$K$1005,Investments!$B$6:$B$1005,$B241)+SUMIFS(Investments!$L$6:$L$1005,Investments!$B$6:$B$1005,$B241))</f>
        <v>0</v>
      </c>
      <c r="H241" s="33" t="n">
        <f aca="false">IF($B241="","",SUMIFS(Investments!$M$6:$M$1005,Investments!$B$6:$B$1005,$B241))</f>
        <v>0</v>
      </c>
      <c r="I241" s="33" t="n">
        <f aca="false">IF($B241="","",($H241+$G241)-$F241)</f>
        <v>0</v>
      </c>
      <c r="J241" s="34" t="str">
        <f aca="false">IF(OR($B241="",$F241=0),"",$I241/$F241)</f>
        <v/>
      </c>
      <c r="K241" s="34" t="str">
        <f aca="false">IF(OR($B241="",$H241=0),"",SUMPRODUCT((Investments!$B$6:$B$1005=$B241)*Investments!$M$6:$M$1005*Investments!$T$6:$T$1005)/$H241)</f>
        <v/>
      </c>
      <c r="L241" s="34" t="str">
        <f aca="false">IF(OR($B241="",$C$12=0),"",$H241/$C$12)</f>
        <v/>
      </c>
    </row>
    <row r="242" customFormat="false" ht="15" hidden="false" customHeight="false" outlineLevel="0" collapsed="false">
      <c r="B242" s="14" t="str">
        <f aca="false">IF(Lists!$A13="","",Lists!$A13)</f>
        <v>Equity - Sectoral/ Thematic</v>
      </c>
      <c r="C242" s="35" t="n">
        <f aca="false">IF($B242="","",COUNTIFS(Investments!$B$6:$B$1005,$B242))</f>
        <v>0</v>
      </c>
      <c r="D242" s="17" t="n">
        <f aca="false">IF($B242="","",SUMIFS(Investments!$G$6:$G$1005,Investments!$B$6:$B$1005,$B242))</f>
        <v>0</v>
      </c>
      <c r="E242" s="17" t="n">
        <f aca="false">IF($B242="","",SUMIFS(Investments!$H$6:$H$1005,Investments!$B$6:$B$1005,$B242))</f>
        <v>0</v>
      </c>
      <c r="F242" s="17" t="n">
        <f aca="false">IF($B242="","",SUMIFS(Investments!$P$6:$P$1005,Investments!$B$6:$B$1005,$B242))</f>
        <v>0</v>
      </c>
      <c r="G242" s="17" t="n">
        <f aca="false">IF($B242="","",SUMIFS(Investments!$J$6:$J$1005,Investments!$B$6:$B$1005,$B242)+SUMIFS(Investments!$K$6:$K$1005,Investments!$B$6:$B$1005,$B242)+SUMIFS(Investments!$L$6:$L$1005,Investments!$B$6:$B$1005,$B242))</f>
        <v>0</v>
      </c>
      <c r="H242" s="17" t="n">
        <f aca="false">IF($B242="","",SUMIFS(Investments!$M$6:$M$1005,Investments!$B$6:$B$1005,$B242))</f>
        <v>0</v>
      </c>
      <c r="I242" s="17" t="n">
        <f aca="false">IF($B242="","",($H242+$G242)-$F242)</f>
        <v>0</v>
      </c>
      <c r="J242" s="18" t="str">
        <f aca="false">IF(OR($B242="",$F242=0),"",$I242/$F242)</f>
        <v/>
      </c>
      <c r="K242" s="18" t="str">
        <f aca="false">IF(OR($B242="",$H242=0),"",SUMPRODUCT((Investments!$B$6:$B$1005=$B242)*Investments!$M$6:$M$1005*Investments!$T$6:$T$1005)/$H242)</f>
        <v/>
      </c>
      <c r="L242" s="18" t="str">
        <f aca="false">IF(OR($B242="",$C$12=0),"",$H242/$C$12)</f>
        <v/>
      </c>
    </row>
    <row r="243" customFormat="false" ht="15" hidden="false" customHeight="false" outlineLevel="0" collapsed="false">
      <c r="B243" s="31" t="str">
        <f aca="false">IF(Lists!$A14="","",Lists!$A14)</f>
        <v>Debt - Overnight Fund</v>
      </c>
      <c r="C243" s="32" t="n">
        <f aca="false">IF($B243="","",COUNTIFS(Investments!$B$6:$B$1005,$B243))</f>
        <v>0</v>
      </c>
      <c r="D243" s="33" t="n">
        <f aca="false">IF($B243="","",SUMIFS(Investments!$G$6:$G$1005,Investments!$B$6:$B$1005,$B243))</f>
        <v>0</v>
      </c>
      <c r="E243" s="33" t="n">
        <f aca="false">IF($B243="","",SUMIFS(Investments!$H$6:$H$1005,Investments!$B$6:$B$1005,$B243))</f>
        <v>0</v>
      </c>
      <c r="F243" s="33" t="n">
        <f aca="false">IF($B243="","",SUMIFS(Investments!$P$6:$P$1005,Investments!$B$6:$B$1005,$B243))</f>
        <v>0</v>
      </c>
      <c r="G243" s="33" t="n">
        <f aca="false">IF($B243="","",SUMIFS(Investments!$J$6:$J$1005,Investments!$B$6:$B$1005,$B243)+SUMIFS(Investments!$K$6:$K$1005,Investments!$B$6:$B$1005,$B243)+SUMIFS(Investments!$L$6:$L$1005,Investments!$B$6:$B$1005,$B243))</f>
        <v>0</v>
      </c>
      <c r="H243" s="33" t="n">
        <f aca="false">IF($B243="","",SUMIFS(Investments!$M$6:$M$1005,Investments!$B$6:$B$1005,$B243))</f>
        <v>0</v>
      </c>
      <c r="I243" s="33" t="n">
        <f aca="false">IF($B243="","",($H243+$G243)-$F243)</f>
        <v>0</v>
      </c>
      <c r="J243" s="34" t="str">
        <f aca="false">IF(OR($B243="",$F243=0),"",$I243/$F243)</f>
        <v/>
      </c>
      <c r="K243" s="34" t="str">
        <f aca="false">IF(OR($B243="",$H243=0),"",SUMPRODUCT((Investments!$B$6:$B$1005=$B243)*Investments!$M$6:$M$1005*Investments!$T$6:$T$1005)/$H243)</f>
        <v/>
      </c>
      <c r="L243" s="34" t="str">
        <f aca="false">IF(OR($B243="",$C$12=0),"",$H243/$C$12)</f>
        <v/>
      </c>
    </row>
    <row r="244" customFormat="false" ht="15" hidden="false" customHeight="false" outlineLevel="0" collapsed="false">
      <c r="B244" s="14" t="str">
        <f aca="false">IF(Lists!$A15="","",Lists!$A15)</f>
        <v>Debt - Liquid Fund</v>
      </c>
      <c r="C244" s="35" t="n">
        <f aca="false">IF($B244="","",COUNTIFS(Investments!$B$6:$B$1005,$B244))</f>
        <v>0</v>
      </c>
      <c r="D244" s="17" t="n">
        <f aca="false">IF($B244="","",SUMIFS(Investments!$G$6:$G$1005,Investments!$B$6:$B$1005,$B244))</f>
        <v>0</v>
      </c>
      <c r="E244" s="17" t="n">
        <f aca="false">IF($B244="","",SUMIFS(Investments!$H$6:$H$1005,Investments!$B$6:$B$1005,$B244))</f>
        <v>0</v>
      </c>
      <c r="F244" s="17" t="n">
        <f aca="false">IF($B244="","",SUMIFS(Investments!$P$6:$P$1005,Investments!$B$6:$B$1005,$B244))</f>
        <v>0</v>
      </c>
      <c r="G244" s="17" t="n">
        <f aca="false">IF($B244="","",SUMIFS(Investments!$J$6:$J$1005,Investments!$B$6:$B$1005,$B244)+SUMIFS(Investments!$K$6:$K$1005,Investments!$B$6:$B$1005,$B244)+SUMIFS(Investments!$L$6:$L$1005,Investments!$B$6:$B$1005,$B244))</f>
        <v>0</v>
      </c>
      <c r="H244" s="17" t="n">
        <f aca="false">IF($B244="","",SUMIFS(Investments!$M$6:$M$1005,Investments!$B$6:$B$1005,$B244))</f>
        <v>0</v>
      </c>
      <c r="I244" s="17" t="n">
        <f aca="false">IF($B244="","",($H244+$G244)-$F244)</f>
        <v>0</v>
      </c>
      <c r="J244" s="18" t="str">
        <f aca="false">IF(OR($B244="",$F244=0),"",$I244/$F244)</f>
        <v/>
      </c>
      <c r="K244" s="18" t="str">
        <f aca="false">IF(OR($B244="",$H244=0),"",SUMPRODUCT((Investments!$B$6:$B$1005=$B244)*Investments!$M$6:$M$1005*Investments!$T$6:$T$1005)/$H244)</f>
        <v/>
      </c>
      <c r="L244" s="18" t="str">
        <f aca="false">IF(OR($B244="",$C$12=0),"",$H244/$C$12)</f>
        <v/>
      </c>
    </row>
    <row r="245" customFormat="false" ht="15" hidden="false" customHeight="false" outlineLevel="0" collapsed="false">
      <c r="B245" s="31" t="str">
        <f aca="false">IF(Lists!$A16="","",Lists!$A16)</f>
        <v>Debt - Ultra Short Duration Fund</v>
      </c>
      <c r="C245" s="32" t="n">
        <f aca="false">IF($B245="","",COUNTIFS(Investments!$B$6:$B$1005,$B245))</f>
        <v>0</v>
      </c>
      <c r="D245" s="33" t="n">
        <f aca="false">IF($B245="","",SUMIFS(Investments!$G$6:$G$1005,Investments!$B$6:$B$1005,$B245))</f>
        <v>0</v>
      </c>
      <c r="E245" s="33" t="n">
        <f aca="false">IF($B245="","",SUMIFS(Investments!$H$6:$H$1005,Investments!$B$6:$B$1005,$B245))</f>
        <v>0</v>
      </c>
      <c r="F245" s="33" t="n">
        <f aca="false">IF($B245="","",SUMIFS(Investments!$P$6:$P$1005,Investments!$B$6:$B$1005,$B245))</f>
        <v>0</v>
      </c>
      <c r="G245" s="33" t="n">
        <f aca="false">IF($B245="","",SUMIFS(Investments!$J$6:$J$1005,Investments!$B$6:$B$1005,$B245)+SUMIFS(Investments!$K$6:$K$1005,Investments!$B$6:$B$1005,$B245)+SUMIFS(Investments!$L$6:$L$1005,Investments!$B$6:$B$1005,$B245))</f>
        <v>0</v>
      </c>
      <c r="H245" s="33" t="n">
        <f aca="false">IF($B245="","",SUMIFS(Investments!$M$6:$M$1005,Investments!$B$6:$B$1005,$B245))</f>
        <v>0</v>
      </c>
      <c r="I245" s="33" t="n">
        <f aca="false">IF($B245="","",($H245+$G245)-$F245)</f>
        <v>0</v>
      </c>
      <c r="J245" s="34" t="str">
        <f aca="false">IF(OR($B245="",$F245=0),"",$I245/$F245)</f>
        <v/>
      </c>
      <c r="K245" s="34" t="str">
        <f aca="false">IF(OR($B245="",$H245=0),"",SUMPRODUCT((Investments!$B$6:$B$1005=$B245)*Investments!$M$6:$M$1005*Investments!$T$6:$T$1005)/$H245)</f>
        <v/>
      </c>
      <c r="L245" s="34" t="str">
        <f aca="false">IF(OR($B245="",$C$12=0),"",$H245/$C$12)</f>
        <v/>
      </c>
    </row>
    <row r="246" customFormat="false" ht="15" hidden="false" customHeight="false" outlineLevel="0" collapsed="false">
      <c r="B246" s="14" t="str">
        <f aca="false">IF(Lists!$A17="","",Lists!$A17)</f>
        <v>Debt - Low Duration Fund</v>
      </c>
      <c r="C246" s="35" t="n">
        <f aca="false">IF($B246="","",COUNTIFS(Investments!$B$6:$B$1005,$B246))</f>
        <v>1</v>
      </c>
      <c r="D246" s="17" t="n">
        <f aca="false">IF($B246="","",SUMIFS(Investments!$G$6:$G$1005,Investments!$B$6:$B$1005,$B246))</f>
        <v>0</v>
      </c>
      <c r="E246" s="17" t="n">
        <f aca="false">IF($B246="","",SUMIFS(Investments!$H$6:$H$1005,Investments!$B$6:$B$1005,$B246))</f>
        <v>190000</v>
      </c>
      <c r="F246" s="17" t="n">
        <f aca="false">IF($B246="","",SUMIFS(Investments!$P$6:$P$1005,Investments!$B$6:$B$1005,$B246))</f>
        <v>190000</v>
      </c>
      <c r="G246" s="17" t="n">
        <f aca="false">IF($B246="","",SUMIFS(Investments!$J$6:$J$1005,Investments!$B$6:$B$1005,$B246)+SUMIFS(Investments!$K$6:$K$1005,Investments!$B$6:$B$1005,$B246)+SUMIFS(Investments!$L$6:$L$1005,Investments!$B$6:$B$1005,$B246))</f>
        <v>195243.79</v>
      </c>
      <c r="H246" s="17" t="n">
        <f aca="false">IF($B246="","",SUMIFS(Investments!$M$6:$M$1005,Investments!$B$6:$B$1005,$B246))</f>
        <v>0</v>
      </c>
      <c r="I246" s="17" t="n">
        <f aca="false">IF($B246="","",($H246+$G246)-$F246)</f>
        <v>5243.79000000001</v>
      </c>
      <c r="J246" s="18" t="n">
        <f aca="false">IF(OR($B246="",$F246=0),"",$I246/$F246)</f>
        <v>0.0275988947368422</v>
      </c>
      <c r="K246" s="18" t="str">
        <f aca="false">IF(OR($B246="",$H246=0),"",SUMPRODUCT((Investments!$B$6:$B$1005=$B246)*Investments!$M$6:$M$1005*Investments!$T$6:$T$1005)/$H246)</f>
        <v/>
      </c>
      <c r="L246" s="18" t="str">
        <f aca="false">IF(OR($B246="",$C$12=0),"",$H246/$C$12)</f>
        <v/>
      </c>
    </row>
    <row r="247" customFormat="false" ht="15" hidden="false" customHeight="false" outlineLevel="0" collapsed="false">
      <c r="B247" s="31" t="str">
        <f aca="false">IF(Lists!$A18="","",Lists!$A18)</f>
        <v>Debt - Money Market Fund</v>
      </c>
      <c r="C247" s="32" t="n">
        <f aca="false">IF($B247="","",COUNTIFS(Investments!$B$6:$B$1005,$B247))</f>
        <v>0</v>
      </c>
      <c r="D247" s="33" t="n">
        <f aca="false">IF($B247="","",SUMIFS(Investments!$G$6:$G$1005,Investments!$B$6:$B$1005,$B247))</f>
        <v>0</v>
      </c>
      <c r="E247" s="33" t="n">
        <f aca="false">IF($B247="","",SUMIFS(Investments!$H$6:$H$1005,Investments!$B$6:$B$1005,$B247))</f>
        <v>0</v>
      </c>
      <c r="F247" s="33" t="n">
        <f aca="false">IF($B247="","",SUMIFS(Investments!$P$6:$P$1005,Investments!$B$6:$B$1005,$B247))</f>
        <v>0</v>
      </c>
      <c r="G247" s="33" t="n">
        <f aca="false">IF($B247="","",SUMIFS(Investments!$J$6:$J$1005,Investments!$B$6:$B$1005,$B247)+SUMIFS(Investments!$K$6:$K$1005,Investments!$B$6:$B$1005,$B247)+SUMIFS(Investments!$L$6:$L$1005,Investments!$B$6:$B$1005,$B247))</f>
        <v>0</v>
      </c>
      <c r="H247" s="33" t="n">
        <f aca="false">IF($B247="","",SUMIFS(Investments!$M$6:$M$1005,Investments!$B$6:$B$1005,$B247))</f>
        <v>0</v>
      </c>
      <c r="I247" s="33" t="n">
        <f aca="false">IF($B247="","",($H247+$G247)-$F247)</f>
        <v>0</v>
      </c>
      <c r="J247" s="34" t="str">
        <f aca="false">IF(OR($B247="",$F247=0),"",$I247/$F247)</f>
        <v/>
      </c>
      <c r="K247" s="34" t="str">
        <f aca="false">IF(OR($B247="",$H247=0),"",SUMPRODUCT((Investments!$B$6:$B$1005=$B247)*Investments!$M$6:$M$1005*Investments!$T$6:$T$1005)/$H247)</f>
        <v/>
      </c>
      <c r="L247" s="34" t="str">
        <f aca="false">IF(OR($B247="",$C$12=0),"",$H247/$C$12)</f>
        <v/>
      </c>
    </row>
    <row r="248" customFormat="false" ht="15" hidden="false" customHeight="false" outlineLevel="0" collapsed="false">
      <c r="B248" s="14" t="str">
        <f aca="false">IF(Lists!$A19="","",Lists!$A19)</f>
        <v>Debt - Short Duration Fund</v>
      </c>
      <c r="C248" s="35" t="n">
        <f aca="false">IF($B248="","",COUNTIFS(Investments!$B$6:$B$1005,$B248))</f>
        <v>0</v>
      </c>
      <c r="D248" s="17" t="n">
        <f aca="false">IF($B248="","",SUMIFS(Investments!$G$6:$G$1005,Investments!$B$6:$B$1005,$B248))</f>
        <v>0</v>
      </c>
      <c r="E248" s="17" t="n">
        <f aca="false">IF($B248="","",SUMIFS(Investments!$H$6:$H$1005,Investments!$B$6:$B$1005,$B248))</f>
        <v>0</v>
      </c>
      <c r="F248" s="17" t="n">
        <f aca="false">IF($B248="","",SUMIFS(Investments!$P$6:$P$1005,Investments!$B$6:$B$1005,$B248))</f>
        <v>0</v>
      </c>
      <c r="G248" s="17" t="n">
        <f aca="false">IF($B248="","",SUMIFS(Investments!$J$6:$J$1005,Investments!$B$6:$B$1005,$B248)+SUMIFS(Investments!$K$6:$K$1005,Investments!$B$6:$B$1005,$B248)+SUMIFS(Investments!$L$6:$L$1005,Investments!$B$6:$B$1005,$B248))</f>
        <v>0</v>
      </c>
      <c r="H248" s="17" t="n">
        <f aca="false">IF($B248="","",SUMIFS(Investments!$M$6:$M$1005,Investments!$B$6:$B$1005,$B248))</f>
        <v>0</v>
      </c>
      <c r="I248" s="17" t="n">
        <f aca="false">IF($B248="","",($H248+$G248)-$F248)</f>
        <v>0</v>
      </c>
      <c r="J248" s="18" t="str">
        <f aca="false">IF(OR($B248="",$F248=0),"",$I248/$F248)</f>
        <v/>
      </c>
      <c r="K248" s="18" t="str">
        <f aca="false">IF(OR($B248="",$H248=0),"",SUMPRODUCT((Investments!$B$6:$B$1005=$B248)*Investments!$M$6:$M$1005*Investments!$T$6:$T$1005)/$H248)</f>
        <v/>
      </c>
      <c r="L248" s="18" t="str">
        <f aca="false">IF(OR($B248="",$C$12=0),"",$H248/$C$12)</f>
        <v/>
      </c>
    </row>
    <row r="249" customFormat="false" ht="15" hidden="false" customHeight="false" outlineLevel="0" collapsed="false">
      <c r="B249" s="31" t="str">
        <f aca="false">IF(Lists!$A20="","",Lists!$A20)</f>
        <v>Debt - Corporate Bond Fund</v>
      </c>
      <c r="C249" s="32" t="n">
        <f aca="false">IF($B249="","",COUNTIFS(Investments!$B$6:$B$1005,$B249))</f>
        <v>0</v>
      </c>
      <c r="D249" s="33" t="n">
        <f aca="false">IF($B249="","",SUMIFS(Investments!$G$6:$G$1005,Investments!$B$6:$B$1005,$B249))</f>
        <v>0</v>
      </c>
      <c r="E249" s="33" t="n">
        <f aca="false">IF($B249="","",SUMIFS(Investments!$H$6:$H$1005,Investments!$B$6:$B$1005,$B249))</f>
        <v>0</v>
      </c>
      <c r="F249" s="33" t="n">
        <f aca="false">IF($B249="","",SUMIFS(Investments!$P$6:$P$1005,Investments!$B$6:$B$1005,$B249))</f>
        <v>0</v>
      </c>
      <c r="G249" s="33" t="n">
        <f aca="false">IF($B249="","",SUMIFS(Investments!$J$6:$J$1005,Investments!$B$6:$B$1005,$B249)+SUMIFS(Investments!$K$6:$K$1005,Investments!$B$6:$B$1005,$B249)+SUMIFS(Investments!$L$6:$L$1005,Investments!$B$6:$B$1005,$B249))</f>
        <v>0</v>
      </c>
      <c r="H249" s="33" t="n">
        <f aca="false">IF($B249="","",SUMIFS(Investments!$M$6:$M$1005,Investments!$B$6:$B$1005,$B249))</f>
        <v>0</v>
      </c>
      <c r="I249" s="33" t="n">
        <f aca="false">IF($B249="","",($H249+$G249)-$F249)</f>
        <v>0</v>
      </c>
      <c r="J249" s="34" t="str">
        <f aca="false">IF(OR($B249="",$F249=0),"",$I249/$F249)</f>
        <v/>
      </c>
      <c r="K249" s="34" t="str">
        <f aca="false">IF(OR($B249="",$H249=0),"",SUMPRODUCT((Investments!$B$6:$B$1005=$B249)*Investments!$M$6:$M$1005*Investments!$T$6:$T$1005)/$H249)</f>
        <v/>
      </c>
      <c r="L249" s="34" t="str">
        <f aca="false">IF(OR($B249="",$C$12=0),"",$H249/$C$12)</f>
        <v/>
      </c>
    </row>
    <row r="250" customFormat="false" ht="15" hidden="false" customHeight="false" outlineLevel="0" collapsed="false">
      <c r="B250" s="14" t="str">
        <f aca="false">IF(Lists!$A21="","",Lists!$A21)</f>
        <v>Debt - Banking and PSU Fund</v>
      </c>
      <c r="C250" s="35" t="n">
        <f aca="false">IF($B250="","",COUNTIFS(Investments!$B$6:$B$1005,$B250))</f>
        <v>0</v>
      </c>
      <c r="D250" s="17" t="n">
        <f aca="false">IF($B250="","",SUMIFS(Investments!$G$6:$G$1005,Investments!$B$6:$B$1005,$B250))</f>
        <v>0</v>
      </c>
      <c r="E250" s="17" t="n">
        <f aca="false">IF($B250="","",SUMIFS(Investments!$H$6:$H$1005,Investments!$B$6:$B$1005,$B250))</f>
        <v>0</v>
      </c>
      <c r="F250" s="17" t="n">
        <f aca="false">IF($B250="","",SUMIFS(Investments!$P$6:$P$1005,Investments!$B$6:$B$1005,$B250))</f>
        <v>0</v>
      </c>
      <c r="G250" s="17" t="n">
        <f aca="false">IF($B250="","",SUMIFS(Investments!$J$6:$J$1005,Investments!$B$6:$B$1005,$B250)+SUMIFS(Investments!$K$6:$K$1005,Investments!$B$6:$B$1005,$B250)+SUMIFS(Investments!$L$6:$L$1005,Investments!$B$6:$B$1005,$B250))</f>
        <v>0</v>
      </c>
      <c r="H250" s="17" t="n">
        <f aca="false">IF($B250="","",SUMIFS(Investments!$M$6:$M$1005,Investments!$B$6:$B$1005,$B250))</f>
        <v>0</v>
      </c>
      <c r="I250" s="17" t="n">
        <f aca="false">IF($B250="","",($H250+$G250)-$F250)</f>
        <v>0</v>
      </c>
      <c r="J250" s="18" t="str">
        <f aca="false">IF(OR($B250="",$F250=0),"",$I250/$F250)</f>
        <v/>
      </c>
      <c r="K250" s="18" t="str">
        <f aca="false">IF(OR($B250="",$H250=0),"",SUMPRODUCT((Investments!$B$6:$B$1005=$B250)*Investments!$M$6:$M$1005*Investments!$T$6:$T$1005)/$H250)</f>
        <v/>
      </c>
      <c r="L250" s="18" t="str">
        <f aca="false">IF(OR($B250="",$C$12=0),"",$H250/$C$12)</f>
        <v/>
      </c>
    </row>
    <row r="251" customFormat="false" ht="15" hidden="false" customHeight="false" outlineLevel="0" collapsed="false">
      <c r="B251" s="31" t="str">
        <f aca="false">IF(Lists!$A22="","",Lists!$A22)</f>
        <v>Debt - Credit Risk Fund</v>
      </c>
      <c r="C251" s="32" t="n">
        <f aca="false">IF($B251="","",COUNTIFS(Investments!$B$6:$B$1005,$B251))</f>
        <v>0</v>
      </c>
      <c r="D251" s="33" t="n">
        <f aca="false">IF($B251="","",SUMIFS(Investments!$G$6:$G$1005,Investments!$B$6:$B$1005,$B251))</f>
        <v>0</v>
      </c>
      <c r="E251" s="33" t="n">
        <f aca="false">IF($B251="","",SUMIFS(Investments!$H$6:$H$1005,Investments!$B$6:$B$1005,$B251))</f>
        <v>0</v>
      </c>
      <c r="F251" s="33" t="n">
        <f aca="false">IF($B251="","",SUMIFS(Investments!$P$6:$P$1005,Investments!$B$6:$B$1005,$B251))</f>
        <v>0</v>
      </c>
      <c r="G251" s="33" t="n">
        <f aca="false">IF($B251="","",SUMIFS(Investments!$J$6:$J$1005,Investments!$B$6:$B$1005,$B251)+SUMIFS(Investments!$K$6:$K$1005,Investments!$B$6:$B$1005,$B251)+SUMIFS(Investments!$L$6:$L$1005,Investments!$B$6:$B$1005,$B251))</f>
        <v>0</v>
      </c>
      <c r="H251" s="33" t="n">
        <f aca="false">IF($B251="","",SUMIFS(Investments!$M$6:$M$1005,Investments!$B$6:$B$1005,$B251))</f>
        <v>0</v>
      </c>
      <c r="I251" s="33" t="n">
        <f aca="false">IF($B251="","",($H251+$G251)-$F251)</f>
        <v>0</v>
      </c>
      <c r="J251" s="34" t="str">
        <f aca="false">IF(OR($B251="",$F251=0),"",$I251/$F251)</f>
        <v/>
      </c>
      <c r="K251" s="34" t="str">
        <f aca="false">IF(OR($B251="",$H251=0),"",SUMPRODUCT((Investments!$B$6:$B$1005=$B251)*Investments!$M$6:$M$1005*Investments!$T$6:$T$1005)/$H251)</f>
        <v/>
      </c>
      <c r="L251" s="34" t="str">
        <f aca="false">IF(OR($B251="",$C$12=0),"",$H251/$C$12)</f>
        <v/>
      </c>
    </row>
    <row r="252" customFormat="false" ht="15" hidden="false" customHeight="false" outlineLevel="0" collapsed="false">
      <c r="B252" s="14" t="str">
        <f aca="false">IF(Lists!$A23="","",Lists!$A23)</f>
        <v>Debt - Dynamic Bond</v>
      </c>
      <c r="C252" s="35" t="n">
        <f aca="false">IF($B252="","",COUNTIFS(Investments!$B$6:$B$1005,$B252))</f>
        <v>0</v>
      </c>
      <c r="D252" s="17" t="n">
        <f aca="false">IF($B252="","",SUMIFS(Investments!$G$6:$G$1005,Investments!$B$6:$B$1005,$B252))</f>
        <v>0</v>
      </c>
      <c r="E252" s="17" t="n">
        <f aca="false">IF($B252="","",SUMIFS(Investments!$H$6:$H$1005,Investments!$B$6:$B$1005,$B252))</f>
        <v>0</v>
      </c>
      <c r="F252" s="17" t="n">
        <f aca="false">IF($B252="","",SUMIFS(Investments!$P$6:$P$1005,Investments!$B$6:$B$1005,$B252))</f>
        <v>0</v>
      </c>
      <c r="G252" s="17" t="n">
        <f aca="false">IF($B252="","",SUMIFS(Investments!$J$6:$J$1005,Investments!$B$6:$B$1005,$B252)+SUMIFS(Investments!$K$6:$K$1005,Investments!$B$6:$B$1005,$B252)+SUMIFS(Investments!$L$6:$L$1005,Investments!$B$6:$B$1005,$B252))</f>
        <v>0</v>
      </c>
      <c r="H252" s="17" t="n">
        <f aca="false">IF($B252="","",SUMIFS(Investments!$M$6:$M$1005,Investments!$B$6:$B$1005,$B252))</f>
        <v>0</v>
      </c>
      <c r="I252" s="17" t="n">
        <f aca="false">IF($B252="","",($H252+$G252)-$F252)</f>
        <v>0</v>
      </c>
      <c r="J252" s="18" t="str">
        <f aca="false">IF(OR($B252="",$F252=0),"",$I252/$F252)</f>
        <v/>
      </c>
      <c r="K252" s="18" t="str">
        <f aca="false">IF(OR($B252="",$H252=0),"",SUMPRODUCT((Investments!$B$6:$B$1005=$B252)*Investments!$M$6:$M$1005*Investments!$T$6:$T$1005)/$H252)</f>
        <v/>
      </c>
      <c r="L252" s="18" t="str">
        <f aca="false">IF(OR($B252="",$C$12=0),"",$H252/$C$12)</f>
        <v/>
      </c>
    </row>
    <row r="253" customFormat="false" ht="15" hidden="false" customHeight="false" outlineLevel="0" collapsed="false">
      <c r="B253" s="31" t="str">
        <f aca="false">IF(Lists!$A24="","",Lists!$A24)</f>
        <v>Debt - Gilt Fund</v>
      </c>
      <c r="C253" s="32" t="n">
        <f aca="false">IF($B253="","",COUNTIFS(Investments!$B$6:$B$1005,$B253))</f>
        <v>0</v>
      </c>
      <c r="D253" s="33" t="n">
        <f aca="false">IF($B253="","",SUMIFS(Investments!$G$6:$G$1005,Investments!$B$6:$B$1005,$B253))</f>
        <v>0</v>
      </c>
      <c r="E253" s="33" t="n">
        <f aca="false">IF($B253="","",SUMIFS(Investments!$H$6:$H$1005,Investments!$B$6:$B$1005,$B253))</f>
        <v>0</v>
      </c>
      <c r="F253" s="33" t="n">
        <f aca="false">IF($B253="","",SUMIFS(Investments!$P$6:$P$1005,Investments!$B$6:$B$1005,$B253))</f>
        <v>0</v>
      </c>
      <c r="G253" s="33" t="n">
        <f aca="false">IF($B253="","",SUMIFS(Investments!$J$6:$J$1005,Investments!$B$6:$B$1005,$B253)+SUMIFS(Investments!$K$6:$K$1005,Investments!$B$6:$B$1005,$B253)+SUMIFS(Investments!$L$6:$L$1005,Investments!$B$6:$B$1005,$B253))</f>
        <v>0</v>
      </c>
      <c r="H253" s="33" t="n">
        <f aca="false">IF($B253="","",SUMIFS(Investments!$M$6:$M$1005,Investments!$B$6:$B$1005,$B253))</f>
        <v>0</v>
      </c>
      <c r="I253" s="33" t="n">
        <f aca="false">IF($B253="","",($H253+$G253)-$F253)</f>
        <v>0</v>
      </c>
      <c r="J253" s="34" t="str">
        <f aca="false">IF(OR($B253="",$F253=0),"",$I253/$F253)</f>
        <v/>
      </c>
      <c r="K253" s="34" t="str">
        <f aca="false">IF(OR($B253="",$H253=0),"",SUMPRODUCT((Investments!$B$6:$B$1005=$B253)*Investments!$M$6:$M$1005*Investments!$T$6:$T$1005)/$H253)</f>
        <v/>
      </c>
      <c r="L253" s="34" t="str">
        <f aca="false">IF(OR($B253="",$C$12=0),"",$H253/$C$12)</f>
        <v/>
      </c>
    </row>
    <row r="254" customFormat="false" ht="15" hidden="false" customHeight="false" outlineLevel="0" collapsed="false">
      <c r="B254" s="14" t="str">
        <f aca="false">IF(Lists!$A25="","",Lists!$A25)</f>
        <v>Hybrid - Aggressive Hybrid Fund</v>
      </c>
      <c r="C254" s="35" t="n">
        <f aca="false">IF($B254="","",COUNTIFS(Investments!$B$6:$B$1005,$B254))</f>
        <v>0</v>
      </c>
      <c r="D254" s="17" t="n">
        <f aca="false">IF($B254="","",SUMIFS(Investments!$G$6:$G$1005,Investments!$B$6:$B$1005,$B254))</f>
        <v>0</v>
      </c>
      <c r="E254" s="17" t="n">
        <f aca="false">IF($B254="","",SUMIFS(Investments!$H$6:$H$1005,Investments!$B$6:$B$1005,$B254))</f>
        <v>0</v>
      </c>
      <c r="F254" s="17" t="n">
        <f aca="false">IF($B254="","",SUMIFS(Investments!$P$6:$P$1005,Investments!$B$6:$B$1005,$B254))</f>
        <v>0</v>
      </c>
      <c r="G254" s="17" t="n">
        <f aca="false">IF($B254="","",SUMIFS(Investments!$J$6:$J$1005,Investments!$B$6:$B$1005,$B254)+SUMIFS(Investments!$K$6:$K$1005,Investments!$B$6:$B$1005,$B254)+SUMIFS(Investments!$L$6:$L$1005,Investments!$B$6:$B$1005,$B254))</f>
        <v>0</v>
      </c>
      <c r="H254" s="17" t="n">
        <f aca="false">IF($B254="","",SUMIFS(Investments!$M$6:$M$1005,Investments!$B$6:$B$1005,$B254))</f>
        <v>0</v>
      </c>
      <c r="I254" s="17" t="n">
        <f aca="false">IF($B254="","",($H254+$G254)-$F254)</f>
        <v>0</v>
      </c>
      <c r="J254" s="18" t="str">
        <f aca="false">IF(OR($B254="",$F254=0),"",$I254/$F254)</f>
        <v/>
      </c>
      <c r="K254" s="18" t="str">
        <f aca="false">IF(OR($B254="",$H254=0),"",SUMPRODUCT((Investments!$B$6:$B$1005=$B254)*Investments!$M$6:$M$1005*Investments!$T$6:$T$1005)/$H254)</f>
        <v/>
      </c>
      <c r="L254" s="18" t="str">
        <f aca="false">IF(OR($B254="",$C$12=0),"",$H254/$C$12)</f>
        <v/>
      </c>
    </row>
    <row r="255" customFormat="false" ht="15" hidden="false" customHeight="false" outlineLevel="0" collapsed="false">
      <c r="B255" s="31" t="str">
        <f aca="false">IF(Lists!$A26="","",Lists!$A26)</f>
        <v>Hybrid - Dynamic Asset Allocation or Balanced Advantage</v>
      </c>
      <c r="C255" s="32" t="n">
        <f aca="false">IF($B255="","",COUNTIFS(Investments!$B$6:$B$1005,$B255))</f>
        <v>0</v>
      </c>
      <c r="D255" s="33" t="n">
        <f aca="false">IF($B255="","",SUMIFS(Investments!$G$6:$G$1005,Investments!$B$6:$B$1005,$B255))</f>
        <v>0</v>
      </c>
      <c r="E255" s="33" t="n">
        <f aca="false">IF($B255="","",SUMIFS(Investments!$H$6:$H$1005,Investments!$B$6:$B$1005,$B255))</f>
        <v>0</v>
      </c>
      <c r="F255" s="33" t="n">
        <f aca="false">IF($B255="","",SUMIFS(Investments!$P$6:$P$1005,Investments!$B$6:$B$1005,$B255))</f>
        <v>0</v>
      </c>
      <c r="G255" s="33" t="n">
        <f aca="false">IF($B255="","",SUMIFS(Investments!$J$6:$J$1005,Investments!$B$6:$B$1005,$B255)+SUMIFS(Investments!$K$6:$K$1005,Investments!$B$6:$B$1005,$B255)+SUMIFS(Investments!$L$6:$L$1005,Investments!$B$6:$B$1005,$B255))</f>
        <v>0</v>
      </c>
      <c r="H255" s="33" t="n">
        <f aca="false">IF($B255="","",SUMIFS(Investments!$M$6:$M$1005,Investments!$B$6:$B$1005,$B255))</f>
        <v>0</v>
      </c>
      <c r="I255" s="33" t="n">
        <f aca="false">IF($B255="","",($H255+$G255)-$F255)</f>
        <v>0</v>
      </c>
      <c r="J255" s="34" t="str">
        <f aca="false">IF(OR($B255="",$F255=0),"",$I255/$F255)</f>
        <v/>
      </c>
      <c r="K255" s="34" t="str">
        <f aca="false">IF(OR($B255="",$H255=0),"",SUMPRODUCT((Investments!$B$6:$B$1005=$B255)*Investments!$M$6:$M$1005*Investments!$T$6:$T$1005)/$H255)</f>
        <v/>
      </c>
      <c r="L255" s="34" t="str">
        <f aca="false">IF(OR($B255="",$C$12=0),"",$H255/$C$12)</f>
        <v/>
      </c>
    </row>
    <row r="256" customFormat="false" ht="15" hidden="false" customHeight="false" outlineLevel="0" collapsed="false">
      <c r="B256" s="14" t="str">
        <f aca="false">IF(Lists!$A27="","",Lists!$A27)</f>
        <v>Hybrid - Multi Asset Allocation</v>
      </c>
      <c r="C256" s="35" t="n">
        <f aca="false">IF($B256="","",COUNTIFS(Investments!$B$6:$B$1005,$B256))</f>
        <v>0</v>
      </c>
      <c r="D256" s="17" t="n">
        <f aca="false">IF($B256="","",SUMIFS(Investments!$G$6:$G$1005,Investments!$B$6:$B$1005,$B256))</f>
        <v>0</v>
      </c>
      <c r="E256" s="17" t="n">
        <f aca="false">IF($B256="","",SUMIFS(Investments!$H$6:$H$1005,Investments!$B$6:$B$1005,$B256))</f>
        <v>0</v>
      </c>
      <c r="F256" s="17" t="n">
        <f aca="false">IF($B256="","",SUMIFS(Investments!$P$6:$P$1005,Investments!$B$6:$B$1005,$B256))</f>
        <v>0</v>
      </c>
      <c r="G256" s="17" t="n">
        <f aca="false">IF($B256="","",SUMIFS(Investments!$J$6:$J$1005,Investments!$B$6:$B$1005,$B256)+SUMIFS(Investments!$K$6:$K$1005,Investments!$B$6:$B$1005,$B256)+SUMIFS(Investments!$L$6:$L$1005,Investments!$B$6:$B$1005,$B256))</f>
        <v>0</v>
      </c>
      <c r="H256" s="17" t="n">
        <f aca="false">IF($B256="","",SUMIFS(Investments!$M$6:$M$1005,Investments!$B$6:$B$1005,$B256))</f>
        <v>0</v>
      </c>
      <c r="I256" s="17" t="n">
        <f aca="false">IF($B256="","",($H256+$G256)-$F256)</f>
        <v>0</v>
      </c>
      <c r="J256" s="18" t="str">
        <f aca="false">IF(OR($B256="",$F256=0),"",$I256/$F256)</f>
        <v/>
      </c>
      <c r="K256" s="18" t="str">
        <f aca="false">IF(OR($B256="",$H256=0),"",SUMPRODUCT((Investments!$B$6:$B$1005=$B256)*Investments!$M$6:$M$1005*Investments!$T$6:$T$1005)/$H256)</f>
        <v/>
      </c>
      <c r="L256" s="18" t="str">
        <f aca="false">IF(OR($B256="",$C$12=0),"",$H256/$C$12)</f>
        <v/>
      </c>
    </row>
    <row r="257" customFormat="false" ht="15" hidden="false" customHeight="false" outlineLevel="0" collapsed="false">
      <c r="B257" s="31" t="str">
        <f aca="false">IF(Lists!$A28="","",Lists!$A28)</f>
        <v>Hybrid - Conservative Hybrid Fund</v>
      </c>
      <c r="C257" s="32" t="n">
        <f aca="false">IF($B257="","",COUNTIFS(Investments!$B$6:$B$1005,$B257))</f>
        <v>0</v>
      </c>
      <c r="D257" s="33" t="n">
        <f aca="false">IF($B257="","",SUMIFS(Investments!$G$6:$G$1005,Investments!$B$6:$B$1005,$B257))</f>
        <v>0</v>
      </c>
      <c r="E257" s="33" t="n">
        <f aca="false">IF($B257="","",SUMIFS(Investments!$H$6:$H$1005,Investments!$B$6:$B$1005,$B257))</f>
        <v>0</v>
      </c>
      <c r="F257" s="33" t="n">
        <f aca="false">IF($B257="","",SUMIFS(Investments!$P$6:$P$1005,Investments!$B$6:$B$1005,$B257))</f>
        <v>0</v>
      </c>
      <c r="G257" s="33" t="n">
        <f aca="false">IF($B257="","",SUMIFS(Investments!$J$6:$J$1005,Investments!$B$6:$B$1005,$B257)+SUMIFS(Investments!$K$6:$K$1005,Investments!$B$6:$B$1005,$B257)+SUMIFS(Investments!$L$6:$L$1005,Investments!$B$6:$B$1005,$B257))</f>
        <v>0</v>
      </c>
      <c r="H257" s="33" t="n">
        <f aca="false">IF($B257="","",SUMIFS(Investments!$M$6:$M$1005,Investments!$B$6:$B$1005,$B257))</f>
        <v>0</v>
      </c>
      <c r="I257" s="33" t="n">
        <f aca="false">IF($B257="","",($H257+$G257)-$F257)</f>
        <v>0</v>
      </c>
      <c r="J257" s="34" t="str">
        <f aca="false">IF(OR($B257="",$F257=0),"",$I257/$F257)</f>
        <v/>
      </c>
      <c r="K257" s="34" t="str">
        <f aca="false">IF(OR($B257="",$H257=0),"",SUMPRODUCT((Investments!$B$6:$B$1005=$B257)*Investments!$M$6:$M$1005*Investments!$T$6:$T$1005)/$H257)</f>
        <v/>
      </c>
      <c r="L257" s="34" t="str">
        <f aca="false">IF(OR($B257="",$C$12=0),"",$H257/$C$12)</f>
        <v/>
      </c>
    </row>
    <row r="258" customFormat="false" ht="15" hidden="false" customHeight="false" outlineLevel="0" collapsed="false">
      <c r="B258" s="14" t="str">
        <f aca="false">IF(Lists!$A29="","",Lists!$A29)</f>
        <v>Hybrid - Equity Savings</v>
      </c>
      <c r="C258" s="35" t="n">
        <f aca="false">IF($B258="","",COUNTIFS(Investments!$B$6:$B$1005,$B258))</f>
        <v>0</v>
      </c>
      <c r="D258" s="17" t="n">
        <f aca="false">IF($B258="","",SUMIFS(Investments!$G$6:$G$1005,Investments!$B$6:$B$1005,$B258))</f>
        <v>0</v>
      </c>
      <c r="E258" s="17" t="n">
        <f aca="false">IF($B258="","",SUMIFS(Investments!$H$6:$H$1005,Investments!$B$6:$B$1005,$B258))</f>
        <v>0</v>
      </c>
      <c r="F258" s="17" t="n">
        <f aca="false">IF($B258="","",SUMIFS(Investments!$P$6:$P$1005,Investments!$B$6:$B$1005,$B258))</f>
        <v>0</v>
      </c>
      <c r="G258" s="17" t="n">
        <f aca="false">IF($B258="","",SUMIFS(Investments!$J$6:$J$1005,Investments!$B$6:$B$1005,$B258)+SUMIFS(Investments!$K$6:$K$1005,Investments!$B$6:$B$1005,$B258)+SUMIFS(Investments!$L$6:$L$1005,Investments!$B$6:$B$1005,$B258))</f>
        <v>0</v>
      </c>
      <c r="H258" s="17" t="n">
        <f aca="false">IF($B258="","",SUMIFS(Investments!$M$6:$M$1005,Investments!$B$6:$B$1005,$B258))</f>
        <v>0</v>
      </c>
      <c r="I258" s="17" t="n">
        <f aca="false">IF($B258="","",($H258+$G258)-$F258)</f>
        <v>0</v>
      </c>
      <c r="J258" s="18" t="str">
        <f aca="false">IF(OR($B258="",$F258=0),"",$I258/$F258)</f>
        <v/>
      </c>
      <c r="K258" s="18" t="str">
        <f aca="false">IF(OR($B258="",$H258=0),"",SUMPRODUCT((Investments!$B$6:$B$1005=$B258)*Investments!$M$6:$M$1005*Investments!$T$6:$T$1005)/$H258)</f>
        <v/>
      </c>
      <c r="L258" s="18" t="str">
        <f aca="false">IF(OR($B258="",$C$12=0),"",$H258/$C$12)</f>
        <v/>
      </c>
    </row>
    <row r="259" customFormat="false" ht="15" hidden="false" customHeight="false" outlineLevel="0" collapsed="false">
      <c r="B259" s="31" t="str">
        <f aca="false">IF(Lists!$A30="","",Lists!$A30)</f>
        <v>Hybrid - Arbitrage Fund</v>
      </c>
      <c r="C259" s="32" t="n">
        <f aca="false">IF($B259="","",COUNTIFS(Investments!$B$6:$B$1005,$B259))</f>
        <v>0</v>
      </c>
      <c r="D259" s="33" t="n">
        <f aca="false">IF($B259="","",SUMIFS(Investments!$G$6:$G$1005,Investments!$B$6:$B$1005,$B259))</f>
        <v>0</v>
      </c>
      <c r="E259" s="33" t="n">
        <f aca="false">IF($B259="","",SUMIFS(Investments!$H$6:$H$1005,Investments!$B$6:$B$1005,$B259))</f>
        <v>0</v>
      </c>
      <c r="F259" s="33" t="n">
        <f aca="false">IF($B259="","",SUMIFS(Investments!$P$6:$P$1005,Investments!$B$6:$B$1005,$B259))</f>
        <v>0</v>
      </c>
      <c r="G259" s="33" t="n">
        <f aca="false">IF($B259="","",SUMIFS(Investments!$J$6:$J$1005,Investments!$B$6:$B$1005,$B259)+SUMIFS(Investments!$K$6:$K$1005,Investments!$B$6:$B$1005,$B259)+SUMIFS(Investments!$L$6:$L$1005,Investments!$B$6:$B$1005,$B259))</f>
        <v>0</v>
      </c>
      <c r="H259" s="33" t="n">
        <f aca="false">IF($B259="","",SUMIFS(Investments!$M$6:$M$1005,Investments!$B$6:$B$1005,$B259))</f>
        <v>0</v>
      </c>
      <c r="I259" s="33" t="n">
        <f aca="false">IF($B259="","",($H259+$G259)-$F259)</f>
        <v>0</v>
      </c>
      <c r="J259" s="34" t="str">
        <f aca="false">IF(OR($B259="",$F259=0),"",$I259/$F259)</f>
        <v/>
      </c>
      <c r="K259" s="34" t="str">
        <f aca="false">IF(OR($B259="",$H259=0),"",SUMPRODUCT((Investments!$B$6:$B$1005=$B259)*Investments!$M$6:$M$1005*Investments!$T$6:$T$1005)/$H259)</f>
        <v/>
      </c>
      <c r="L259" s="34" t="str">
        <f aca="false">IF(OR($B259="",$C$12=0),"",$H259/$C$12)</f>
        <v/>
      </c>
    </row>
    <row r="260" customFormat="false" ht="15" hidden="false" customHeight="false" outlineLevel="0" collapsed="false">
      <c r="B260" s="14" t="str">
        <f aca="false">IF(Lists!$A31="","",Lists!$A31)</f>
        <v>Others - Index Funds</v>
      </c>
      <c r="C260" s="35" t="n">
        <f aca="false">IF($B260="","",COUNTIFS(Investments!$B$6:$B$1005,$B260))</f>
        <v>0</v>
      </c>
      <c r="D260" s="17" t="n">
        <f aca="false">IF($B260="","",SUMIFS(Investments!$G$6:$G$1005,Investments!$B$6:$B$1005,$B260))</f>
        <v>0</v>
      </c>
      <c r="E260" s="17" t="n">
        <f aca="false">IF($B260="","",SUMIFS(Investments!$H$6:$H$1005,Investments!$B$6:$B$1005,$B260))</f>
        <v>0</v>
      </c>
      <c r="F260" s="17" t="n">
        <f aca="false">IF($B260="","",SUMIFS(Investments!$P$6:$P$1005,Investments!$B$6:$B$1005,$B260))</f>
        <v>0</v>
      </c>
      <c r="G260" s="17" t="n">
        <f aca="false">IF($B260="","",SUMIFS(Investments!$J$6:$J$1005,Investments!$B$6:$B$1005,$B260)+SUMIFS(Investments!$K$6:$K$1005,Investments!$B$6:$B$1005,$B260)+SUMIFS(Investments!$L$6:$L$1005,Investments!$B$6:$B$1005,$B260))</f>
        <v>0</v>
      </c>
      <c r="H260" s="17" t="n">
        <f aca="false">IF($B260="","",SUMIFS(Investments!$M$6:$M$1005,Investments!$B$6:$B$1005,$B260))</f>
        <v>0</v>
      </c>
      <c r="I260" s="17" t="n">
        <f aca="false">IF($B260="","",($H260+$G260)-$F260)</f>
        <v>0</v>
      </c>
      <c r="J260" s="18" t="str">
        <f aca="false">IF(OR($B260="",$F260=0),"",$I260/$F260)</f>
        <v/>
      </c>
      <c r="K260" s="18" t="str">
        <f aca="false">IF(OR($B260="",$H260=0),"",SUMPRODUCT((Investments!$B$6:$B$1005=$B260)*Investments!$M$6:$M$1005*Investments!$T$6:$T$1005)/$H260)</f>
        <v/>
      </c>
      <c r="L260" s="18" t="str">
        <f aca="false">IF(OR($B260="",$C$12=0),"",$H260/$C$12)</f>
        <v/>
      </c>
    </row>
    <row r="261" customFormat="false" ht="15" hidden="false" customHeight="false" outlineLevel="0" collapsed="false">
      <c r="B261" s="31" t="str">
        <f aca="false">IF(Lists!$A32="","",Lists!$A32)</f>
        <v>Others - FoF Domestic</v>
      </c>
      <c r="C261" s="32" t="n">
        <f aca="false">IF($B261="","",COUNTIFS(Investments!$B$6:$B$1005,$B261))</f>
        <v>0</v>
      </c>
      <c r="D261" s="33" t="n">
        <f aca="false">IF($B261="","",SUMIFS(Investments!$G$6:$G$1005,Investments!$B$6:$B$1005,$B261))</f>
        <v>0</v>
      </c>
      <c r="E261" s="33" t="n">
        <f aca="false">IF($B261="","",SUMIFS(Investments!$H$6:$H$1005,Investments!$B$6:$B$1005,$B261))</f>
        <v>0</v>
      </c>
      <c r="F261" s="33" t="n">
        <f aca="false">IF($B261="","",SUMIFS(Investments!$P$6:$P$1005,Investments!$B$6:$B$1005,$B261))</f>
        <v>0</v>
      </c>
      <c r="G261" s="33" t="n">
        <f aca="false">IF($B261="","",SUMIFS(Investments!$J$6:$J$1005,Investments!$B$6:$B$1005,$B261)+SUMIFS(Investments!$K$6:$K$1005,Investments!$B$6:$B$1005,$B261)+SUMIFS(Investments!$L$6:$L$1005,Investments!$B$6:$B$1005,$B261))</f>
        <v>0</v>
      </c>
      <c r="H261" s="33" t="n">
        <f aca="false">IF($B261="","",SUMIFS(Investments!$M$6:$M$1005,Investments!$B$6:$B$1005,$B261))</f>
        <v>0</v>
      </c>
      <c r="I261" s="33" t="n">
        <f aca="false">IF($B261="","",($H261+$G261)-$F261)</f>
        <v>0</v>
      </c>
      <c r="J261" s="34" t="str">
        <f aca="false">IF(OR($B261="",$F261=0),"",$I261/$F261)</f>
        <v/>
      </c>
      <c r="K261" s="34" t="str">
        <f aca="false">IF(OR($B261="",$H261=0),"",SUMPRODUCT((Investments!$B$6:$B$1005=$B261)*Investments!$M$6:$M$1005*Investments!$T$6:$T$1005)/$H261)</f>
        <v/>
      </c>
      <c r="L261" s="34" t="str">
        <f aca="false">IF(OR($B261="",$C$12=0),"",$H261/$C$12)</f>
        <v/>
      </c>
    </row>
    <row r="262" customFormat="false" ht="15" hidden="false" customHeight="false" outlineLevel="0" collapsed="false">
      <c r="B262" s="14" t="str">
        <f aca="false">IF(Lists!$A33="","",Lists!$A33)</f>
        <v>Others - FoF Overseas</v>
      </c>
      <c r="C262" s="35" t="n">
        <f aca="false">IF($B262="","",COUNTIFS(Investments!$B$6:$B$1005,$B262))</f>
        <v>0</v>
      </c>
      <c r="D262" s="17" t="n">
        <f aca="false">IF($B262="","",SUMIFS(Investments!$G$6:$G$1005,Investments!$B$6:$B$1005,$B262))</f>
        <v>0</v>
      </c>
      <c r="E262" s="17" t="n">
        <f aca="false">IF($B262="","",SUMIFS(Investments!$H$6:$H$1005,Investments!$B$6:$B$1005,$B262))</f>
        <v>0</v>
      </c>
      <c r="F262" s="17" t="n">
        <f aca="false">IF($B262="","",SUMIFS(Investments!$P$6:$P$1005,Investments!$B$6:$B$1005,$B262))</f>
        <v>0</v>
      </c>
      <c r="G262" s="17" t="n">
        <f aca="false">IF($B262="","",SUMIFS(Investments!$J$6:$J$1005,Investments!$B$6:$B$1005,$B262)+SUMIFS(Investments!$K$6:$K$1005,Investments!$B$6:$B$1005,$B262)+SUMIFS(Investments!$L$6:$L$1005,Investments!$B$6:$B$1005,$B262))</f>
        <v>0</v>
      </c>
      <c r="H262" s="17" t="n">
        <f aca="false">IF($B262="","",SUMIFS(Investments!$M$6:$M$1005,Investments!$B$6:$B$1005,$B262))</f>
        <v>0</v>
      </c>
      <c r="I262" s="17" t="n">
        <f aca="false">IF($B262="","",($H262+$G262)-$F262)</f>
        <v>0</v>
      </c>
      <c r="J262" s="18" t="str">
        <f aca="false">IF(OR($B262="",$F262=0),"",$I262/$F262)</f>
        <v/>
      </c>
      <c r="K262" s="18" t="str">
        <f aca="false">IF(OR($B262="",$H262=0),"",SUMPRODUCT((Investments!$B$6:$B$1005=$B262)*Investments!$M$6:$M$1005*Investments!$T$6:$T$1005)/$H262)</f>
        <v/>
      </c>
      <c r="L262" s="18" t="str">
        <f aca="false">IF(OR($B262="",$C$12=0),"",$H262/$C$12)</f>
        <v/>
      </c>
    </row>
    <row r="263" customFormat="false" ht="15" hidden="false" customHeight="false" outlineLevel="0" collapsed="false">
      <c r="B263" s="31" t="str">
        <f aca="false">IF(Lists!$A34="","",Lists!$A34)</f>
        <v>Others - Gold ETF</v>
      </c>
      <c r="C263" s="32" t="n">
        <f aca="false">IF($B263="","",COUNTIFS(Investments!$B$6:$B$1005,$B263))</f>
        <v>0</v>
      </c>
      <c r="D263" s="33" t="n">
        <f aca="false">IF($B263="","",SUMIFS(Investments!$G$6:$G$1005,Investments!$B$6:$B$1005,$B263))</f>
        <v>0</v>
      </c>
      <c r="E263" s="33" t="n">
        <f aca="false">IF($B263="","",SUMIFS(Investments!$H$6:$H$1005,Investments!$B$6:$B$1005,$B263))</f>
        <v>0</v>
      </c>
      <c r="F263" s="33" t="n">
        <f aca="false">IF($B263="","",SUMIFS(Investments!$P$6:$P$1005,Investments!$B$6:$B$1005,$B263))</f>
        <v>0</v>
      </c>
      <c r="G263" s="33" t="n">
        <f aca="false">IF($B263="","",SUMIFS(Investments!$J$6:$J$1005,Investments!$B$6:$B$1005,$B263)+SUMIFS(Investments!$K$6:$K$1005,Investments!$B$6:$B$1005,$B263)+SUMIFS(Investments!$L$6:$L$1005,Investments!$B$6:$B$1005,$B263))</f>
        <v>0</v>
      </c>
      <c r="H263" s="33" t="n">
        <f aca="false">IF($B263="","",SUMIFS(Investments!$M$6:$M$1005,Investments!$B$6:$B$1005,$B263))</f>
        <v>0</v>
      </c>
      <c r="I263" s="33" t="n">
        <f aca="false">IF($B263="","",($H263+$G263)-$F263)</f>
        <v>0</v>
      </c>
      <c r="J263" s="34" t="str">
        <f aca="false">IF(OR($B263="",$F263=0),"",$I263/$F263)</f>
        <v/>
      </c>
      <c r="K263" s="34" t="str">
        <f aca="false">IF(OR($B263="",$H263=0),"",SUMPRODUCT((Investments!$B$6:$B$1005=$B263)*Investments!$M$6:$M$1005*Investments!$T$6:$T$1005)/$H263)</f>
        <v/>
      </c>
      <c r="L263" s="34" t="str">
        <f aca="false">IF(OR($B263="",$C$12=0),"",$H263/$C$12)</f>
        <v/>
      </c>
    </row>
    <row r="264" customFormat="false" ht="15" hidden="false" customHeight="false" outlineLevel="0" collapsed="false">
      <c r="B264" s="14" t="str">
        <f aca="false">IF(Lists!$A35="","",Lists!$A35)</f>
        <v>Others - Other ETFs</v>
      </c>
      <c r="C264" s="35" t="n">
        <f aca="false">IF($B264="","",COUNTIFS(Investments!$B$6:$B$1005,$B264))</f>
        <v>0</v>
      </c>
      <c r="D264" s="17" t="n">
        <f aca="false">IF($B264="","",SUMIFS(Investments!$G$6:$G$1005,Investments!$B$6:$B$1005,$B264))</f>
        <v>0</v>
      </c>
      <c r="E264" s="17" t="n">
        <f aca="false">IF($B264="","",SUMIFS(Investments!$H$6:$H$1005,Investments!$B$6:$B$1005,$B264))</f>
        <v>0</v>
      </c>
      <c r="F264" s="17" t="n">
        <f aca="false">IF($B264="","",SUMIFS(Investments!$P$6:$P$1005,Investments!$B$6:$B$1005,$B264))</f>
        <v>0</v>
      </c>
      <c r="G264" s="17" t="n">
        <f aca="false">IF($B264="","",SUMIFS(Investments!$J$6:$J$1005,Investments!$B$6:$B$1005,$B264)+SUMIFS(Investments!$K$6:$K$1005,Investments!$B$6:$B$1005,$B264)+SUMIFS(Investments!$L$6:$L$1005,Investments!$B$6:$B$1005,$B264))</f>
        <v>0</v>
      </c>
      <c r="H264" s="17" t="n">
        <f aca="false">IF($B264="","",SUMIFS(Investments!$M$6:$M$1005,Investments!$B$6:$B$1005,$B264))</f>
        <v>0</v>
      </c>
      <c r="I264" s="17" t="n">
        <f aca="false">IF($B264="","",($H264+$G264)-$F264)</f>
        <v>0</v>
      </c>
      <c r="J264" s="18" t="str">
        <f aca="false">IF(OR($B264="",$F264=0),"",$I264/$F264)</f>
        <v/>
      </c>
      <c r="K264" s="18" t="str">
        <f aca="false">IF(OR($B264="",$H264=0),"",SUMPRODUCT((Investments!$B$6:$B$1005=$B264)*Investments!$M$6:$M$1005*Investments!$T$6:$T$1005)/$H264)</f>
        <v/>
      </c>
      <c r="L264" s="18" t="str">
        <f aca="false">IF(OR($B264="",$C$12=0),"",$H264/$C$12)</f>
        <v/>
      </c>
    </row>
    <row r="265" customFormat="false" ht="15" hidden="false" customHeight="false" outlineLevel="0" collapsed="false">
      <c r="B265" s="31" t="str">
        <f aca="false">IF(Lists!$A36="","",Lists!$A36)</f>
        <v>Others - Solution Oriented</v>
      </c>
      <c r="C265" s="32" t="n">
        <f aca="false">IF($B265="","",COUNTIFS(Investments!$B$6:$B$1005,$B265))</f>
        <v>0</v>
      </c>
      <c r="D265" s="33" t="n">
        <f aca="false">IF($B265="","",SUMIFS(Investments!$G$6:$G$1005,Investments!$B$6:$B$1005,$B265))</f>
        <v>0</v>
      </c>
      <c r="E265" s="33" t="n">
        <f aca="false">IF($B265="","",SUMIFS(Investments!$H$6:$H$1005,Investments!$B$6:$B$1005,$B265))</f>
        <v>0</v>
      </c>
      <c r="F265" s="33" t="n">
        <f aca="false">IF($B265="","",SUMIFS(Investments!$P$6:$P$1005,Investments!$B$6:$B$1005,$B265))</f>
        <v>0</v>
      </c>
      <c r="G265" s="33" t="n">
        <f aca="false">IF($B265="","",SUMIFS(Investments!$J$6:$J$1005,Investments!$B$6:$B$1005,$B265)+SUMIFS(Investments!$K$6:$K$1005,Investments!$B$6:$B$1005,$B265)+SUMIFS(Investments!$L$6:$L$1005,Investments!$B$6:$B$1005,$B265))</f>
        <v>0</v>
      </c>
      <c r="H265" s="33" t="n">
        <f aca="false">IF($B265="","",SUMIFS(Investments!$M$6:$M$1005,Investments!$B$6:$B$1005,$B265))</f>
        <v>0</v>
      </c>
      <c r="I265" s="33" t="n">
        <f aca="false">IF($B265="","",($H265+$G265)-$F265)</f>
        <v>0</v>
      </c>
      <c r="J265" s="34" t="str">
        <f aca="false">IF(OR($B265="",$F265=0),"",$I265/$F265)</f>
        <v/>
      </c>
      <c r="K265" s="34" t="str">
        <f aca="false">IF(OR($B265="",$H265=0),"",SUMPRODUCT((Investments!$B$6:$B$1005=$B265)*Investments!$M$6:$M$1005*Investments!$T$6:$T$1005)/$H265)</f>
        <v/>
      </c>
      <c r="L265" s="34" t="str">
        <f aca="false">IF(OR($B265="",$C$12=0),"",$H265/$C$12)</f>
        <v/>
      </c>
    </row>
    <row r="266" customFormat="false" ht="15" hidden="false" customHeight="false" outlineLevel="0" collapsed="false">
      <c r="B266" s="36" t="s">
        <v>115</v>
      </c>
      <c r="C266" s="37" t="n">
        <f aca="false">SUM($C$231:$C$265)</f>
        <v>1</v>
      </c>
      <c r="D266" s="38" t="n">
        <f aca="false">SUM($D$231:$D$265)</f>
        <v>0</v>
      </c>
      <c r="E266" s="38" t="n">
        <f aca="false">SUM($E$231:$E$265)</f>
        <v>190000</v>
      </c>
      <c r="F266" s="38" t="n">
        <f aca="false">SUM($F$231:$F$265)</f>
        <v>190000</v>
      </c>
      <c r="G266" s="38" t="n">
        <f aca="false">SUM($G$231:$G$265)</f>
        <v>195243.79</v>
      </c>
      <c r="H266" s="38" t="n">
        <f aca="false">SUM($H$231:$H$265)</f>
        <v>0</v>
      </c>
      <c r="I266" s="38" t="n">
        <f aca="false">($H$266+$G$266)-$F$266</f>
        <v>5243.79000000001</v>
      </c>
      <c r="J266" s="39" t="n">
        <f aca="false">IF($F$266=0,"",$I$266/$F$266)</f>
        <v>0.0275988947368422</v>
      </c>
      <c r="K266" s="39" t="str">
        <f aca="false">IF($H$266=0,"",SUMPRODUCT(Investments!$M$6:$M$1005,Investments!$T$6:$T$1005)/$H$266)</f>
        <v/>
      </c>
      <c r="L266" s="39" t="str">
        <f aca="false">IF($C$12=0,"",$H$266/$C$12)</f>
        <v/>
      </c>
    </row>
    <row r="268" customFormat="false" ht="15" hidden="false" customHeight="false" outlineLevel="0" collapsed="false">
      <c r="B268" s="24" t="s">
        <v>117</v>
      </c>
    </row>
    <row r="269" customFormat="false" ht="15" hidden="false" customHeight="false" outlineLevel="0" collapsed="false">
      <c r="B269" s="24" t="s">
        <v>118</v>
      </c>
    </row>
  </sheetData>
  <mergeCells count="18">
    <mergeCell ref="A1:L1"/>
    <mergeCell ref="A2:L2"/>
    <mergeCell ref="B4:L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B17:L17"/>
    <mergeCell ref="B221:L221"/>
    <mergeCell ref="B229:L229"/>
  </mergeCells>
  <conditionalFormatting sqref="I19:I21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19:J21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19:K218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I223:I226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J223:J226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conditionalFormatting sqref="K223:K226">
    <cfRule type="cellIs" priority="12" operator="lessThan" aboveAverage="0" equalAverage="0" bottom="0" percent="0" rank="0" text="" dxfId="0">
      <formula>0</formula>
    </cfRule>
    <cfRule type="cellIs" priority="13" operator="greaterThan" aboveAverage="0" equalAverage="0" bottom="0" percent="0" rank="0" text="" dxfId="1">
      <formula>0</formula>
    </cfRule>
  </conditionalFormatting>
  <conditionalFormatting sqref="I231:I265">
    <cfRule type="cellIs" priority="14" operator="lessThan" aboveAverage="0" equalAverage="0" bottom="0" percent="0" rank="0" text="" dxfId="0">
      <formula>0</formula>
    </cfRule>
    <cfRule type="cellIs" priority="15" operator="greaterThan" aboveAverage="0" equalAverage="0" bottom="0" percent="0" rank="0" text="" dxfId="1">
      <formula>0</formula>
    </cfRule>
  </conditionalFormatting>
  <conditionalFormatting sqref="J231:J265">
    <cfRule type="cellIs" priority="16" operator="lessThan" aboveAverage="0" equalAverage="0" bottom="0" percent="0" rank="0" text="" dxfId="0">
      <formula>0</formula>
    </cfRule>
    <cfRule type="cellIs" priority="17" operator="greaterThan" aboveAverage="0" equalAverage="0" bottom="0" percent="0" rank="0" text="" dxfId="1">
      <formula>0</formula>
    </cfRule>
  </conditionalFormatting>
  <conditionalFormatting sqref="K231:K265">
    <cfRule type="cellIs" priority="18" operator="lessThan" aboveAverage="0" equalAverage="0" bottom="0" percent="0" rank="0" text="" dxfId="0">
      <formula>0</formula>
    </cfRule>
    <cfRule type="cellIs" priority="19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9" min="6" style="0" width="17"/>
    <col collapsed="false" customWidth="true" hidden="false" outlineLevel="0" max="11" min="10" style="0" width="11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0" t="s">
        <v>121</v>
      </c>
      <c r="C4" s="41" t="s">
        <v>59</v>
      </c>
    </row>
    <row r="6" customFormat="false" ht="15" hidden="false" customHeight="false" outlineLevel="0" collapsed="false">
      <c r="B6" s="26" t="s">
        <v>46</v>
      </c>
      <c r="C6" s="42" t="str">
        <f aca="false">IF($C$4="","",IFERROR(IF(INDEX(Clients!$A$4:$A$203,MATCH($C$4,Clients!$B$4:$B$203,0))="","",INDEX(Clients!$A$4:$A$203,MATCH($C$4,Clients!$B$4:$B$203,0))),""))</f>
        <v>CL-0001</v>
      </c>
      <c r="E6" s="26" t="s">
        <v>122</v>
      </c>
      <c r="F6" s="43" t="s">
        <v>123</v>
      </c>
      <c r="G6" s="43"/>
      <c r="H6" s="43"/>
      <c r="I6" s="43"/>
      <c r="J6" s="43"/>
      <c r="K6" s="43"/>
    </row>
    <row r="7" customFormat="false" ht="15" hidden="false" customHeight="false" outlineLevel="0" collapsed="false">
      <c r="B7" s="26" t="s">
        <v>48</v>
      </c>
      <c r="C7" s="42" t="str">
        <f aca="false">IF($C$4="","",IFERROR(IF(INDEX(Clients!$C$4:$C$203,MATCH($C$4,Clients!$B$4:$B$203,0))="","",INDEX(Clients!$C$4:$C$203,MATCH($C$4,Clients!$B$4:$B$203,0))),""))</f>
        <v>ABCDE1234F</v>
      </c>
      <c r="E7" s="26" t="s">
        <v>124</v>
      </c>
      <c r="F7" s="43" t="s">
        <v>125</v>
      </c>
      <c r="G7" s="43"/>
      <c r="H7" s="43"/>
      <c r="I7" s="43"/>
      <c r="J7" s="43"/>
      <c r="K7" s="43"/>
    </row>
    <row r="8" customFormat="false" ht="15" hidden="false" customHeight="false" outlineLevel="0" collapsed="false">
      <c r="B8" s="26" t="s">
        <v>49</v>
      </c>
      <c r="C8" s="42" t="str">
        <f aca="false">IF($C$4="","",IFERROR(IF(INDEX(Clients!$D$4:$D$203,MATCH($C$4,Clients!$B$4:$B$203,0))="","",INDEX(Clients!$D$4:$D$203,MATCH($C$4,Clients!$B$4:$B$203,0))),""))</f>
        <v>Rep By Family Head Name</v>
      </c>
      <c r="E8" s="26" t="s">
        <v>126</v>
      </c>
      <c r="F8" s="43" t="s">
        <v>127</v>
      </c>
      <c r="G8" s="43"/>
      <c r="H8" s="43"/>
      <c r="I8" s="43"/>
      <c r="J8" s="43"/>
      <c r="K8" s="43"/>
    </row>
    <row r="9" customFormat="false" ht="15" hidden="false" customHeight="false" outlineLevel="0" collapsed="false">
      <c r="B9" s="26" t="s">
        <v>51</v>
      </c>
      <c r="C9" s="42" t="str">
        <f aca="false">IF($C$4="","",IFERROR(IF(INDEX(Clients!$F$4:$F$203,MATCH($C$4,Clients!$B$4:$B$203,0))="","",INDEX(Clients!$F$4:$F$203,MATCH($C$4,Clients!$B$4:$B$203,0))),""))</f>
        <v>98xxxxxx61</v>
      </c>
      <c r="E9" s="26" t="s">
        <v>128</v>
      </c>
      <c r="F9" s="43"/>
      <c r="G9" s="43"/>
      <c r="H9" s="43"/>
      <c r="I9" s="43"/>
      <c r="J9" s="43"/>
      <c r="K9" s="43"/>
    </row>
    <row r="10" customFormat="false" ht="15" hidden="false" customHeight="false" outlineLevel="0" collapsed="false">
      <c r="B10" s="26" t="s">
        <v>52</v>
      </c>
      <c r="C10" s="42" t="str">
        <f aca="false">IF($C$4="","",IFERROR(IF(INDEX(Clients!$G$4:$G$203,MATCH($C$4,Clients!$B$4:$B$203,0))="","",INDEX(Clients!$G$4:$G$203,MATCH($C$4,Clients!$B$4:$B$203,0))),""))</f>
        <v>client@example.com</v>
      </c>
      <c r="E10" s="26" t="s">
        <v>52</v>
      </c>
      <c r="F10" s="43"/>
      <c r="G10" s="43"/>
      <c r="H10" s="43"/>
      <c r="I10" s="43"/>
      <c r="J10" s="43"/>
      <c r="K10" s="43"/>
    </row>
    <row r="11" customFormat="false" ht="15" hidden="false" customHeight="false" outlineLevel="0" collapsed="false">
      <c r="B11" s="26" t="s">
        <v>53</v>
      </c>
      <c r="C11" s="44" t="str">
        <f aca="false">IF($C$4="","",IFERROR(IF(INDEX(Clients!$H$4:$H$203,MATCH($C$4,Clients!$B$4:$B$203,0))="","",INDEX(Clients!$H$4:$H$203,MATCH($C$4,Clients!$B$4:$B$203,0))),""))</f>
        <v>2008-06-05</v>
      </c>
      <c r="E11" s="26" t="s">
        <v>129</v>
      </c>
      <c r="F11" s="43"/>
      <c r="G11" s="43"/>
      <c r="H11" s="43"/>
      <c r="I11" s="43"/>
      <c r="J11" s="43"/>
      <c r="K11" s="43"/>
    </row>
    <row r="12" customFormat="false" ht="15" hidden="false" customHeight="false" outlineLevel="0" collapsed="false">
      <c r="B12" s="26" t="s">
        <v>54</v>
      </c>
      <c r="C12" s="42" t="str">
        <f aca="false">IF($C$4="","",IFERROR(IF(INDEX(Clients!$I$4:$I$203,MATCH($C$4,Clients!$B$4:$B$203,0))="","",INDEX(Clients!$I$4:$I$203,MATCH($C$4,Clients!$B$4:$B$203,0))),""))</f>
        <v>Flat 301, Sample Residency, Kothrud, Pune 411038</v>
      </c>
      <c r="E12" s="24" t="s">
        <v>130</v>
      </c>
    </row>
    <row r="13" customFormat="false" ht="15" hidden="false" customHeight="false" outlineLevel="0" collapsed="false">
      <c r="B13" s="26" t="s">
        <v>55</v>
      </c>
      <c r="C13" s="42" t="str">
        <f aca="false">IF($C$4="","",IFERROR(IF(INDEX(Clients!$J$4:$J$203,MATCH($C$4,Clients!$B$4:$B$203,0))="","",INDEX(Clients!$J$4:$J$203,MATCH($C$4,Clients!$B$4:$B$203,0))),""))</f>
        <v>S. Kadam</v>
      </c>
    </row>
    <row r="15" customFormat="false" ht="15" hidden="false" customHeight="false" outlineLevel="0" collapsed="false">
      <c r="A15" s="25" t="s">
        <v>131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</row>
    <row r="16" customFormat="false" ht="30" hidden="false" customHeight="true" outlineLevel="0" collapsed="false">
      <c r="B16" s="8" t="s">
        <v>110</v>
      </c>
      <c r="C16" s="8" t="s">
        <v>79</v>
      </c>
      <c r="D16" s="8" t="s">
        <v>80</v>
      </c>
      <c r="E16" s="8" t="s">
        <v>12</v>
      </c>
      <c r="F16" s="8" t="s">
        <v>14</v>
      </c>
      <c r="G16" s="8" t="s">
        <v>85</v>
      </c>
      <c r="H16" s="8" t="s">
        <v>16</v>
      </c>
      <c r="I16" s="8" t="s">
        <v>18</v>
      </c>
      <c r="J16" s="8" t="s">
        <v>111</v>
      </c>
    </row>
    <row r="17" customFormat="false" ht="15" hidden="false" customHeight="false" outlineLevel="0" collapsed="false">
      <c r="B17" s="27" t="n">
        <f aca="false">IF($C$4="","",COUNTIFS(Investments!$A$6:$A$1005,$C$4))</f>
        <v>1</v>
      </c>
      <c r="C17" s="28" t="n">
        <f aca="false">IF($C$4="","",SUMIFS(Investments!$G$6:$G$1005,Investments!$A$6:$A$1005,$C$4))</f>
        <v>0</v>
      </c>
      <c r="D17" s="28" t="n">
        <f aca="false">IF($C$4="","",SUMIFS(Investments!$H$6:$H$1005,Investments!$A$6:$A$1005,$C$4))</f>
        <v>190000</v>
      </c>
      <c r="E17" s="28" t="n">
        <f aca="false">IF($C$4="","",SUMIFS(Investments!$P$6:$P$1005,Investments!$A$6:$A$1005,$C$4))</f>
        <v>190000</v>
      </c>
      <c r="F17" s="28" t="n">
        <f aca="false">IF($C$4="","",SUMIFS(Investments!$J$6:$J$1005,Investments!$A$6:$A$1005,$C$4)+SUMIFS(Investments!$K$6:$K$1005,Investments!$A$6:$A$1005,$C$4)+SUMIFS(Investments!$L$6:$L$1005,Investments!$A$6:$A$1005,$C$4))</f>
        <v>195243.79</v>
      </c>
      <c r="G17" s="28" t="n">
        <f aca="false">IF($C$4="","",SUMIFS(Investments!$M$6:$M$1005,Investments!$A$6:$A$1005,$C$4))</f>
        <v>0</v>
      </c>
      <c r="H17" s="28" t="n">
        <f aca="false">IF($C$4="","",($G$17+$F$17)-$E$17)</f>
        <v>5243.79000000001</v>
      </c>
      <c r="I17" s="29" t="n">
        <f aca="false">IF(OR($C$4="",$E$17=0),"",$H$17/$E$17)</f>
        <v>0.0275988947368422</v>
      </c>
      <c r="J17" s="29" t="str">
        <f aca="false">IF(OR($C$4="",$G$17=0),"",SUMPRODUCT((Investments!$A$6:$A$1005=$C$4)*Investments!$M$6:$M$1005*Investments!$T$6:$T$1005)/$G$17)</f>
        <v/>
      </c>
    </row>
    <row r="19" customFormat="false" ht="15" hidden="false" customHeight="false" outlineLevel="0" collapsed="false">
      <c r="A19" s="25" t="s">
        <v>132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1" customFormat="false" ht="30" hidden="false" customHeight="true" outlineLevel="0" collapsed="false">
      <c r="A21" s="8" t="s">
        <v>133</v>
      </c>
      <c r="B21" s="8" t="s">
        <v>75</v>
      </c>
      <c r="C21" s="8" t="s">
        <v>76</v>
      </c>
      <c r="D21" s="8" t="s">
        <v>77</v>
      </c>
      <c r="E21" s="8" t="s">
        <v>78</v>
      </c>
      <c r="F21" s="8" t="s">
        <v>12</v>
      </c>
      <c r="G21" s="8" t="s">
        <v>14</v>
      </c>
      <c r="H21" s="8" t="s">
        <v>85</v>
      </c>
      <c r="I21" s="8" t="s">
        <v>16</v>
      </c>
      <c r="J21" s="8" t="s">
        <v>18</v>
      </c>
      <c r="K21" s="8" t="s">
        <v>24</v>
      </c>
    </row>
    <row r="22" customFormat="false" ht="15" hidden="false" customHeight="false" outlineLevel="0" collapsed="false">
      <c r="A22" s="45" t="n">
        <f aca="false">IF($C$4="","",IF(1&gt;COUNTIFS(Investments!$A$6:$A$1005,$C$4),"",1))</f>
        <v>1</v>
      </c>
      <c r="B22" s="31" t="str">
        <f aca="false">IF($A22="","",IFERROR(IF(INDEX(Investments!$B$6:$B$1005,MATCH($A22,Investments!$V$6:$V$1005,0))="","",INDEX(Investments!$B$6:$B$1005,MATCH($A22,Investments!$V$6:$V$1005,0))),""))</f>
        <v>Debt - Low Duration Fund</v>
      </c>
      <c r="C22" s="31" t="str">
        <f aca="false">IF($A22="","",IFERROR(IF(INDEX(Investments!$D$6:$D$1005,MATCH($A22,Investments!$V$6:$V$1005,0))="","",INDEX(Investments!$D$6:$D$1005,MATCH($A22,Investments!$V$6:$V$1005,0))),""))</f>
        <v>Bluechip Low Duration Fund - Regular Plan - Growth</v>
      </c>
      <c r="D22" s="31" t="str">
        <f aca="false">IF($A22="","",IFERROR(IF(INDEX(Investments!$E$6:$E$1005,MATCH($A22,Investments!$V$6:$V$1005,0))="","",INDEX(Investments!$E$6:$E$1005,MATCH($A22,Investments!$V$6:$V$1005,0))),""))</f>
        <v>1910625/49</v>
      </c>
      <c r="E22" s="46" t="str">
        <f aca="false">IF($A22="","",IFERROR(IF(INDEX(Investments!$F$6:$F$1005,MATCH($A22,Investments!$V$6:$V$1005,0))="","",INDEX(Investments!$F$6:$F$1005,MATCH($A22,Investments!$V$6:$V$1005,0))),""))</f>
        <v>2021-06-01</v>
      </c>
      <c r="F22" s="33" t="n">
        <f aca="false">IF($A22="","",IFERROR(IF(INDEX(Investments!$P$6:$P$1005,MATCH($A22,Investments!$V$6:$V$1005,0))="","",INDEX(Investments!$P$6:$P$1005,MATCH($A22,Investments!$V$6:$V$1005,0))),""))</f>
        <v>190000</v>
      </c>
      <c r="G22" s="33" t="n">
        <f aca="false">IF($A22="","",IFERROR(IF(INDEX(Investments!$Q$6:$Q$1005,MATCH($A22,Investments!$V$6:$V$1005,0))="","",INDEX(Investments!$Q$6:$Q$1005,MATCH($A22,Investments!$V$6:$V$1005,0))),""))</f>
        <v>195243.79</v>
      </c>
      <c r="H22" s="33" t="n">
        <f aca="false">IF($A22="","",IFERROR(IF(INDEX(Investments!$M$6:$M$1005,MATCH($A22,Investments!$V$6:$V$1005,0))="","",INDEX(Investments!$M$6:$M$1005,MATCH($A22,Investments!$V$6:$V$1005,0))),""))</f>
        <v>0</v>
      </c>
      <c r="I22" s="33" t="n">
        <f aca="false">IF($A22="","",IFERROR(IF(INDEX(Investments!$R$6:$R$1005,MATCH($A22,Investments!$V$6:$V$1005,0))="","",INDEX(Investments!$R$6:$R$1005,MATCH($A22,Investments!$V$6:$V$1005,0))),""))</f>
        <v>5243.79000000001</v>
      </c>
      <c r="J22" s="34" t="n">
        <f aca="false">IF($A22="","",IFERROR(IF(INDEX(Investments!$S$6:$S$1005,MATCH($A22,Investments!$V$6:$V$1005,0))="","",INDEX(Investments!$S$6:$S$1005,MATCH($A22,Investments!$V$6:$V$1005,0))),""))</f>
        <v>0.0275988947368422</v>
      </c>
      <c r="K22" s="34" t="n">
        <f aca="false">IF($A22="","",IFERROR(IF(INDEX(Investments!$T$6:$T$1005,MATCH($A22,Investments!$V$6:$V$1005,0))="","",INDEX(Investments!$T$6:$T$1005,MATCH($A22,Investments!$V$6:$V$1005,0))),""))</f>
        <v>0.038</v>
      </c>
    </row>
    <row r="23" customFormat="false" ht="15" hidden="false" customHeight="false" outlineLevel="0" collapsed="false">
      <c r="A23" s="47" t="str">
        <f aca="false">IF($C$4="","",IF(2&gt;COUNTIFS(Investments!$A$6:$A$1005,$C$4),"",2))</f>
        <v/>
      </c>
      <c r="B23" s="14" t="str">
        <f aca="false">IF($A23="","",IFERROR(IF(INDEX(Investments!$B$6:$B$1005,MATCH($A23,Investments!$V$6:$V$1005,0))="","",INDEX(Investments!$B$6:$B$1005,MATCH($A23,Investments!$V$6:$V$1005,0))),""))</f>
        <v/>
      </c>
      <c r="C23" s="14" t="str">
        <f aca="false">IF($A23="","",IFERROR(IF(INDEX(Investments!$D$6:$D$1005,MATCH($A23,Investments!$V$6:$V$1005,0))="","",INDEX(Investments!$D$6:$D$1005,MATCH($A23,Investments!$V$6:$V$1005,0))),""))</f>
        <v/>
      </c>
      <c r="D23" s="14" t="str">
        <f aca="false">IF($A23="","",IFERROR(IF(INDEX(Investments!$E$6:$E$1005,MATCH($A23,Investments!$V$6:$V$1005,0))="","",INDEX(Investments!$E$6:$E$1005,MATCH($A23,Investments!$V$6:$V$1005,0))),""))</f>
        <v/>
      </c>
      <c r="E23" s="48" t="str">
        <f aca="false">IF($A23="","",IFERROR(IF(INDEX(Investments!$F$6:$F$1005,MATCH($A23,Investments!$V$6:$V$1005,0))="","",INDEX(Investments!$F$6:$F$1005,MATCH($A23,Investments!$V$6:$V$1005,0))),""))</f>
        <v/>
      </c>
      <c r="F23" s="17" t="str">
        <f aca="false">IF($A23="","",IFERROR(IF(INDEX(Investments!$P$6:$P$1005,MATCH($A23,Investments!$V$6:$V$1005,0))="","",INDEX(Investments!$P$6:$P$1005,MATCH($A23,Investments!$V$6:$V$1005,0))),""))</f>
        <v/>
      </c>
      <c r="G23" s="17" t="str">
        <f aca="false">IF($A23="","",IFERROR(IF(INDEX(Investments!$Q$6:$Q$1005,MATCH($A23,Investments!$V$6:$V$1005,0))="","",INDEX(Investments!$Q$6:$Q$1005,MATCH($A23,Investments!$V$6:$V$1005,0))),""))</f>
        <v/>
      </c>
      <c r="H23" s="17" t="str">
        <f aca="false">IF($A23="","",IFERROR(IF(INDEX(Investments!$M$6:$M$1005,MATCH($A23,Investments!$V$6:$V$1005,0))="","",INDEX(Investments!$M$6:$M$1005,MATCH($A23,Investments!$V$6:$V$1005,0))),""))</f>
        <v/>
      </c>
      <c r="I23" s="17" t="str">
        <f aca="false">IF($A23="","",IFERROR(IF(INDEX(Investments!$R$6:$R$1005,MATCH($A23,Investments!$V$6:$V$1005,0))="","",INDEX(Investments!$R$6:$R$1005,MATCH($A23,Investments!$V$6:$V$1005,0))),""))</f>
        <v/>
      </c>
      <c r="J23" s="18" t="str">
        <f aca="false">IF($A23="","",IFERROR(IF(INDEX(Investments!$S$6:$S$1005,MATCH($A23,Investments!$V$6:$V$1005,0))="","",INDEX(Investments!$S$6:$S$1005,MATCH($A23,Investments!$V$6:$V$1005,0))),""))</f>
        <v/>
      </c>
      <c r="K23" s="18" t="str">
        <f aca="false">IF($A23="","",IFERROR(IF(INDEX(Investments!$T$6:$T$1005,MATCH($A23,Investments!$V$6:$V$1005,0))="","",INDEX(Investments!$T$6:$T$1005,MATCH($A23,Investments!$V$6:$V$1005,0))),""))</f>
        <v/>
      </c>
    </row>
    <row r="24" customFormat="false" ht="15" hidden="false" customHeight="false" outlineLevel="0" collapsed="false">
      <c r="A24" s="45" t="str">
        <f aca="false">IF($C$4="","",IF(3&gt;COUNTIFS(Investments!$A$6:$A$1005,$C$4),"",3))</f>
        <v/>
      </c>
      <c r="B24" s="31" t="str">
        <f aca="false">IF($A24="","",IFERROR(IF(INDEX(Investments!$B$6:$B$1005,MATCH($A24,Investments!$V$6:$V$1005,0))="","",INDEX(Investments!$B$6:$B$1005,MATCH($A24,Investments!$V$6:$V$1005,0))),""))</f>
        <v/>
      </c>
      <c r="C24" s="31" t="str">
        <f aca="false">IF($A24="","",IFERROR(IF(INDEX(Investments!$D$6:$D$1005,MATCH($A24,Investments!$V$6:$V$1005,0))="","",INDEX(Investments!$D$6:$D$1005,MATCH($A24,Investments!$V$6:$V$1005,0))),""))</f>
        <v/>
      </c>
      <c r="D24" s="31" t="str">
        <f aca="false">IF($A24="","",IFERROR(IF(INDEX(Investments!$E$6:$E$1005,MATCH($A24,Investments!$V$6:$V$1005,0))="","",INDEX(Investments!$E$6:$E$1005,MATCH($A24,Investments!$V$6:$V$1005,0))),""))</f>
        <v/>
      </c>
      <c r="E24" s="46" t="str">
        <f aca="false">IF($A24="","",IFERROR(IF(INDEX(Investments!$F$6:$F$1005,MATCH($A24,Investments!$V$6:$V$1005,0))="","",INDEX(Investments!$F$6:$F$1005,MATCH($A24,Investments!$V$6:$V$1005,0))),""))</f>
        <v/>
      </c>
      <c r="F24" s="33" t="str">
        <f aca="false">IF($A24="","",IFERROR(IF(INDEX(Investments!$P$6:$P$1005,MATCH($A24,Investments!$V$6:$V$1005,0))="","",INDEX(Investments!$P$6:$P$1005,MATCH($A24,Investments!$V$6:$V$1005,0))),""))</f>
        <v/>
      </c>
      <c r="G24" s="33" t="str">
        <f aca="false">IF($A24="","",IFERROR(IF(INDEX(Investments!$Q$6:$Q$1005,MATCH($A24,Investments!$V$6:$V$1005,0))="","",INDEX(Investments!$Q$6:$Q$1005,MATCH($A24,Investments!$V$6:$V$1005,0))),""))</f>
        <v/>
      </c>
      <c r="H24" s="33" t="str">
        <f aca="false">IF($A24="","",IFERROR(IF(INDEX(Investments!$M$6:$M$1005,MATCH($A24,Investments!$V$6:$V$1005,0))="","",INDEX(Investments!$M$6:$M$1005,MATCH($A24,Investments!$V$6:$V$1005,0))),""))</f>
        <v/>
      </c>
      <c r="I24" s="33" t="str">
        <f aca="false">IF($A24="","",IFERROR(IF(INDEX(Investments!$R$6:$R$1005,MATCH($A24,Investments!$V$6:$V$1005,0))="","",INDEX(Investments!$R$6:$R$1005,MATCH($A24,Investments!$V$6:$V$1005,0))),""))</f>
        <v/>
      </c>
      <c r="J24" s="34" t="str">
        <f aca="false">IF($A24="","",IFERROR(IF(INDEX(Investments!$S$6:$S$1005,MATCH($A24,Investments!$V$6:$V$1005,0))="","",INDEX(Investments!$S$6:$S$1005,MATCH($A24,Investments!$V$6:$V$1005,0))),""))</f>
        <v/>
      </c>
      <c r="K24" s="34" t="str">
        <f aca="false">IF($A24="","",IFERROR(IF(INDEX(Investments!$T$6:$T$1005,MATCH($A24,Investments!$V$6:$V$1005,0))="","",INDEX(Investments!$T$6:$T$1005,MATCH($A24,Investments!$V$6:$V$1005,0))),""))</f>
        <v/>
      </c>
    </row>
    <row r="25" customFormat="false" ht="15" hidden="false" customHeight="false" outlineLevel="0" collapsed="false">
      <c r="A25" s="47" t="str">
        <f aca="false">IF($C$4="","",IF(4&gt;COUNTIFS(Investments!$A$6:$A$1005,$C$4),"",4))</f>
        <v/>
      </c>
      <c r="B25" s="14" t="str">
        <f aca="false">IF($A25="","",IFERROR(IF(INDEX(Investments!$B$6:$B$1005,MATCH($A25,Investments!$V$6:$V$1005,0))="","",INDEX(Investments!$B$6:$B$1005,MATCH($A25,Investments!$V$6:$V$1005,0))),""))</f>
        <v/>
      </c>
      <c r="C25" s="14" t="str">
        <f aca="false">IF($A25="","",IFERROR(IF(INDEX(Investments!$D$6:$D$1005,MATCH($A25,Investments!$V$6:$V$1005,0))="","",INDEX(Investments!$D$6:$D$1005,MATCH($A25,Investments!$V$6:$V$1005,0))),""))</f>
        <v/>
      </c>
      <c r="D25" s="14" t="str">
        <f aca="false">IF($A25="","",IFERROR(IF(INDEX(Investments!$E$6:$E$1005,MATCH($A25,Investments!$V$6:$V$1005,0))="","",INDEX(Investments!$E$6:$E$1005,MATCH($A25,Investments!$V$6:$V$1005,0))),""))</f>
        <v/>
      </c>
      <c r="E25" s="48" t="str">
        <f aca="false">IF($A25="","",IFERROR(IF(INDEX(Investments!$F$6:$F$1005,MATCH($A25,Investments!$V$6:$V$1005,0))="","",INDEX(Investments!$F$6:$F$1005,MATCH($A25,Investments!$V$6:$V$1005,0))),""))</f>
        <v/>
      </c>
      <c r="F25" s="17" t="str">
        <f aca="false">IF($A25="","",IFERROR(IF(INDEX(Investments!$P$6:$P$1005,MATCH($A25,Investments!$V$6:$V$1005,0))="","",INDEX(Investments!$P$6:$P$1005,MATCH($A25,Investments!$V$6:$V$1005,0))),""))</f>
        <v/>
      </c>
      <c r="G25" s="17" t="str">
        <f aca="false">IF($A25="","",IFERROR(IF(INDEX(Investments!$Q$6:$Q$1005,MATCH($A25,Investments!$V$6:$V$1005,0))="","",INDEX(Investments!$Q$6:$Q$1005,MATCH($A25,Investments!$V$6:$V$1005,0))),""))</f>
        <v/>
      </c>
      <c r="H25" s="17" t="str">
        <f aca="false">IF($A25="","",IFERROR(IF(INDEX(Investments!$M$6:$M$1005,MATCH($A25,Investments!$V$6:$V$1005,0))="","",INDEX(Investments!$M$6:$M$1005,MATCH($A25,Investments!$V$6:$V$1005,0))),""))</f>
        <v/>
      </c>
      <c r="I25" s="17" t="str">
        <f aca="false">IF($A25="","",IFERROR(IF(INDEX(Investments!$R$6:$R$1005,MATCH($A25,Investments!$V$6:$V$1005,0))="","",INDEX(Investments!$R$6:$R$1005,MATCH($A25,Investments!$V$6:$V$1005,0))),""))</f>
        <v/>
      </c>
      <c r="J25" s="18" t="str">
        <f aca="false">IF($A25="","",IFERROR(IF(INDEX(Investments!$S$6:$S$1005,MATCH($A25,Investments!$V$6:$V$1005,0))="","",INDEX(Investments!$S$6:$S$1005,MATCH($A25,Investments!$V$6:$V$1005,0))),""))</f>
        <v/>
      </c>
      <c r="K25" s="18" t="str">
        <f aca="false">IF($A25="","",IFERROR(IF(INDEX(Investments!$T$6:$T$1005,MATCH($A25,Investments!$V$6:$V$1005,0))="","",INDEX(Investments!$T$6:$T$1005,MATCH($A25,Investments!$V$6:$V$1005,0))),""))</f>
        <v/>
      </c>
    </row>
    <row r="26" customFormat="false" ht="15" hidden="false" customHeight="false" outlineLevel="0" collapsed="false">
      <c r="A26" s="45" t="str">
        <f aca="false">IF($C$4="","",IF(5&gt;COUNTIFS(Investments!$A$6:$A$1005,$C$4),"",5))</f>
        <v/>
      </c>
      <c r="B26" s="31" t="str">
        <f aca="false">IF($A26="","",IFERROR(IF(INDEX(Investments!$B$6:$B$1005,MATCH($A26,Investments!$V$6:$V$1005,0))="","",INDEX(Investments!$B$6:$B$1005,MATCH($A26,Investments!$V$6:$V$1005,0))),""))</f>
        <v/>
      </c>
      <c r="C26" s="31" t="str">
        <f aca="false">IF($A26="","",IFERROR(IF(INDEX(Investments!$D$6:$D$1005,MATCH($A26,Investments!$V$6:$V$1005,0))="","",INDEX(Investments!$D$6:$D$1005,MATCH($A26,Investments!$V$6:$V$1005,0))),""))</f>
        <v/>
      </c>
      <c r="D26" s="31" t="str">
        <f aca="false">IF($A26="","",IFERROR(IF(INDEX(Investments!$E$6:$E$1005,MATCH($A26,Investments!$V$6:$V$1005,0))="","",INDEX(Investments!$E$6:$E$1005,MATCH($A26,Investments!$V$6:$V$1005,0))),""))</f>
        <v/>
      </c>
      <c r="E26" s="46" t="str">
        <f aca="false">IF($A26="","",IFERROR(IF(INDEX(Investments!$F$6:$F$1005,MATCH($A26,Investments!$V$6:$V$1005,0))="","",INDEX(Investments!$F$6:$F$1005,MATCH($A26,Investments!$V$6:$V$1005,0))),""))</f>
        <v/>
      </c>
      <c r="F26" s="33" t="str">
        <f aca="false">IF($A26="","",IFERROR(IF(INDEX(Investments!$P$6:$P$1005,MATCH($A26,Investments!$V$6:$V$1005,0))="","",INDEX(Investments!$P$6:$P$1005,MATCH($A26,Investments!$V$6:$V$1005,0))),""))</f>
        <v/>
      </c>
      <c r="G26" s="33" t="str">
        <f aca="false">IF($A26="","",IFERROR(IF(INDEX(Investments!$Q$6:$Q$1005,MATCH($A26,Investments!$V$6:$V$1005,0))="","",INDEX(Investments!$Q$6:$Q$1005,MATCH($A26,Investments!$V$6:$V$1005,0))),""))</f>
        <v/>
      </c>
      <c r="H26" s="33" t="str">
        <f aca="false">IF($A26="","",IFERROR(IF(INDEX(Investments!$M$6:$M$1005,MATCH($A26,Investments!$V$6:$V$1005,0))="","",INDEX(Investments!$M$6:$M$1005,MATCH($A26,Investments!$V$6:$V$1005,0))),""))</f>
        <v/>
      </c>
      <c r="I26" s="33" t="str">
        <f aca="false">IF($A26="","",IFERROR(IF(INDEX(Investments!$R$6:$R$1005,MATCH($A26,Investments!$V$6:$V$1005,0))="","",INDEX(Investments!$R$6:$R$1005,MATCH($A26,Investments!$V$6:$V$1005,0))),""))</f>
        <v/>
      </c>
      <c r="J26" s="34" t="str">
        <f aca="false">IF($A26="","",IFERROR(IF(INDEX(Investments!$S$6:$S$1005,MATCH($A26,Investments!$V$6:$V$1005,0))="","",INDEX(Investments!$S$6:$S$1005,MATCH($A26,Investments!$V$6:$V$1005,0))),""))</f>
        <v/>
      </c>
      <c r="K26" s="34" t="str">
        <f aca="false">IF($A26="","",IFERROR(IF(INDEX(Investments!$T$6:$T$1005,MATCH($A26,Investments!$V$6:$V$1005,0))="","",INDEX(Investments!$T$6:$T$1005,MATCH($A26,Investments!$V$6:$V$1005,0))),""))</f>
        <v/>
      </c>
    </row>
    <row r="27" customFormat="false" ht="15" hidden="false" customHeight="false" outlineLevel="0" collapsed="false">
      <c r="A27" s="47" t="str">
        <f aca="false">IF($C$4="","",IF(6&gt;COUNTIFS(Investments!$A$6:$A$1005,$C$4),"",6))</f>
        <v/>
      </c>
      <c r="B27" s="14" t="str">
        <f aca="false">IF($A27="","",IFERROR(IF(INDEX(Investments!$B$6:$B$1005,MATCH($A27,Investments!$V$6:$V$1005,0))="","",INDEX(Investments!$B$6:$B$1005,MATCH($A27,Investments!$V$6:$V$1005,0))),""))</f>
        <v/>
      </c>
      <c r="C27" s="14" t="str">
        <f aca="false">IF($A27="","",IFERROR(IF(INDEX(Investments!$D$6:$D$1005,MATCH($A27,Investments!$V$6:$V$1005,0))="","",INDEX(Investments!$D$6:$D$1005,MATCH($A27,Investments!$V$6:$V$1005,0))),""))</f>
        <v/>
      </c>
      <c r="D27" s="14" t="str">
        <f aca="false">IF($A27="","",IFERROR(IF(INDEX(Investments!$E$6:$E$1005,MATCH($A27,Investments!$V$6:$V$1005,0))="","",INDEX(Investments!$E$6:$E$1005,MATCH($A27,Investments!$V$6:$V$1005,0))),""))</f>
        <v/>
      </c>
      <c r="E27" s="48" t="str">
        <f aca="false">IF($A27="","",IFERROR(IF(INDEX(Investments!$F$6:$F$1005,MATCH($A27,Investments!$V$6:$V$1005,0))="","",INDEX(Investments!$F$6:$F$1005,MATCH($A27,Investments!$V$6:$V$1005,0))),""))</f>
        <v/>
      </c>
      <c r="F27" s="17" t="str">
        <f aca="false">IF($A27="","",IFERROR(IF(INDEX(Investments!$P$6:$P$1005,MATCH($A27,Investments!$V$6:$V$1005,0))="","",INDEX(Investments!$P$6:$P$1005,MATCH($A27,Investments!$V$6:$V$1005,0))),""))</f>
        <v/>
      </c>
      <c r="G27" s="17" t="str">
        <f aca="false">IF($A27="","",IFERROR(IF(INDEX(Investments!$Q$6:$Q$1005,MATCH($A27,Investments!$V$6:$V$1005,0))="","",INDEX(Investments!$Q$6:$Q$1005,MATCH($A27,Investments!$V$6:$V$1005,0))),""))</f>
        <v/>
      </c>
      <c r="H27" s="17" t="str">
        <f aca="false">IF($A27="","",IFERROR(IF(INDEX(Investments!$M$6:$M$1005,MATCH($A27,Investments!$V$6:$V$1005,0))="","",INDEX(Investments!$M$6:$M$1005,MATCH($A27,Investments!$V$6:$V$1005,0))),""))</f>
        <v/>
      </c>
      <c r="I27" s="17" t="str">
        <f aca="false">IF($A27="","",IFERROR(IF(INDEX(Investments!$R$6:$R$1005,MATCH($A27,Investments!$V$6:$V$1005,0))="","",INDEX(Investments!$R$6:$R$1005,MATCH($A27,Investments!$V$6:$V$1005,0))),""))</f>
        <v/>
      </c>
      <c r="J27" s="18" t="str">
        <f aca="false">IF($A27="","",IFERROR(IF(INDEX(Investments!$S$6:$S$1005,MATCH($A27,Investments!$V$6:$V$1005,0))="","",INDEX(Investments!$S$6:$S$1005,MATCH($A27,Investments!$V$6:$V$1005,0))),""))</f>
        <v/>
      </c>
      <c r="K27" s="18" t="str">
        <f aca="false">IF($A27="","",IFERROR(IF(INDEX(Investments!$T$6:$T$1005,MATCH($A27,Investments!$V$6:$V$1005,0))="","",INDEX(Investments!$T$6:$T$1005,MATCH($A27,Investments!$V$6:$V$1005,0))),""))</f>
        <v/>
      </c>
    </row>
    <row r="28" customFormat="false" ht="15" hidden="false" customHeight="false" outlineLevel="0" collapsed="false">
      <c r="A28" s="45" t="str">
        <f aca="false">IF($C$4="","",IF(7&gt;COUNTIFS(Investments!$A$6:$A$1005,$C$4),"",7))</f>
        <v/>
      </c>
      <c r="B28" s="31" t="str">
        <f aca="false">IF($A28="","",IFERROR(IF(INDEX(Investments!$B$6:$B$1005,MATCH($A28,Investments!$V$6:$V$1005,0))="","",INDEX(Investments!$B$6:$B$1005,MATCH($A28,Investments!$V$6:$V$1005,0))),""))</f>
        <v/>
      </c>
      <c r="C28" s="31" t="str">
        <f aca="false">IF($A28="","",IFERROR(IF(INDEX(Investments!$D$6:$D$1005,MATCH($A28,Investments!$V$6:$V$1005,0))="","",INDEX(Investments!$D$6:$D$1005,MATCH($A28,Investments!$V$6:$V$1005,0))),""))</f>
        <v/>
      </c>
      <c r="D28" s="31" t="str">
        <f aca="false">IF($A28="","",IFERROR(IF(INDEX(Investments!$E$6:$E$1005,MATCH($A28,Investments!$V$6:$V$1005,0))="","",INDEX(Investments!$E$6:$E$1005,MATCH($A28,Investments!$V$6:$V$1005,0))),""))</f>
        <v/>
      </c>
      <c r="E28" s="46" t="str">
        <f aca="false">IF($A28="","",IFERROR(IF(INDEX(Investments!$F$6:$F$1005,MATCH($A28,Investments!$V$6:$V$1005,0))="","",INDEX(Investments!$F$6:$F$1005,MATCH($A28,Investments!$V$6:$V$1005,0))),""))</f>
        <v/>
      </c>
      <c r="F28" s="33" t="str">
        <f aca="false">IF($A28="","",IFERROR(IF(INDEX(Investments!$P$6:$P$1005,MATCH($A28,Investments!$V$6:$V$1005,0))="","",INDEX(Investments!$P$6:$P$1005,MATCH($A28,Investments!$V$6:$V$1005,0))),""))</f>
        <v/>
      </c>
      <c r="G28" s="33" t="str">
        <f aca="false">IF($A28="","",IFERROR(IF(INDEX(Investments!$Q$6:$Q$1005,MATCH($A28,Investments!$V$6:$V$1005,0))="","",INDEX(Investments!$Q$6:$Q$1005,MATCH($A28,Investments!$V$6:$V$1005,0))),""))</f>
        <v/>
      </c>
      <c r="H28" s="33" t="str">
        <f aca="false">IF($A28="","",IFERROR(IF(INDEX(Investments!$M$6:$M$1005,MATCH($A28,Investments!$V$6:$V$1005,0))="","",INDEX(Investments!$M$6:$M$1005,MATCH($A28,Investments!$V$6:$V$1005,0))),""))</f>
        <v/>
      </c>
      <c r="I28" s="33" t="str">
        <f aca="false">IF($A28="","",IFERROR(IF(INDEX(Investments!$R$6:$R$1005,MATCH($A28,Investments!$V$6:$V$1005,0))="","",INDEX(Investments!$R$6:$R$1005,MATCH($A28,Investments!$V$6:$V$1005,0))),""))</f>
        <v/>
      </c>
      <c r="J28" s="34" t="str">
        <f aca="false">IF($A28="","",IFERROR(IF(INDEX(Investments!$S$6:$S$1005,MATCH($A28,Investments!$V$6:$V$1005,0))="","",INDEX(Investments!$S$6:$S$1005,MATCH($A28,Investments!$V$6:$V$1005,0))),""))</f>
        <v/>
      </c>
      <c r="K28" s="34" t="str">
        <f aca="false">IF($A28="","",IFERROR(IF(INDEX(Investments!$T$6:$T$1005,MATCH($A28,Investments!$V$6:$V$1005,0))="","",INDEX(Investments!$T$6:$T$1005,MATCH($A28,Investments!$V$6:$V$1005,0))),""))</f>
        <v/>
      </c>
    </row>
    <row r="29" customFormat="false" ht="15" hidden="false" customHeight="false" outlineLevel="0" collapsed="false">
      <c r="A29" s="47" t="str">
        <f aca="false">IF($C$4="","",IF(8&gt;COUNTIFS(Investments!$A$6:$A$1005,$C$4),"",8))</f>
        <v/>
      </c>
      <c r="B29" s="14" t="str">
        <f aca="false">IF($A29="","",IFERROR(IF(INDEX(Investments!$B$6:$B$1005,MATCH($A29,Investments!$V$6:$V$1005,0))="","",INDEX(Investments!$B$6:$B$1005,MATCH($A29,Investments!$V$6:$V$1005,0))),""))</f>
        <v/>
      </c>
      <c r="C29" s="14" t="str">
        <f aca="false">IF($A29="","",IFERROR(IF(INDEX(Investments!$D$6:$D$1005,MATCH($A29,Investments!$V$6:$V$1005,0))="","",INDEX(Investments!$D$6:$D$1005,MATCH($A29,Investments!$V$6:$V$1005,0))),""))</f>
        <v/>
      </c>
      <c r="D29" s="14" t="str">
        <f aca="false">IF($A29="","",IFERROR(IF(INDEX(Investments!$E$6:$E$1005,MATCH($A29,Investments!$V$6:$V$1005,0))="","",INDEX(Investments!$E$6:$E$1005,MATCH($A29,Investments!$V$6:$V$1005,0))),""))</f>
        <v/>
      </c>
      <c r="E29" s="48" t="str">
        <f aca="false">IF($A29="","",IFERROR(IF(INDEX(Investments!$F$6:$F$1005,MATCH($A29,Investments!$V$6:$V$1005,0))="","",INDEX(Investments!$F$6:$F$1005,MATCH($A29,Investments!$V$6:$V$1005,0))),""))</f>
        <v/>
      </c>
      <c r="F29" s="17" t="str">
        <f aca="false">IF($A29="","",IFERROR(IF(INDEX(Investments!$P$6:$P$1005,MATCH($A29,Investments!$V$6:$V$1005,0))="","",INDEX(Investments!$P$6:$P$1005,MATCH($A29,Investments!$V$6:$V$1005,0))),""))</f>
        <v/>
      </c>
      <c r="G29" s="17" t="str">
        <f aca="false">IF($A29="","",IFERROR(IF(INDEX(Investments!$Q$6:$Q$1005,MATCH($A29,Investments!$V$6:$V$1005,0))="","",INDEX(Investments!$Q$6:$Q$1005,MATCH($A29,Investments!$V$6:$V$1005,0))),""))</f>
        <v/>
      </c>
      <c r="H29" s="17" t="str">
        <f aca="false">IF($A29="","",IFERROR(IF(INDEX(Investments!$M$6:$M$1005,MATCH($A29,Investments!$V$6:$V$1005,0))="","",INDEX(Investments!$M$6:$M$1005,MATCH($A29,Investments!$V$6:$V$1005,0))),""))</f>
        <v/>
      </c>
      <c r="I29" s="17" t="str">
        <f aca="false">IF($A29="","",IFERROR(IF(INDEX(Investments!$R$6:$R$1005,MATCH($A29,Investments!$V$6:$V$1005,0))="","",INDEX(Investments!$R$6:$R$1005,MATCH($A29,Investments!$V$6:$V$1005,0))),""))</f>
        <v/>
      </c>
      <c r="J29" s="18" t="str">
        <f aca="false">IF($A29="","",IFERROR(IF(INDEX(Investments!$S$6:$S$1005,MATCH($A29,Investments!$V$6:$V$1005,0))="","",INDEX(Investments!$S$6:$S$1005,MATCH($A29,Investments!$V$6:$V$1005,0))),""))</f>
        <v/>
      </c>
      <c r="K29" s="18" t="str">
        <f aca="false">IF($A29="","",IFERROR(IF(INDEX(Investments!$T$6:$T$1005,MATCH($A29,Investments!$V$6:$V$1005,0))="","",INDEX(Investments!$T$6:$T$1005,MATCH($A29,Investments!$V$6:$V$1005,0))),""))</f>
        <v/>
      </c>
    </row>
    <row r="30" customFormat="false" ht="15" hidden="false" customHeight="false" outlineLevel="0" collapsed="false">
      <c r="A30" s="45" t="str">
        <f aca="false">IF($C$4="","",IF(9&gt;COUNTIFS(Investments!$A$6:$A$1005,$C$4),"",9))</f>
        <v/>
      </c>
      <c r="B30" s="31" t="str">
        <f aca="false">IF($A30="","",IFERROR(IF(INDEX(Investments!$B$6:$B$1005,MATCH($A30,Investments!$V$6:$V$1005,0))="","",INDEX(Investments!$B$6:$B$1005,MATCH($A30,Investments!$V$6:$V$1005,0))),""))</f>
        <v/>
      </c>
      <c r="C30" s="31" t="str">
        <f aca="false">IF($A30="","",IFERROR(IF(INDEX(Investments!$D$6:$D$1005,MATCH($A30,Investments!$V$6:$V$1005,0))="","",INDEX(Investments!$D$6:$D$1005,MATCH($A30,Investments!$V$6:$V$1005,0))),""))</f>
        <v/>
      </c>
      <c r="D30" s="31" t="str">
        <f aca="false">IF($A30="","",IFERROR(IF(INDEX(Investments!$E$6:$E$1005,MATCH($A30,Investments!$V$6:$V$1005,0))="","",INDEX(Investments!$E$6:$E$1005,MATCH($A30,Investments!$V$6:$V$1005,0))),""))</f>
        <v/>
      </c>
      <c r="E30" s="46" t="str">
        <f aca="false">IF($A30="","",IFERROR(IF(INDEX(Investments!$F$6:$F$1005,MATCH($A30,Investments!$V$6:$V$1005,0))="","",INDEX(Investments!$F$6:$F$1005,MATCH($A30,Investments!$V$6:$V$1005,0))),""))</f>
        <v/>
      </c>
      <c r="F30" s="33" t="str">
        <f aca="false">IF($A30="","",IFERROR(IF(INDEX(Investments!$P$6:$P$1005,MATCH($A30,Investments!$V$6:$V$1005,0))="","",INDEX(Investments!$P$6:$P$1005,MATCH($A30,Investments!$V$6:$V$1005,0))),""))</f>
        <v/>
      </c>
      <c r="G30" s="33" t="str">
        <f aca="false">IF($A30="","",IFERROR(IF(INDEX(Investments!$Q$6:$Q$1005,MATCH($A30,Investments!$V$6:$V$1005,0))="","",INDEX(Investments!$Q$6:$Q$1005,MATCH($A30,Investments!$V$6:$V$1005,0))),""))</f>
        <v/>
      </c>
      <c r="H30" s="33" t="str">
        <f aca="false">IF($A30="","",IFERROR(IF(INDEX(Investments!$M$6:$M$1005,MATCH($A30,Investments!$V$6:$V$1005,0))="","",INDEX(Investments!$M$6:$M$1005,MATCH($A30,Investments!$V$6:$V$1005,0))),""))</f>
        <v/>
      </c>
      <c r="I30" s="33" t="str">
        <f aca="false">IF($A30="","",IFERROR(IF(INDEX(Investments!$R$6:$R$1005,MATCH($A30,Investments!$V$6:$V$1005,0))="","",INDEX(Investments!$R$6:$R$1005,MATCH($A30,Investments!$V$6:$V$1005,0))),""))</f>
        <v/>
      </c>
      <c r="J30" s="34" t="str">
        <f aca="false">IF($A30="","",IFERROR(IF(INDEX(Investments!$S$6:$S$1005,MATCH($A30,Investments!$V$6:$V$1005,0))="","",INDEX(Investments!$S$6:$S$1005,MATCH($A30,Investments!$V$6:$V$1005,0))),""))</f>
        <v/>
      </c>
      <c r="K30" s="34" t="str">
        <f aca="false">IF($A30="","",IFERROR(IF(INDEX(Investments!$T$6:$T$1005,MATCH($A30,Investments!$V$6:$V$1005,0))="","",INDEX(Investments!$T$6:$T$1005,MATCH($A30,Investments!$V$6:$V$1005,0))),""))</f>
        <v/>
      </c>
    </row>
    <row r="31" customFormat="false" ht="15" hidden="false" customHeight="false" outlineLevel="0" collapsed="false">
      <c r="A31" s="47" t="str">
        <f aca="false">IF($C$4="","",IF(10&gt;COUNTIFS(Investments!$A$6:$A$1005,$C$4),"",10))</f>
        <v/>
      </c>
      <c r="B31" s="14" t="str">
        <f aca="false">IF($A31="","",IFERROR(IF(INDEX(Investments!$B$6:$B$1005,MATCH($A31,Investments!$V$6:$V$1005,0))="","",INDEX(Investments!$B$6:$B$1005,MATCH($A31,Investments!$V$6:$V$1005,0))),""))</f>
        <v/>
      </c>
      <c r="C31" s="14" t="str">
        <f aca="false">IF($A31="","",IFERROR(IF(INDEX(Investments!$D$6:$D$1005,MATCH($A31,Investments!$V$6:$V$1005,0))="","",INDEX(Investments!$D$6:$D$1005,MATCH($A31,Investments!$V$6:$V$1005,0))),""))</f>
        <v/>
      </c>
      <c r="D31" s="14" t="str">
        <f aca="false">IF($A31="","",IFERROR(IF(INDEX(Investments!$E$6:$E$1005,MATCH($A31,Investments!$V$6:$V$1005,0))="","",INDEX(Investments!$E$6:$E$1005,MATCH($A31,Investments!$V$6:$V$1005,0))),""))</f>
        <v/>
      </c>
      <c r="E31" s="48" t="str">
        <f aca="false">IF($A31="","",IFERROR(IF(INDEX(Investments!$F$6:$F$1005,MATCH($A31,Investments!$V$6:$V$1005,0))="","",INDEX(Investments!$F$6:$F$1005,MATCH($A31,Investments!$V$6:$V$1005,0))),""))</f>
        <v/>
      </c>
      <c r="F31" s="17" t="str">
        <f aca="false">IF($A31="","",IFERROR(IF(INDEX(Investments!$P$6:$P$1005,MATCH($A31,Investments!$V$6:$V$1005,0))="","",INDEX(Investments!$P$6:$P$1005,MATCH($A31,Investments!$V$6:$V$1005,0))),""))</f>
        <v/>
      </c>
      <c r="G31" s="17" t="str">
        <f aca="false">IF($A31="","",IFERROR(IF(INDEX(Investments!$Q$6:$Q$1005,MATCH($A31,Investments!$V$6:$V$1005,0))="","",INDEX(Investments!$Q$6:$Q$1005,MATCH($A31,Investments!$V$6:$V$1005,0))),""))</f>
        <v/>
      </c>
      <c r="H31" s="17" t="str">
        <f aca="false">IF($A31="","",IFERROR(IF(INDEX(Investments!$M$6:$M$1005,MATCH($A31,Investments!$V$6:$V$1005,0))="","",INDEX(Investments!$M$6:$M$1005,MATCH($A31,Investments!$V$6:$V$1005,0))),""))</f>
        <v/>
      </c>
      <c r="I31" s="17" t="str">
        <f aca="false">IF($A31="","",IFERROR(IF(INDEX(Investments!$R$6:$R$1005,MATCH($A31,Investments!$V$6:$V$1005,0))="","",INDEX(Investments!$R$6:$R$1005,MATCH($A31,Investments!$V$6:$V$1005,0))),""))</f>
        <v/>
      </c>
      <c r="J31" s="18" t="str">
        <f aca="false">IF($A31="","",IFERROR(IF(INDEX(Investments!$S$6:$S$1005,MATCH($A31,Investments!$V$6:$V$1005,0))="","",INDEX(Investments!$S$6:$S$1005,MATCH($A31,Investments!$V$6:$V$1005,0))),""))</f>
        <v/>
      </c>
      <c r="K31" s="18" t="str">
        <f aca="false">IF($A31="","",IFERROR(IF(INDEX(Investments!$T$6:$T$1005,MATCH($A31,Investments!$V$6:$V$1005,0))="","",INDEX(Investments!$T$6:$T$1005,MATCH($A31,Investments!$V$6:$V$1005,0))),""))</f>
        <v/>
      </c>
    </row>
    <row r="32" customFormat="false" ht="15" hidden="false" customHeight="false" outlineLevel="0" collapsed="false">
      <c r="A32" s="45" t="str">
        <f aca="false">IF($C$4="","",IF(11&gt;COUNTIFS(Investments!$A$6:$A$1005,$C$4),"",11))</f>
        <v/>
      </c>
      <c r="B32" s="31" t="str">
        <f aca="false">IF($A32="","",IFERROR(IF(INDEX(Investments!$B$6:$B$1005,MATCH($A32,Investments!$V$6:$V$1005,0))="","",INDEX(Investments!$B$6:$B$1005,MATCH($A32,Investments!$V$6:$V$1005,0))),""))</f>
        <v/>
      </c>
      <c r="C32" s="31" t="str">
        <f aca="false">IF($A32="","",IFERROR(IF(INDEX(Investments!$D$6:$D$1005,MATCH($A32,Investments!$V$6:$V$1005,0))="","",INDEX(Investments!$D$6:$D$1005,MATCH($A32,Investments!$V$6:$V$1005,0))),""))</f>
        <v/>
      </c>
      <c r="D32" s="31" t="str">
        <f aca="false">IF($A32="","",IFERROR(IF(INDEX(Investments!$E$6:$E$1005,MATCH($A32,Investments!$V$6:$V$1005,0))="","",INDEX(Investments!$E$6:$E$1005,MATCH($A32,Investments!$V$6:$V$1005,0))),""))</f>
        <v/>
      </c>
      <c r="E32" s="46" t="str">
        <f aca="false">IF($A32="","",IFERROR(IF(INDEX(Investments!$F$6:$F$1005,MATCH($A32,Investments!$V$6:$V$1005,0))="","",INDEX(Investments!$F$6:$F$1005,MATCH($A32,Investments!$V$6:$V$1005,0))),""))</f>
        <v/>
      </c>
      <c r="F32" s="33" t="str">
        <f aca="false">IF($A32="","",IFERROR(IF(INDEX(Investments!$P$6:$P$1005,MATCH($A32,Investments!$V$6:$V$1005,0))="","",INDEX(Investments!$P$6:$P$1005,MATCH($A32,Investments!$V$6:$V$1005,0))),""))</f>
        <v/>
      </c>
      <c r="G32" s="33" t="str">
        <f aca="false">IF($A32="","",IFERROR(IF(INDEX(Investments!$Q$6:$Q$1005,MATCH($A32,Investments!$V$6:$V$1005,0))="","",INDEX(Investments!$Q$6:$Q$1005,MATCH($A32,Investments!$V$6:$V$1005,0))),""))</f>
        <v/>
      </c>
      <c r="H32" s="33" t="str">
        <f aca="false">IF($A32="","",IFERROR(IF(INDEX(Investments!$M$6:$M$1005,MATCH($A32,Investments!$V$6:$V$1005,0))="","",INDEX(Investments!$M$6:$M$1005,MATCH($A32,Investments!$V$6:$V$1005,0))),""))</f>
        <v/>
      </c>
      <c r="I32" s="33" t="str">
        <f aca="false">IF($A32="","",IFERROR(IF(INDEX(Investments!$R$6:$R$1005,MATCH($A32,Investments!$V$6:$V$1005,0))="","",INDEX(Investments!$R$6:$R$1005,MATCH($A32,Investments!$V$6:$V$1005,0))),""))</f>
        <v/>
      </c>
      <c r="J32" s="34" t="str">
        <f aca="false">IF($A32="","",IFERROR(IF(INDEX(Investments!$S$6:$S$1005,MATCH($A32,Investments!$V$6:$V$1005,0))="","",INDEX(Investments!$S$6:$S$1005,MATCH($A32,Investments!$V$6:$V$1005,0))),""))</f>
        <v/>
      </c>
      <c r="K32" s="34" t="str">
        <f aca="false">IF($A32="","",IFERROR(IF(INDEX(Investments!$T$6:$T$1005,MATCH($A32,Investments!$V$6:$V$1005,0))="","",INDEX(Investments!$T$6:$T$1005,MATCH($A32,Investments!$V$6:$V$1005,0))),""))</f>
        <v/>
      </c>
    </row>
    <row r="33" customFormat="false" ht="15" hidden="false" customHeight="false" outlineLevel="0" collapsed="false">
      <c r="A33" s="47" t="str">
        <f aca="false">IF($C$4="","",IF(12&gt;COUNTIFS(Investments!$A$6:$A$1005,$C$4),"",12))</f>
        <v/>
      </c>
      <c r="B33" s="14" t="str">
        <f aca="false">IF($A33="","",IFERROR(IF(INDEX(Investments!$B$6:$B$1005,MATCH($A33,Investments!$V$6:$V$1005,0))="","",INDEX(Investments!$B$6:$B$1005,MATCH($A33,Investments!$V$6:$V$1005,0))),""))</f>
        <v/>
      </c>
      <c r="C33" s="14" t="str">
        <f aca="false">IF($A33="","",IFERROR(IF(INDEX(Investments!$D$6:$D$1005,MATCH($A33,Investments!$V$6:$V$1005,0))="","",INDEX(Investments!$D$6:$D$1005,MATCH($A33,Investments!$V$6:$V$1005,0))),""))</f>
        <v/>
      </c>
      <c r="D33" s="14" t="str">
        <f aca="false">IF($A33="","",IFERROR(IF(INDEX(Investments!$E$6:$E$1005,MATCH($A33,Investments!$V$6:$V$1005,0))="","",INDEX(Investments!$E$6:$E$1005,MATCH($A33,Investments!$V$6:$V$1005,0))),""))</f>
        <v/>
      </c>
      <c r="E33" s="48" t="str">
        <f aca="false">IF($A33="","",IFERROR(IF(INDEX(Investments!$F$6:$F$1005,MATCH($A33,Investments!$V$6:$V$1005,0))="","",INDEX(Investments!$F$6:$F$1005,MATCH($A33,Investments!$V$6:$V$1005,0))),""))</f>
        <v/>
      </c>
      <c r="F33" s="17" t="str">
        <f aca="false">IF($A33="","",IFERROR(IF(INDEX(Investments!$P$6:$P$1005,MATCH($A33,Investments!$V$6:$V$1005,0))="","",INDEX(Investments!$P$6:$P$1005,MATCH($A33,Investments!$V$6:$V$1005,0))),""))</f>
        <v/>
      </c>
      <c r="G33" s="17" t="str">
        <f aca="false">IF($A33="","",IFERROR(IF(INDEX(Investments!$Q$6:$Q$1005,MATCH($A33,Investments!$V$6:$V$1005,0))="","",INDEX(Investments!$Q$6:$Q$1005,MATCH($A33,Investments!$V$6:$V$1005,0))),""))</f>
        <v/>
      </c>
      <c r="H33" s="17" t="str">
        <f aca="false">IF($A33="","",IFERROR(IF(INDEX(Investments!$M$6:$M$1005,MATCH($A33,Investments!$V$6:$V$1005,0))="","",INDEX(Investments!$M$6:$M$1005,MATCH($A33,Investments!$V$6:$V$1005,0))),""))</f>
        <v/>
      </c>
      <c r="I33" s="17" t="str">
        <f aca="false">IF($A33="","",IFERROR(IF(INDEX(Investments!$R$6:$R$1005,MATCH($A33,Investments!$V$6:$V$1005,0))="","",INDEX(Investments!$R$6:$R$1005,MATCH($A33,Investments!$V$6:$V$1005,0))),""))</f>
        <v/>
      </c>
      <c r="J33" s="18" t="str">
        <f aca="false">IF($A33="","",IFERROR(IF(INDEX(Investments!$S$6:$S$1005,MATCH($A33,Investments!$V$6:$V$1005,0))="","",INDEX(Investments!$S$6:$S$1005,MATCH($A33,Investments!$V$6:$V$1005,0))),""))</f>
        <v/>
      </c>
      <c r="K33" s="18" t="str">
        <f aca="false">IF($A33="","",IFERROR(IF(INDEX(Investments!$T$6:$T$1005,MATCH($A33,Investments!$V$6:$V$1005,0))="","",INDEX(Investments!$T$6:$T$1005,MATCH($A33,Investments!$V$6:$V$1005,0))),""))</f>
        <v/>
      </c>
    </row>
    <row r="34" customFormat="false" ht="15" hidden="false" customHeight="false" outlineLevel="0" collapsed="false">
      <c r="A34" s="45" t="str">
        <f aca="false">IF($C$4="","",IF(13&gt;COUNTIFS(Investments!$A$6:$A$1005,$C$4),"",13))</f>
        <v/>
      </c>
      <c r="B34" s="31" t="str">
        <f aca="false">IF($A34="","",IFERROR(IF(INDEX(Investments!$B$6:$B$1005,MATCH($A34,Investments!$V$6:$V$1005,0))="","",INDEX(Investments!$B$6:$B$1005,MATCH($A34,Investments!$V$6:$V$1005,0))),""))</f>
        <v/>
      </c>
      <c r="C34" s="31" t="str">
        <f aca="false">IF($A34="","",IFERROR(IF(INDEX(Investments!$D$6:$D$1005,MATCH($A34,Investments!$V$6:$V$1005,0))="","",INDEX(Investments!$D$6:$D$1005,MATCH($A34,Investments!$V$6:$V$1005,0))),""))</f>
        <v/>
      </c>
      <c r="D34" s="31" t="str">
        <f aca="false">IF($A34="","",IFERROR(IF(INDEX(Investments!$E$6:$E$1005,MATCH($A34,Investments!$V$6:$V$1005,0))="","",INDEX(Investments!$E$6:$E$1005,MATCH($A34,Investments!$V$6:$V$1005,0))),""))</f>
        <v/>
      </c>
      <c r="E34" s="46" t="str">
        <f aca="false">IF($A34="","",IFERROR(IF(INDEX(Investments!$F$6:$F$1005,MATCH($A34,Investments!$V$6:$V$1005,0))="","",INDEX(Investments!$F$6:$F$1005,MATCH($A34,Investments!$V$6:$V$1005,0))),""))</f>
        <v/>
      </c>
      <c r="F34" s="33" t="str">
        <f aca="false">IF($A34="","",IFERROR(IF(INDEX(Investments!$P$6:$P$1005,MATCH($A34,Investments!$V$6:$V$1005,0))="","",INDEX(Investments!$P$6:$P$1005,MATCH($A34,Investments!$V$6:$V$1005,0))),""))</f>
        <v/>
      </c>
      <c r="G34" s="33" t="str">
        <f aca="false">IF($A34="","",IFERROR(IF(INDEX(Investments!$Q$6:$Q$1005,MATCH($A34,Investments!$V$6:$V$1005,0))="","",INDEX(Investments!$Q$6:$Q$1005,MATCH($A34,Investments!$V$6:$V$1005,0))),""))</f>
        <v/>
      </c>
      <c r="H34" s="33" t="str">
        <f aca="false">IF($A34="","",IFERROR(IF(INDEX(Investments!$M$6:$M$1005,MATCH($A34,Investments!$V$6:$V$1005,0))="","",INDEX(Investments!$M$6:$M$1005,MATCH($A34,Investments!$V$6:$V$1005,0))),""))</f>
        <v/>
      </c>
      <c r="I34" s="33" t="str">
        <f aca="false">IF($A34="","",IFERROR(IF(INDEX(Investments!$R$6:$R$1005,MATCH($A34,Investments!$V$6:$V$1005,0))="","",INDEX(Investments!$R$6:$R$1005,MATCH($A34,Investments!$V$6:$V$1005,0))),""))</f>
        <v/>
      </c>
      <c r="J34" s="34" t="str">
        <f aca="false">IF($A34="","",IFERROR(IF(INDEX(Investments!$S$6:$S$1005,MATCH($A34,Investments!$V$6:$V$1005,0))="","",INDEX(Investments!$S$6:$S$1005,MATCH($A34,Investments!$V$6:$V$1005,0))),""))</f>
        <v/>
      </c>
      <c r="K34" s="34" t="str">
        <f aca="false">IF($A34="","",IFERROR(IF(INDEX(Investments!$T$6:$T$1005,MATCH($A34,Investments!$V$6:$V$1005,0))="","",INDEX(Investments!$T$6:$T$1005,MATCH($A34,Investments!$V$6:$V$1005,0))),""))</f>
        <v/>
      </c>
    </row>
    <row r="35" customFormat="false" ht="15" hidden="false" customHeight="false" outlineLevel="0" collapsed="false">
      <c r="A35" s="47" t="str">
        <f aca="false">IF($C$4="","",IF(14&gt;COUNTIFS(Investments!$A$6:$A$1005,$C$4),"",14))</f>
        <v/>
      </c>
      <c r="B35" s="14" t="str">
        <f aca="false">IF($A35="","",IFERROR(IF(INDEX(Investments!$B$6:$B$1005,MATCH($A35,Investments!$V$6:$V$1005,0))="","",INDEX(Investments!$B$6:$B$1005,MATCH($A35,Investments!$V$6:$V$1005,0))),""))</f>
        <v/>
      </c>
      <c r="C35" s="14" t="str">
        <f aca="false">IF($A35="","",IFERROR(IF(INDEX(Investments!$D$6:$D$1005,MATCH($A35,Investments!$V$6:$V$1005,0))="","",INDEX(Investments!$D$6:$D$1005,MATCH($A35,Investments!$V$6:$V$1005,0))),""))</f>
        <v/>
      </c>
      <c r="D35" s="14" t="str">
        <f aca="false">IF($A35="","",IFERROR(IF(INDEX(Investments!$E$6:$E$1005,MATCH($A35,Investments!$V$6:$V$1005,0))="","",INDEX(Investments!$E$6:$E$1005,MATCH($A35,Investments!$V$6:$V$1005,0))),""))</f>
        <v/>
      </c>
      <c r="E35" s="48" t="str">
        <f aca="false">IF($A35="","",IFERROR(IF(INDEX(Investments!$F$6:$F$1005,MATCH($A35,Investments!$V$6:$V$1005,0))="","",INDEX(Investments!$F$6:$F$1005,MATCH($A35,Investments!$V$6:$V$1005,0))),""))</f>
        <v/>
      </c>
      <c r="F35" s="17" t="str">
        <f aca="false">IF($A35="","",IFERROR(IF(INDEX(Investments!$P$6:$P$1005,MATCH($A35,Investments!$V$6:$V$1005,0))="","",INDEX(Investments!$P$6:$P$1005,MATCH($A35,Investments!$V$6:$V$1005,0))),""))</f>
        <v/>
      </c>
      <c r="G35" s="17" t="str">
        <f aca="false">IF($A35="","",IFERROR(IF(INDEX(Investments!$Q$6:$Q$1005,MATCH($A35,Investments!$V$6:$V$1005,0))="","",INDEX(Investments!$Q$6:$Q$1005,MATCH($A35,Investments!$V$6:$V$1005,0))),""))</f>
        <v/>
      </c>
      <c r="H35" s="17" t="str">
        <f aca="false">IF($A35="","",IFERROR(IF(INDEX(Investments!$M$6:$M$1005,MATCH($A35,Investments!$V$6:$V$1005,0))="","",INDEX(Investments!$M$6:$M$1005,MATCH($A35,Investments!$V$6:$V$1005,0))),""))</f>
        <v/>
      </c>
      <c r="I35" s="17" t="str">
        <f aca="false">IF($A35="","",IFERROR(IF(INDEX(Investments!$R$6:$R$1005,MATCH($A35,Investments!$V$6:$V$1005,0))="","",INDEX(Investments!$R$6:$R$1005,MATCH($A35,Investments!$V$6:$V$1005,0))),""))</f>
        <v/>
      </c>
      <c r="J35" s="18" t="str">
        <f aca="false">IF($A35="","",IFERROR(IF(INDEX(Investments!$S$6:$S$1005,MATCH($A35,Investments!$V$6:$V$1005,0))="","",INDEX(Investments!$S$6:$S$1005,MATCH($A35,Investments!$V$6:$V$1005,0))),""))</f>
        <v/>
      </c>
      <c r="K35" s="18" t="str">
        <f aca="false">IF($A35="","",IFERROR(IF(INDEX(Investments!$T$6:$T$1005,MATCH($A35,Investments!$V$6:$V$1005,0))="","",INDEX(Investments!$T$6:$T$1005,MATCH($A35,Investments!$V$6:$V$1005,0))),""))</f>
        <v/>
      </c>
    </row>
    <row r="36" customFormat="false" ht="15" hidden="false" customHeight="false" outlineLevel="0" collapsed="false">
      <c r="A36" s="45" t="str">
        <f aca="false">IF($C$4="","",IF(15&gt;COUNTIFS(Investments!$A$6:$A$1005,$C$4),"",15))</f>
        <v/>
      </c>
      <c r="B36" s="31" t="str">
        <f aca="false">IF($A36="","",IFERROR(IF(INDEX(Investments!$B$6:$B$1005,MATCH($A36,Investments!$V$6:$V$1005,0))="","",INDEX(Investments!$B$6:$B$1005,MATCH($A36,Investments!$V$6:$V$1005,0))),""))</f>
        <v/>
      </c>
      <c r="C36" s="31" t="str">
        <f aca="false">IF($A36="","",IFERROR(IF(INDEX(Investments!$D$6:$D$1005,MATCH($A36,Investments!$V$6:$V$1005,0))="","",INDEX(Investments!$D$6:$D$1005,MATCH($A36,Investments!$V$6:$V$1005,0))),""))</f>
        <v/>
      </c>
      <c r="D36" s="31" t="str">
        <f aca="false">IF($A36="","",IFERROR(IF(INDEX(Investments!$E$6:$E$1005,MATCH($A36,Investments!$V$6:$V$1005,0))="","",INDEX(Investments!$E$6:$E$1005,MATCH($A36,Investments!$V$6:$V$1005,0))),""))</f>
        <v/>
      </c>
      <c r="E36" s="46" t="str">
        <f aca="false">IF($A36="","",IFERROR(IF(INDEX(Investments!$F$6:$F$1005,MATCH($A36,Investments!$V$6:$V$1005,0))="","",INDEX(Investments!$F$6:$F$1005,MATCH($A36,Investments!$V$6:$V$1005,0))),""))</f>
        <v/>
      </c>
      <c r="F36" s="33" t="str">
        <f aca="false">IF($A36="","",IFERROR(IF(INDEX(Investments!$P$6:$P$1005,MATCH($A36,Investments!$V$6:$V$1005,0))="","",INDEX(Investments!$P$6:$P$1005,MATCH($A36,Investments!$V$6:$V$1005,0))),""))</f>
        <v/>
      </c>
      <c r="G36" s="33" t="str">
        <f aca="false">IF($A36="","",IFERROR(IF(INDEX(Investments!$Q$6:$Q$1005,MATCH($A36,Investments!$V$6:$V$1005,0))="","",INDEX(Investments!$Q$6:$Q$1005,MATCH($A36,Investments!$V$6:$V$1005,0))),""))</f>
        <v/>
      </c>
      <c r="H36" s="33" t="str">
        <f aca="false">IF($A36="","",IFERROR(IF(INDEX(Investments!$M$6:$M$1005,MATCH($A36,Investments!$V$6:$V$1005,0))="","",INDEX(Investments!$M$6:$M$1005,MATCH($A36,Investments!$V$6:$V$1005,0))),""))</f>
        <v/>
      </c>
      <c r="I36" s="33" t="str">
        <f aca="false">IF($A36="","",IFERROR(IF(INDEX(Investments!$R$6:$R$1005,MATCH($A36,Investments!$V$6:$V$1005,0))="","",INDEX(Investments!$R$6:$R$1005,MATCH($A36,Investments!$V$6:$V$1005,0))),""))</f>
        <v/>
      </c>
      <c r="J36" s="34" t="str">
        <f aca="false">IF($A36="","",IFERROR(IF(INDEX(Investments!$S$6:$S$1005,MATCH($A36,Investments!$V$6:$V$1005,0))="","",INDEX(Investments!$S$6:$S$1005,MATCH($A36,Investments!$V$6:$V$1005,0))),""))</f>
        <v/>
      </c>
      <c r="K36" s="34" t="str">
        <f aca="false">IF($A36="","",IFERROR(IF(INDEX(Investments!$T$6:$T$1005,MATCH($A36,Investments!$V$6:$V$1005,0))="","",INDEX(Investments!$T$6:$T$1005,MATCH($A36,Investments!$V$6:$V$1005,0))),""))</f>
        <v/>
      </c>
    </row>
    <row r="37" customFormat="false" ht="15" hidden="false" customHeight="false" outlineLevel="0" collapsed="false">
      <c r="A37" s="47" t="str">
        <f aca="false">IF($C$4="","",IF(16&gt;COUNTIFS(Investments!$A$6:$A$1005,$C$4),"",16))</f>
        <v/>
      </c>
      <c r="B37" s="14" t="str">
        <f aca="false">IF($A37="","",IFERROR(IF(INDEX(Investments!$B$6:$B$1005,MATCH($A37,Investments!$V$6:$V$1005,0))="","",INDEX(Investments!$B$6:$B$1005,MATCH($A37,Investments!$V$6:$V$1005,0))),""))</f>
        <v/>
      </c>
      <c r="C37" s="14" t="str">
        <f aca="false">IF($A37="","",IFERROR(IF(INDEX(Investments!$D$6:$D$1005,MATCH($A37,Investments!$V$6:$V$1005,0))="","",INDEX(Investments!$D$6:$D$1005,MATCH($A37,Investments!$V$6:$V$1005,0))),""))</f>
        <v/>
      </c>
      <c r="D37" s="14" t="str">
        <f aca="false">IF($A37="","",IFERROR(IF(INDEX(Investments!$E$6:$E$1005,MATCH($A37,Investments!$V$6:$V$1005,0))="","",INDEX(Investments!$E$6:$E$1005,MATCH($A37,Investments!$V$6:$V$1005,0))),""))</f>
        <v/>
      </c>
      <c r="E37" s="48" t="str">
        <f aca="false">IF($A37="","",IFERROR(IF(INDEX(Investments!$F$6:$F$1005,MATCH($A37,Investments!$V$6:$V$1005,0))="","",INDEX(Investments!$F$6:$F$1005,MATCH($A37,Investments!$V$6:$V$1005,0))),""))</f>
        <v/>
      </c>
      <c r="F37" s="17" t="str">
        <f aca="false">IF($A37="","",IFERROR(IF(INDEX(Investments!$P$6:$P$1005,MATCH($A37,Investments!$V$6:$V$1005,0))="","",INDEX(Investments!$P$6:$P$1005,MATCH($A37,Investments!$V$6:$V$1005,0))),""))</f>
        <v/>
      </c>
      <c r="G37" s="17" t="str">
        <f aca="false">IF($A37="","",IFERROR(IF(INDEX(Investments!$Q$6:$Q$1005,MATCH($A37,Investments!$V$6:$V$1005,0))="","",INDEX(Investments!$Q$6:$Q$1005,MATCH($A37,Investments!$V$6:$V$1005,0))),""))</f>
        <v/>
      </c>
      <c r="H37" s="17" t="str">
        <f aca="false">IF($A37="","",IFERROR(IF(INDEX(Investments!$M$6:$M$1005,MATCH($A37,Investments!$V$6:$V$1005,0))="","",INDEX(Investments!$M$6:$M$1005,MATCH($A37,Investments!$V$6:$V$1005,0))),""))</f>
        <v/>
      </c>
      <c r="I37" s="17" t="str">
        <f aca="false">IF($A37="","",IFERROR(IF(INDEX(Investments!$R$6:$R$1005,MATCH($A37,Investments!$V$6:$V$1005,0))="","",INDEX(Investments!$R$6:$R$1005,MATCH($A37,Investments!$V$6:$V$1005,0))),""))</f>
        <v/>
      </c>
      <c r="J37" s="18" t="str">
        <f aca="false">IF($A37="","",IFERROR(IF(INDEX(Investments!$S$6:$S$1005,MATCH($A37,Investments!$V$6:$V$1005,0))="","",INDEX(Investments!$S$6:$S$1005,MATCH($A37,Investments!$V$6:$V$1005,0))),""))</f>
        <v/>
      </c>
      <c r="K37" s="18" t="str">
        <f aca="false">IF($A37="","",IFERROR(IF(INDEX(Investments!$T$6:$T$1005,MATCH($A37,Investments!$V$6:$V$1005,0))="","",INDEX(Investments!$T$6:$T$1005,MATCH($A37,Investments!$V$6:$V$1005,0))),""))</f>
        <v/>
      </c>
    </row>
    <row r="38" customFormat="false" ht="15" hidden="false" customHeight="false" outlineLevel="0" collapsed="false">
      <c r="A38" s="45" t="str">
        <f aca="false">IF($C$4="","",IF(17&gt;COUNTIFS(Investments!$A$6:$A$1005,$C$4),"",17))</f>
        <v/>
      </c>
      <c r="B38" s="31" t="str">
        <f aca="false">IF($A38="","",IFERROR(IF(INDEX(Investments!$B$6:$B$1005,MATCH($A38,Investments!$V$6:$V$1005,0))="","",INDEX(Investments!$B$6:$B$1005,MATCH($A38,Investments!$V$6:$V$1005,0))),""))</f>
        <v/>
      </c>
      <c r="C38" s="31" t="str">
        <f aca="false">IF($A38="","",IFERROR(IF(INDEX(Investments!$D$6:$D$1005,MATCH($A38,Investments!$V$6:$V$1005,0))="","",INDEX(Investments!$D$6:$D$1005,MATCH($A38,Investments!$V$6:$V$1005,0))),""))</f>
        <v/>
      </c>
      <c r="D38" s="31" t="str">
        <f aca="false">IF($A38="","",IFERROR(IF(INDEX(Investments!$E$6:$E$1005,MATCH($A38,Investments!$V$6:$V$1005,0))="","",INDEX(Investments!$E$6:$E$1005,MATCH($A38,Investments!$V$6:$V$1005,0))),""))</f>
        <v/>
      </c>
      <c r="E38" s="46" t="str">
        <f aca="false">IF($A38="","",IFERROR(IF(INDEX(Investments!$F$6:$F$1005,MATCH($A38,Investments!$V$6:$V$1005,0))="","",INDEX(Investments!$F$6:$F$1005,MATCH($A38,Investments!$V$6:$V$1005,0))),""))</f>
        <v/>
      </c>
      <c r="F38" s="33" t="str">
        <f aca="false">IF($A38="","",IFERROR(IF(INDEX(Investments!$P$6:$P$1005,MATCH($A38,Investments!$V$6:$V$1005,0))="","",INDEX(Investments!$P$6:$P$1005,MATCH($A38,Investments!$V$6:$V$1005,0))),""))</f>
        <v/>
      </c>
      <c r="G38" s="33" t="str">
        <f aca="false">IF($A38="","",IFERROR(IF(INDEX(Investments!$Q$6:$Q$1005,MATCH($A38,Investments!$V$6:$V$1005,0))="","",INDEX(Investments!$Q$6:$Q$1005,MATCH($A38,Investments!$V$6:$V$1005,0))),""))</f>
        <v/>
      </c>
      <c r="H38" s="33" t="str">
        <f aca="false">IF($A38="","",IFERROR(IF(INDEX(Investments!$M$6:$M$1005,MATCH($A38,Investments!$V$6:$V$1005,0))="","",INDEX(Investments!$M$6:$M$1005,MATCH($A38,Investments!$V$6:$V$1005,0))),""))</f>
        <v/>
      </c>
      <c r="I38" s="33" t="str">
        <f aca="false">IF($A38="","",IFERROR(IF(INDEX(Investments!$R$6:$R$1005,MATCH($A38,Investments!$V$6:$V$1005,0))="","",INDEX(Investments!$R$6:$R$1005,MATCH($A38,Investments!$V$6:$V$1005,0))),""))</f>
        <v/>
      </c>
      <c r="J38" s="34" t="str">
        <f aca="false">IF($A38="","",IFERROR(IF(INDEX(Investments!$S$6:$S$1005,MATCH($A38,Investments!$V$6:$V$1005,0))="","",INDEX(Investments!$S$6:$S$1005,MATCH($A38,Investments!$V$6:$V$1005,0))),""))</f>
        <v/>
      </c>
      <c r="K38" s="34" t="str">
        <f aca="false">IF($A38="","",IFERROR(IF(INDEX(Investments!$T$6:$T$1005,MATCH($A38,Investments!$V$6:$V$1005,0))="","",INDEX(Investments!$T$6:$T$1005,MATCH($A38,Investments!$V$6:$V$1005,0))),""))</f>
        <v/>
      </c>
    </row>
    <row r="39" customFormat="false" ht="15" hidden="false" customHeight="false" outlineLevel="0" collapsed="false">
      <c r="A39" s="47" t="str">
        <f aca="false">IF($C$4="","",IF(18&gt;COUNTIFS(Investments!$A$6:$A$1005,$C$4),"",18))</f>
        <v/>
      </c>
      <c r="B39" s="14" t="str">
        <f aca="false">IF($A39="","",IFERROR(IF(INDEX(Investments!$B$6:$B$1005,MATCH($A39,Investments!$V$6:$V$1005,0))="","",INDEX(Investments!$B$6:$B$1005,MATCH($A39,Investments!$V$6:$V$1005,0))),""))</f>
        <v/>
      </c>
      <c r="C39" s="14" t="str">
        <f aca="false">IF($A39="","",IFERROR(IF(INDEX(Investments!$D$6:$D$1005,MATCH($A39,Investments!$V$6:$V$1005,0))="","",INDEX(Investments!$D$6:$D$1005,MATCH($A39,Investments!$V$6:$V$1005,0))),""))</f>
        <v/>
      </c>
      <c r="D39" s="14" t="str">
        <f aca="false">IF($A39="","",IFERROR(IF(INDEX(Investments!$E$6:$E$1005,MATCH($A39,Investments!$V$6:$V$1005,0))="","",INDEX(Investments!$E$6:$E$1005,MATCH($A39,Investments!$V$6:$V$1005,0))),""))</f>
        <v/>
      </c>
      <c r="E39" s="48" t="str">
        <f aca="false">IF($A39="","",IFERROR(IF(INDEX(Investments!$F$6:$F$1005,MATCH($A39,Investments!$V$6:$V$1005,0))="","",INDEX(Investments!$F$6:$F$1005,MATCH($A39,Investments!$V$6:$V$1005,0))),""))</f>
        <v/>
      </c>
      <c r="F39" s="17" t="str">
        <f aca="false">IF($A39="","",IFERROR(IF(INDEX(Investments!$P$6:$P$1005,MATCH($A39,Investments!$V$6:$V$1005,0))="","",INDEX(Investments!$P$6:$P$1005,MATCH($A39,Investments!$V$6:$V$1005,0))),""))</f>
        <v/>
      </c>
      <c r="G39" s="17" t="str">
        <f aca="false">IF($A39="","",IFERROR(IF(INDEX(Investments!$Q$6:$Q$1005,MATCH($A39,Investments!$V$6:$V$1005,0))="","",INDEX(Investments!$Q$6:$Q$1005,MATCH($A39,Investments!$V$6:$V$1005,0))),""))</f>
        <v/>
      </c>
      <c r="H39" s="17" t="str">
        <f aca="false">IF($A39="","",IFERROR(IF(INDEX(Investments!$M$6:$M$1005,MATCH($A39,Investments!$V$6:$V$1005,0))="","",INDEX(Investments!$M$6:$M$1005,MATCH($A39,Investments!$V$6:$V$1005,0))),""))</f>
        <v/>
      </c>
      <c r="I39" s="17" t="str">
        <f aca="false">IF($A39="","",IFERROR(IF(INDEX(Investments!$R$6:$R$1005,MATCH($A39,Investments!$V$6:$V$1005,0))="","",INDEX(Investments!$R$6:$R$1005,MATCH($A39,Investments!$V$6:$V$1005,0))),""))</f>
        <v/>
      </c>
      <c r="J39" s="18" t="str">
        <f aca="false">IF($A39="","",IFERROR(IF(INDEX(Investments!$S$6:$S$1005,MATCH($A39,Investments!$V$6:$V$1005,0))="","",INDEX(Investments!$S$6:$S$1005,MATCH($A39,Investments!$V$6:$V$1005,0))),""))</f>
        <v/>
      </c>
      <c r="K39" s="18" t="str">
        <f aca="false">IF($A39="","",IFERROR(IF(INDEX(Investments!$T$6:$T$1005,MATCH($A39,Investments!$V$6:$V$1005,0))="","",INDEX(Investments!$T$6:$T$1005,MATCH($A39,Investments!$V$6:$V$1005,0))),""))</f>
        <v/>
      </c>
    </row>
    <row r="40" customFormat="false" ht="15" hidden="false" customHeight="false" outlineLevel="0" collapsed="false">
      <c r="A40" s="45" t="str">
        <f aca="false">IF($C$4="","",IF(19&gt;COUNTIFS(Investments!$A$6:$A$1005,$C$4),"",19))</f>
        <v/>
      </c>
      <c r="B40" s="31" t="str">
        <f aca="false">IF($A40="","",IFERROR(IF(INDEX(Investments!$B$6:$B$1005,MATCH($A40,Investments!$V$6:$V$1005,0))="","",INDEX(Investments!$B$6:$B$1005,MATCH($A40,Investments!$V$6:$V$1005,0))),""))</f>
        <v/>
      </c>
      <c r="C40" s="31" t="str">
        <f aca="false">IF($A40="","",IFERROR(IF(INDEX(Investments!$D$6:$D$1005,MATCH($A40,Investments!$V$6:$V$1005,0))="","",INDEX(Investments!$D$6:$D$1005,MATCH($A40,Investments!$V$6:$V$1005,0))),""))</f>
        <v/>
      </c>
      <c r="D40" s="31" t="str">
        <f aca="false">IF($A40="","",IFERROR(IF(INDEX(Investments!$E$6:$E$1005,MATCH($A40,Investments!$V$6:$V$1005,0))="","",INDEX(Investments!$E$6:$E$1005,MATCH($A40,Investments!$V$6:$V$1005,0))),""))</f>
        <v/>
      </c>
      <c r="E40" s="46" t="str">
        <f aca="false">IF($A40="","",IFERROR(IF(INDEX(Investments!$F$6:$F$1005,MATCH($A40,Investments!$V$6:$V$1005,0))="","",INDEX(Investments!$F$6:$F$1005,MATCH($A40,Investments!$V$6:$V$1005,0))),""))</f>
        <v/>
      </c>
      <c r="F40" s="33" t="str">
        <f aca="false">IF($A40="","",IFERROR(IF(INDEX(Investments!$P$6:$P$1005,MATCH($A40,Investments!$V$6:$V$1005,0))="","",INDEX(Investments!$P$6:$P$1005,MATCH($A40,Investments!$V$6:$V$1005,0))),""))</f>
        <v/>
      </c>
      <c r="G40" s="33" t="str">
        <f aca="false">IF($A40="","",IFERROR(IF(INDEX(Investments!$Q$6:$Q$1005,MATCH($A40,Investments!$V$6:$V$1005,0))="","",INDEX(Investments!$Q$6:$Q$1005,MATCH($A40,Investments!$V$6:$V$1005,0))),""))</f>
        <v/>
      </c>
      <c r="H40" s="33" t="str">
        <f aca="false">IF($A40="","",IFERROR(IF(INDEX(Investments!$M$6:$M$1005,MATCH($A40,Investments!$V$6:$V$1005,0))="","",INDEX(Investments!$M$6:$M$1005,MATCH($A40,Investments!$V$6:$V$1005,0))),""))</f>
        <v/>
      </c>
      <c r="I40" s="33" t="str">
        <f aca="false">IF($A40="","",IFERROR(IF(INDEX(Investments!$R$6:$R$1005,MATCH($A40,Investments!$V$6:$V$1005,0))="","",INDEX(Investments!$R$6:$R$1005,MATCH($A40,Investments!$V$6:$V$1005,0))),""))</f>
        <v/>
      </c>
      <c r="J40" s="34" t="str">
        <f aca="false">IF($A40="","",IFERROR(IF(INDEX(Investments!$S$6:$S$1005,MATCH($A40,Investments!$V$6:$V$1005,0))="","",INDEX(Investments!$S$6:$S$1005,MATCH($A40,Investments!$V$6:$V$1005,0))),""))</f>
        <v/>
      </c>
      <c r="K40" s="34" t="str">
        <f aca="false">IF($A40="","",IFERROR(IF(INDEX(Investments!$T$6:$T$1005,MATCH($A40,Investments!$V$6:$V$1005,0))="","",INDEX(Investments!$T$6:$T$1005,MATCH($A40,Investments!$V$6:$V$1005,0))),""))</f>
        <v/>
      </c>
    </row>
    <row r="41" customFormat="false" ht="15" hidden="false" customHeight="false" outlineLevel="0" collapsed="false">
      <c r="A41" s="47" t="str">
        <f aca="false">IF($C$4="","",IF(20&gt;COUNTIFS(Investments!$A$6:$A$1005,$C$4),"",20))</f>
        <v/>
      </c>
      <c r="B41" s="14" t="str">
        <f aca="false">IF($A41="","",IFERROR(IF(INDEX(Investments!$B$6:$B$1005,MATCH($A41,Investments!$V$6:$V$1005,0))="","",INDEX(Investments!$B$6:$B$1005,MATCH($A41,Investments!$V$6:$V$1005,0))),""))</f>
        <v/>
      </c>
      <c r="C41" s="14" t="str">
        <f aca="false">IF($A41="","",IFERROR(IF(INDEX(Investments!$D$6:$D$1005,MATCH($A41,Investments!$V$6:$V$1005,0))="","",INDEX(Investments!$D$6:$D$1005,MATCH($A41,Investments!$V$6:$V$1005,0))),""))</f>
        <v/>
      </c>
      <c r="D41" s="14" t="str">
        <f aca="false">IF($A41="","",IFERROR(IF(INDEX(Investments!$E$6:$E$1005,MATCH($A41,Investments!$V$6:$V$1005,0))="","",INDEX(Investments!$E$6:$E$1005,MATCH($A41,Investments!$V$6:$V$1005,0))),""))</f>
        <v/>
      </c>
      <c r="E41" s="48" t="str">
        <f aca="false">IF($A41="","",IFERROR(IF(INDEX(Investments!$F$6:$F$1005,MATCH($A41,Investments!$V$6:$V$1005,0))="","",INDEX(Investments!$F$6:$F$1005,MATCH($A41,Investments!$V$6:$V$1005,0))),""))</f>
        <v/>
      </c>
      <c r="F41" s="17" t="str">
        <f aca="false">IF($A41="","",IFERROR(IF(INDEX(Investments!$P$6:$P$1005,MATCH($A41,Investments!$V$6:$V$1005,0))="","",INDEX(Investments!$P$6:$P$1005,MATCH($A41,Investments!$V$6:$V$1005,0))),""))</f>
        <v/>
      </c>
      <c r="G41" s="17" t="str">
        <f aca="false">IF($A41="","",IFERROR(IF(INDEX(Investments!$Q$6:$Q$1005,MATCH($A41,Investments!$V$6:$V$1005,0))="","",INDEX(Investments!$Q$6:$Q$1005,MATCH($A41,Investments!$V$6:$V$1005,0))),""))</f>
        <v/>
      </c>
      <c r="H41" s="17" t="str">
        <f aca="false">IF($A41="","",IFERROR(IF(INDEX(Investments!$M$6:$M$1005,MATCH($A41,Investments!$V$6:$V$1005,0))="","",INDEX(Investments!$M$6:$M$1005,MATCH($A41,Investments!$V$6:$V$1005,0))),""))</f>
        <v/>
      </c>
      <c r="I41" s="17" t="str">
        <f aca="false">IF($A41="","",IFERROR(IF(INDEX(Investments!$R$6:$R$1005,MATCH($A41,Investments!$V$6:$V$1005,0))="","",INDEX(Investments!$R$6:$R$1005,MATCH($A41,Investments!$V$6:$V$1005,0))),""))</f>
        <v/>
      </c>
      <c r="J41" s="18" t="str">
        <f aca="false">IF($A41="","",IFERROR(IF(INDEX(Investments!$S$6:$S$1005,MATCH($A41,Investments!$V$6:$V$1005,0))="","",INDEX(Investments!$S$6:$S$1005,MATCH($A41,Investments!$V$6:$V$1005,0))),""))</f>
        <v/>
      </c>
      <c r="K41" s="18" t="str">
        <f aca="false">IF($A41="","",IFERROR(IF(INDEX(Investments!$T$6:$T$1005,MATCH($A41,Investments!$V$6:$V$1005,0))="","",INDEX(Investments!$T$6:$T$1005,MATCH($A41,Investments!$V$6:$V$1005,0))),""))</f>
        <v/>
      </c>
    </row>
    <row r="42" customFormat="false" ht="15" hidden="false" customHeight="false" outlineLevel="0" collapsed="false">
      <c r="A42" s="45" t="str">
        <f aca="false">IF($C$4="","",IF(21&gt;COUNTIFS(Investments!$A$6:$A$1005,$C$4),"",21))</f>
        <v/>
      </c>
      <c r="B42" s="31" t="str">
        <f aca="false">IF($A42="","",IFERROR(IF(INDEX(Investments!$B$6:$B$1005,MATCH($A42,Investments!$V$6:$V$1005,0))="","",INDEX(Investments!$B$6:$B$1005,MATCH($A42,Investments!$V$6:$V$1005,0))),""))</f>
        <v/>
      </c>
      <c r="C42" s="31" t="str">
        <f aca="false">IF($A42="","",IFERROR(IF(INDEX(Investments!$D$6:$D$1005,MATCH($A42,Investments!$V$6:$V$1005,0))="","",INDEX(Investments!$D$6:$D$1005,MATCH($A42,Investments!$V$6:$V$1005,0))),""))</f>
        <v/>
      </c>
      <c r="D42" s="31" t="str">
        <f aca="false">IF($A42="","",IFERROR(IF(INDEX(Investments!$E$6:$E$1005,MATCH($A42,Investments!$V$6:$V$1005,0))="","",INDEX(Investments!$E$6:$E$1005,MATCH($A42,Investments!$V$6:$V$1005,0))),""))</f>
        <v/>
      </c>
      <c r="E42" s="46" t="str">
        <f aca="false">IF($A42="","",IFERROR(IF(INDEX(Investments!$F$6:$F$1005,MATCH($A42,Investments!$V$6:$V$1005,0))="","",INDEX(Investments!$F$6:$F$1005,MATCH($A42,Investments!$V$6:$V$1005,0))),""))</f>
        <v/>
      </c>
      <c r="F42" s="33" t="str">
        <f aca="false">IF($A42="","",IFERROR(IF(INDEX(Investments!$P$6:$P$1005,MATCH($A42,Investments!$V$6:$V$1005,0))="","",INDEX(Investments!$P$6:$P$1005,MATCH($A42,Investments!$V$6:$V$1005,0))),""))</f>
        <v/>
      </c>
      <c r="G42" s="33" t="str">
        <f aca="false">IF($A42="","",IFERROR(IF(INDEX(Investments!$Q$6:$Q$1005,MATCH($A42,Investments!$V$6:$V$1005,0))="","",INDEX(Investments!$Q$6:$Q$1005,MATCH($A42,Investments!$V$6:$V$1005,0))),""))</f>
        <v/>
      </c>
      <c r="H42" s="33" t="str">
        <f aca="false">IF($A42="","",IFERROR(IF(INDEX(Investments!$M$6:$M$1005,MATCH($A42,Investments!$V$6:$V$1005,0))="","",INDEX(Investments!$M$6:$M$1005,MATCH($A42,Investments!$V$6:$V$1005,0))),""))</f>
        <v/>
      </c>
      <c r="I42" s="33" t="str">
        <f aca="false">IF($A42="","",IFERROR(IF(INDEX(Investments!$R$6:$R$1005,MATCH($A42,Investments!$V$6:$V$1005,0))="","",INDEX(Investments!$R$6:$R$1005,MATCH($A42,Investments!$V$6:$V$1005,0))),""))</f>
        <v/>
      </c>
      <c r="J42" s="34" t="str">
        <f aca="false">IF($A42="","",IFERROR(IF(INDEX(Investments!$S$6:$S$1005,MATCH($A42,Investments!$V$6:$V$1005,0))="","",INDEX(Investments!$S$6:$S$1005,MATCH($A42,Investments!$V$6:$V$1005,0))),""))</f>
        <v/>
      </c>
      <c r="K42" s="34" t="str">
        <f aca="false">IF($A42="","",IFERROR(IF(INDEX(Investments!$T$6:$T$1005,MATCH($A42,Investments!$V$6:$V$1005,0))="","",INDEX(Investments!$T$6:$T$1005,MATCH($A42,Investments!$V$6:$V$1005,0))),""))</f>
        <v/>
      </c>
    </row>
    <row r="43" customFormat="false" ht="15" hidden="false" customHeight="false" outlineLevel="0" collapsed="false">
      <c r="A43" s="47" t="str">
        <f aca="false">IF($C$4="","",IF(22&gt;COUNTIFS(Investments!$A$6:$A$1005,$C$4),"",22))</f>
        <v/>
      </c>
      <c r="B43" s="14" t="str">
        <f aca="false">IF($A43="","",IFERROR(IF(INDEX(Investments!$B$6:$B$1005,MATCH($A43,Investments!$V$6:$V$1005,0))="","",INDEX(Investments!$B$6:$B$1005,MATCH($A43,Investments!$V$6:$V$1005,0))),""))</f>
        <v/>
      </c>
      <c r="C43" s="14" t="str">
        <f aca="false">IF($A43="","",IFERROR(IF(INDEX(Investments!$D$6:$D$1005,MATCH($A43,Investments!$V$6:$V$1005,0))="","",INDEX(Investments!$D$6:$D$1005,MATCH($A43,Investments!$V$6:$V$1005,0))),""))</f>
        <v/>
      </c>
      <c r="D43" s="14" t="str">
        <f aca="false">IF($A43="","",IFERROR(IF(INDEX(Investments!$E$6:$E$1005,MATCH($A43,Investments!$V$6:$V$1005,0))="","",INDEX(Investments!$E$6:$E$1005,MATCH($A43,Investments!$V$6:$V$1005,0))),""))</f>
        <v/>
      </c>
      <c r="E43" s="48" t="str">
        <f aca="false">IF($A43="","",IFERROR(IF(INDEX(Investments!$F$6:$F$1005,MATCH($A43,Investments!$V$6:$V$1005,0))="","",INDEX(Investments!$F$6:$F$1005,MATCH($A43,Investments!$V$6:$V$1005,0))),""))</f>
        <v/>
      </c>
      <c r="F43" s="17" t="str">
        <f aca="false">IF($A43="","",IFERROR(IF(INDEX(Investments!$P$6:$P$1005,MATCH($A43,Investments!$V$6:$V$1005,0))="","",INDEX(Investments!$P$6:$P$1005,MATCH($A43,Investments!$V$6:$V$1005,0))),""))</f>
        <v/>
      </c>
      <c r="G43" s="17" t="str">
        <f aca="false">IF($A43="","",IFERROR(IF(INDEX(Investments!$Q$6:$Q$1005,MATCH($A43,Investments!$V$6:$V$1005,0))="","",INDEX(Investments!$Q$6:$Q$1005,MATCH($A43,Investments!$V$6:$V$1005,0))),""))</f>
        <v/>
      </c>
      <c r="H43" s="17" t="str">
        <f aca="false">IF($A43="","",IFERROR(IF(INDEX(Investments!$M$6:$M$1005,MATCH($A43,Investments!$V$6:$V$1005,0))="","",INDEX(Investments!$M$6:$M$1005,MATCH($A43,Investments!$V$6:$V$1005,0))),""))</f>
        <v/>
      </c>
      <c r="I43" s="17" t="str">
        <f aca="false">IF($A43="","",IFERROR(IF(INDEX(Investments!$R$6:$R$1005,MATCH($A43,Investments!$V$6:$V$1005,0))="","",INDEX(Investments!$R$6:$R$1005,MATCH($A43,Investments!$V$6:$V$1005,0))),""))</f>
        <v/>
      </c>
      <c r="J43" s="18" t="str">
        <f aca="false">IF($A43="","",IFERROR(IF(INDEX(Investments!$S$6:$S$1005,MATCH($A43,Investments!$V$6:$V$1005,0))="","",INDEX(Investments!$S$6:$S$1005,MATCH($A43,Investments!$V$6:$V$1005,0))),""))</f>
        <v/>
      </c>
      <c r="K43" s="18" t="str">
        <f aca="false">IF($A43="","",IFERROR(IF(INDEX(Investments!$T$6:$T$1005,MATCH($A43,Investments!$V$6:$V$1005,0))="","",INDEX(Investments!$T$6:$T$1005,MATCH($A43,Investments!$V$6:$V$1005,0))),""))</f>
        <v/>
      </c>
    </row>
    <row r="44" customFormat="false" ht="15" hidden="false" customHeight="false" outlineLevel="0" collapsed="false">
      <c r="A44" s="45" t="str">
        <f aca="false">IF($C$4="","",IF(23&gt;COUNTIFS(Investments!$A$6:$A$1005,$C$4),"",23))</f>
        <v/>
      </c>
      <c r="B44" s="31" t="str">
        <f aca="false">IF($A44="","",IFERROR(IF(INDEX(Investments!$B$6:$B$1005,MATCH($A44,Investments!$V$6:$V$1005,0))="","",INDEX(Investments!$B$6:$B$1005,MATCH($A44,Investments!$V$6:$V$1005,0))),""))</f>
        <v/>
      </c>
      <c r="C44" s="31" t="str">
        <f aca="false">IF($A44="","",IFERROR(IF(INDEX(Investments!$D$6:$D$1005,MATCH($A44,Investments!$V$6:$V$1005,0))="","",INDEX(Investments!$D$6:$D$1005,MATCH($A44,Investments!$V$6:$V$1005,0))),""))</f>
        <v/>
      </c>
      <c r="D44" s="31" t="str">
        <f aca="false">IF($A44="","",IFERROR(IF(INDEX(Investments!$E$6:$E$1005,MATCH($A44,Investments!$V$6:$V$1005,0))="","",INDEX(Investments!$E$6:$E$1005,MATCH($A44,Investments!$V$6:$V$1005,0))),""))</f>
        <v/>
      </c>
      <c r="E44" s="46" t="str">
        <f aca="false">IF($A44="","",IFERROR(IF(INDEX(Investments!$F$6:$F$1005,MATCH($A44,Investments!$V$6:$V$1005,0))="","",INDEX(Investments!$F$6:$F$1005,MATCH($A44,Investments!$V$6:$V$1005,0))),""))</f>
        <v/>
      </c>
      <c r="F44" s="33" t="str">
        <f aca="false">IF($A44="","",IFERROR(IF(INDEX(Investments!$P$6:$P$1005,MATCH($A44,Investments!$V$6:$V$1005,0))="","",INDEX(Investments!$P$6:$P$1005,MATCH($A44,Investments!$V$6:$V$1005,0))),""))</f>
        <v/>
      </c>
      <c r="G44" s="33" t="str">
        <f aca="false">IF($A44="","",IFERROR(IF(INDEX(Investments!$Q$6:$Q$1005,MATCH($A44,Investments!$V$6:$V$1005,0))="","",INDEX(Investments!$Q$6:$Q$1005,MATCH($A44,Investments!$V$6:$V$1005,0))),""))</f>
        <v/>
      </c>
      <c r="H44" s="33" t="str">
        <f aca="false">IF($A44="","",IFERROR(IF(INDEX(Investments!$M$6:$M$1005,MATCH($A44,Investments!$V$6:$V$1005,0))="","",INDEX(Investments!$M$6:$M$1005,MATCH($A44,Investments!$V$6:$V$1005,0))),""))</f>
        <v/>
      </c>
      <c r="I44" s="33" t="str">
        <f aca="false">IF($A44="","",IFERROR(IF(INDEX(Investments!$R$6:$R$1005,MATCH($A44,Investments!$V$6:$V$1005,0))="","",INDEX(Investments!$R$6:$R$1005,MATCH($A44,Investments!$V$6:$V$1005,0))),""))</f>
        <v/>
      </c>
      <c r="J44" s="34" t="str">
        <f aca="false">IF($A44="","",IFERROR(IF(INDEX(Investments!$S$6:$S$1005,MATCH($A44,Investments!$V$6:$V$1005,0))="","",INDEX(Investments!$S$6:$S$1005,MATCH($A44,Investments!$V$6:$V$1005,0))),""))</f>
        <v/>
      </c>
      <c r="K44" s="34" t="str">
        <f aca="false">IF($A44="","",IFERROR(IF(INDEX(Investments!$T$6:$T$1005,MATCH($A44,Investments!$V$6:$V$1005,0))="","",INDEX(Investments!$T$6:$T$1005,MATCH($A44,Investments!$V$6:$V$1005,0))),""))</f>
        <v/>
      </c>
    </row>
    <row r="45" customFormat="false" ht="15" hidden="false" customHeight="false" outlineLevel="0" collapsed="false">
      <c r="A45" s="47" t="str">
        <f aca="false">IF($C$4="","",IF(24&gt;COUNTIFS(Investments!$A$6:$A$1005,$C$4),"",24))</f>
        <v/>
      </c>
      <c r="B45" s="14" t="str">
        <f aca="false">IF($A45="","",IFERROR(IF(INDEX(Investments!$B$6:$B$1005,MATCH($A45,Investments!$V$6:$V$1005,0))="","",INDEX(Investments!$B$6:$B$1005,MATCH($A45,Investments!$V$6:$V$1005,0))),""))</f>
        <v/>
      </c>
      <c r="C45" s="14" t="str">
        <f aca="false">IF($A45="","",IFERROR(IF(INDEX(Investments!$D$6:$D$1005,MATCH($A45,Investments!$V$6:$V$1005,0))="","",INDEX(Investments!$D$6:$D$1005,MATCH($A45,Investments!$V$6:$V$1005,0))),""))</f>
        <v/>
      </c>
      <c r="D45" s="14" t="str">
        <f aca="false">IF($A45="","",IFERROR(IF(INDEX(Investments!$E$6:$E$1005,MATCH($A45,Investments!$V$6:$V$1005,0))="","",INDEX(Investments!$E$6:$E$1005,MATCH($A45,Investments!$V$6:$V$1005,0))),""))</f>
        <v/>
      </c>
      <c r="E45" s="48" t="str">
        <f aca="false">IF($A45="","",IFERROR(IF(INDEX(Investments!$F$6:$F$1005,MATCH($A45,Investments!$V$6:$V$1005,0))="","",INDEX(Investments!$F$6:$F$1005,MATCH($A45,Investments!$V$6:$V$1005,0))),""))</f>
        <v/>
      </c>
      <c r="F45" s="17" t="str">
        <f aca="false">IF($A45="","",IFERROR(IF(INDEX(Investments!$P$6:$P$1005,MATCH($A45,Investments!$V$6:$V$1005,0))="","",INDEX(Investments!$P$6:$P$1005,MATCH($A45,Investments!$V$6:$V$1005,0))),""))</f>
        <v/>
      </c>
      <c r="G45" s="17" t="str">
        <f aca="false">IF($A45="","",IFERROR(IF(INDEX(Investments!$Q$6:$Q$1005,MATCH($A45,Investments!$V$6:$V$1005,0))="","",INDEX(Investments!$Q$6:$Q$1005,MATCH($A45,Investments!$V$6:$V$1005,0))),""))</f>
        <v/>
      </c>
      <c r="H45" s="17" t="str">
        <f aca="false">IF($A45="","",IFERROR(IF(INDEX(Investments!$M$6:$M$1005,MATCH($A45,Investments!$V$6:$V$1005,0))="","",INDEX(Investments!$M$6:$M$1005,MATCH($A45,Investments!$V$6:$V$1005,0))),""))</f>
        <v/>
      </c>
      <c r="I45" s="17" t="str">
        <f aca="false">IF($A45="","",IFERROR(IF(INDEX(Investments!$R$6:$R$1005,MATCH($A45,Investments!$V$6:$V$1005,0))="","",INDEX(Investments!$R$6:$R$1005,MATCH($A45,Investments!$V$6:$V$1005,0))),""))</f>
        <v/>
      </c>
      <c r="J45" s="18" t="str">
        <f aca="false">IF($A45="","",IFERROR(IF(INDEX(Investments!$S$6:$S$1005,MATCH($A45,Investments!$V$6:$V$1005,0))="","",INDEX(Investments!$S$6:$S$1005,MATCH($A45,Investments!$V$6:$V$1005,0))),""))</f>
        <v/>
      </c>
      <c r="K45" s="18" t="str">
        <f aca="false">IF($A45="","",IFERROR(IF(INDEX(Investments!$T$6:$T$1005,MATCH($A45,Investments!$V$6:$V$1005,0))="","",INDEX(Investments!$T$6:$T$1005,MATCH($A45,Investments!$V$6:$V$1005,0))),""))</f>
        <v/>
      </c>
    </row>
    <row r="46" customFormat="false" ht="15" hidden="false" customHeight="false" outlineLevel="0" collapsed="false">
      <c r="A46" s="45" t="str">
        <f aca="false">IF($C$4="","",IF(25&gt;COUNTIFS(Investments!$A$6:$A$1005,$C$4),"",25))</f>
        <v/>
      </c>
      <c r="B46" s="31" t="str">
        <f aca="false">IF($A46="","",IFERROR(IF(INDEX(Investments!$B$6:$B$1005,MATCH($A46,Investments!$V$6:$V$1005,0))="","",INDEX(Investments!$B$6:$B$1005,MATCH($A46,Investments!$V$6:$V$1005,0))),""))</f>
        <v/>
      </c>
      <c r="C46" s="31" t="str">
        <f aca="false">IF($A46="","",IFERROR(IF(INDEX(Investments!$D$6:$D$1005,MATCH($A46,Investments!$V$6:$V$1005,0))="","",INDEX(Investments!$D$6:$D$1005,MATCH($A46,Investments!$V$6:$V$1005,0))),""))</f>
        <v/>
      </c>
      <c r="D46" s="31" t="str">
        <f aca="false">IF($A46="","",IFERROR(IF(INDEX(Investments!$E$6:$E$1005,MATCH($A46,Investments!$V$6:$V$1005,0))="","",INDEX(Investments!$E$6:$E$1005,MATCH($A46,Investments!$V$6:$V$1005,0))),""))</f>
        <v/>
      </c>
      <c r="E46" s="46" t="str">
        <f aca="false">IF($A46="","",IFERROR(IF(INDEX(Investments!$F$6:$F$1005,MATCH($A46,Investments!$V$6:$V$1005,0))="","",INDEX(Investments!$F$6:$F$1005,MATCH($A46,Investments!$V$6:$V$1005,0))),""))</f>
        <v/>
      </c>
      <c r="F46" s="33" t="str">
        <f aca="false">IF($A46="","",IFERROR(IF(INDEX(Investments!$P$6:$P$1005,MATCH($A46,Investments!$V$6:$V$1005,0))="","",INDEX(Investments!$P$6:$P$1005,MATCH($A46,Investments!$V$6:$V$1005,0))),""))</f>
        <v/>
      </c>
      <c r="G46" s="33" t="str">
        <f aca="false">IF($A46="","",IFERROR(IF(INDEX(Investments!$Q$6:$Q$1005,MATCH($A46,Investments!$V$6:$V$1005,0))="","",INDEX(Investments!$Q$6:$Q$1005,MATCH($A46,Investments!$V$6:$V$1005,0))),""))</f>
        <v/>
      </c>
      <c r="H46" s="33" t="str">
        <f aca="false">IF($A46="","",IFERROR(IF(INDEX(Investments!$M$6:$M$1005,MATCH($A46,Investments!$V$6:$V$1005,0))="","",INDEX(Investments!$M$6:$M$1005,MATCH($A46,Investments!$V$6:$V$1005,0))),""))</f>
        <v/>
      </c>
      <c r="I46" s="33" t="str">
        <f aca="false">IF($A46="","",IFERROR(IF(INDEX(Investments!$R$6:$R$1005,MATCH($A46,Investments!$V$6:$V$1005,0))="","",INDEX(Investments!$R$6:$R$1005,MATCH($A46,Investments!$V$6:$V$1005,0))),""))</f>
        <v/>
      </c>
      <c r="J46" s="34" t="str">
        <f aca="false">IF($A46="","",IFERROR(IF(INDEX(Investments!$S$6:$S$1005,MATCH($A46,Investments!$V$6:$V$1005,0))="","",INDEX(Investments!$S$6:$S$1005,MATCH($A46,Investments!$V$6:$V$1005,0))),""))</f>
        <v/>
      </c>
      <c r="K46" s="34" t="str">
        <f aca="false">IF($A46="","",IFERROR(IF(INDEX(Investments!$T$6:$T$1005,MATCH($A46,Investments!$V$6:$V$1005,0))="","",INDEX(Investments!$T$6:$T$1005,MATCH($A46,Investments!$V$6:$V$1005,0))),""))</f>
        <v/>
      </c>
    </row>
    <row r="47" customFormat="false" ht="15" hidden="false" customHeight="false" outlineLevel="0" collapsed="false">
      <c r="A47" s="47" t="str">
        <f aca="false">IF($C$4="","",IF(26&gt;COUNTIFS(Investments!$A$6:$A$1005,$C$4),"",26))</f>
        <v/>
      </c>
      <c r="B47" s="14" t="str">
        <f aca="false">IF($A47="","",IFERROR(IF(INDEX(Investments!$B$6:$B$1005,MATCH($A47,Investments!$V$6:$V$1005,0))="","",INDEX(Investments!$B$6:$B$1005,MATCH($A47,Investments!$V$6:$V$1005,0))),""))</f>
        <v/>
      </c>
      <c r="C47" s="14" t="str">
        <f aca="false">IF($A47="","",IFERROR(IF(INDEX(Investments!$D$6:$D$1005,MATCH($A47,Investments!$V$6:$V$1005,0))="","",INDEX(Investments!$D$6:$D$1005,MATCH($A47,Investments!$V$6:$V$1005,0))),""))</f>
        <v/>
      </c>
      <c r="D47" s="14" t="str">
        <f aca="false">IF($A47="","",IFERROR(IF(INDEX(Investments!$E$6:$E$1005,MATCH($A47,Investments!$V$6:$V$1005,0))="","",INDEX(Investments!$E$6:$E$1005,MATCH($A47,Investments!$V$6:$V$1005,0))),""))</f>
        <v/>
      </c>
      <c r="E47" s="48" t="str">
        <f aca="false">IF($A47="","",IFERROR(IF(INDEX(Investments!$F$6:$F$1005,MATCH($A47,Investments!$V$6:$V$1005,0))="","",INDEX(Investments!$F$6:$F$1005,MATCH($A47,Investments!$V$6:$V$1005,0))),""))</f>
        <v/>
      </c>
      <c r="F47" s="17" t="str">
        <f aca="false">IF($A47="","",IFERROR(IF(INDEX(Investments!$P$6:$P$1005,MATCH($A47,Investments!$V$6:$V$1005,0))="","",INDEX(Investments!$P$6:$P$1005,MATCH($A47,Investments!$V$6:$V$1005,0))),""))</f>
        <v/>
      </c>
      <c r="G47" s="17" t="str">
        <f aca="false">IF($A47="","",IFERROR(IF(INDEX(Investments!$Q$6:$Q$1005,MATCH($A47,Investments!$V$6:$V$1005,0))="","",INDEX(Investments!$Q$6:$Q$1005,MATCH($A47,Investments!$V$6:$V$1005,0))),""))</f>
        <v/>
      </c>
      <c r="H47" s="17" t="str">
        <f aca="false">IF($A47="","",IFERROR(IF(INDEX(Investments!$M$6:$M$1005,MATCH($A47,Investments!$V$6:$V$1005,0))="","",INDEX(Investments!$M$6:$M$1005,MATCH($A47,Investments!$V$6:$V$1005,0))),""))</f>
        <v/>
      </c>
      <c r="I47" s="17" t="str">
        <f aca="false">IF($A47="","",IFERROR(IF(INDEX(Investments!$R$6:$R$1005,MATCH($A47,Investments!$V$6:$V$1005,0))="","",INDEX(Investments!$R$6:$R$1005,MATCH($A47,Investments!$V$6:$V$1005,0))),""))</f>
        <v/>
      </c>
      <c r="J47" s="18" t="str">
        <f aca="false">IF($A47="","",IFERROR(IF(INDEX(Investments!$S$6:$S$1005,MATCH($A47,Investments!$V$6:$V$1005,0))="","",INDEX(Investments!$S$6:$S$1005,MATCH($A47,Investments!$V$6:$V$1005,0))),""))</f>
        <v/>
      </c>
      <c r="K47" s="18" t="str">
        <f aca="false">IF($A47="","",IFERROR(IF(INDEX(Investments!$T$6:$T$1005,MATCH($A47,Investments!$V$6:$V$1005,0))="","",INDEX(Investments!$T$6:$T$1005,MATCH($A47,Investments!$V$6:$V$1005,0))),""))</f>
        <v/>
      </c>
    </row>
    <row r="48" customFormat="false" ht="15" hidden="false" customHeight="false" outlineLevel="0" collapsed="false">
      <c r="A48" s="45" t="str">
        <f aca="false">IF($C$4="","",IF(27&gt;COUNTIFS(Investments!$A$6:$A$1005,$C$4),"",27))</f>
        <v/>
      </c>
      <c r="B48" s="31" t="str">
        <f aca="false">IF($A48="","",IFERROR(IF(INDEX(Investments!$B$6:$B$1005,MATCH($A48,Investments!$V$6:$V$1005,0))="","",INDEX(Investments!$B$6:$B$1005,MATCH($A48,Investments!$V$6:$V$1005,0))),""))</f>
        <v/>
      </c>
      <c r="C48" s="31" t="str">
        <f aca="false">IF($A48="","",IFERROR(IF(INDEX(Investments!$D$6:$D$1005,MATCH($A48,Investments!$V$6:$V$1005,0))="","",INDEX(Investments!$D$6:$D$1005,MATCH($A48,Investments!$V$6:$V$1005,0))),""))</f>
        <v/>
      </c>
      <c r="D48" s="31" t="str">
        <f aca="false">IF($A48="","",IFERROR(IF(INDEX(Investments!$E$6:$E$1005,MATCH($A48,Investments!$V$6:$V$1005,0))="","",INDEX(Investments!$E$6:$E$1005,MATCH($A48,Investments!$V$6:$V$1005,0))),""))</f>
        <v/>
      </c>
      <c r="E48" s="46" t="str">
        <f aca="false">IF($A48="","",IFERROR(IF(INDEX(Investments!$F$6:$F$1005,MATCH($A48,Investments!$V$6:$V$1005,0))="","",INDEX(Investments!$F$6:$F$1005,MATCH($A48,Investments!$V$6:$V$1005,0))),""))</f>
        <v/>
      </c>
      <c r="F48" s="33" t="str">
        <f aca="false">IF($A48="","",IFERROR(IF(INDEX(Investments!$P$6:$P$1005,MATCH($A48,Investments!$V$6:$V$1005,0))="","",INDEX(Investments!$P$6:$P$1005,MATCH($A48,Investments!$V$6:$V$1005,0))),""))</f>
        <v/>
      </c>
      <c r="G48" s="33" t="str">
        <f aca="false">IF($A48="","",IFERROR(IF(INDEX(Investments!$Q$6:$Q$1005,MATCH($A48,Investments!$V$6:$V$1005,0))="","",INDEX(Investments!$Q$6:$Q$1005,MATCH($A48,Investments!$V$6:$V$1005,0))),""))</f>
        <v/>
      </c>
      <c r="H48" s="33" t="str">
        <f aca="false">IF($A48="","",IFERROR(IF(INDEX(Investments!$M$6:$M$1005,MATCH($A48,Investments!$V$6:$V$1005,0))="","",INDEX(Investments!$M$6:$M$1005,MATCH($A48,Investments!$V$6:$V$1005,0))),""))</f>
        <v/>
      </c>
      <c r="I48" s="33" t="str">
        <f aca="false">IF($A48="","",IFERROR(IF(INDEX(Investments!$R$6:$R$1005,MATCH($A48,Investments!$V$6:$V$1005,0))="","",INDEX(Investments!$R$6:$R$1005,MATCH($A48,Investments!$V$6:$V$1005,0))),""))</f>
        <v/>
      </c>
      <c r="J48" s="34" t="str">
        <f aca="false">IF($A48="","",IFERROR(IF(INDEX(Investments!$S$6:$S$1005,MATCH($A48,Investments!$V$6:$V$1005,0))="","",INDEX(Investments!$S$6:$S$1005,MATCH($A48,Investments!$V$6:$V$1005,0))),""))</f>
        <v/>
      </c>
      <c r="K48" s="34" t="str">
        <f aca="false">IF($A48="","",IFERROR(IF(INDEX(Investments!$T$6:$T$1005,MATCH($A48,Investments!$V$6:$V$1005,0))="","",INDEX(Investments!$T$6:$T$1005,MATCH($A48,Investments!$V$6:$V$1005,0))),""))</f>
        <v/>
      </c>
    </row>
    <row r="49" customFormat="false" ht="15" hidden="false" customHeight="false" outlineLevel="0" collapsed="false">
      <c r="A49" s="47" t="str">
        <f aca="false">IF($C$4="","",IF(28&gt;COUNTIFS(Investments!$A$6:$A$1005,$C$4),"",28))</f>
        <v/>
      </c>
      <c r="B49" s="14" t="str">
        <f aca="false">IF($A49="","",IFERROR(IF(INDEX(Investments!$B$6:$B$1005,MATCH($A49,Investments!$V$6:$V$1005,0))="","",INDEX(Investments!$B$6:$B$1005,MATCH($A49,Investments!$V$6:$V$1005,0))),""))</f>
        <v/>
      </c>
      <c r="C49" s="14" t="str">
        <f aca="false">IF($A49="","",IFERROR(IF(INDEX(Investments!$D$6:$D$1005,MATCH($A49,Investments!$V$6:$V$1005,0))="","",INDEX(Investments!$D$6:$D$1005,MATCH($A49,Investments!$V$6:$V$1005,0))),""))</f>
        <v/>
      </c>
      <c r="D49" s="14" t="str">
        <f aca="false">IF($A49="","",IFERROR(IF(INDEX(Investments!$E$6:$E$1005,MATCH($A49,Investments!$V$6:$V$1005,0))="","",INDEX(Investments!$E$6:$E$1005,MATCH($A49,Investments!$V$6:$V$1005,0))),""))</f>
        <v/>
      </c>
      <c r="E49" s="48" t="str">
        <f aca="false">IF($A49="","",IFERROR(IF(INDEX(Investments!$F$6:$F$1005,MATCH($A49,Investments!$V$6:$V$1005,0))="","",INDEX(Investments!$F$6:$F$1005,MATCH($A49,Investments!$V$6:$V$1005,0))),""))</f>
        <v/>
      </c>
      <c r="F49" s="17" t="str">
        <f aca="false">IF($A49="","",IFERROR(IF(INDEX(Investments!$P$6:$P$1005,MATCH($A49,Investments!$V$6:$V$1005,0))="","",INDEX(Investments!$P$6:$P$1005,MATCH($A49,Investments!$V$6:$V$1005,0))),""))</f>
        <v/>
      </c>
      <c r="G49" s="17" t="str">
        <f aca="false">IF($A49="","",IFERROR(IF(INDEX(Investments!$Q$6:$Q$1005,MATCH($A49,Investments!$V$6:$V$1005,0))="","",INDEX(Investments!$Q$6:$Q$1005,MATCH($A49,Investments!$V$6:$V$1005,0))),""))</f>
        <v/>
      </c>
      <c r="H49" s="17" t="str">
        <f aca="false">IF($A49="","",IFERROR(IF(INDEX(Investments!$M$6:$M$1005,MATCH($A49,Investments!$V$6:$V$1005,0))="","",INDEX(Investments!$M$6:$M$1005,MATCH($A49,Investments!$V$6:$V$1005,0))),""))</f>
        <v/>
      </c>
      <c r="I49" s="17" t="str">
        <f aca="false">IF($A49="","",IFERROR(IF(INDEX(Investments!$R$6:$R$1005,MATCH($A49,Investments!$V$6:$V$1005,0))="","",INDEX(Investments!$R$6:$R$1005,MATCH($A49,Investments!$V$6:$V$1005,0))),""))</f>
        <v/>
      </c>
      <c r="J49" s="18" t="str">
        <f aca="false">IF($A49="","",IFERROR(IF(INDEX(Investments!$S$6:$S$1005,MATCH($A49,Investments!$V$6:$V$1005,0))="","",INDEX(Investments!$S$6:$S$1005,MATCH($A49,Investments!$V$6:$V$1005,0))),""))</f>
        <v/>
      </c>
      <c r="K49" s="18" t="str">
        <f aca="false">IF($A49="","",IFERROR(IF(INDEX(Investments!$T$6:$T$1005,MATCH($A49,Investments!$V$6:$V$1005,0))="","",INDEX(Investments!$T$6:$T$1005,MATCH($A49,Investments!$V$6:$V$1005,0))),""))</f>
        <v/>
      </c>
    </row>
    <row r="50" customFormat="false" ht="15" hidden="false" customHeight="false" outlineLevel="0" collapsed="false">
      <c r="A50" s="45" t="str">
        <f aca="false">IF($C$4="","",IF(29&gt;COUNTIFS(Investments!$A$6:$A$1005,$C$4),"",29))</f>
        <v/>
      </c>
      <c r="B50" s="31" t="str">
        <f aca="false">IF($A50="","",IFERROR(IF(INDEX(Investments!$B$6:$B$1005,MATCH($A50,Investments!$V$6:$V$1005,0))="","",INDEX(Investments!$B$6:$B$1005,MATCH($A50,Investments!$V$6:$V$1005,0))),""))</f>
        <v/>
      </c>
      <c r="C50" s="31" t="str">
        <f aca="false">IF($A50="","",IFERROR(IF(INDEX(Investments!$D$6:$D$1005,MATCH($A50,Investments!$V$6:$V$1005,0))="","",INDEX(Investments!$D$6:$D$1005,MATCH($A50,Investments!$V$6:$V$1005,0))),""))</f>
        <v/>
      </c>
      <c r="D50" s="31" t="str">
        <f aca="false">IF($A50="","",IFERROR(IF(INDEX(Investments!$E$6:$E$1005,MATCH($A50,Investments!$V$6:$V$1005,0))="","",INDEX(Investments!$E$6:$E$1005,MATCH($A50,Investments!$V$6:$V$1005,0))),""))</f>
        <v/>
      </c>
      <c r="E50" s="46" t="str">
        <f aca="false">IF($A50="","",IFERROR(IF(INDEX(Investments!$F$6:$F$1005,MATCH($A50,Investments!$V$6:$V$1005,0))="","",INDEX(Investments!$F$6:$F$1005,MATCH($A50,Investments!$V$6:$V$1005,0))),""))</f>
        <v/>
      </c>
      <c r="F50" s="33" t="str">
        <f aca="false">IF($A50="","",IFERROR(IF(INDEX(Investments!$P$6:$P$1005,MATCH($A50,Investments!$V$6:$V$1005,0))="","",INDEX(Investments!$P$6:$P$1005,MATCH($A50,Investments!$V$6:$V$1005,0))),""))</f>
        <v/>
      </c>
      <c r="G50" s="33" t="str">
        <f aca="false">IF($A50="","",IFERROR(IF(INDEX(Investments!$Q$6:$Q$1005,MATCH($A50,Investments!$V$6:$V$1005,0))="","",INDEX(Investments!$Q$6:$Q$1005,MATCH($A50,Investments!$V$6:$V$1005,0))),""))</f>
        <v/>
      </c>
      <c r="H50" s="33" t="str">
        <f aca="false">IF($A50="","",IFERROR(IF(INDEX(Investments!$M$6:$M$1005,MATCH($A50,Investments!$V$6:$V$1005,0))="","",INDEX(Investments!$M$6:$M$1005,MATCH($A50,Investments!$V$6:$V$1005,0))),""))</f>
        <v/>
      </c>
      <c r="I50" s="33" t="str">
        <f aca="false">IF($A50="","",IFERROR(IF(INDEX(Investments!$R$6:$R$1005,MATCH($A50,Investments!$V$6:$V$1005,0))="","",INDEX(Investments!$R$6:$R$1005,MATCH($A50,Investments!$V$6:$V$1005,0))),""))</f>
        <v/>
      </c>
      <c r="J50" s="34" t="str">
        <f aca="false">IF($A50="","",IFERROR(IF(INDEX(Investments!$S$6:$S$1005,MATCH($A50,Investments!$V$6:$V$1005,0))="","",INDEX(Investments!$S$6:$S$1005,MATCH($A50,Investments!$V$6:$V$1005,0))),""))</f>
        <v/>
      </c>
      <c r="K50" s="34" t="str">
        <f aca="false">IF($A50="","",IFERROR(IF(INDEX(Investments!$T$6:$T$1005,MATCH($A50,Investments!$V$6:$V$1005,0))="","",INDEX(Investments!$T$6:$T$1005,MATCH($A50,Investments!$V$6:$V$1005,0))),""))</f>
        <v/>
      </c>
    </row>
    <row r="51" customFormat="false" ht="15" hidden="false" customHeight="false" outlineLevel="0" collapsed="false">
      <c r="A51" s="47" t="str">
        <f aca="false">IF($C$4="","",IF(30&gt;COUNTIFS(Investments!$A$6:$A$1005,$C$4),"",30))</f>
        <v/>
      </c>
      <c r="B51" s="14" t="str">
        <f aca="false">IF($A51="","",IFERROR(IF(INDEX(Investments!$B$6:$B$1005,MATCH($A51,Investments!$V$6:$V$1005,0))="","",INDEX(Investments!$B$6:$B$1005,MATCH($A51,Investments!$V$6:$V$1005,0))),""))</f>
        <v/>
      </c>
      <c r="C51" s="14" t="str">
        <f aca="false">IF($A51="","",IFERROR(IF(INDEX(Investments!$D$6:$D$1005,MATCH($A51,Investments!$V$6:$V$1005,0))="","",INDEX(Investments!$D$6:$D$1005,MATCH($A51,Investments!$V$6:$V$1005,0))),""))</f>
        <v/>
      </c>
      <c r="D51" s="14" t="str">
        <f aca="false">IF($A51="","",IFERROR(IF(INDEX(Investments!$E$6:$E$1005,MATCH($A51,Investments!$V$6:$V$1005,0))="","",INDEX(Investments!$E$6:$E$1005,MATCH($A51,Investments!$V$6:$V$1005,0))),""))</f>
        <v/>
      </c>
      <c r="E51" s="48" t="str">
        <f aca="false">IF($A51="","",IFERROR(IF(INDEX(Investments!$F$6:$F$1005,MATCH($A51,Investments!$V$6:$V$1005,0))="","",INDEX(Investments!$F$6:$F$1005,MATCH($A51,Investments!$V$6:$V$1005,0))),""))</f>
        <v/>
      </c>
      <c r="F51" s="17" t="str">
        <f aca="false">IF($A51="","",IFERROR(IF(INDEX(Investments!$P$6:$P$1005,MATCH($A51,Investments!$V$6:$V$1005,0))="","",INDEX(Investments!$P$6:$P$1005,MATCH($A51,Investments!$V$6:$V$1005,0))),""))</f>
        <v/>
      </c>
      <c r="G51" s="17" t="str">
        <f aca="false">IF($A51="","",IFERROR(IF(INDEX(Investments!$Q$6:$Q$1005,MATCH($A51,Investments!$V$6:$V$1005,0))="","",INDEX(Investments!$Q$6:$Q$1005,MATCH($A51,Investments!$V$6:$V$1005,0))),""))</f>
        <v/>
      </c>
      <c r="H51" s="17" t="str">
        <f aca="false">IF($A51="","",IFERROR(IF(INDEX(Investments!$M$6:$M$1005,MATCH($A51,Investments!$V$6:$V$1005,0))="","",INDEX(Investments!$M$6:$M$1005,MATCH($A51,Investments!$V$6:$V$1005,0))),""))</f>
        <v/>
      </c>
      <c r="I51" s="17" t="str">
        <f aca="false">IF($A51="","",IFERROR(IF(INDEX(Investments!$R$6:$R$1005,MATCH($A51,Investments!$V$6:$V$1005,0))="","",INDEX(Investments!$R$6:$R$1005,MATCH($A51,Investments!$V$6:$V$1005,0))),""))</f>
        <v/>
      </c>
      <c r="J51" s="18" t="str">
        <f aca="false">IF($A51="","",IFERROR(IF(INDEX(Investments!$S$6:$S$1005,MATCH($A51,Investments!$V$6:$V$1005,0))="","",INDEX(Investments!$S$6:$S$1005,MATCH($A51,Investments!$V$6:$V$1005,0))),""))</f>
        <v/>
      </c>
      <c r="K51" s="18" t="str">
        <f aca="false">IF($A51="","",IFERROR(IF(INDEX(Investments!$T$6:$T$1005,MATCH($A51,Investments!$V$6:$V$1005,0))="","",INDEX(Investments!$T$6:$T$1005,MATCH($A51,Investments!$V$6:$V$1005,0))),""))</f>
        <v/>
      </c>
    </row>
    <row r="52" customFormat="false" ht="15" hidden="false" customHeight="false" outlineLevel="0" collapsed="false">
      <c r="A52" s="45" t="str">
        <f aca="false">IF($C$4="","",IF(31&gt;COUNTIFS(Investments!$A$6:$A$1005,$C$4),"",31))</f>
        <v/>
      </c>
      <c r="B52" s="31" t="str">
        <f aca="false">IF($A52="","",IFERROR(IF(INDEX(Investments!$B$6:$B$1005,MATCH($A52,Investments!$V$6:$V$1005,0))="","",INDEX(Investments!$B$6:$B$1005,MATCH($A52,Investments!$V$6:$V$1005,0))),""))</f>
        <v/>
      </c>
      <c r="C52" s="31" t="str">
        <f aca="false">IF($A52="","",IFERROR(IF(INDEX(Investments!$D$6:$D$1005,MATCH($A52,Investments!$V$6:$V$1005,0))="","",INDEX(Investments!$D$6:$D$1005,MATCH($A52,Investments!$V$6:$V$1005,0))),""))</f>
        <v/>
      </c>
      <c r="D52" s="31" t="str">
        <f aca="false">IF($A52="","",IFERROR(IF(INDEX(Investments!$E$6:$E$1005,MATCH($A52,Investments!$V$6:$V$1005,0))="","",INDEX(Investments!$E$6:$E$1005,MATCH($A52,Investments!$V$6:$V$1005,0))),""))</f>
        <v/>
      </c>
      <c r="E52" s="46" t="str">
        <f aca="false">IF($A52="","",IFERROR(IF(INDEX(Investments!$F$6:$F$1005,MATCH($A52,Investments!$V$6:$V$1005,0))="","",INDEX(Investments!$F$6:$F$1005,MATCH($A52,Investments!$V$6:$V$1005,0))),""))</f>
        <v/>
      </c>
      <c r="F52" s="33" t="str">
        <f aca="false">IF($A52="","",IFERROR(IF(INDEX(Investments!$P$6:$P$1005,MATCH($A52,Investments!$V$6:$V$1005,0))="","",INDEX(Investments!$P$6:$P$1005,MATCH($A52,Investments!$V$6:$V$1005,0))),""))</f>
        <v/>
      </c>
      <c r="G52" s="33" t="str">
        <f aca="false">IF($A52="","",IFERROR(IF(INDEX(Investments!$Q$6:$Q$1005,MATCH($A52,Investments!$V$6:$V$1005,0))="","",INDEX(Investments!$Q$6:$Q$1005,MATCH($A52,Investments!$V$6:$V$1005,0))),""))</f>
        <v/>
      </c>
      <c r="H52" s="33" t="str">
        <f aca="false">IF($A52="","",IFERROR(IF(INDEX(Investments!$M$6:$M$1005,MATCH($A52,Investments!$V$6:$V$1005,0))="","",INDEX(Investments!$M$6:$M$1005,MATCH($A52,Investments!$V$6:$V$1005,0))),""))</f>
        <v/>
      </c>
      <c r="I52" s="33" t="str">
        <f aca="false">IF($A52="","",IFERROR(IF(INDEX(Investments!$R$6:$R$1005,MATCH($A52,Investments!$V$6:$V$1005,0))="","",INDEX(Investments!$R$6:$R$1005,MATCH($A52,Investments!$V$6:$V$1005,0))),""))</f>
        <v/>
      </c>
      <c r="J52" s="34" t="str">
        <f aca="false">IF($A52="","",IFERROR(IF(INDEX(Investments!$S$6:$S$1005,MATCH($A52,Investments!$V$6:$V$1005,0))="","",INDEX(Investments!$S$6:$S$1005,MATCH($A52,Investments!$V$6:$V$1005,0))),""))</f>
        <v/>
      </c>
      <c r="K52" s="34" t="str">
        <f aca="false">IF($A52="","",IFERROR(IF(INDEX(Investments!$T$6:$T$1005,MATCH($A52,Investments!$V$6:$V$1005,0))="","",INDEX(Investments!$T$6:$T$1005,MATCH($A52,Investments!$V$6:$V$1005,0))),""))</f>
        <v/>
      </c>
    </row>
    <row r="53" customFormat="false" ht="15" hidden="false" customHeight="false" outlineLevel="0" collapsed="false">
      <c r="A53" s="47" t="str">
        <f aca="false">IF($C$4="","",IF(32&gt;COUNTIFS(Investments!$A$6:$A$1005,$C$4),"",32))</f>
        <v/>
      </c>
      <c r="B53" s="14" t="str">
        <f aca="false">IF($A53="","",IFERROR(IF(INDEX(Investments!$B$6:$B$1005,MATCH($A53,Investments!$V$6:$V$1005,0))="","",INDEX(Investments!$B$6:$B$1005,MATCH($A53,Investments!$V$6:$V$1005,0))),""))</f>
        <v/>
      </c>
      <c r="C53" s="14" t="str">
        <f aca="false">IF($A53="","",IFERROR(IF(INDEX(Investments!$D$6:$D$1005,MATCH($A53,Investments!$V$6:$V$1005,0))="","",INDEX(Investments!$D$6:$D$1005,MATCH($A53,Investments!$V$6:$V$1005,0))),""))</f>
        <v/>
      </c>
      <c r="D53" s="14" t="str">
        <f aca="false">IF($A53="","",IFERROR(IF(INDEX(Investments!$E$6:$E$1005,MATCH($A53,Investments!$V$6:$V$1005,0))="","",INDEX(Investments!$E$6:$E$1005,MATCH($A53,Investments!$V$6:$V$1005,0))),""))</f>
        <v/>
      </c>
      <c r="E53" s="48" t="str">
        <f aca="false">IF($A53="","",IFERROR(IF(INDEX(Investments!$F$6:$F$1005,MATCH($A53,Investments!$V$6:$V$1005,0))="","",INDEX(Investments!$F$6:$F$1005,MATCH($A53,Investments!$V$6:$V$1005,0))),""))</f>
        <v/>
      </c>
      <c r="F53" s="17" t="str">
        <f aca="false">IF($A53="","",IFERROR(IF(INDEX(Investments!$P$6:$P$1005,MATCH($A53,Investments!$V$6:$V$1005,0))="","",INDEX(Investments!$P$6:$P$1005,MATCH($A53,Investments!$V$6:$V$1005,0))),""))</f>
        <v/>
      </c>
      <c r="G53" s="17" t="str">
        <f aca="false">IF($A53="","",IFERROR(IF(INDEX(Investments!$Q$6:$Q$1005,MATCH($A53,Investments!$V$6:$V$1005,0))="","",INDEX(Investments!$Q$6:$Q$1005,MATCH($A53,Investments!$V$6:$V$1005,0))),""))</f>
        <v/>
      </c>
      <c r="H53" s="17" t="str">
        <f aca="false">IF($A53="","",IFERROR(IF(INDEX(Investments!$M$6:$M$1005,MATCH($A53,Investments!$V$6:$V$1005,0))="","",INDEX(Investments!$M$6:$M$1005,MATCH($A53,Investments!$V$6:$V$1005,0))),""))</f>
        <v/>
      </c>
      <c r="I53" s="17" t="str">
        <f aca="false">IF($A53="","",IFERROR(IF(INDEX(Investments!$R$6:$R$1005,MATCH($A53,Investments!$V$6:$V$1005,0))="","",INDEX(Investments!$R$6:$R$1005,MATCH($A53,Investments!$V$6:$V$1005,0))),""))</f>
        <v/>
      </c>
      <c r="J53" s="18" t="str">
        <f aca="false">IF($A53="","",IFERROR(IF(INDEX(Investments!$S$6:$S$1005,MATCH($A53,Investments!$V$6:$V$1005,0))="","",INDEX(Investments!$S$6:$S$1005,MATCH($A53,Investments!$V$6:$V$1005,0))),""))</f>
        <v/>
      </c>
      <c r="K53" s="18" t="str">
        <f aca="false">IF($A53="","",IFERROR(IF(INDEX(Investments!$T$6:$T$1005,MATCH($A53,Investments!$V$6:$V$1005,0))="","",INDEX(Investments!$T$6:$T$1005,MATCH($A53,Investments!$V$6:$V$1005,0))),""))</f>
        <v/>
      </c>
    </row>
    <row r="54" customFormat="false" ht="15" hidden="false" customHeight="false" outlineLevel="0" collapsed="false">
      <c r="A54" s="45" t="str">
        <f aca="false">IF($C$4="","",IF(33&gt;COUNTIFS(Investments!$A$6:$A$1005,$C$4),"",33))</f>
        <v/>
      </c>
      <c r="B54" s="31" t="str">
        <f aca="false">IF($A54="","",IFERROR(IF(INDEX(Investments!$B$6:$B$1005,MATCH($A54,Investments!$V$6:$V$1005,0))="","",INDEX(Investments!$B$6:$B$1005,MATCH($A54,Investments!$V$6:$V$1005,0))),""))</f>
        <v/>
      </c>
      <c r="C54" s="31" t="str">
        <f aca="false">IF($A54="","",IFERROR(IF(INDEX(Investments!$D$6:$D$1005,MATCH($A54,Investments!$V$6:$V$1005,0))="","",INDEX(Investments!$D$6:$D$1005,MATCH($A54,Investments!$V$6:$V$1005,0))),""))</f>
        <v/>
      </c>
      <c r="D54" s="31" t="str">
        <f aca="false">IF($A54="","",IFERROR(IF(INDEX(Investments!$E$6:$E$1005,MATCH($A54,Investments!$V$6:$V$1005,0))="","",INDEX(Investments!$E$6:$E$1005,MATCH($A54,Investments!$V$6:$V$1005,0))),""))</f>
        <v/>
      </c>
      <c r="E54" s="46" t="str">
        <f aca="false">IF($A54="","",IFERROR(IF(INDEX(Investments!$F$6:$F$1005,MATCH($A54,Investments!$V$6:$V$1005,0))="","",INDEX(Investments!$F$6:$F$1005,MATCH($A54,Investments!$V$6:$V$1005,0))),""))</f>
        <v/>
      </c>
      <c r="F54" s="33" t="str">
        <f aca="false">IF($A54="","",IFERROR(IF(INDEX(Investments!$P$6:$P$1005,MATCH($A54,Investments!$V$6:$V$1005,0))="","",INDEX(Investments!$P$6:$P$1005,MATCH($A54,Investments!$V$6:$V$1005,0))),""))</f>
        <v/>
      </c>
      <c r="G54" s="33" t="str">
        <f aca="false">IF($A54="","",IFERROR(IF(INDEX(Investments!$Q$6:$Q$1005,MATCH($A54,Investments!$V$6:$V$1005,0))="","",INDEX(Investments!$Q$6:$Q$1005,MATCH($A54,Investments!$V$6:$V$1005,0))),""))</f>
        <v/>
      </c>
      <c r="H54" s="33" t="str">
        <f aca="false">IF($A54="","",IFERROR(IF(INDEX(Investments!$M$6:$M$1005,MATCH($A54,Investments!$V$6:$V$1005,0))="","",INDEX(Investments!$M$6:$M$1005,MATCH($A54,Investments!$V$6:$V$1005,0))),""))</f>
        <v/>
      </c>
      <c r="I54" s="33" t="str">
        <f aca="false">IF($A54="","",IFERROR(IF(INDEX(Investments!$R$6:$R$1005,MATCH($A54,Investments!$V$6:$V$1005,0))="","",INDEX(Investments!$R$6:$R$1005,MATCH($A54,Investments!$V$6:$V$1005,0))),""))</f>
        <v/>
      </c>
      <c r="J54" s="34" t="str">
        <f aca="false">IF($A54="","",IFERROR(IF(INDEX(Investments!$S$6:$S$1005,MATCH($A54,Investments!$V$6:$V$1005,0))="","",INDEX(Investments!$S$6:$S$1005,MATCH($A54,Investments!$V$6:$V$1005,0))),""))</f>
        <v/>
      </c>
      <c r="K54" s="34" t="str">
        <f aca="false">IF($A54="","",IFERROR(IF(INDEX(Investments!$T$6:$T$1005,MATCH($A54,Investments!$V$6:$V$1005,0))="","",INDEX(Investments!$T$6:$T$1005,MATCH($A54,Investments!$V$6:$V$1005,0))),""))</f>
        <v/>
      </c>
    </row>
    <row r="55" customFormat="false" ht="15" hidden="false" customHeight="false" outlineLevel="0" collapsed="false">
      <c r="A55" s="47" t="str">
        <f aca="false">IF($C$4="","",IF(34&gt;COUNTIFS(Investments!$A$6:$A$1005,$C$4),"",34))</f>
        <v/>
      </c>
      <c r="B55" s="14" t="str">
        <f aca="false">IF($A55="","",IFERROR(IF(INDEX(Investments!$B$6:$B$1005,MATCH($A55,Investments!$V$6:$V$1005,0))="","",INDEX(Investments!$B$6:$B$1005,MATCH($A55,Investments!$V$6:$V$1005,0))),""))</f>
        <v/>
      </c>
      <c r="C55" s="14" t="str">
        <f aca="false">IF($A55="","",IFERROR(IF(INDEX(Investments!$D$6:$D$1005,MATCH($A55,Investments!$V$6:$V$1005,0))="","",INDEX(Investments!$D$6:$D$1005,MATCH($A55,Investments!$V$6:$V$1005,0))),""))</f>
        <v/>
      </c>
      <c r="D55" s="14" t="str">
        <f aca="false">IF($A55="","",IFERROR(IF(INDEX(Investments!$E$6:$E$1005,MATCH($A55,Investments!$V$6:$V$1005,0))="","",INDEX(Investments!$E$6:$E$1005,MATCH($A55,Investments!$V$6:$V$1005,0))),""))</f>
        <v/>
      </c>
      <c r="E55" s="48" t="str">
        <f aca="false">IF($A55="","",IFERROR(IF(INDEX(Investments!$F$6:$F$1005,MATCH($A55,Investments!$V$6:$V$1005,0))="","",INDEX(Investments!$F$6:$F$1005,MATCH($A55,Investments!$V$6:$V$1005,0))),""))</f>
        <v/>
      </c>
      <c r="F55" s="17" t="str">
        <f aca="false">IF($A55="","",IFERROR(IF(INDEX(Investments!$P$6:$P$1005,MATCH($A55,Investments!$V$6:$V$1005,0))="","",INDEX(Investments!$P$6:$P$1005,MATCH($A55,Investments!$V$6:$V$1005,0))),""))</f>
        <v/>
      </c>
      <c r="G55" s="17" t="str">
        <f aca="false">IF($A55="","",IFERROR(IF(INDEX(Investments!$Q$6:$Q$1005,MATCH($A55,Investments!$V$6:$V$1005,0))="","",INDEX(Investments!$Q$6:$Q$1005,MATCH($A55,Investments!$V$6:$V$1005,0))),""))</f>
        <v/>
      </c>
      <c r="H55" s="17" t="str">
        <f aca="false">IF($A55="","",IFERROR(IF(INDEX(Investments!$M$6:$M$1005,MATCH($A55,Investments!$V$6:$V$1005,0))="","",INDEX(Investments!$M$6:$M$1005,MATCH($A55,Investments!$V$6:$V$1005,0))),""))</f>
        <v/>
      </c>
      <c r="I55" s="17" t="str">
        <f aca="false">IF($A55="","",IFERROR(IF(INDEX(Investments!$R$6:$R$1005,MATCH($A55,Investments!$V$6:$V$1005,0))="","",INDEX(Investments!$R$6:$R$1005,MATCH($A55,Investments!$V$6:$V$1005,0))),""))</f>
        <v/>
      </c>
      <c r="J55" s="18" t="str">
        <f aca="false">IF($A55="","",IFERROR(IF(INDEX(Investments!$S$6:$S$1005,MATCH($A55,Investments!$V$6:$V$1005,0))="","",INDEX(Investments!$S$6:$S$1005,MATCH($A55,Investments!$V$6:$V$1005,0))),""))</f>
        <v/>
      </c>
      <c r="K55" s="18" t="str">
        <f aca="false">IF($A55="","",IFERROR(IF(INDEX(Investments!$T$6:$T$1005,MATCH($A55,Investments!$V$6:$V$1005,0))="","",INDEX(Investments!$T$6:$T$1005,MATCH($A55,Investments!$V$6:$V$1005,0))),""))</f>
        <v/>
      </c>
    </row>
    <row r="56" customFormat="false" ht="15" hidden="false" customHeight="false" outlineLevel="0" collapsed="false">
      <c r="A56" s="45" t="str">
        <f aca="false">IF($C$4="","",IF(35&gt;COUNTIFS(Investments!$A$6:$A$1005,$C$4),"",35))</f>
        <v/>
      </c>
      <c r="B56" s="31" t="str">
        <f aca="false">IF($A56="","",IFERROR(IF(INDEX(Investments!$B$6:$B$1005,MATCH($A56,Investments!$V$6:$V$1005,0))="","",INDEX(Investments!$B$6:$B$1005,MATCH($A56,Investments!$V$6:$V$1005,0))),""))</f>
        <v/>
      </c>
      <c r="C56" s="31" t="str">
        <f aca="false">IF($A56="","",IFERROR(IF(INDEX(Investments!$D$6:$D$1005,MATCH($A56,Investments!$V$6:$V$1005,0))="","",INDEX(Investments!$D$6:$D$1005,MATCH($A56,Investments!$V$6:$V$1005,0))),""))</f>
        <v/>
      </c>
      <c r="D56" s="31" t="str">
        <f aca="false">IF($A56="","",IFERROR(IF(INDEX(Investments!$E$6:$E$1005,MATCH($A56,Investments!$V$6:$V$1005,0))="","",INDEX(Investments!$E$6:$E$1005,MATCH($A56,Investments!$V$6:$V$1005,0))),""))</f>
        <v/>
      </c>
      <c r="E56" s="46" t="str">
        <f aca="false">IF($A56="","",IFERROR(IF(INDEX(Investments!$F$6:$F$1005,MATCH($A56,Investments!$V$6:$V$1005,0))="","",INDEX(Investments!$F$6:$F$1005,MATCH($A56,Investments!$V$6:$V$1005,0))),""))</f>
        <v/>
      </c>
      <c r="F56" s="33" t="str">
        <f aca="false">IF($A56="","",IFERROR(IF(INDEX(Investments!$P$6:$P$1005,MATCH($A56,Investments!$V$6:$V$1005,0))="","",INDEX(Investments!$P$6:$P$1005,MATCH($A56,Investments!$V$6:$V$1005,0))),""))</f>
        <v/>
      </c>
      <c r="G56" s="33" t="str">
        <f aca="false">IF($A56="","",IFERROR(IF(INDEX(Investments!$Q$6:$Q$1005,MATCH($A56,Investments!$V$6:$V$1005,0))="","",INDEX(Investments!$Q$6:$Q$1005,MATCH($A56,Investments!$V$6:$V$1005,0))),""))</f>
        <v/>
      </c>
      <c r="H56" s="33" t="str">
        <f aca="false">IF($A56="","",IFERROR(IF(INDEX(Investments!$M$6:$M$1005,MATCH($A56,Investments!$V$6:$V$1005,0))="","",INDEX(Investments!$M$6:$M$1005,MATCH($A56,Investments!$V$6:$V$1005,0))),""))</f>
        <v/>
      </c>
      <c r="I56" s="33" t="str">
        <f aca="false">IF($A56="","",IFERROR(IF(INDEX(Investments!$R$6:$R$1005,MATCH($A56,Investments!$V$6:$V$1005,0))="","",INDEX(Investments!$R$6:$R$1005,MATCH($A56,Investments!$V$6:$V$1005,0))),""))</f>
        <v/>
      </c>
      <c r="J56" s="34" t="str">
        <f aca="false">IF($A56="","",IFERROR(IF(INDEX(Investments!$S$6:$S$1005,MATCH($A56,Investments!$V$6:$V$1005,0))="","",INDEX(Investments!$S$6:$S$1005,MATCH($A56,Investments!$V$6:$V$1005,0))),""))</f>
        <v/>
      </c>
      <c r="K56" s="34" t="str">
        <f aca="false">IF($A56="","",IFERROR(IF(INDEX(Investments!$T$6:$T$1005,MATCH($A56,Investments!$V$6:$V$1005,0))="","",INDEX(Investments!$T$6:$T$1005,MATCH($A56,Investments!$V$6:$V$1005,0))),""))</f>
        <v/>
      </c>
    </row>
    <row r="57" customFormat="false" ht="15" hidden="false" customHeight="false" outlineLevel="0" collapsed="false">
      <c r="A57" s="47" t="str">
        <f aca="false">IF($C$4="","",IF(36&gt;COUNTIFS(Investments!$A$6:$A$1005,$C$4),"",36))</f>
        <v/>
      </c>
      <c r="B57" s="14" t="str">
        <f aca="false">IF($A57="","",IFERROR(IF(INDEX(Investments!$B$6:$B$1005,MATCH($A57,Investments!$V$6:$V$1005,0))="","",INDEX(Investments!$B$6:$B$1005,MATCH($A57,Investments!$V$6:$V$1005,0))),""))</f>
        <v/>
      </c>
      <c r="C57" s="14" t="str">
        <f aca="false">IF($A57="","",IFERROR(IF(INDEX(Investments!$D$6:$D$1005,MATCH($A57,Investments!$V$6:$V$1005,0))="","",INDEX(Investments!$D$6:$D$1005,MATCH($A57,Investments!$V$6:$V$1005,0))),""))</f>
        <v/>
      </c>
      <c r="D57" s="14" t="str">
        <f aca="false">IF($A57="","",IFERROR(IF(INDEX(Investments!$E$6:$E$1005,MATCH($A57,Investments!$V$6:$V$1005,0))="","",INDEX(Investments!$E$6:$E$1005,MATCH($A57,Investments!$V$6:$V$1005,0))),""))</f>
        <v/>
      </c>
      <c r="E57" s="48" t="str">
        <f aca="false">IF($A57="","",IFERROR(IF(INDEX(Investments!$F$6:$F$1005,MATCH($A57,Investments!$V$6:$V$1005,0))="","",INDEX(Investments!$F$6:$F$1005,MATCH($A57,Investments!$V$6:$V$1005,0))),""))</f>
        <v/>
      </c>
      <c r="F57" s="17" t="str">
        <f aca="false">IF($A57="","",IFERROR(IF(INDEX(Investments!$P$6:$P$1005,MATCH($A57,Investments!$V$6:$V$1005,0))="","",INDEX(Investments!$P$6:$P$1005,MATCH($A57,Investments!$V$6:$V$1005,0))),""))</f>
        <v/>
      </c>
      <c r="G57" s="17" t="str">
        <f aca="false">IF($A57="","",IFERROR(IF(INDEX(Investments!$Q$6:$Q$1005,MATCH($A57,Investments!$V$6:$V$1005,0))="","",INDEX(Investments!$Q$6:$Q$1005,MATCH($A57,Investments!$V$6:$V$1005,0))),""))</f>
        <v/>
      </c>
      <c r="H57" s="17" t="str">
        <f aca="false">IF($A57="","",IFERROR(IF(INDEX(Investments!$M$6:$M$1005,MATCH($A57,Investments!$V$6:$V$1005,0))="","",INDEX(Investments!$M$6:$M$1005,MATCH($A57,Investments!$V$6:$V$1005,0))),""))</f>
        <v/>
      </c>
      <c r="I57" s="17" t="str">
        <f aca="false">IF($A57="","",IFERROR(IF(INDEX(Investments!$R$6:$R$1005,MATCH($A57,Investments!$V$6:$V$1005,0))="","",INDEX(Investments!$R$6:$R$1005,MATCH($A57,Investments!$V$6:$V$1005,0))),""))</f>
        <v/>
      </c>
      <c r="J57" s="18" t="str">
        <f aca="false">IF($A57="","",IFERROR(IF(INDEX(Investments!$S$6:$S$1005,MATCH($A57,Investments!$V$6:$V$1005,0))="","",INDEX(Investments!$S$6:$S$1005,MATCH($A57,Investments!$V$6:$V$1005,0))),""))</f>
        <v/>
      </c>
      <c r="K57" s="18" t="str">
        <f aca="false">IF($A57="","",IFERROR(IF(INDEX(Investments!$T$6:$T$1005,MATCH($A57,Investments!$V$6:$V$1005,0))="","",INDEX(Investments!$T$6:$T$1005,MATCH($A57,Investments!$V$6:$V$1005,0))),""))</f>
        <v/>
      </c>
    </row>
    <row r="58" customFormat="false" ht="15" hidden="false" customHeight="false" outlineLevel="0" collapsed="false">
      <c r="A58" s="45" t="str">
        <f aca="false">IF($C$4="","",IF(37&gt;COUNTIFS(Investments!$A$6:$A$1005,$C$4),"",37))</f>
        <v/>
      </c>
      <c r="B58" s="31" t="str">
        <f aca="false">IF($A58="","",IFERROR(IF(INDEX(Investments!$B$6:$B$1005,MATCH($A58,Investments!$V$6:$V$1005,0))="","",INDEX(Investments!$B$6:$B$1005,MATCH($A58,Investments!$V$6:$V$1005,0))),""))</f>
        <v/>
      </c>
      <c r="C58" s="31" t="str">
        <f aca="false">IF($A58="","",IFERROR(IF(INDEX(Investments!$D$6:$D$1005,MATCH($A58,Investments!$V$6:$V$1005,0))="","",INDEX(Investments!$D$6:$D$1005,MATCH($A58,Investments!$V$6:$V$1005,0))),""))</f>
        <v/>
      </c>
      <c r="D58" s="31" t="str">
        <f aca="false">IF($A58="","",IFERROR(IF(INDEX(Investments!$E$6:$E$1005,MATCH($A58,Investments!$V$6:$V$1005,0))="","",INDEX(Investments!$E$6:$E$1005,MATCH($A58,Investments!$V$6:$V$1005,0))),""))</f>
        <v/>
      </c>
      <c r="E58" s="46" t="str">
        <f aca="false">IF($A58="","",IFERROR(IF(INDEX(Investments!$F$6:$F$1005,MATCH($A58,Investments!$V$6:$V$1005,0))="","",INDEX(Investments!$F$6:$F$1005,MATCH($A58,Investments!$V$6:$V$1005,0))),""))</f>
        <v/>
      </c>
      <c r="F58" s="33" t="str">
        <f aca="false">IF($A58="","",IFERROR(IF(INDEX(Investments!$P$6:$P$1005,MATCH($A58,Investments!$V$6:$V$1005,0))="","",INDEX(Investments!$P$6:$P$1005,MATCH($A58,Investments!$V$6:$V$1005,0))),""))</f>
        <v/>
      </c>
      <c r="G58" s="33" t="str">
        <f aca="false">IF($A58="","",IFERROR(IF(INDEX(Investments!$Q$6:$Q$1005,MATCH($A58,Investments!$V$6:$V$1005,0))="","",INDEX(Investments!$Q$6:$Q$1005,MATCH($A58,Investments!$V$6:$V$1005,0))),""))</f>
        <v/>
      </c>
      <c r="H58" s="33" t="str">
        <f aca="false">IF($A58="","",IFERROR(IF(INDEX(Investments!$M$6:$M$1005,MATCH($A58,Investments!$V$6:$V$1005,0))="","",INDEX(Investments!$M$6:$M$1005,MATCH($A58,Investments!$V$6:$V$1005,0))),""))</f>
        <v/>
      </c>
      <c r="I58" s="33" t="str">
        <f aca="false">IF($A58="","",IFERROR(IF(INDEX(Investments!$R$6:$R$1005,MATCH($A58,Investments!$V$6:$V$1005,0))="","",INDEX(Investments!$R$6:$R$1005,MATCH($A58,Investments!$V$6:$V$1005,0))),""))</f>
        <v/>
      </c>
      <c r="J58" s="34" t="str">
        <f aca="false">IF($A58="","",IFERROR(IF(INDEX(Investments!$S$6:$S$1005,MATCH($A58,Investments!$V$6:$V$1005,0))="","",INDEX(Investments!$S$6:$S$1005,MATCH($A58,Investments!$V$6:$V$1005,0))),""))</f>
        <v/>
      </c>
      <c r="K58" s="34" t="str">
        <f aca="false">IF($A58="","",IFERROR(IF(INDEX(Investments!$T$6:$T$1005,MATCH($A58,Investments!$V$6:$V$1005,0))="","",INDEX(Investments!$T$6:$T$1005,MATCH($A58,Investments!$V$6:$V$1005,0))),""))</f>
        <v/>
      </c>
    </row>
    <row r="59" customFormat="false" ht="15" hidden="false" customHeight="false" outlineLevel="0" collapsed="false">
      <c r="A59" s="47" t="str">
        <f aca="false">IF($C$4="","",IF(38&gt;COUNTIFS(Investments!$A$6:$A$1005,$C$4),"",38))</f>
        <v/>
      </c>
      <c r="B59" s="14" t="str">
        <f aca="false">IF($A59="","",IFERROR(IF(INDEX(Investments!$B$6:$B$1005,MATCH($A59,Investments!$V$6:$V$1005,0))="","",INDEX(Investments!$B$6:$B$1005,MATCH($A59,Investments!$V$6:$V$1005,0))),""))</f>
        <v/>
      </c>
      <c r="C59" s="14" t="str">
        <f aca="false">IF($A59="","",IFERROR(IF(INDEX(Investments!$D$6:$D$1005,MATCH($A59,Investments!$V$6:$V$1005,0))="","",INDEX(Investments!$D$6:$D$1005,MATCH($A59,Investments!$V$6:$V$1005,0))),""))</f>
        <v/>
      </c>
      <c r="D59" s="14" t="str">
        <f aca="false">IF($A59="","",IFERROR(IF(INDEX(Investments!$E$6:$E$1005,MATCH($A59,Investments!$V$6:$V$1005,0))="","",INDEX(Investments!$E$6:$E$1005,MATCH($A59,Investments!$V$6:$V$1005,0))),""))</f>
        <v/>
      </c>
      <c r="E59" s="48" t="str">
        <f aca="false">IF($A59="","",IFERROR(IF(INDEX(Investments!$F$6:$F$1005,MATCH($A59,Investments!$V$6:$V$1005,0))="","",INDEX(Investments!$F$6:$F$1005,MATCH($A59,Investments!$V$6:$V$1005,0))),""))</f>
        <v/>
      </c>
      <c r="F59" s="17" t="str">
        <f aca="false">IF($A59="","",IFERROR(IF(INDEX(Investments!$P$6:$P$1005,MATCH($A59,Investments!$V$6:$V$1005,0))="","",INDEX(Investments!$P$6:$P$1005,MATCH($A59,Investments!$V$6:$V$1005,0))),""))</f>
        <v/>
      </c>
      <c r="G59" s="17" t="str">
        <f aca="false">IF($A59="","",IFERROR(IF(INDEX(Investments!$Q$6:$Q$1005,MATCH($A59,Investments!$V$6:$V$1005,0))="","",INDEX(Investments!$Q$6:$Q$1005,MATCH($A59,Investments!$V$6:$V$1005,0))),""))</f>
        <v/>
      </c>
      <c r="H59" s="17" t="str">
        <f aca="false">IF($A59="","",IFERROR(IF(INDEX(Investments!$M$6:$M$1005,MATCH($A59,Investments!$V$6:$V$1005,0))="","",INDEX(Investments!$M$6:$M$1005,MATCH($A59,Investments!$V$6:$V$1005,0))),""))</f>
        <v/>
      </c>
      <c r="I59" s="17" t="str">
        <f aca="false">IF($A59="","",IFERROR(IF(INDEX(Investments!$R$6:$R$1005,MATCH($A59,Investments!$V$6:$V$1005,0))="","",INDEX(Investments!$R$6:$R$1005,MATCH($A59,Investments!$V$6:$V$1005,0))),""))</f>
        <v/>
      </c>
      <c r="J59" s="18" t="str">
        <f aca="false">IF($A59="","",IFERROR(IF(INDEX(Investments!$S$6:$S$1005,MATCH($A59,Investments!$V$6:$V$1005,0))="","",INDEX(Investments!$S$6:$S$1005,MATCH($A59,Investments!$V$6:$V$1005,0))),""))</f>
        <v/>
      </c>
      <c r="K59" s="18" t="str">
        <f aca="false">IF($A59="","",IFERROR(IF(INDEX(Investments!$T$6:$T$1005,MATCH($A59,Investments!$V$6:$V$1005,0))="","",INDEX(Investments!$T$6:$T$1005,MATCH($A59,Investments!$V$6:$V$1005,0))),""))</f>
        <v/>
      </c>
    </row>
    <row r="60" customFormat="false" ht="15" hidden="false" customHeight="false" outlineLevel="0" collapsed="false">
      <c r="A60" s="45" t="str">
        <f aca="false">IF($C$4="","",IF(39&gt;COUNTIFS(Investments!$A$6:$A$1005,$C$4),"",39))</f>
        <v/>
      </c>
      <c r="B60" s="31" t="str">
        <f aca="false">IF($A60="","",IFERROR(IF(INDEX(Investments!$B$6:$B$1005,MATCH($A60,Investments!$V$6:$V$1005,0))="","",INDEX(Investments!$B$6:$B$1005,MATCH($A60,Investments!$V$6:$V$1005,0))),""))</f>
        <v/>
      </c>
      <c r="C60" s="31" t="str">
        <f aca="false">IF($A60="","",IFERROR(IF(INDEX(Investments!$D$6:$D$1005,MATCH($A60,Investments!$V$6:$V$1005,0))="","",INDEX(Investments!$D$6:$D$1005,MATCH($A60,Investments!$V$6:$V$1005,0))),""))</f>
        <v/>
      </c>
      <c r="D60" s="31" t="str">
        <f aca="false">IF($A60="","",IFERROR(IF(INDEX(Investments!$E$6:$E$1005,MATCH($A60,Investments!$V$6:$V$1005,0))="","",INDEX(Investments!$E$6:$E$1005,MATCH($A60,Investments!$V$6:$V$1005,0))),""))</f>
        <v/>
      </c>
      <c r="E60" s="46" t="str">
        <f aca="false">IF($A60="","",IFERROR(IF(INDEX(Investments!$F$6:$F$1005,MATCH($A60,Investments!$V$6:$V$1005,0))="","",INDEX(Investments!$F$6:$F$1005,MATCH($A60,Investments!$V$6:$V$1005,0))),""))</f>
        <v/>
      </c>
      <c r="F60" s="33" t="str">
        <f aca="false">IF($A60="","",IFERROR(IF(INDEX(Investments!$P$6:$P$1005,MATCH($A60,Investments!$V$6:$V$1005,0))="","",INDEX(Investments!$P$6:$P$1005,MATCH($A60,Investments!$V$6:$V$1005,0))),""))</f>
        <v/>
      </c>
      <c r="G60" s="33" t="str">
        <f aca="false">IF($A60="","",IFERROR(IF(INDEX(Investments!$Q$6:$Q$1005,MATCH($A60,Investments!$V$6:$V$1005,0))="","",INDEX(Investments!$Q$6:$Q$1005,MATCH($A60,Investments!$V$6:$V$1005,0))),""))</f>
        <v/>
      </c>
      <c r="H60" s="33" t="str">
        <f aca="false">IF($A60="","",IFERROR(IF(INDEX(Investments!$M$6:$M$1005,MATCH($A60,Investments!$V$6:$V$1005,0))="","",INDEX(Investments!$M$6:$M$1005,MATCH($A60,Investments!$V$6:$V$1005,0))),""))</f>
        <v/>
      </c>
      <c r="I60" s="33" t="str">
        <f aca="false">IF($A60="","",IFERROR(IF(INDEX(Investments!$R$6:$R$1005,MATCH($A60,Investments!$V$6:$V$1005,0))="","",INDEX(Investments!$R$6:$R$1005,MATCH($A60,Investments!$V$6:$V$1005,0))),""))</f>
        <v/>
      </c>
      <c r="J60" s="34" t="str">
        <f aca="false">IF($A60="","",IFERROR(IF(INDEX(Investments!$S$6:$S$1005,MATCH($A60,Investments!$V$6:$V$1005,0))="","",INDEX(Investments!$S$6:$S$1005,MATCH($A60,Investments!$V$6:$V$1005,0))),""))</f>
        <v/>
      </c>
      <c r="K60" s="34" t="str">
        <f aca="false">IF($A60="","",IFERROR(IF(INDEX(Investments!$T$6:$T$1005,MATCH($A60,Investments!$V$6:$V$1005,0))="","",INDEX(Investments!$T$6:$T$1005,MATCH($A60,Investments!$V$6:$V$1005,0))),""))</f>
        <v/>
      </c>
    </row>
    <row r="61" customFormat="false" ht="15" hidden="false" customHeight="false" outlineLevel="0" collapsed="false">
      <c r="A61" s="47" t="str">
        <f aca="false">IF($C$4="","",IF(40&gt;COUNTIFS(Investments!$A$6:$A$1005,$C$4),"",40))</f>
        <v/>
      </c>
      <c r="B61" s="14" t="str">
        <f aca="false">IF($A61="","",IFERROR(IF(INDEX(Investments!$B$6:$B$1005,MATCH($A61,Investments!$V$6:$V$1005,0))="","",INDEX(Investments!$B$6:$B$1005,MATCH($A61,Investments!$V$6:$V$1005,0))),""))</f>
        <v/>
      </c>
      <c r="C61" s="14" t="str">
        <f aca="false">IF($A61="","",IFERROR(IF(INDEX(Investments!$D$6:$D$1005,MATCH($A61,Investments!$V$6:$V$1005,0))="","",INDEX(Investments!$D$6:$D$1005,MATCH($A61,Investments!$V$6:$V$1005,0))),""))</f>
        <v/>
      </c>
      <c r="D61" s="14" t="str">
        <f aca="false">IF($A61="","",IFERROR(IF(INDEX(Investments!$E$6:$E$1005,MATCH($A61,Investments!$V$6:$V$1005,0))="","",INDEX(Investments!$E$6:$E$1005,MATCH($A61,Investments!$V$6:$V$1005,0))),""))</f>
        <v/>
      </c>
      <c r="E61" s="48" t="str">
        <f aca="false">IF($A61="","",IFERROR(IF(INDEX(Investments!$F$6:$F$1005,MATCH($A61,Investments!$V$6:$V$1005,0))="","",INDEX(Investments!$F$6:$F$1005,MATCH($A61,Investments!$V$6:$V$1005,0))),""))</f>
        <v/>
      </c>
      <c r="F61" s="17" t="str">
        <f aca="false">IF($A61="","",IFERROR(IF(INDEX(Investments!$P$6:$P$1005,MATCH($A61,Investments!$V$6:$V$1005,0))="","",INDEX(Investments!$P$6:$P$1005,MATCH($A61,Investments!$V$6:$V$1005,0))),""))</f>
        <v/>
      </c>
      <c r="G61" s="17" t="str">
        <f aca="false">IF($A61="","",IFERROR(IF(INDEX(Investments!$Q$6:$Q$1005,MATCH($A61,Investments!$V$6:$V$1005,0))="","",INDEX(Investments!$Q$6:$Q$1005,MATCH($A61,Investments!$V$6:$V$1005,0))),""))</f>
        <v/>
      </c>
      <c r="H61" s="17" t="str">
        <f aca="false">IF($A61="","",IFERROR(IF(INDEX(Investments!$M$6:$M$1005,MATCH($A61,Investments!$V$6:$V$1005,0))="","",INDEX(Investments!$M$6:$M$1005,MATCH($A61,Investments!$V$6:$V$1005,0))),""))</f>
        <v/>
      </c>
      <c r="I61" s="17" t="str">
        <f aca="false">IF($A61="","",IFERROR(IF(INDEX(Investments!$R$6:$R$1005,MATCH($A61,Investments!$V$6:$V$1005,0))="","",INDEX(Investments!$R$6:$R$1005,MATCH($A61,Investments!$V$6:$V$1005,0))),""))</f>
        <v/>
      </c>
      <c r="J61" s="18" t="str">
        <f aca="false">IF($A61="","",IFERROR(IF(INDEX(Investments!$S$6:$S$1005,MATCH($A61,Investments!$V$6:$V$1005,0))="","",INDEX(Investments!$S$6:$S$1005,MATCH($A61,Investments!$V$6:$V$1005,0))),""))</f>
        <v/>
      </c>
      <c r="K61" s="18" t="str">
        <f aca="false">IF($A61="","",IFERROR(IF(INDEX(Investments!$T$6:$T$1005,MATCH($A61,Investments!$V$6:$V$1005,0))="","",INDEX(Investments!$T$6:$T$1005,MATCH($A61,Investments!$V$6:$V$1005,0))),""))</f>
        <v/>
      </c>
    </row>
    <row r="62" customFormat="false" ht="15" hidden="false" customHeight="false" outlineLevel="0" collapsed="false">
      <c r="A62" s="45" t="str">
        <f aca="false">IF($C$4="","",IF(41&gt;COUNTIFS(Investments!$A$6:$A$1005,$C$4),"",41))</f>
        <v/>
      </c>
      <c r="B62" s="31" t="str">
        <f aca="false">IF($A62="","",IFERROR(IF(INDEX(Investments!$B$6:$B$1005,MATCH($A62,Investments!$V$6:$V$1005,0))="","",INDEX(Investments!$B$6:$B$1005,MATCH($A62,Investments!$V$6:$V$1005,0))),""))</f>
        <v/>
      </c>
      <c r="C62" s="31" t="str">
        <f aca="false">IF($A62="","",IFERROR(IF(INDEX(Investments!$D$6:$D$1005,MATCH($A62,Investments!$V$6:$V$1005,0))="","",INDEX(Investments!$D$6:$D$1005,MATCH($A62,Investments!$V$6:$V$1005,0))),""))</f>
        <v/>
      </c>
      <c r="D62" s="31" t="str">
        <f aca="false">IF($A62="","",IFERROR(IF(INDEX(Investments!$E$6:$E$1005,MATCH($A62,Investments!$V$6:$V$1005,0))="","",INDEX(Investments!$E$6:$E$1005,MATCH($A62,Investments!$V$6:$V$1005,0))),""))</f>
        <v/>
      </c>
      <c r="E62" s="46" t="str">
        <f aca="false">IF($A62="","",IFERROR(IF(INDEX(Investments!$F$6:$F$1005,MATCH($A62,Investments!$V$6:$V$1005,0))="","",INDEX(Investments!$F$6:$F$1005,MATCH($A62,Investments!$V$6:$V$1005,0))),""))</f>
        <v/>
      </c>
      <c r="F62" s="33" t="str">
        <f aca="false">IF($A62="","",IFERROR(IF(INDEX(Investments!$P$6:$P$1005,MATCH($A62,Investments!$V$6:$V$1005,0))="","",INDEX(Investments!$P$6:$P$1005,MATCH($A62,Investments!$V$6:$V$1005,0))),""))</f>
        <v/>
      </c>
      <c r="G62" s="33" t="str">
        <f aca="false">IF($A62="","",IFERROR(IF(INDEX(Investments!$Q$6:$Q$1005,MATCH($A62,Investments!$V$6:$V$1005,0))="","",INDEX(Investments!$Q$6:$Q$1005,MATCH($A62,Investments!$V$6:$V$1005,0))),""))</f>
        <v/>
      </c>
      <c r="H62" s="33" t="str">
        <f aca="false">IF($A62="","",IFERROR(IF(INDEX(Investments!$M$6:$M$1005,MATCH($A62,Investments!$V$6:$V$1005,0))="","",INDEX(Investments!$M$6:$M$1005,MATCH($A62,Investments!$V$6:$V$1005,0))),""))</f>
        <v/>
      </c>
      <c r="I62" s="33" t="str">
        <f aca="false">IF($A62="","",IFERROR(IF(INDEX(Investments!$R$6:$R$1005,MATCH($A62,Investments!$V$6:$V$1005,0))="","",INDEX(Investments!$R$6:$R$1005,MATCH($A62,Investments!$V$6:$V$1005,0))),""))</f>
        <v/>
      </c>
      <c r="J62" s="34" t="str">
        <f aca="false">IF($A62="","",IFERROR(IF(INDEX(Investments!$S$6:$S$1005,MATCH($A62,Investments!$V$6:$V$1005,0))="","",INDEX(Investments!$S$6:$S$1005,MATCH($A62,Investments!$V$6:$V$1005,0))),""))</f>
        <v/>
      </c>
      <c r="K62" s="34" t="str">
        <f aca="false">IF($A62="","",IFERROR(IF(INDEX(Investments!$T$6:$T$1005,MATCH($A62,Investments!$V$6:$V$1005,0))="","",INDEX(Investments!$T$6:$T$1005,MATCH($A62,Investments!$V$6:$V$1005,0))),""))</f>
        <v/>
      </c>
    </row>
    <row r="63" customFormat="false" ht="15" hidden="false" customHeight="false" outlineLevel="0" collapsed="false">
      <c r="A63" s="47" t="str">
        <f aca="false">IF($C$4="","",IF(42&gt;COUNTIFS(Investments!$A$6:$A$1005,$C$4),"",42))</f>
        <v/>
      </c>
      <c r="B63" s="14" t="str">
        <f aca="false">IF($A63="","",IFERROR(IF(INDEX(Investments!$B$6:$B$1005,MATCH($A63,Investments!$V$6:$V$1005,0))="","",INDEX(Investments!$B$6:$B$1005,MATCH($A63,Investments!$V$6:$V$1005,0))),""))</f>
        <v/>
      </c>
      <c r="C63" s="14" t="str">
        <f aca="false">IF($A63="","",IFERROR(IF(INDEX(Investments!$D$6:$D$1005,MATCH($A63,Investments!$V$6:$V$1005,0))="","",INDEX(Investments!$D$6:$D$1005,MATCH($A63,Investments!$V$6:$V$1005,0))),""))</f>
        <v/>
      </c>
      <c r="D63" s="14" t="str">
        <f aca="false">IF($A63="","",IFERROR(IF(INDEX(Investments!$E$6:$E$1005,MATCH($A63,Investments!$V$6:$V$1005,0))="","",INDEX(Investments!$E$6:$E$1005,MATCH($A63,Investments!$V$6:$V$1005,0))),""))</f>
        <v/>
      </c>
      <c r="E63" s="48" t="str">
        <f aca="false">IF($A63="","",IFERROR(IF(INDEX(Investments!$F$6:$F$1005,MATCH($A63,Investments!$V$6:$V$1005,0))="","",INDEX(Investments!$F$6:$F$1005,MATCH($A63,Investments!$V$6:$V$1005,0))),""))</f>
        <v/>
      </c>
      <c r="F63" s="17" t="str">
        <f aca="false">IF($A63="","",IFERROR(IF(INDEX(Investments!$P$6:$P$1005,MATCH($A63,Investments!$V$6:$V$1005,0))="","",INDEX(Investments!$P$6:$P$1005,MATCH($A63,Investments!$V$6:$V$1005,0))),""))</f>
        <v/>
      </c>
      <c r="G63" s="17" t="str">
        <f aca="false">IF($A63="","",IFERROR(IF(INDEX(Investments!$Q$6:$Q$1005,MATCH($A63,Investments!$V$6:$V$1005,0))="","",INDEX(Investments!$Q$6:$Q$1005,MATCH($A63,Investments!$V$6:$V$1005,0))),""))</f>
        <v/>
      </c>
      <c r="H63" s="17" t="str">
        <f aca="false">IF($A63="","",IFERROR(IF(INDEX(Investments!$M$6:$M$1005,MATCH($A63,Investments!$V$6:$V$1005,0))="","",INDEX(Investments!$M$6:$M$1005,MATCH($A63,Investments!$V$6:$V$1005,0))),""))</f>
        <v/>
      </c>
      <c r="I63" s="17" t="str">
        <f aca="false">IF($A63="","",IFERROR(IF(INDEX(Investments!$R$6:$R$1005,MATCH($A63,Investments!$V$6:$V$1005,0))="","",INDEX(Investments!$R$6:$R$1005,MATCH($A63,Investments!$V$6:$V$1005,0))),""))</f>
        <v/>
      </c>
      <c r="J63" s="18" t="str">
        <f aca="false">IF($A63="","",IFERROR(IF(INDEX(Investments!$S$6:$S$1005,MATCH($A63,Investments!$V$6:$V$1005,0))="","",INDEX(Investments!$S$6:$S$1005,MATCH($A63,Investments!$V$6:$V$1005,0))),""))</f>
        <v/>
      </c>
      <c r="K63" s="18" t="str">
        <f aca="false">IF($A63="","",IFERROR(IF(INDEX(Investments!$T$6:$T$1005,MATCH($A63,Investments!$V$6:$V$1005,0))="","",INDEX(Investments!$T$6:$T$1005,MATCH($A63,Investments!$V$6:$V$1005,0))),""))</f>
        <v/>
      </c>
    </row>
    <row r="64" customFormat="false" ht="15" hidden="false" customHeight="false" outlineLevel="0" collapsed="false">
      <c r="A64" s="45" t="str">
        <f aca="false">IF($C$4="","",IF(43&gt;COUNTIFS(Investments!$A$6:$A$1005,$C$4),"",43))</f>
        <v/>
      </c>
      <c r="B64" s="31" t="str">
        <f aca="false">IF($A64="","",IFERROR(IF(INDEX(Investments!$B$6:$B$1005,MATCH($A64,Investments!$V$6:$V$1005,0))="","",INDEX(Investments!$B$6:$B$1005,MATCH($A64,Investments!$V$6:$V$1005,0))),""))</f>
        <v/>
      </c>
      <c r="C64" s="31" t="str">
        <f aca="false">IF($A64="","",IFERROR(IF(INDEX(Investments!$D$6:$D$1005,MATCH($A64,Investments!$V$6:$V$1005,0))="","",INDEX(Investments!$D$6:$D$1005,MATCH($A64,Investments!$V$6:$V$1005,0))),""))</f>
        <v/>
      </c>
      <c r="D64" s="31" t="str">
        <f aca="false">IF($A64="","",IFERROR(IF(INDEX(Investments!$E$6:$E$1005,MATCH($A64,Investments!$V$6:$V$1005,0))="","",INDEX(Investments!$E$6:$E$1005,MATCH($A64,Investments!$V$6:$V$1005,0))),""))</f>
        <v/>
      </c>
      <c r="E64" s="46" t="str">
        <f aca="false">IF($A64="","",IFERROR(IF(INDEX(Investments!$F$6:$F$1005,MATCH($A64,Investments!$V$6:$V$1005,0))="","",INDEX(Investments!$F$6:$F$1005,MATCH($A64,Investments!$V$6:$V$1005,0))),""))</f>
        <v/>
      </c>
      <c r="F64" s="33" t="str">
        <f aca="false">IF($A64="","",IFERROR(IF(INDEX(Investments!$P$6:$P$1005,MATCH($A64,Investments!$V$6:$V$1005,0))="","",INDEX(Investments!$P$6:$P$1005,MATCH($A64,Investments!$V$6:$V$1005,0))),""))</f>
        <v/>
      </c>
      <c r="G64" s="33" t="str">
        <f aca="false">IF($A64="","",IFERROR(IF(INDEX(Investments!$Q$6:$Q$1005,MATCH($A64,Investments!$V$6:$V$1005,0))="","",INDEX(Investments!$Q$6:$Q$1005,MATCH($A64,Investments!$V$6:$V$1005,0))),""))</f>
        <v/>
      </c>
      <c r="H64" s="33" t="str">
        <f aca="false">IF($A64="","",IFERROR(IF(INDEX(Investments!$M$6:$M$1005,MATCH($A64,Investments!$V$6:$V$1005,0))="","",INDEX(Investments!$M$6:$M$1005,MATCH($A64,Investments!$V$6:$V$1005,0))),""))</f>
        <v/>
      </c>
      <c r="I64" s="33" t="str">
        <f aca="false">IF($A64="","",IFERROR(IF(INDEX(Investments!$R$6:$R$1005,MATCH($A64,Investments!$V$6:$V$1005,0))="","",INDEX(Investments!$R$6:$R$1005,MATCH($A64,Investments!$V$6:$V$1005,0))),""))</f>
        <v/>
      </c>
      <c r="J64" s="34" t="str">
        <f aca="false">IF($A64="","",IFERROR(IF(INDEX(Investments!$S$6:$S$1005,MATCH($A64,Investments!$V$6:$V$1005,0))="","",INDEX(Investments!$S$6:$S$1005,MATCH($A64,Investments!$V$6:$V$1005,0))),""))</f>
        <v/>
      </c>
      <c r="K64" s="34" t="str">
        <f aca="false">IF($A64="","",IFERROR(IF(INDEX(Investments!$T$6:$T$1005,MATCH($A64,Investments!$V$6:$V$1005,0))="","",INDEX(Investments!$T$6:$T$1005,MATCH($A64,Investments!$V$6:$V$1005,0))),""))</f>
        <v/>
      </c>
    </row>
    <row r="65" customFormat="false" ht="15" hidden="false" customHeight="false" outlineLevel="0" collapsed="false">
      <c r="A65" s="47" t="str">
        <f aca="false">IF($C$4="","",IF(44&gt;COUNTIFS(Investments!$A$6:$A$1005,$C$4),"",44))</f>
        <v/>
      </c>
      <c r="B65" s="14" t="str">
        <f aca="false">IF($A65="","",IFERROR(IF(INDEX(Investments!$B$6:$B$1005,MATCH($A65,Investments!$V$6:$V$1005,0))="","",INDEX(Investments!$B$6:$B$1005,MATCH($A65,Investments!$V$6:$V$1005,0))),""))</f>
        <v/>
      </c>
      <c r="C65" s="14" t="str">
        <f aca="false">IF($A65="","",IFERROR(IF(INDEX(Investments!$D$6:$D$1005,MATCH($A65,Investments!$V$6:$V$1005,0))="","",INDEX(Investments!$D$6:$D$1005,MATCH($A65,Investments!$V$6:$V$1005,0))),""))</f>
        <v/>
      </c>
      <c r="D65" s="14" t="str">
        <f aca="false">IF($A65="","",IFERROR(IF(INDEX(Investments!$E$6:$E$1005,MATCH($A65,Investments!$V$6:$V$1005,0))="","",INDEX(Investments!$E$6:$E$1005,MATCH($A65,Investments!$V$6:$V$1005,0))),""))</f>
        <v/>
      </c>
      <c r="E65" s="48" t="str">
        <f aca="false">IF($A65="","",IFERROR(IF(INDEX(Investments!$F$6:$F$1005,MATCH($A65,Investments!$V$6:$V$1005,0))="","",INDEX(Investments!$F$6:$F$1005,MATCH($A65,Investments!$V$6:$V$1005,0))),""))</f>
        <v/>
      </c>
      <c r="F65" s="17" t="str">
        <f aca="false">IF($A65="","",IFERROR(IF(INDEX(Investments!$P$6:$P$1005,MATCH($A65,Investments!$V$6:$V$1005,0))="","",INDEX(Investments!$P$6:$P$1005,MATCH($A65,Investments!$V$6:$V$1005,0))),""))</f>
        <v/>
      </c>
      <c r="G65" s="17" t="str">
        <f aca="false">IF($A65="","",IFERROR(IF(INDEX(Investments!$Q$6:$Q$1005,MATCH($A65,Investments!$V$6:$V$1005,0))="","",INDEX(Investments!$Q$6:$Q$1005,MATCH($A65,Investments!$V$6:$V$1005,0))),""))</f>
        <v/>
      </c>
      <c r="H65" s="17" t="str">
        <f aca="false">IF($A65="","",IFERROR(IF(INDEX(Investments!$M$6:$M$1005,MATCH($A65,Investments!$V$6:$V$1005,0))="","",INDEX(Investments!$M$6:$M$1005,MATCH($A65,Investments!$V$6:$V$1005,0))),""))</f>
        <v/>
      </c>
      <c r="I65" s="17" t="str">
        <f aca="false">IF($A65="","",IFERROR(IF(INDEX(Investments!$R$6:$R$1005,MATCH($A65,Investments!$V$6:$V$1005,0))="","",INDEX(Investments!$R$6:$R$1005,MATCH($A65,Investments!$V$6:$V$1005,0))),""))</f>
        <v/>
      </c>
      <c r="J65" s="18" t="str">
        <f aca="false">IF($A65="","",IFERROR(IF(INDEX(Investments!$S$6:$S$1005,MATCH($A65,Investments!$V$6:$V$1005,0))="","",INDEX(Investments!$S$6:$S$1005,MATCH($A65,Investments!$V$6:$V$1005,0))),""))</f>
        <v/>
      </c>
      <c r="K65" s="18" t="str">
        <f aca="false">IF($A65="","",IFERROR(IF(INDEX(Investments!$T$6:$T$1005,MATCH($A65,Investments!$V$6:$V$1005,0))="","",INDEX(Investments!$T$6:$T$1005,MATCH($A65,Investments!$V$6:$V$1005,0))),""))</f>
        <v/>
      </c>
    </row>
    <row r="66" customFormat="false" ht="15" hidden="false" customHeight="false" outlineLevel="0" collapsed="false">
      <c r="A66" s="45" t="str">
        <f aca="false">IF($C$4="","",IF(45&gt;COUNTIFS(Investments!$A$6:$A$1005,$C$4),"",45))</f>
        <v/>
      </c>
      <c r="B66" s="31" t="str">
        <f aca="false">IF($A66="","",IFERROR(IF(INDEX(Investments!$B$6:$B$1005,MATCH($A66,Investments!$V$6:$V$1005,0))="","",INDEX(Investments!$B$6:$B$1005,MATCH($A66,Investments!$V$6:$V$1005,0))),""))</f>
        <v/>
      </c>
      <c r="C66" s="31" t="str">
        <f aca="false">IF($A66="","",IFERROR(IF(INDEX(Investments!$D$6:$D$1005,MATCH($A66,Investments!$V$6:$V$1005,0))="","",INDEX(Investments!$D$6:$D$1005,MATCH($A66,Investments!$V$6:$V$1005,0))),""))</f>
        <v/>
      </c>
      <c r="D66" s="31" t="str">
        <f aca="false">IF($A66="","",IFERROR(IF(INDEX(Investments!$E$6:$E$1005,MATCH($A66,Investments!$V$6:$V$1005,0))="","",INDEX(Investments!$E$6:$E$1005,MATCH($A66,Investments!$V$6:$V$1005,0))),""))</f>
        <v/>
      </c>
      <c r="E66" s="46" t="str">
        <f aca="false">IF($A66="","",IFERROR(IF(INDEX(Investments!$F$6:$F$1005,MATCH($A66,Investments!$V$6:$V$1005,0))="","",INDEX(Investments!$F$6:$F$1005,MATCH($A66,Investments!$V$6:$V$1005,0))),""))</f>
        <v/>
      </c>
      <c r="F66" s="33" t="str">
        <f aca="false">IF($A66="","",IFERROR(IF(INDEX(Investments!$P$6:$P$1005,MATCH($A66,Investments!$V$6:$V$1005,0))="","",INDEX(Investments!$P$6:$P$1005,MATCH($A66,Investments!$V$6:$V$1005,0))),""))</f>
        <v/>
      </c>
      <c r="G66" s="33" t="str">
        <f aca="false">IF($A66="","",IFERROR(IF(INDEX(Investments!$Q$6:$Q$1005,MATCH($A66,Investments!$V$6:$V$1005,0))="","",INDEX(Investments!$Q$6:$Q$1005,MATCH($A66,Investments!$V$6:$V$1005,0))),""))</f>
        <v/>
      </c>
      <c r="H66" s="33" t="str">
        <f aca="false">IF($A66="","",IFERROR(IF(INDEX(Investments!$M$6:$M$1005,MATCH($A66,Investments!$V$6:$V$1005,0))="","",INDEX(Investments!$M$6:$M$1005,MATCH($A66,Investments!$V$6:$V$1005,0))),""))</f>
        <v/>
      </c>
      <c r="I66" s="33" t="str">
        <f aca="false">IF($A66="","",IFERROR(IF(INDEX(Investments!$R$6:$R$1005,MATCH($A66,Investments!$V$6:$V$1005,0))="","",INDEX(Investments!$R$6:$R$1005,MATCH($A66,Investments!$V$6:$V$1005,0))),""))</f>
        <v/>
      </c>
      <c r="J66" s="34" t="str">
        <f aca="false">IF($A66="","",IFERROR(IF(INDEX(Investments!$S$6:$S$1005,MATCH($A66,Investments!$V$6:$V$1005,0))="","",INDEX(Investments!$S$6:$S$1005,MATCH($A66,Investments!$V$6:$V$1005,0))),""))</f>
        <v/>
      </c>
      <c r="K66" s="34" t="str">
        <f aca="false">IF($A66="","",IFERROR(IF(INDEX(Investments!$T$6:$T$1005,MATCH($A66,Investments!$V$6:$V$1005,0))="","",INDEX(Investments!$T$6:$T$1005,MATCH($A66,Investments!$V$6:$V$1005,0))),""))</f>
        <v/>
      </c>
    </row>
    <row r="67" customFormat="false" ht="15" hidden="false" customHeight="false" outlineLevel="0" collapsed="false">
      <c r="A67" s="47" t="str">
        <f aca="false">IF($C$4="","",IF(46&gt;COUNTIFS(Investments!$A$6:$A$1005,$C$4),"",46))</f>
        <v/>
      </c>
      <c r="B67" s="14" t="str">
        <f aca="false">IF($A67="","",IFERROR(IF(INDEX(Investments!$B$6:$B$1005,MATCH($A67,Investments!$V$6:$V$1005,0))="","",INDEX(Investments!$B$6:$B$1005,MATCH($A67,Investments!$V$6:$V$1005,0))),""))</f>
        <v/>
      </c>
      <c r="C67" s="14" t="str">
        <f aca="false">IF($A67="","",IFERROR(IF(INDEX(Investments!$D$6:$D$1005,MATCH($A67,Investments!$V$6:$V$1005,0))="","",INDEX(Investments!$D$6:$D$1005,MATCH($A67,Investments!$V$6:$V$1005,0))),""))</f>
        <v/>
      </c>
      <c r="D67" s="14" t="str">
        <f aca="false">IF($A67="","",IFERROR(IF(INDEX(Investments!$E$6:$E$1005,MATCH($A67,Investments!$V$6:$V$1005,0))="","",INDEX(Investments!$E$6:$E$1005,MATCH($A67,Investments!$V$6:$V$1005,0))),""))</f>
        <v/>
      </c>
      <c r="E67" s="48" t="str">
        <f aca="false">IF($A67="","",IFERROR(IF(INDEX(Investments!$F$6:$F$1005,MATCH($A67,Investments!$V$6:$V$1005,0))="","",INDEX(Investments!$F$6:$F$1005,MATCH($A67,Investments!$V$6:$V$1005,0))),""))</f>
        <v/>
      </c>
      <c r="F67" s="17" t="str">
        <f aca="false">IF($A67="","",IFERROR(IF(INDEX(Investments!$P$6:$P$1005,MATCH($A67,Investments!$V$6:$V$1005,0))="","",INDEX(Investments!$P$6:$P$1005,MATCH($A67,Investments!$V$6:$V$1005,0))),""))</f>
        <v/>
      </c>
      <c r="G67" s="17" t="str">
        <f aca="false">IF($A67="","",IFERROR(IF(INDEX(Investments!$Q$6:$Q$1005,MATCH($A67,Investments!$V$6:$V$1005,0))="","",INDEX(Investments!$Q$6:$Q$1005,MATCH($A67,Investments!$V$6:$V$1005,0))),""))</f>
        <v/>
      </c>
      <c r="H67" s="17" t="str">
        <f aca="false">IF($A67="","",IFERROR(IF(INDEX(Investments!$M$6:$M$1005,MATCH($A67,Investments!$V$6:$V$1005,0))="","",INDEX(Investments!$M$6:$M$1005,MATCH($A67,Investments!$V$6:$V$1005,0))),""))</f>
        <v/>
      </c>
      <c r="I67" s="17" t="str">
        <f aca="false">IF($A67="","",IFERROR(IF(INDEX(Investments!$R$6:$R$1005,MATCH($A67,Investments!$V$6:$V$1005,0))="","",INDEX(Investments!$R$6:$R$1005,MATCH($A67,Investments!$V$6:$V$1005,0))),""))</f>
        <v/>
      </c>
      <c r="J67" s="18" t="str">
        <f aca="false">IF($A67="","",IFERROR(IF(INDEX(Investments!$S$6:$S$1005,MATCH($A67,Investments!$V$6:$V$1005,0))="","",INDEX(Investments!$S$6:$S$1005,MATCH($A67,Investments!$V$6:$V$1005,0))),""))</f>
        <v/>
      </c>
      <c r="K67" s="18" t="str">
        <f aca="false">IF($A67="","",IFERROR(IF(INDEX(Investments!$T$6:$T$1005,MATCH($A67,Investments!$V$6:$V$1005,0))="","",INDEX(Investments!$T$6:$T$1005,MATCH($A67,Investments!$V$6:$V$1005,0))),""))</f>
        <v/>
      </c>
    </row>
    <row r="68" customFormat="false" ht="15" hidden="false" customHeight="false" outlineLevel="0" collapsed="false">
      <c r="A68" s="45" t="str">
        <f aca="false">IF($C$4="","",IF(47&gt;COUNTIFS(Investments!$A$6:$A$1005,$C$4),"",47))</f>
        <v/>
      </c>
      <c r="B68" s="31" t="str">
        <f aca="false">IF($A68="","",IFERROR(IF(INDEX(Investments!$B$6:$B$1005,MATCH($A68,Investments!$V$6:$V$1005,0))="","",INDEX(Investments!$B$6:$B$1005,MATCH($A68,Investments!$V$6:$V$1005,0))),""))</f>
        <v/>
      </c>
      <c r="C68" s="31" t="str">
        <f aca="false">IF($A68="","",IFERROR(IF(INDEX(Investments!$D$6:$D$1005,MATCH($A68,Investments!$V$6:$V$1005,0))="","",INDEX(Investments!$D$6:$D$1005,MATCH($A68,Investments!$V$6:$V$1005,0))),""))</f>
        <v/>
      </c>
      <c r="D68" s="31" t="str">
        <f aca="false">IF($A68="","",IFERROR(IF(INDEX(Investments!$E$6:$E$1005,MATCH($A68,Investments!$V$6:$V$1005,0))="","",INDEX(Investments!$E$6:$E$1005,MATCH($A68,Investments!$V$6:$V$1005,0))),""))</f>
        <v/>
      </c>
      <c r="E68" s="46" t="str">
        <f aca="false">IF($A68="","",IFERROR(IF(INDEX(Investments!$F$6:$F$1005,MATCH($A68,Investments!$V$6:$V$1005,0))="","",INDEX(Investments!$F$6:$F$1005,MATCH($A68,Investments!$V$6:$V$1005,0))),""))</f>
        <v/>
      </c>
      <c r="F68" s="33" t="str">
        <f aca="false">IF($A68="","",IFERROR(IF(INDEX(Investments!$P$6:$P$1005,MATCH($A68,Investments!$V$6:$V$1005,0))="","",INDEX(Investments!$P$6:$P$1005,MATCH($A68,Investments!$V$6:$V$1005,0))),""))</f>
        <v/>
      </c>
      <c r="G68" s="33" t="str">
        <f aca="false">IF($A68="","",IFERROR(IF(INDEX(Investments!$Q$6:$Q$1005,MATCH($A68,Investments!$V$6:$V$1005,0))="","",INDEX(Investments!$Q$6:$Q$1005,MATCH($A68,Investments!$V$6:$V$1005,0))),""))</f>
        <v/>
      </c>
      <c r="H68" s="33" t="str">
        <f aca="false">IF($A68="","",IFERROR(IF(INDEX(Investments!$M$6:$M$1005,MATCH($A68,Investments!$V$6:$V$1005,0))="","",INDEX(Investments!$M$6:$M$1005,MATCH($A68,Investments!$V$6:$V$1005,0))),""))</f>
        <v/>
      </c>
      <c r="I68" s="33" t="str">
        <f aca="false">IF($A68="","",IFERROR(IF(INDEX(Investments!$R$6:$R$1005,MATCH($A68,Investments!$V$6:$V$1005,0))="","",INDEX(Investments!$R$6:$R$1005,MATCH($A68,Investments!$V$6:$V$1005,0))),""))</f>
        <v/>
      </c>
      <c r="J68" s="34" t="str">
        <f aca="false">IF($A68="","",IFERROR(IF(INDEX(Investments!$S$6:$S$1005,MATCH($A68,Investments!$V$6:$V$1005,0))="","",INDEX(Investments!$S$6:$S$1005,MATCH($A68,Investments!$V$6:$V$1005,0))),""))</f>
        <v/>
      </c>
      <c r="K68" s="34" t="str">
        <f aca="false">IF($A68="","",IFERROR(IF(INDEX(Investments!$T$6:$T$1005,MATCH($A68,Investments!$V$6:$V$1005,0))="","",INDEX(Investments!$T$6:$T$1005,MATCH($A68,Investments!$V$6:$V$1005,0))),""))</f>
        <v/>
      </c>
    </row>
    <row r="69" customFormat="false" ht="15" hidden="false" customHeight="false" outlineLevel="0" collapsed="false">
      <c r="A69" s="47" t="str">
        <f aca="false">IF($C$4="","",IF(48&gt;COUNTIFS(Investments!$A$6:$A$1005,$C$4),"",48))</f>
        <v/>
      </c>
      <c r="B69" s="14" t="str">
        <f aca="false">IF($A69="","",IFERROR(IF(INDEX(Investments!$B$6:$B$1005,MATCH($A69,Investments!$V$6:$V$1005,0))="","",INDEX(Investments!$B$6:$B$1005,MATCH($A69,Investments!$V$6:$V$1005,0))),""))</f>
        <v/>
      </c>
      <c r="C69" s="14" t="str">
        <f aca="false">IF($A69="","",IFERROR(IF(INDEX(Investments!$D$6:$D$1005,MATCH($A69,Investments!$V$6:$V$1005,0))="","",INDEX(Investments!$D$6:$D$1005,MATCH($A69,Investments!$V$6:$V$1005,0))),""))</f>
        <v/>
      </c>
      <c r="D69" s="14" t="str">
        <f aca="false">IF($A69="","",IFERROR(IF(INDEX(Investments!$E$6:$E$1005,MATCH($A69,Investments!$V$6:$V$1005,0))="","",INDEX(Investments!$E$6:$E$1005,MATCH($A69,Investments!$V$6:$V$1005,0))),""))</f>
        <v/>
      </c>
      <c r="E69" s="48" t="str">
        <f aca="false">IF($A69="","",IFERROR(IF(INDEX(Investments!$F$6:$F$1005,MATCH($A69,Investments!$V$6:$V$1005,0))="","",INDEX(Investments!$F$6:$F$1005,MATCH($A69,Investments!$V$6:$V$1005,0))),""))</f>
        <v/>
      </c>
      <c r="F69" s="17" t="str">
        <f aca="false">IF($A69="","",IFERROR(IF(INDEX(Investments!$P$6:$P$1005,MATCH($A69,Investments!$V$6:$V$1005,0))="","",INDEX(Investments!$P$6:$P$1005,MATCH($A69,Investments!$V$6:$V$1005,0))),""))</f>
        <v/>
      </c>
      <c r="G69" s="17" t="str">
        <f aca="false">IF($A69="","",IFERROR(IF(INDEX(Investments!$Q$6:$Q$1005,MATCH($A69,Investments!$V$6:$V$1005,0))="","",INDEX(Investments!$Q$6:$Q$1005,MATCH($A69,Investments!$V$6:$V$1005,0))),""))</f>
        <v/>
      </c>
      <c r="H69" s="17" t="str">
        <f aca="false">IF($A69="","",IFERROR(IF(INDEX(Investments!$M$6:$M$1005,MATCH($A69,Investments!$V$6:$V$1005,0))="","",INDEX(Investments!$M$6:$M$1005,MATCH($A69,Investments!$V$6:$V$1005,0))),""))</f>
        <v/>
      </c>
      <c r="I69" s="17" t="str">
        <f aca="false">IF($A69="","",IFERROR(IF(INDEX(Investments!$R$6:$R$1005,MATCH($A69,Investments!$V$6:$V$1005,0))="","",INDEX(Investments!$R$6:$R$1005,MATCH($A69,Investments!$V$6:$V$1005,0))),""))</f>
        <v/>
      </c>
      <c r="J69" s="18" t="str">
        <f aca="false">IF($A69="","",IFERROR(IF(INDEX(Investments!$S$6:$S$1005,MATCH($A69,Investments!$V$6:$V$1005,0))="","",INDEX(Investments!$S$6:$S$1005,MATCH($A69,Investments!$V$6:$V$1005,0))),""))</f>
        <v/>
      </c>
      <c r="K69" s="18" t="str">
        <f aca="false">IF($A69="","",IFERROR(IF(INDEX(Investments!$T$6:$T$1005,MATCH($A69,Investments!$V$6:$V$1005,0))="","",INDEX(Investments!$T$6:$T$1005,MATCH($A69,Investments!$V$6:$V$1005,0))),""))</f>
        <v/>
      </c>
    </row>
    <row r="70" customFormat="false" ht="15" hidden="false" customHeight="false" outlineLevel="0" collapsed="false">
      <c r="A70" s="45" t="str">
        <f aca="false">IF($C$4="","",IF(49&gt;COUNTIFS(Investments!$A$6:$A$1005,$C$4),"",49))</f>
        <v/>
      </c>
      <c r="B70" s="31" t="str">
        <f aca="false">IF($A70="","",IFERROR(IF(INDEX(Investments!$B$6:$B$1005,MATCH($A70,Investments!$V$6:$V$1005,0))="","",INDEX(Investments!$B$6:$B$1005,MATCH($A70,Investments!$V$6:$V$1005,0))),""))</f>
        <v/>
      </c>
      <c r="C70" s="31" t="str">
        <f aca="false">IF($A70="","",IFERROR(IF(INDEX(Investments!$D$6:$D$1005,MATCH($A70,Investments!$V$6:$V$1005,0))="","",INDEX(Investments!$D$6:$D$1005,MATCH($A70,Investments!$V$6:$V$1005,0))),""))</f>
        <v/>
      </c>
      <c r="D70" s="31" t="str">
        <f aca="false">IF($A70="","",IFERROR(IF(INDEX(Investments!$E$6:$E$1005,MATCH($A70,Investments!$V$6:$V$1005,0))="","",INDEX(Investments!$E$6:$E$1005,MATCH($A70,Investments!$V$6:$V$1005,0))),""))</f>
        <v/>
      </c>
      <c r="E70" s="46" t="str">
        <f aca="false">IF($A70="","",IFERROR(IF(INDEX(Investments!$F$6:$F$1005,MATCH($A70,Investments!$V$6:$V$1005,0))="","",INDEX(Investments!$F$6:$F$1005,MATCH($A70,Investments!$V$6:$V$1005,0))),""))</f>
        <v/>
      </c>
      <c r="F70" s="33" t="str">
        <f aca="false">IF($A70="","",IFERROR(IF(INDEX(Investments!$P$6:$P$1005,MATCH($A70,Investments!$V$6:$V$1005,0))="","",INDEX(Investments!$P$6:$P$1005,MATCH($A70,Investments!$V$6:$V$1005,0))),""))</f>
        <v/>
      </c>
      <c r="G70" s="33" t="str">
        <f aca="false">IF($A70="","",IFERROR(IF(INDEX(Investments!$Q$6:$Q$1005,MATCH($A70,Investments!$V$6:$V$1005,0))="","",INDEX(Investments!$Q$6:$Q$1005,MATCH($A70,Investments!$V$6:$V$1005,0))),""))</f>
        <v/>
      </c>
      <c r="H70" s="33" t="str">
        <f aca="false">IF($A70="","",IFERROR(IF(INDEX(Investments!$M$6:$M$1005,MATCH($A70,Investments!$V$6:$V$1005,0))="","",INDEX(Investments!$M$6:$M$1005,MATCH($A70,Investments!$V$6:$V$1005,0))),""))</f>
        <v/>
      </c>
      <c r="I70" s="33" t="str">
        <f aca="false">IF($A70="","",IFERROR(IF(INDEX(Investments!$R$6:$R$1005,MATCH($A70,Investments!$V$6:$V$1005,0))="","",INDEX(Investments!$R$6:$R$1005,MATCH($A70,Investments!$V$6:$V$1005,0))),""))</f>
        <v/>
      </c>
      <c r="J70" s="34" t="str">
        <f aca="false">IF($A70="","",IFERROR(IF(INDEX(Investments!$S$6:$S$1005,MATCH($A70,Investments!$V$6:$V$1005,0))="","",INDEX(Investments!$S$6:$S$1005,MATCH($A70,Investments!$V$6:$V$1005,0))),""))</f>
        <v/>
      </c>
      <c r="K70" s="34" t="str">
        <f aca="false">IF($A70="","",IFERROR(IF(INDEX(Investments!$T$6:$T$1005,MATCH($A70,Investments!$V$6:$V$1005,0))="","",INDEX(Investments!$T$6:$T$1005,MATCH($A70,Investments!$V$6:$V$1005,0))),""))</f>
        <v/>
      </c>
    </row>
    <row r="71" customFormat="false" ht="15" hidden="false" customHeight="false" outlineLevel="0" collapsed="false">
      <c r="A71" s="47" t="str">
        <f aca="false">IF($C$4="","",IF(50&gt;COUNTIFS(Investments!$A$6:$A$1005,$C$4),"",50))</f>
        <v/>
      </c>
      <c r="B71" s="14" t="str">
        <f aca="false">IF($A71="","",IFERROR(IF(INDEX(Investments!$B$6:$B$1005,MATCH($A71,Investments!$V$6:$V$1005,0))="","",INDEX(Investments!$B$6:$B$1005,MATCH($A71,Investments!$V$6:$V$1005,0))),""))</f>
        <v/>
      </c>
      <c r="C71" s="14" t="str">
        <f aca="false">IF($A71="","",IFERROR(IF(INDEX(Investments!$D$6:$D$1005,MATCH($A71,Investments!$V$6:$V$1005,0))="","",INDEX(Investments!$D$6:$D$1005,MATCH($A71,Investments!$V$6:$V$1005,0))),""))</f>
        <v/>
      </c>
      <c r="D71" s="14" t="str">
        <f aca="false">IF($A71="","",IFERROR(IF(INDEX(Investments!$E$6:$E$1005,MATCH($A71,Investments!$V$6:$V$1005,0))="","",INDEX(Investments!$E$6:$E$1005,MATCH($A71,Investments!$V$6:$V$1005,0))),""))</f>
        <v/>
      </c>
      <c r="E71" s="48" t="str">
        <f aca="false">IF($A71="","",IFERROR(IF(INDEX(Investments!$F$6:$F$1005,MATCH($A71,Investments!$V$6:$V$1005,0))="","",INDEX(Investments!$F$6:$F$1005,MATCH($A71,Investments!$V$6:$V$1005,0))),""))</f>
        <v/>
      </c>
      <c r="F71" s="17" t="str">
        <f aca="false">IF($A71="","",IFERROR(IF(INDEX(Investments!$P$6:$P$1005,MATCH($A71,Investments!$V$6:$V$1005,0))="","",INDEX(Investments!$P$6:$P$1005,MATCH($A71,Investments!$V$6:$V$1005,0))),""))</f>
        <v/>
      </c>
      <c r="G71" s="17" t="str">
        <f aca="false">IF($A71="","",IFERROR(IF(INDEX(Investments!$Q$6:$Q$1005,MATCH($A71,Investments!$V$6:$V$1005,0))="","",INDEX(Investments!$Q$6:$Q$1005,MATCH($A71,Investments!$V$6:$V$1005,0))),""))</f>
        <v/>
      </c>
      <c r="H71" s="17" t="str">
        <f aca="false">IF($A71="","",IFERROR(IF(INDEX(Investments!$M$6:$M$1005,MATCH($A71,Investments!$V$6:$V$1005,0))="","",INDEX(Investments!$M$6:$M$1005,MATCH($A71,Investments!$V$6:$V$1005,0))),""))</f>
        <v/>
      </c>
      <c r="I71" s="17" t="str">
        <f aca="false">IF($A71="","",IFERROR(IF(INDEX(Investments!$R$6:$R$1005,MATCH($A71,Investments!$V$6:$V$1005,0))="","",INDEX(Investments!$R$6:$R$1005,MATCH($A71,Investments!$V$6:$V$1005,0))),""))</f>
        <v/>
      </c>
      <c r="J71" s="18" t="str">
        <f aca="false">IF($A71="","",IFERROR(IF(INDEX(Investments!$S$6:$S$1005,MATCH($A71,Investments!$V$6:$V$1005,0))="","",INDEX(Investments!$S$6:$S$1005,MATCH($A71,Investments!$V$6:$V$1005,0))),""))</f>
        <v/>
      </c>
      <c r="K71" s="18" t="str">
        <f aca="false">IF($A71="","",IFERROR(IF(INDEX(Investments!$T$6:$T$1005,MATCH($A71,Investments!$V$6:$V$1005,0))="","",INDEX(Investments!$T$6:$T$1005,MATCH($A71,Investments!$V$6:$V$1005,0))),""))</f>
        <v/>
      </c>
    </row>
    <row r="72" customFormat="false" ht="15" hidden="false" customHeight="false" outlineLevel="0" collapsed="false">
      <c r="A72" s="45" t="str">
        <f aca="false">IF($C$4="","",IF(51&gt;COUNTIFS(Investments!$A$6:$A$1005,$C$4),"",51))</f>
        <v/>
      </c>
      <c r="B72" s="31" t="str">
        <f aca="false">IF($A72="","",IFERROR(IF(INDEX(Investments!$B$6:$B$1005,MATCH($A72,Investments!$V$6:$V$1005,0))="","",INDEX(Investments!$B$6:$B$1005,MATCH($A72,Investments!$V$6:$V$1005,0))),""))</f>
        <v/>
      </c>
      <c r="C72" s="31" t="str">
        <f aca="false">IF($A72="","",IFERROR(IF(INDEX(Investments!$D$6:$D$1005,MATCH($A72,Investments!$V$6:$V$1005,0))="","",INDEX(Investments!$D$6:$D$1005,MATCH($A72,Investments!$V$6:$V$1005,0))),""))</f>
        <v/>
      </c>
      <c r="D72" s="31" t="str">
        <f aca="false">IF($A72="","",IFERROR(IF(INDEX(Investments!$E$6:$E$1005,MATCH($A72,Investments!$V$6:$V$1005,0))="","",INDEX(Investments!$E$6:$E$1005,MATCH($A72,Investments!$V$6:$V$1005,0))),""))</f>
        <v/>
      </c>
      <c r="E72" s="46" t="str">
        <f aca="false">IF($A72="","",IFERROR(IF(INDEX(Investments!$F$6:$F$1005,MATCH($A72,Investments!$V$6:$V$1005,0))="","",INDEX(Investments!$F$6:$F$1005,MATCH($A72,Investments!$V$6:$V$1005,0))),""))</f>
        <v/>
      </c>
      <c r="F72" s="33" t="str">
        <f aca="false">IF($A72="","",IFERROR(IF(INDEX(Investments!$P$6:$P$1005,MATCH($A72,Investments!$V$6:$V$1005,0))="","",INDEX(Investments!$P$6:$P$1005,MATCH($A72,Investments!$V$6:$V$1005,0))),""))</f>
        <v/>
      </c>
      <c r="G72" s="33" t="str">
        <f aca="false">IF($A72="","",IFERROR(IF(INDEX(Investments!$Q$6:$Q$1005,MATCH($A72,Investments!$V$6:$V$1005,0))="","",INDEX(Investments!$Q$6:$Q$1005,MATCH($A72,Investments!$V$6:$V$1005,0))),""))</f>
        <v/>
      </c>
      <c r="H72" s="33" t="str">
        <f aca="false">IF($A72="","",IFERROR(IF(INDEX(Investments!$M$6:$M$1005,MATCH($A72,Investments!$V$6:$V$1005,0))="","",INDEX(Investments!$M$6:$M$1005,MATCH($A72,Investments!$V$6:$V$1005,0))),""))</f>
        <v/>
      </c>
      <c r="I72" s="33" t="str">
        <f aca="false">IF($A72="","",IFERROR(IF(INDEX(Investments!$R$6:$R$1005,MATCH($A72,Investments!$V$6:$V$1005,0))="","",INDEX(Investments!$R$6:$R$1005,MATCH($A72,Investments!$V$6:$V$1005,0))),""))</f>
        <v/>
      </c>
      <c r="J72" s="34" t="str">
        <f aca="false">IF($A72="","",IFERROR(IF(INDEX(Investments!$S$6:$S$1005,MATCH($A72,Investments!$V$6:$V$1005,0))="","",INDEX(Investments!$S$6:$S$1005,MATCH($A72,Investments!$V$6:$V$1005,0))),""))</f>
        <v/>
      </c>
      <c r="K72" s="34" t="str">
        <f aca="false">IF($A72="","",IFERROR(IF(INDEX(Investments!$T$6:$T$1005,MATCH($A72,Investments!$V$6:$V$1005,0))="","",INDEX(Investments!$T$6:$T$1005,MATCH($A72,Investments!$V$6:$V$1005,0))),""))</f>
        <v/>
      </c>
    </row>
    <row r="73" customFormat="false" ht="15" hidden="false" customHeight="false" outlineLevel="0" collapsed="false">
      <c r="A73" s="47" t="str">
        <f aca="false">IF($C$4="","",IF(52&gt;COUNTIFS(Investments!$A$6:$A$1005,$C$4),"",52))</f>
        <v/>
      </c>
      <c r="B73" s="14" t="str">
        <f aca="false">IF($A73="","",IFERROR(IF(INDEX(Investments!$B$6:$B$1005,MATCH($A73,Investments!$V$6:$V$1005,0))="","",INDEX(Investments!$B$6:$B$1005,MATCH($A73,Investments!$V$6:$V$1005,0))),""))</f>
        <v/>
      </c>
      <c r="C73" s="14" t="str">
        <f aca="false">IF($A73="","",IFERROR(IF(INDEX(Investments!$D$6:$D$1005,MATCH($A73,Investments!$V$6:$V$1005,0))="","",INDEX(Investments!$D$6:$D$1005,MATCH($A73,Investments!$V$6:$V$1005,0))),""))</f>
        <v/>
      </c>
      <c r="D73" s="14" t="str">
        <f aca="false">IF($A73="","",IFERROR(IF(INDEX(Investments!$E$6:$E$1005,MATCH($A73,Investments!$V$6:$V$1005,0))="","",INDEX(Investments!$E$6:$E$1005,MATCH($A73,Investments!$V$6:$V$1005,0))),""))</f>
        <v/>
      </c>
      <c r="E73" s="48" t="str">
        <f aca="false">IF($A73="","",IFERROR(IF(INDEX(Investments!$F$6:$F$1005,MATCH($A73,Investments!$V$6:$V$1005,0))="","",INDEX(Investments!$F$6:$F$1005,MATCH($A73,Investments!$V$6:$V$1005,0))),""))</f>
        <v/>
      </c>
      <c r="F73" s="17" t="str">
        <f aca="false">IF($A73="","",IFERROR(IF(INDEX(Investments!$P$6:$P$1005,MATCH($A73,Investments!$V$6:$V$1005,0))="","",INDEX(Investments!$P$6:$P$1005,MATCH($A73,Investments!$V$6:$V$1005,0))),""))</f>
        <v/>
      </c>
      <c r="G73" s="17" t="str">
        <f aca="false">IF($A73="","",IFERROR(IF(INDEX(Investments!$Q$6:$Q$1005,MATCH($A73,Investments!$V$6:$V$1005,0))="","",INDEX(Investments!$Q$6:$Q$1005,MATCH($A73,Investments!$V$6:$V$1005,0))),""))</f>
        <v/>
      </c>
      <c r="H73" s="17" t="str">
        <f aca="false">IF($A73="","",IFERROR(IF(INDEX(Investments!$M$6:$M$1005,MATCH($A73,Investments!$V$6:$V$1005,0))="","",INDEX(Investments!$M$6:$M$1005,MATCH($A73,Investments!$V$6:$V$1005,0))),""))</f>
        <v/>
      </c>
      <c r="I73" s="17" t="str">
        <f aca="false">IF($A73="","",IFERROR(IF(INDEX(Investments!$R$6:$R$1005,MATCH($A73,Investments!$V$6:$V$1005,0))="","",INDEX(Investments!$R$6:$R$1005,MATCH($A73,Investments!$V$6:$V$1005,0))),""))</f>
        <v/>
      </c>
      <c r="J73" s="18" t="str">
        <f aca="false">IF($A73="","",IFERROR(IF(INDEX(Investments!$S$6:$S$1005,MATCH($A73,Investments!$V$6:$V$1005,0))="","",INDEX(Investments!$S$6:$S$1005,MATCH($A73,Investments!$V$6:$V$1005,0))),""))</f>
        <v/>
      </c>
      <c r="K73" s="18" t="str">
        <f aca="false">IF($A73="","",IFERROR(IF(INDEX(Investments!$T$6:$T$1005,MATCH($A73,Investments!$V$6:$V$1005,0))="","",INDEX(Investments!$T$6:$T$1005,MATCH($A73,Investments!$V$6:$V$1005,0))),""))</f>
        <v/>
      </c>
    </row>
    <row r="74" customFormat="false" ht="15" hidden="false" customHeight="false" outlineLevel="0" collapsed="false">
      <c r="A74" s="45" t="str">
        <f aca="false">IF($C$4="","",IF(53&gt;COUNTIFS(Investments!$A$6:$A$1005,$C$4),"",53))</f>
        <v/>
      </c>
      <c r="B74" s="31" t="str">
        <f aca="false">IF($A74="","",IFERROR(IF(INDEX(Investments!$B$6:$B$1005,MATCH($A74,Investments!$V$6:$V$1005,0))="","",INDEX(Investments!$B$6:$B$1005,MATCH($A74,Investments!$V$6:$V$1005,0))),""))</f>
        <v/>
      </c>
      <c r="C74" s="31" t="str">
        <f aca="false">IF($A74="","",IFERROR(IF(INDEX(Investments!$D$6:$D$1005,MATCH($A74,Investments!$V$6:$V$1005,0))="","",INDEX(Investments!$D$6:$D$1005,MATCH($A74,Investments!$V$6:$V$1005,0))),""))</f>
        <v/>
      </c>
      <c r="D74" s="31" t="str">
        <f aca="false">IF($A74="","",IFERROR(IF(INDEX(Investments!$E$6:$E$1005,MATCH($A74,Investments!$V$6:$V$1005,0))="","",INDEX(Investments!$E$6:$E$1005,MATCH($A74,Investments!$V$6:$V$1005,0))),""))</f>
        <v/>
      </c>
      <c r="E74" s="46" t="str">
        <f aca="false">IF($A74="","",IFERROR(IF(INDEX(Investments!$F$6:$F$1005,MATCH($A74,Investments!$V$6:$V$1005,0))="","",INDEX(Investments!$F$6:$F$1005,MATCH($A74,Investments!$V$6:$V$1005,0))),""))</f>
        <v/>
      </c>
      <c r="F74" s="33" t="str">
        <f aca="false">IF($A74="","",IFERROR(IF(INDEX(Investments!$P$6:$P$1005,MATCH($A74,Investments!$V$6:$V$1005,0))="","",INDEX(Investments!$P$6:$P$1005,MATCH($A74,Investments!$V$6:$V$1005,0))),""))</f>
        <v/>
      </c>
      <c r="G74" s="33" t="str">
        <f aca="false">IF($A74="","",IFERROR(IF(INDEX(Investments!$Q$6:$Q$1005,MATCH($A74,Investments!$V$6:$V$1005,0))="","",INDEX(Investments!$Q$6:$Q$1005,MATCH($A74,Investments!$V$6:$V$1005,0))),""))</f>
        <v/>
      </c>
      <c r="H74" s="33" t="str">
        <f aca="false">IF($A74="","",IFERROR(IF(INDEX(Investments!$M$6:$M$1005,MATCH($A74,Investments!$V$6:$V$1005,0))="","",INDEX(Investments!$M$6:$M$1005,MATCH($A74,Investments!$V$6:$V$1005,0))),""))</f>
        <v/>
      </c>
      <c r="I74" s="33" t="str">
        <f aca="false">IF($A74="","",IFERROR(IF(INDEX(Investments!$R$6:$R$1005,MATCH($A74,Investments!$V$6:$V$1005,0))="","",INDEX(Investments!$R$6:$R$1005,MATCH($A74,Investments!$V$6:$V$1005,0))),""))</f>
        <v/>
      </c>
      <c r="J74" s="34" t="str">
        <f aca="false">IF($A74="","",IFERROR(IF(INDEX(Investments!$S$6:$S$1005,MATCH($A74,Investments!$V$6:$V$1005,0))="","",INDEX(Investments!$S$6:$S$1005,MATCH($A74,Investments!$V$6:$V$1005,0))),""))</f>
        <v/>
      </c>
      <c r="K74" s="34" t="str">
        <f aca="false">IF($A74="","",IFERROR(IF(INDEX(Investments!$T$6:$T$1005,MATCH($A74,Investments!$V$6:$V$1005,0))="","",INDEX(Investments!$T$6:$T$1005,MATCH($A74,Investments!$V$6:$V$1005,0))),""))</f>
        <v/>
      </c>
    </row>
    <row r="75" customFormat="false" ht="15" hidden="false" customHeight="false" outlineLevel="0" collapsed="false">
      <c r="A75" s="47" t="str">
        <f aca="false">IF($C$4="","",IF(54&gt;COUNTIFS(Investments!$A$6:$A$1005,$C$4),"",54))</f>
        <v/>
      </c>
      <c r="B75" s="14" t="str">
        <f aca="false">IF($A75="","",IFERROR(IF(INDEX(Investments!$B$6:$B$1005,MATCH($A75,Investments!$V$6:$V$1005,0))="","",INDEX(Investments!$B$6:$B$1005,MATCH($A75,Investments!$V$6:$V$1005,0))),""))</f>
        <v/>
      </c>
      <c r="C75" s="14" t="str">
        <f aca="false">IF($A75="","",IFERROR(IF(INDEX(Investments!$D$6:$D$1005,MATCH($A75,Investments!$V$6:$V$1005,0))="","",INDEX(Investments!$D$6:$D$1005,MATCH($A75,Investments!$V$6:$V$1005,0))),""))</f>
        <v/>
      </c>
      <c r="D75" s="14" t="str">
        <f aca="false">IF($A75="","",IFERROR(IF(INDEX(Investments!$E$6:$E$1005,MATCH($A75,Investments!$V$6:$V$1005,0))="","",INDEX(Investments!$E$6:$E$1005,MATCH($A75,Investments!$V$6:$V$1005,0))),""))</f>
        <v/>
      </c>
      <c r="E75" s="48" t="str">
        <f aca="false">IF($A75="","",IFERROR(IF(INDEX(Investments!$F$6:$F$1005,MATCH($A75,Investments!$V$6:$V$1005,0))="","",INDEX(Investments!$F$6:$F$1005,MATCH($A75,Investments!$V$6:$V$1005,0))),""))</f>
        <v/>
      </c>
      <c r="F75" s="17" t="str">
        <f aca="false">IF($A75="","",IFERROR(IF(INDEX(Investments!$P$6:$P$1005,MATCH($A75,Investments!$V$6:$V$1005,0))="","",INDEX(Investments!$P$6:$P$1005,MATCH($A75,Investments!$V$6:$V$1005,0))),""))</f>
        <v/>
      </c>
      <c r="G75" s="17" t="str">
        <f aca="false">IF($A75="","",IFERROR(IF(INDEX(Investments!$Q$6:$Q$1005,MATCH($A75,Investments!$V$6:$V$1005,0))="","",INDEX(Investments!$Q$6:$Q$1005,MATCH($A75,Investments!$V$6:$V$1005,0))),""))</f>
        <v/>
      </c>
      <c r="H75" s="17" t="str">
        <f aca="false">IF($A75="","",IFERROR(IF(INDEX(Investments!$M$6:$M$1005,MATCH($A75,Investments!$V$6:$V$1005,0))="","",INDEX(Investments!$M$6:$M$1005,MATCH($A75,Investments!$V$6:$V$1005,0))),""))</f>
        <v/>
      </c>
      <c r="I75" s="17" t="str">
        <f aca="false">IF($A75="","",IFERROR(IF(INDEX(Investments!$R$6:$R$1005,MATCH($A75,Investments!$V$6:$V$1005,0))="","",INDEX(Investments!$R$6:$R$1005,MATCH($A75,Investments!$V$6:$V$1005,0))),""))</f>
        <v/>
      </c>
      <c r="J75" s="18" t="str">
        <f aca="false">IF($A75="","",IFERROR(IF(INDEX(Investments!$S$6:$S$1005,MATCH($A75,Investments!$V$6:$V$1005,0))="","",INDEX(Investments!$S$6:$S$1005,MATCH($A75,Investments!$V$6:$V$1005,0))),""))</f>
        <v/>
      </c>
      <c r="K75" s="18" t="str">
        <f aca="false">IF($A75="","",IFERROR(IF(INDEX(Investments!$T$6:$T$1005,MATCH($A75,Investments!$V$6:$V$1005,0))="","",INDEX(Investments!$T$6:$T$1005,MATCH($A75,Investments!$V$6:$V$1005,0))),""))</f>
        <v/>
      </c>
    </row>
    <row r="76" customFormat="false" ht="15" hidden="false" customHeight="false" outlineLevel="0" collapsed="false">
      <c r="A76" s="45" t="str">
        <f aca="false">IF($C$4="","",IF(55&gt;COUNTIFS(Investments!$A$6:$A$1005,$C$4),"",55))</f>
        <v/>
      </c>
      <c r="B76" s="31" t="str">
        <f aca="false">IF($A76="","",IFERROR(IF(INDEX(Investments!$B$6:$B$1005,MATCH($A76,Investments!$V$6:$V$1005,0))="","",INDEX(Investments!$B$6:$B$1005,MATCH($A76,Investments!$V$6:$V$1005,0))),""))</f>
        <v/>
      </c>
      <c r="C76" s="31" t="str">
        <f aca="false">IF($A76="","",IFERROR(IF(INDEX(Investments!$D$6:$D$1005,MATCH($A76,Investments!$V$6:$V$1005,0))="","",INDEX(Investments!$D$6:$D$1005,MATCH($A76,Investments!$V$6:$V$1005,0))),""))</f>
        <v/>
      </c>
      <c r="D76" s="31" t="str">
        <f aca="false">IF($A76="","",IFERROR(IF(INDEX(Investments!$E$6:$E$1005,MATCH($A76,Investments!$V$6:$V$1005,0))="","",INDEX(Investments!$E$6:$E$1005,MATCH($A76,Investments!$V$6:$V$1005,0))),""))</f>
        <v/>
      </c>
      <c r="E76" s="46" t="str">
        <f aca="false">IF($A76="","",IFERROR(IF(INDEX(Investments!$F$6:$F$1005,MATCH($A76,Investments!$V$6:$V$1005,0))="","",INDEX(Investments!$F$6:$F$1005,MATCH($A76,Investments!$V$6:$V$1005,0))),""))</f>
        <v/>
      </c>
      <c r="F76" s="33" t="str">
        <f aca="false">IF($A76="","",IFERROR(IF(INDEX(Investments!$P$6:$P$1005,MATCH($A76,Investments!$V$6:$V$1005,0))="","",INDEX(Investments!$P$6:$P$1005,MATCH($A76,Investments!$V$6:$V$1005,0))),""))</f>
        <v/>
      </c>
      <c r="G76" s="33" t="str">
        <f aca="false">IF($A76="","",IFERROR(IF(INDEX(Investments!$Q$6:$Q$1005,MATCH($A76,Investments!$V$6:$V$1005,0))="","",INDEX(Investments!$Q$6:$Q$1005,MATCH($A76,Investments!$V$6:$V$1005,0))),""))</f>
        <v/>
      </c>
      <c r="H76" s="33" t="str">
        <f aca="false">IF($A76="","",IFERROR(IF(INDEX(Investments!$M$6:$M$1005,MATCH($A76,Investments!$V$6:$V$1005,0))="","",INDEX(Investments!$M$6:$M$1005,MATCH($A76,Investments!$V$6:$V$1005,0))),""))</f>
        <v/>
      </c>
      <c r="I76" s="33" t="str">
        <f aca="false">IF($A76="","",IFERROR(IF(INDEX(Investments!$R$6:$R$1005,MATCH($A76,Investments!$V$6:$V$1005,0))="","",INDEX(Investments!$R$6:$R$1005,MATCH($A76,Investments!$V$6:$V$1005,0))),""))</f>
        <v/>
      </c>
      <c r="J76" s="34" t="str">
        <f aca="false">IF($A76="","",IFERROR(IF(INDEX(Investments!$S$6:$S$1005,MATCH($A76,Investments!$V$6:$V$1005,0))="","",INDEX(Investments!$S$6:$S$1005,MATCH($A76,Investments!$V$6:$V$1005,0))),""))</f>
        <v/>
      </c>
      <c r="K76" s="34" t="str">
        <f aca="false">IF($A76="","",IFERROR(IF(INDEX(Investments!$T$6:$T$1005,MATCH($A76,Investments!$V$6:$V$1005,0))="","",INDEX(Investments!$T$6:$T$1005,MATCH($A76,Investments!$V$6:$V$1005,0))),""))</f>
        <v/>
      </c>
    </row>
    <row r="77" customFormat="false" ht="15" hidden="false" customHeight="false" outlineLevel="0" collapsed="false">
      <c r="A77" s="47" t="str">
        <f aca="false">IF($C$4="","",IF(56&gt;COUNTIFS(Investments!$A$6:$A$1005,$C$4),"",56))</f>
        <v/>
      </c>
      <c r="B77" s="14" t="str">
        <f aca="false">IF($A77="","",IFERROR(IF(INDEX(Investments!$B$6:$B$1005,MATCH($A77,Investments!$V$6:$V$1005,0))="","",INDEX(Investments!$B$6:$B$1005,MATCH($A77,Investments!$V$6:$V$1005,0))),""))</f>
        <v/>
      </c>
      <c r="C77" s="14" t="str">
        <f aca="false">IF($A77="","",IFERROR(IF(INDEX(Investments!$D$6:$D$1005,MATCH($A77,Investments!$V$6:$V$1005,0))="","",INDEX(Investments!$D$6:$D$1005,MATCH($A77,Investments!$V$6:$V$1005,0))),""))</f>
        <v/>
      </c>
      <c r="D77" s="14" t="str">
        <f aca="false">IF($A77="","",IFERROR(IF(INDEX(Investments!$E$6:$E$1005,MATCH($A77,Investments!$V$6:$V$1005,0))="","",INDEX(Investments!$E$6:$E$1005,MATCH($A77,Investments!$V$6:$V$1005,0))),""))</f>
        <v/>
      </c>
      <c r="E77" s="48" t="str">
        <f aca="false">IF($A77="","",IFERROR(IF(INDEX(Investments!$F$6:$F$1005,MATCH($A77,Investments!$V$6:$V$1005,0))="","",INDEX(Investments!$F$6:$F$1005,MATCH($A77,Investments!$V$6:$V$1005,0))),""))</f>
        <v/>
      </c>
      <c r="F77" s="17" t="str">
        <f aca="false">IF($A77="","",IFERROR(IF(INDEX(Investments!$P$6:$P$1005,MATCH($A77,Investments!$V$6:$V$1005,0))="","",INDEX(Investments!$P$6:$P$1005,MATCH($A77,Investments!$V$6:$V$1005,0))),""))</f>
        <v/>
      </c>
      <c r="G77" s="17" t="str">
        <f aca="false">IF($A77="","",IFERROR(IF(INDEX(Investments!$Q$6:$Q$1005,MATCH($A77,Investments!$V$6:$V$1005,0))="","",INDEX(Investments!$Q$6:$Q$1005,MATCH($A77,Investments!$V$6:$V$1005,0))),""))</f>
        <v/>
      </c>
      <c r="H77" s="17" t="str">
        <f aca="false">IF($A77="","",IFERROR(IF(INDEX(Investments!$M$6:$M$1005,MATCH($A77,Investments!$V$6:$V$1005,0))="","",INDEX(Investments!$M$6:$M$1005,MATCH($A77,Investments!$V$6:$V$1005,0))),""))</f>
        <v/>
      </c>
      <c r="I77" s="17" t="str">
        <f aca="false">IF($A77="","",IFERROR(IF(INDEX(Investments!$R$6:$R$1005,MATCH($A77,Investments!$V$6:$V$1005,0))="","",INDEX(Investments!$R$6:$R$1005,MATCH($A77,Investments!$V$6:$V$1005,0))),""))</f>
        <v/>
      </c>
      <c r="J77" s="18" t="str">
        <f aca="false">IF($A77="","",IFERROR(IF(INDEX(Investments!$S$6:$S$1005,MATCH($A77,Investments!$V$6:$V$1005,0))="","",INDEX(Investments!$S$6:$S$1005,MATCH($A77,Investments!$V$6:$V$1005,0))),""))</f>
        <v/>
      </c>
      <c r="K77" s="18" t="str">
        <f aca="false">IF($A77="","",IFERROR(IF(INDEX(Investments!$T$6:$T$1005,MATCH($A77,Investments!$V$6:$V$1005,0))="","",INDEX(Investments!$T$6:$T$1005,MATCH($A77,Investments!$V$6:$V$1005,0))),""))</f>
        <v/>
      </c>
    </row>
    <row r="78" customFormat="false" ht="15" hidden="false" customHeight="false" outlineLevel="0" collapsed="false">
      <c r="A78" s="45" t="str">
        <f aca="false">IF($C$4="","",IF(57&gt;COUNTIFS(Investments!$A$6:$A$1005,$C$4),"",57))</f>
        <v/>
      </c>
      <c r="B78" s="31" t="str">
        <f aca="false">IF($A78="","",IFERROR(IF(INDEX(Investments!$B$6:$B$1005,MATCH($A78,Investments!$V$6:$V$1005,0))="","",INDEX(Investments!$B$6:$B$1005,MATCH($A78,Investments!$V$6:$V$1005,0))),""))</f>
        <v/>
      </c>
      <c r="C78" s="31" t="str">
        <f aca="false">IF($A78="","",IFERROR(IF(INDEX(Investments!$D$6:$D$1005,MATCH($A78,Investments!$V$6:$V$1005,0))="","",INDEX(Investments!$D$6:$D$1005,MATCH($A78,Investments!$V$6:$V$1005,0))),""))</f>
        <v/>
      </c>
      <c r="D78" s="31" t="str">
        <f aca="false">IF($A78="","",IFERROR(IF(INDEX(Investments!$E$6:$E$1005,MATCH($A78,Investments!$V$6:$V$1005,0))="","",INDEX(Investments!$E$6:$E$1005,MATCH($A78,Investments!$V$6:$V$1005,0))),""))</f>
        <v/>
      </c>
      <c r="E78" s="46" t="str">
        <f aca="false">IF($A78="","",IFERROR(IF(INDEX(Investments!$F$6:$F$1005,MATCH($A78,Investments!$V$6:$V$1005,0))="","",INDEX(Investments!$F$6:$F$1005,MATCH($A78,Investments!$V$6:$V$1005,0))),""))</f>
        <v/>
      </c>
      <c r="F78" s="33" t="str">
        <f aca="false">IF($A78="","",IFERROR(IF(INDEX(Investments!$P$6:$P$1005,MATCH($A78,Investments!$V$6:$V$1005,0))="","",INDEX(Investments!$P$6:$P$1005,MATCH($A78,Investments!$V$6:$V$1005,0))),""))</f>
        <v/>
      </c>
      <c r="G78" s="33" t="str">
        <f aca="false">IF($A78="","",IFERROR(IF(INDEX(Investments!$Q$6:$Q$1005,MATCH($A78,Investments!$V$6:$V$1005,0))="","",INDEX(Investments!$Q$6:$Q$1005,MATCH($A78,Investments!$V$6:$V$1005,0))),""))</f>
        <v/>
      </c>
      <c r="H78" s="33" t="str">
        <f aca="false">IF($A78="","",IFERROR(IF(INDEX(Investments!$M$6:$M$1005,MATCH($A78,Investments!$V$6:$V$1005,0))="","",INDEX(Investments!$M$6:$M$1005,MATCH($A78,Investments!$V$6:$V$1005,0))),""))</f>
        <v/>
      </c>
      <c r="I78" s="33" t="str">
        <f aca="false">IF($A78="","",IFERROR(IF(INDEX(Investments!$R$6:$R$1005,MATCH($A78,Investments!$V$6:$V$1005,0))="","",INDEX(Investments!$R$6:$R$1005,MATCH($A78,Investments!$V$6:$V$1005,0))),""))</f>
        <v/>
      </c>
      <c r="J78" s="34" t="str">
        <f aca="false">IF($A78="","",IFERROR(IF(INDEX(Investments!$S$6:$S$1005,MATCH($A78,Investments!$V$6:$V$1005,0))="","",INDEX(Investments!$S$6:$S$1005,MATCH($A78,Investments!$V$6:$V$1005,0))),""))</f>
        <v/>
      </c>
      <c r="K78" s="34" t="str">
        <f aca="false">IF($A78="","",IFERROR(IF(INDEX(Investments!$T$6:$T$1005,MATCH($A78,Investments!$V$6:$V$1005,0))="","",INDEX(Investments!$T$6:$T$1005,MATCH($A78,Investments!$V$6:$V$1005,0))),""))</f>
        <v/>
      </c>
    </row>
    <row r="79" customFormat="false" ht="15" hidden="false" customHeight="false" outlineLevel="0" collapsed="false">
      <c r="A79" s="47" t="str">
        <f aca="false">IF($C$4="","",IF(58&gt;COUNTIFS(Investments!$A$6:$A$1005,$C$4),"",58))</f>
        <v/>
      </c>
      <c r="B79" s="14" t="str">
        <f aca="false">IF($A79="","",IFERROR(IF(INDEX(Investments!$B$6:$B$1005,MATCH($A79,Investments!$V$6:$V$1005,0))="","",INDEX(Investments!$B$6:$B$1005,MATCH($A79,Investments!$V$6:$V$1005,0))),""))</f>
        <v/>
      </c>
      <c r="C79" s="14" t="str">
        <f aca="false">IF($A79="","",IFERROR(IF(INDEX(Investments!$D$6:$D$1005,MATCH($A79,Investments!$V$6:$V$1005,0))="","",INDEX(Investments!$D$6:$D$1005,MATCH($A79,Investments!$V$6:$V$1005,0))),""))</f>
        <v/>
      </c>
      <c r="D79" s="14" t="str">
        <f aca="false">IF($A79="","",IFERROR(IF(INDEX(Investments!$E$6:$E$1005,MATCH($A79,Investments!$V$6:$V$1005,0))="","",INDEX(Investments!$E$6:$E$1005,MATCH($A79,Investments!$V$6:$V$1005,0))),""))</f>
        <v/>
      </c>
      <c r="E79" s="48" t="str">
        <f aca="false">IF($A79="","",IFERROR(IF(INDEX(Investments!$F$6:$F$1005,MATCH($A79,Investments!$V$6:$V$1005,0))="","",INDEX(Investments!$F$6:$F$1005,MATCH($A79,Investments!$V$6:$V$1005,0))),""))</f>
        <v/>
      </c>
      <c r="F79" s="17" t="str">
        <f aca="false">IF($A79="","",IFERROR(IF(INDEX(Investments!$P$6:$P$1005,MATCH($A79,Investments!$V$6:$V$1005,0))="","",INDEX(Investments!$P$6:$P$1005,MATCH($A79,Investments!$V$6:$V$1005,0))),""))</f>
        <v/>
      </c>
      <c r="G79" s="17" t="str">
        <f aca="false">IF($A79="","",IFERROR(IF(INDEX(Investments!$Q$6:$Q$1005,MATCH($A79,Investments!$V$6:$V$1005,0))="","",INDEX(Investments!$Q$6:$Q$1005,MATCH($A79,Investments!$V$6:$V$1005,0))),""))</f>
        <v/>
      </c>
      <c r="H79" s="17" t="str">
        <f aca="false">IF($A79="","",IFERROR(IF(INDEX(Investments!$M$6:$M$1005,MATCH($A79,Investments!$V$6:$V$1005,0))="","",INDEX(Investments!$M$6:$M$1005,MATCH($A79,Investments!$V$6:$V$1005,0))),""))</f>
        <v/>
      </c>
      <c r="I79" s="17" t="str">
        <f aca="false">IF($A79="","",IFERROR(IF(INDEX(Investments!$R$6:$R$1005,MATCH($A79,Investments!$V$6:$V$1005,0))="","",INDEX(Investments!$R$6:$R$1005,MATCH($A79,Investments!$V$6:$V$1005,0))),""))</f>
        <v/>
      </c>
      <c r="J79" s="18" t="str">
        <f aca="false">IF($A79="","",IFERROR(IF(INDEX(Investments!$S$6:$S$1005,MATCH($A79,Investments!$V$6:$V$1005,0))="","",INDEX(Investments!$S$6:$S$1005,MATCH($A79,Investments!$V$6:$V$1005,0))),""))</f>
        <v/>
      </c>
      <c r="K79" s="18" t="str">
        <f aca="false">IF($A79="","",IFERROR(IF(INDEX(Investments!$T$6:$T$1005,MATCH($A79,Investments!$V$6:$V$1005,0))="","",INDEX(Investments!$T$6:$T$1005,MATCH($A79,Investments!$V$6:$V$1005,0))),""))</f>
        <v/>
      </c>
    </row>
    <row r="80" customFormat="false" ht="15" hidden="false" customHeight="false" outlineLevel="0" collapsed="false">
      <c r="A80" s="45" t="str">
        <f aca="false">IF($C$4="","",IF(59&gt;COUNTIFS(Investments!$A$6:$A$1005,$C$4),"",59))</f>
        <v/>
      </c>
      <c r="B80" s="31" t="str">
        <f aca="false">IF($A80="","",IFERROR(IF(INDEX(Investments!$B$6:$B$1005,MATCH($A80,Investments!$V$6:$V$1005,0))="","",INDEX(Investments!$B$6:$B$1005,MATCH($A80,Investments!$V$6:$V$1005,0))),""))</f>
        <v/>
      </c>
      <c r="C80" s="31" t="str">
        <f aca="false">IF($A80="","",IFERROR(IF(INDEX(Investments!$D$6:$D$1005,MATCH($A80,Investments!$V$6:$V$1005,0))="","",INDEX(Investments!$D$6:$D$1005,MATCH($A80,Investments!$V$6:$V$1005,0))),""))</f>
        <v/>
      </c>
      <c r="D80" s="31" t="str">
        <f aca="false">IF($A80="","",IFERROR(IF(INDEX(Investments!$E$6:$E$1005,MATCH($A80,Investments!$V$6:$V$1005,0))="","",INDEX(Investments!$E$6:$E$1005,MATCH($A80,Investments!$V$6:$V$1005,0))),""))</f>
        <v/>
      </c>
      <c r="E80" s="46" t="str">
        <f aca="false">IF($A80="","",IFERROR(IF(INDEX(Investments!$F$6:$F$1005,MATCH($A80,Investments!$V$6:$V$1005,0))="","",INDEX(Investments!$F$6:$F$1005,MATCH($A80,Investments!$V$6:$V$1005,0))),""))</f>
        <v/>
      </c>
      <c r="F80" s="33" t="str">
        <f aca="false">IF($A80="","",IFERROR(IF(INDEX(Investments!$P$6:$P$1005,MATCH($A80,Investments!$V$6:$V$1005,0))="","",INDEX(Investments!$P$6:$P$1005,MATCH($A80,Investments!$V$6:$V$1005,0))),""))</f>
        <v/>
      </c>
      <c r="G80" s="33" t="str">
        <f aca="false">IF($A80="","",IFERROR(IF(INDEX(Investments!$Q$6:$Q$1005,MATCH($A80,Investments!$V$6:$V$1005,0))="","",INDEX(Investments!$Q$6:$Q$1005,MATCH($A80,Investments!$V$6:$V$1005,0))),""))</f>
        <v/>
      </c>
      <c r="H80" s="33" t="str">
        <f aca="false">IF($A80="","",IFERROR(IF(INDEX(Investments!$M$6:$M$1005,MATCH($A80,Investments!$V$6:$V$1005,0))="","",INDEX(Investments!$M$6:$M$1005,MATCH($A80,Investments!$V$6:$V$1005,0))),""))</f>
        <v/>
      </c>
      <c r="I80" s="33" t="str">
        <f aca="false">IF($A80="","",IFERROR(IF(INDEX(Investments!$R$6:$R$1005,MATCH($A80,Investments!$V$6:$V$1005,0))="","",INDEX(Investments!$R$6:$R$1005,MATCH($A80,Investments!$V$6:$V$1005,0))),""))</f>
        <v/>
      </c>
      <c r="J80" s="34" t="str">
        <f aca="false">IF($A80="","",IFERROR(IF(INDEX(Investments!$S$6:$S$1005,MATCH($A80,Investments!$V$6:$V$1005,0))="","",INDEX(Investments!$S$6:$S$1005,MATCH($A80,Investments!$V$6:$V$1005,0))),""))</f>
        <v/>
      </c>
      <c r="K80" s="34" t="str">
        <f aca="false">IF($A80="","",IFERROR(IF(INDEX(Investments!$T$6:$T$1005,MATCH($A80,Investments!$V$6:$V$1005,0))="","",INDEX(Investments!$T$6:$T$1005,MATCH($A80,Investments!$V$6:$V$1005,0))),""))</f>
        <v/>
      </c>
    </row>
    <row r="81" customFormat="false" ht="15" hidden="false" customHeight="false" outlineLevel="0" collapsed="false">
      <c r="A81" s="47" t="str">
        <f aca="false">IF($C$4="","",IF(60&gt;COUNTIFS(Investments!$A$6:$A$1005,$C$4),"",60))</f>
        <v/>
      </c>
      <c r="B81" s="14" t="str">
        <f aca="false">IF($A81="","",IFERROR(IF(INDEX(Investments!$B$6:$B$1005,MATCH($A81,Investments!$V$6:$V$1005,0))="","",INDEX(Investments!$B$6:$B$1005,MATCH($A81,Investments!$V$6:$V$1005,0))),""))</f>
        <v/>
      </c>
      <c r="C81" s="14" t="str">
        <f aca="false">IF($A81="","",IFERROR(IF(INDEX(Investments!$D$6:$D$1005,MATCH($A81,Investments!$V$6:$V$1005,0))="","",INDEX(Investments!$D$6:$D$1005,MATCH($A81,Investments!$V$6:$V$1005,0))),""))</f>
        <v/>
      </c>
      <c r="D81" s="14" t="str">
        <f aca="false">IF($A81="","",IFERROR(IF(INDEX(Investments!$E$6:$E$1005,MATCH($A81,Investments!$V$6:$V$1005,0))="","",INDEX(Investments!$E$6:$E$1005,MATCH($A81,Investments!$V$6:$V$1005,0))),""))</f>
        <v/>
      </c>
      <c r="E81" s="48" t="str">
        <f aca="false">IF($A81="","",IFERROR(IF(INDEX(Investments!$F$6:$F$1005,MATCH($A81,Investments!$V$6:$V$1005,0))="","",INDEX(Investments!$F$6:$F$1005,MATCH($A81,Investments!$V$6:$V$1005,0))),""))</f>
        <v/>
      </c>
      <c r="F81" s="17" t="str">
        <f aca="false">IF($A81="","",IFERROR(IF(INDEX(Investments!$P$6:$P$1005,MATCH($A81,Investments!$V$6:$V$1005,0))="","",INDEX(Investments!$P$6:$P$1005,MATCH($A81,Investments!$V$6:$V$1005,0))),""))</f>
        <v/>
      </c>
      <c r="G81" s="17" t="str">
        <f aca="false">IF($A81="","",IFERROR(IF(INDEX(Investments!$Q$6:$Q$1005,MATCH($A81,Investments!$V$6:$V$1005,0))="","",INDEX(Investments!$Q$6:$Q$1005,MATCH($A81,Investments!$V$6:$V$1005,0))),""))</f>
        <v/>
      </c>
      <c r="H81" s="17" t="str">
        <f aca="false">IF($A81="","",IFERROR(IF(INDEX(Investments!$M$6:$M$1005,MATCH($A81,Investments!$V$6:$V$1005,0))="","",INDEX(Investments!$M$6:$M$1005,MATCH($A81,Investments!$V$6:$V$1005,0))),""))</f>
        <v/>
      </c>
      <c r="I81" s="17" t="str">
        <f aca="false">IF($A81="","",IFERROR(IF(INDEX(Investments!$R$6:$R$1005,MATCH($A81,Investments!$V$6:$V$1005,0))="","",INDEX(Investments!$R$6:$R$1005,MATCH($A81,Investments!$V$6:$V$1005,0))),""))</f>
        <v/>
      </c>
      <c r="J81" s="18" t="str">
        <f aca="false">IF($A81="","",IFERROR(IF(INDEX(Investments!$S$6:$S$1005,MATCH($A81,Investments!$V$6:$V$1005,0))="","",INDEX(Investments!$S$6:$S$1005,MATCH($A81,Investments!$V$6:$V$1005,0))),""))</f>
        <v/>
      </c>
      <c r="K81" s="18" t="str">
        <f aca="false">IF($A81="","",IFERROR(IF(INDEX(Investments!$T$6:$T$1005,MATCH($A81,Investments!$V$6:$V$1005,0))="","",INDEX(Investments!$T$6:$T$1005,MATCH($A81,Investments!$V$6:$V$1005,0))),""))</f>
        <v/>
      </c>
    </row>
    <row r="82" customFormat="false" ht="15" hidden="false" customHeight="false" outlineLevel="0" collapsed="false">
      <c r="A82" s="45" t="str">
        <f aca="false">IF($C$4="","",IF(61&gt;COUNTIFS(Investments!$A$6:$A$1005,$C$4),"",61))</f>
        <v/>
      </c>
      <c r="B82" s="31" t="str">
        <f aca="false">IF($A82="","",IFERROR(IF(INDEX(Investments!$B$6:$B$1005,MATCH($A82,Investments!$V$6:$V$1005,0))="","",INDEX(Investments!$B$6:$B$1005,MATCH($A82,Investments!$V$6:$V$1005,0))),""))</f>
        <v/>
      </c>
      <c r="C82" s="31" t="str">
        <f aca="false">IF($A82="","",IFERROR(IF(INDEX(Investments!$D$6:$D$1005,MATCH($A82,Investments!$V$6:$V$1005,0))="","",INDEX(Investments!$D$6:$D$1005,MATCH($A82,Investments!$V$6:$V$1005,0))),""))</f>
        <v/>
      </c>
      <c r="D82" s="31" t="str">
        <f aca="false">IF($A82="","",IFERROR(IF(INDEX(Investments!$E$6:$E$1005,MATCH($A82,Investments!$V$6:$V$1005,0))="","",INDEX(Investments!$E$6:$E$1005,MATCH($A82,Investments!$V$6:$V$1005,0))),""))</f>
        <v/>
      </c>
      <c r="E82" s="46" t="str">
        <f aca="false">IF($A82="","",IFERROR(IF(INDEX(Investments!$F$6:$F$1005,MATCH($A82,Investments!$V$6:$V$1005,0))="","",INDEX(Investments!$F$6:$F$1005,MATCH($A82,Investments!$V$6:$V$1005,0))),""))</f>
        <v/>
      </c>
      <c r="F82" s="33" t="str">
        <f aca="false">IF($A82="","",IFERROR(IF(INDEX(Investments!$P$6:$P$1005,MATCH($A82,Investments!$V$6:$V$1005,0))="","",INDEX(Investments!$P$6:$P$1005,MATCH($A82,Investments!$V$6:$V$1005,0))),""))</f>
        <v/>
      </c>
      <c r="G82" s="33" t="str">
        <f aca="false">IF($A82="","",IFERROR(IF(INDEX(Investments!$Q$6:$Q$1005,MATCH($A82,Investments!$V$6:$V$1005,0))="","",INDEX(Investments!$Q$6:$Q$1005,MATCH($A82,Investments!$V$6:$V$1005,0))),""))</f>
        <v/>
      </c>
      <c r="H82" s="33" t="str">
        <f aca="false">IF($A82="","",IFERROR(IF(INDEX(Investments!$M$6:$M$1005,MATCH($A82,Investments!$V$6:$V$1005,0))="","",INDEX(Investments!$M$6:$M$1005,MATCH($A82,Investments!$V$6:$V$1005,0))),""))</f>
        <v/>
      </c>
      <c r="I82" s="33" t="str">
        <f aca="false">IF($A82="","",IFERROR(IF(INDEX(Investments!$R$6:$R$1005,MATCH($A82,Investments!$V$6:$V$1005,0))="","",INDEX(Investments!$R$6:$R$1005,MATCH($A82,Investments!$V$6:$V$1005,0))),""))</f>
        <v/>
      </c>
      <c r="J82" s="34" t="str">
        <f aca="false">IF($A82="","",IFERROR(IF(INDEX(Investments!$S$6:$S$1005,MATCH($A82,Investments!$V$6:$V$1005,0))="","",INDEX(Investments!$S$6:$S$1005,MATCH($A82,Investments!$V$6:$V$1005,0))),""))</f>
        <v/>
      </c>
      <c r="K82" s="34" t="str">
        <f aca="false">IF($A82="","",IFERROR(IF(INDEX(Investments!$T$6:$T$1005,MATCH($A82,Investments!$V$6:$V$1005,0))="","",INDEX(Investments!$T$6:$T$1005,MATCH($A82,Investments!$V$6:$V$1005,0))),""))</f>
        <v/>
      </c>
    </row>
    <row r="83" customFormat="false" ht="15" hidden="false" customHeight="false" outlineLevel="0" collapsed="false">
      <c r="A83" s="47" t="str">
        <f aca="false">IF($C$4="","",IF(62&gt;COUNTIFS(Investments!$A$6:$A$1005,$C$4),"",62))</f>
        <v/>
      </c>
      <c r="B83" s="14" t="str">
        <f aca="false">IF($A83="","",IFERROR(IF(INDEX(Investments!$B$6:$B$1005,MATCH($A83,Investments!$V$6:$V$1005,0))="","",INDEX(Investments!$B$6:$B$1005,MATCH($A83,Investments!$V$6:$V$1005,0))),""))</f>
        <v/>
      </c>
      <c r="C83" s="14" t="str">
        <f aca="false">IF($A83="","",IFERROR(IF(INDEX(Investments!$D$6:$D$1005,MATCH($A83,Investments!$V$6:$V$1005,0))="","",INDEX(Investments!$D$6:$D$1005,MATCH($A83,Investments!$V$6:$V$1005,0))),""))</f>
        <v/>
      </c>
      <c r="D83" s="14" t="str">
        <f aca="false">IF($A83="","",IFERROR(IF(INDEX(Investments!$E$6:$E$1005,MATCH($A83,Investments!$V$6:$V$1005,0))="","",INDEX(Investments!$E$6:$E$1005,MATCH($A83,Investments!$V$6:$V$1005,0))),""))</f>
        <v/>
      </c>
      <c r="E83" s="48" t="str">
        <f aca="false">IF($A83="","",IFERROR(IF(INDEX(Investments!$F$6:$F$1005,MATCH($A83,Investments!$V$6:$V$1005,0))="","",INDEX(Investments!$F$6:$F$1005,MATCH($A83,Investments!$V$6:$V$1005,0))),""))</f>
        <v/>
      </c>
      <c r="F83" s="17" t="str">
        <f aca="false">IF($A83="","",IFERROR(IF(INDEX(Investments!$P$6:$P$1005,MATCH($A83,Investments!$V$6:$V$1005,0))="","",INDEX(Investments!$P$6:$P$1005,MATCH($A83,Investments!$V$6:$V$1005,0))),""))</f>
        <v/>
      </c>
      <c r="G83" s="17" t="str">
        <f aca="false">IF($A83="","",IFERROR(IF(INDEX(Investments!$Q$6:$Q$1005,MATCH($A83,Investments!$V$6:$V$1005,0))="","",INDEX(Investments!$Q$6:$Q$1005,MATCH($A83,Investments!$V$6:$V$1005,0))),""))</f>
        <v/>
      </c>
      <c r="H83" s="17" t="str">
        <f aca="false">IF($A83="","",IFERROR(IF(INDEX(Investments!$M$6:$M$1005,MATCH($A83,Investments!$V$6:$V$1005,0))="","",INDEX(Investments!$M$6:$M$1005,MATCH($A83,Investments!$V$6:$V$1005,0))),""))</f>
        <v/>
      </c>
      <c r="I83" s="17" t="str">
        <f aca="false">IF($A83="","",IFERROR(IF(INDEX(Investments!$R$6:$R$1005,MATCH($A83,Investments!$V$6:$V$1005,0))="","",INDEX(Investments!$R$6:$R$1005,MATCH($A83,Investments!$V$6:$V$1005,0))),""))</f>
        <v/>
      </c>
      <c r="J83" s="18" t="str">
        <f aca="false">IF($A83="","",IFERROR(IF(INDEX(Investments!$S$6:$S$1005,MATCH($A83,Investments!$V$6:$V$1005,0))="","",INDEX(Investments!$S$6:$S$1005,MATCH($A83,Investments!$V$6:$V$1005,0))),""))</f>
        <v/>
      </c>
      <c r="K83" s="18" t="str">
        <f aca="false">IF($A83="","",IFERROR(IF(INDEX(Investments!$T$6:$T$1005,MATCH($A83,Investments!$V$6:$V$1005,0))="","",INDEX(Investments!$T$6:$T$1005,MATCH($A83,Investments!$V$6:$V$1005,0))),""))</f>
        <v/>
      </c>
    </row>
    <row r="84" customFormat="false" ht="15" hidden="false" customHeight="false" outlineLevel="0" collapsed="false">
      <c r="A84" s="45" t="str">
        <f aca="false">IF($C$4="","",IF(63&gt;COUNTIFS(Investments!$A$6:$A$1005,$C$4),"",63))</f>
        <v/>
      </c>
      <c r="B84" s="31" t="str">
        <f aca="false">IF($A84="","",IFERROR(IF(INDEX(Investments!$B$6:$B$1005,MATCH($A84,Investments!$V$6:$V$1005,0))="","",INDEX(Investments!$B$6:$B$1005,MATCH($A84,Investments!$V$6:$V$1005,0))),""))</f>
        <v/>
      </c>
      <c r="C84" s="31" t="str">
        <f aca="false">IF($A84="","",IFERROR(IF(INDEX(Investments!$D$6:$D$1005,MATCH($A84,Investments!$V$6:$V$1005,0))="","",INDEX(Investments!$D$6:$D$1005,MATCH($A84,Investments!$V$6:$V$1005,0))),""))</f>
        <v/>
      </c>
      <c r="D84" s="31" t="str">
        <f aca="false">IF($A84="","",IFERROR(IF(INDEX(Investments!$E$6:$E$1005,MATCH($A84,Investments!$V$6:$V$1005,0))="","",INDEX(Investments!$E$6:$E$1005,MATCH($A84,Investments!$V$6:$V$1005,0))),""))</f>
        <v/>
      </c>
      <c r="E84" s="46" t="str">
        <f aca="false">IF($A84="","",IFERROR(IF(INDEX(Investments!$F$6:$F$1005,MATCH($A84,Investments!$V$6:$V$1005,0))="","",INDEX(Investments!$F$6:$F$1005,MATCH($A84,Investments!$V$6:$V$1005,0))),""))</f>
        <v/>
      </c>
      <c r="F84" s="33" t="str">
        <f aca="false">IF($A84="","",IFERROR(IF(INDEX(Investments!$P$6:$P$1005,MATCH($A84,Investments!$V$6:$V$1005,0))="","",INDEX(Investments!$P$6:$P$1005,MATCH($A84,Investments!$V$6:$V$1005,0))),""))</f>
        <v/>
      </c>
      <c r="G84" s="33" t="str">
        <f aca="false">IF($A84="","",IFERROR(IF(INDEX(Investments!$Q$6:$Q$1005,MATCH($A84,Investments!$V$6:$V$1005,0))="","",INDEX(Investments!$Q$6:$Q$1005,MATCH($A84,Investments!$V$6:$V$1005,0))),""))</f>
        <v/>
      </c>
      <c r="H84" s="33" t="str">
        <f aca="false">IF($A84="","",IFERROR(IF(INDEX(Investments!$M$6:$M$1005,MATCH($A84,Investments!$V$6:$V$1005,0))="","",INDEX(Investments!$M$6:$M$1005,MATCH($A84,Investments!$V$6:$V$1005,0))),""))</f>
        <v/>
      </c>
      <c r="I84" s="33" t="str">
        <f aca="false">IF($A84="","",IFERROR(IF(INDEX(Investments!$R$6:$R$1005,MATCH($A84,Investments!$V$6:$V$1005,0))="","",INDEX(Investments!$R$6:$R$1005,MATCH($A84,Investments!$V$6:$V$1005,0))),""))</f>
        <v/>
      </c>
      <c r="J84" s="34" t="str">
        <f aca="false">IF($A84="","",IFERROR(IF(INDEX(Investments!$S$6:$S$1005,MATCH($A84,Investments!$V$6:$V$1005,0))="","",INDEX(Investments!$S$6:$S$1005,MATCH($A84,Investments!$V$6:$V$1005,0))),""))</f>
        <v/>
      </c>
      <c r="K84" s="34" t="str">
        <f aca="false">IF($A84="","",IFERROR(IF(INDEX(Investments!$T$6:$T$1005,MATCH($A84,Investments!$V$6:$V$1005,0))="","",INDEX(Investments!$T$6:$T$1005,MATCH($A84,Investments!$V$6:$V$1005,0))),""))</f>
        <v/>
      </c>
    </row>
    <row r="85" customFormat="false" ht="15" hidden="false" customHeight="false" outlineLevel="0" collapsed="false">
      <c r="A85" s="47" t="str">
        <f aca="false">IF($C$4="","",IF(64&gt;COUNTIFS(Investments!$A$6:$A$1005,$C$4),"",64))</f>
        <v/>
      </c>
      <c r="B85" s="14" t="str">
        <f aca="false">IF($A85="","",IFERROR(IF(INDEX(Investments!$B$6:$B$1005,MATCH($A85,Investments!$V$6:$V$1005,0))="","",INDEX(Investments!$B$6:$B$1005,MATCH($A85,Investments!$V$6:$V$1005,0))),""))</f>
        <v/>
      </c>
      <c r="C85" s="14" t="str">
        <f aca="false">IF($A85="","",IFERROR(IF(INDEX(Investments!$D$6:$D$1005,MATCH($A85,Investments!$V$6:$V$1005,0))="","",INDEX(Investments!$D$6:$D$1005,MATCH($A85,Investments!$V$6:$V$1005,0))),""))</f>
        <v/>
      </c>
      <c r="D85" s="14" t="str">
        <f aca="false">IF($A85="","",IFERROR(IF(INDEX(Investments!$E$6:$E$1005,MATCH($A85,Investments!$V$6:$V$1005,0))="","",INDEX(Investments!$E$6:$E$1005,MATCH($A85,Investments!$V$6:$V$1005,0))),""))</f>
        <v/>
      </c>
      <c r="E85" s="48" t="str">
        <f aca="false">IF($A85="","",IFERROR(IF(INDEX(Investments!$F$6:$F$1005,MATCH($A85,Investments!$V$6:$V$1005,0))="","",INDEX(Investments!$F$6:$F$1005,MATCH($A85,Investments!$V$6:$V$1005,0))),""))</f>
        <v/>
      </c>
      <c r="F85" s="17" t="str">
        <f aca="false">IF($A85="","",IFERROR(IF(INDEX(Investments!$P$6:$P$1005,MATCH($A85,Investments!$V$6:$V$1005,0))="","",INDEX(Investments!$P$6:$P$1005,MATCH($A85,Investments!$V$6:$V$1005,0))),""))</f>
        <v/>
      </c>
      <c r="G85" s="17" t="str">
        <f aca="false">IF($A85="","",IFERROR(IF(INDEX(Investments!$Q$6:$Q$1005,MATCH($A85,Investments!$V$6:$V$1005,0))="","",INDEX(Investments!$Q$6:$Q$1005,MATCH($A85,Investments!$V$6:$V$1005,0))),""))</f>
        <v/>
      </c>
      <c r="H85" s="17" t="str">
        <f aca="false">IF($A85="","",IFERROR(IF(INDEX(Investments!$M$6:$M$1005,MATCH($A85,Investments!$V$6:$V$1005,0))="","",INDEX(Investments!$M$6:$M$1005,MATCH($A85,Investments!$V$6:$V$1005,0))),""))</f>
        <v/>
      </c>
      <c r="I85" s="17" t="str">
        <f aca="false">IF($A85="","",IFERROR(IF(INDEX(Investments!$R$6:$R$1005,MATCH($A85,Investments!$V$6:$V$1005,0))="","",INDEX(Investments!$R$6:$R$1005,MATCH($A85,Investments!$V$6:$V$1005,0))),""))</f>
        <v/>
      </c>
      <c r="J85" s="18" t="str">
        <f aca="false">IF($A85="","",IFERROR(IF(INDEX(Investments!$S$6:$S$1005,MATCH($A85,Investments!$V$6:$V$1005,0))="","",INDEX(Investments!$S$6:$S$1005,MATCH($A85,Investments!$V$6:$V$1005,0))),""))</f>
        <v/>
      </c>
      <c r="K85" s="18" t="str">
        <f aca="false">IF($A85="","",IFERROR(IF(INDEX(Investments!$T$6:$T$1005,MATCH($A85,Investments!$V$6:$V$1005,0))="","",INDEX(Investments!$T$6:$T$1005,MATCH($A85,Investments!$V$6:$V$1005,0))),""))</f>
        <v/>
      </c>
    </row>
    <row r="86" customFormat="false" ht="15" hidden="false" customHeight="false" outlineLevel="0" collapsed="false">
      <c r="A86" s="45" t="str">
        <f aca="false">IF($C$4="","",IF(65&gt;COUNTIFS(Investments!$A$6:$A$1005,$C$4),"",65))</f>
        <v/>
      </c>
      <c r="B86" s="31" t="str">
        <f aca="false">IF($A86="","",IFERROR(IF(INDEX(Investments!$B$6:$B$1005,MATCH($A86,Investments!$V$6:$V$1005,0))="","",INDEX(Investments!$B$6:$B$1005,MATCH($A86,Investments!$V$6:$V$1005,0))),""))</f>
        <v/>
      </c>
      <c r="C86" s="31" t="str">
        <f aca="false">IF($A86="","",IFERROR(IF(INDEX(Investments!$D$6:$D$1005,MATCH($A86,Investments!$V$6:$V$1005,0))="","",INDEX(Investments!$D$6:$D$1005,MATCH($A86,Investments!$V$6:$V$1005,0))),""))</f>
        <v/>
      </c>
      <c r="D86" s="31" t="str">
        <f aca="false">IF($A86="","",IFERROR(IF(INDEX(Investments!$E$6:$E$1005,MATCH($A86,Investments!$V$6:$V$1005,0))="","",INDEX(Investments!$E$6:$E$1005,MATCH($A86,Investments!$V$6:$V$1005,0))),""))</f>
        <v/>
      </c>
      <c r="E86" s="46" t="str">
        <f aca="false">IF($A86="","",IFERROR(IF(INDEX(Investments!$F$6:$F$1005,MATCH($A86,Investments!$V$6:$V$1005,0))="","",INDEX(Investments!$F$6:$F$1005,MATCH($A86,Investments!$V$6:$V$1005,0))),""))</f>
        <v/>
      </c>
      <c r="F86" s="33" t="str">
        <f aca="false">IF($A86="","",IFERROR(IF(INDEX(Investments!$P$6:$P$1005,MATCH($A86,Investments!$V$6:$V$1005,0))="","",INDEX(Investments!$P$6:$P$1005,MATCH($A86,Investments!$V$6:$V$1005,0))),""))</f>
        <v/>
      </c>
      <c r="G86" s="33" t="str">
        <f aca="false">IF($A86="","",IFERROR(IF(INDEX(Investments!$Q$6:$Q$1005,MATCH($A86,Investments!$V$6:$V$1005,0))="","",INDEX(Investments!$Q$6:$Q$1005,MATCH($A86,Investments!$V$6:$V$1005,0))),""))</f>
        <v/>
      </c>
      <c r="H86" s="33" t="str">
        <f aca="false">IF($A86="","",IFERROR(IF(INDEX(Investments!$M$6:$M$1005,MATCH($A86,Investments!$V$6:$V$1005,0))="","",INDEX(Investments!$M$6:$M$1005,MATCH($A86,Investments!$V$6:$V$1005,0))),""))</f>
        <v/>
      </c>
      <c r="I86" s="33" t="str">
        <f aca="false">IF($A86="","",IFERROR(IF(INDEX(Investments!$R$6:$R$1005,MATCH($A86,Investments!$V$6:$V$1005,0))="","",INDEX(Investments!$R$6:$R$1005,MATCH($A86,Investments!$V$6:$V$1005,0))),""))</f>
        <v/>
      </c>
      <c r="J86" s="34" t="str">
        <f aca="false">IF($A86="","",IFERROR(IF(INDEX(Investments!$S$6:$S$1005,MATCH($A86,Investments!$V$6:$V$1005,0))="","",INDEX(Investments!$S$6:$S$1005,MATCH($A86,Investments!$V$6:$V$1005,0))),""))</f>
        <v/>
      </c>
      <c r="K86" s="34" t="str">
        <f aca="false">IF($A86="","",IFERROR(IF(INDEX(Investments!$T$6:$T$1005,MATCH($A86,Investments!$V$6:$V$1005,0))="","",INDEX(Investments!$T$6:$T$1005,MATCH($A86,Investments!$V$6:$V$1005,0))),""))</f>
        <v/>
      </c>
    </row>
    <row r="87" customFormat="false" ht="15" hidden="false" customHeight="false" outlineLevel="0" collapsed="false">
      <c r="A87" s="47" t="str">
        <f aca="false">IF($C$4="","",IF(66&gt;COUNTIFS(Investments!$A$6:$A$1005,$C$4),"",66))</f>
        <v/>
      </c>
      <c r="B87" s="14" t="str">
        <f aca="false">IF($A87="","",IFERROR(IF(INDEX(Investments!$B$6:$B$1005,MATCH($A87,Investments!$V$6:$V$1005,0))="","",INDEX(Investments!$B$6:$B$1005,MATCH($A87,Investments!$V$6:$V$1005,0))),""))</f>
        <v/>
      </c>
      <c r="C87" s="14" t="str">
        <f aca="false">IF($A87="","",IFERROR(IF(INDEX(Investments!$D$6:$D$1005,MATCH($A87,Investments!$V$6:$V$1005,0))="","",INDEX(Investments!$D$6:$D$1005,MATCH($A87,Investments!$V$6:$V$1005,0))),""))</f>
        <v/>
      </c>
      <c r="D87" s="14" t="str">
        <f aca="false">IF($A87="","",IFERROR(IF(INDEX(Investments!$E$6:$E$1005,MATCH($A87,Investments!$V$6:$V$1005,0))="","",INDEX(Investments!$E$6:$E$1005,MATCH($A87,Investments!$V$6:$V$1005,0))),""))</f>
        <v/>
      </c>
      <c r="E87" s="48" t="str">
        <f aca="false">IF($A87="","",IFERROR(IF(INDEX(Investments!$F$6:$F$1005,MATCH($A87,Investments!$V$6:$V$1005,0))="","",INDEX(Investments!$F$6:$F$1005,MATCH($A87,Investments!$V$6:$V$1005,0))),""))</f>
        <v/>
      </c>
      <c r="F87" s="17" t="str">
        <f aca="false">IF($A87="","",IFERROR(IF(INDEX(Investments!$P$6:$P$1005,MATCH($A87,Investments!$V$6:$V$1005,0))="","",INDEX(Investments!$P$6:$P$1005,MATCH($A87,Investments!$V$6:$V$1005,0))),""))</f>
        <v/>
      </c>
      <c r="G87" s="17" t="str">
        <f aca="false">IF($A87="","",IFERROR(IF(INDEX(Investments!$Q$6:$Q$1005,MATCH($A87,Investments!$V$6:$V$1005,0))="","",INDEX(Investments!$Q$6:$Q$1005,MATCH($A87,Investments!$V$6:$V$1005,0))),""))</f>
        <v/>
      </c>
      <c r="H87" s="17" t="str">
        <f aca="false">IF($A87="","",IFERROR(IF(INDEX(Investments!$M$6:$M$1005,MATCH($A87,Investments!$V$6:$V$1005,0))="","",INDEX(Investments!$M$6:$M$1005,MATCH($A87,Investments!$V$6:$V$1005,0))),""))</f>
        <v/>
      </c>
      <c r="I87" s="17" t="str">
        <f aca="false">IF($A87="","",IFERROR(IF(INDEX(Investments!$R$6:$R$1005,MATCH($A87,Investments!$V$6:$V$1005,0))="","",INDEX(Investments!$R$6:$R$1005,MATCH($A87,Investments!$V$6:$V$1005,0))),""))</f>
        <v/>
      </c>
      <c r="J87" s="18" t="str">
        <f aca="false">IF($A87="","",IFERROR(IF(INDEX(Investments!$S$6:$S$1005,MATCH($A87,Investments!$V$6:$V$1005,0))="","",INDEX(Investments!$S$6:$S$1005,MATCH($A87,Investments!$V$6:$V$1005,0))),""))</f>
        <v/>
      </c>
      <c r="K87" s="18" t="str">
        <f aca="false">IF($A87="","",IFERROR(IF(INDEX(Investments!$T$6:$T$1005,MATCH($A87,Investments!$V$6:$V$1005,0))="","",INDEX(Investments!$T$6:$T$1005,MATCH($A87,Investments!$V$6:$V$1005,0))),""))</f>
        <v/>
      </c>
    </row>
    <row r="88" customFormat="false" ht="15" hidden="false" customHeight="false" outlineLevel="0" collapsed="false">
      <c r="A88" s="45" t="str">
        <f aca="false">IF($C$4="","",IF(67&gt;COUNTIFS(Investments!$A$6:$A$1005,$C$4),"",67))</f>
        <v/>
      </c>
      <c r="B88" s="31" t="str">
        <f aca="false">IF($A88="","",IFERROR(IF(INDEX(Investments!$B$6:$B$1005,MATCH($A88,Investments!$V$6:$V$1005,0))="","",INDEX(Investments!$B$6:$B$1005,MATCH($A88,Investments!$V$6:$V$1005,0))),""))</f>
        <v/>
      </c>
      <c r="C88" s="31" t="str">
        <f aca="false">IF($A88="","",IFERROR(IF(INDEX(Investments!$D$6:$D$1005,MATCH($A88,Investments!$V$6:$V$1005,0))="","",INDEX(Investments!$D$6:$D$1005,MATCH($A88,Investments!$V$6:$V$1005,0))),""))</f>
        <v/>
      </c>
      <c r="D88" s="31" t="str">
        <f aca="false">IF($A88="","",IFERROR(IF(INDEX(Investments!$E$6:$E$1005,MATCH($A88,Investments!$V$6:$V$1005,0))="","",INDEX(Investments!$E$6:$E$1005,MATCH($A88,Investments!$V$6:$V$1005,0))),""))</f>
        <v/>
      </c>
      <c r="E88" s="46" t="str">
        <f aca="false">IF($A88="","",IFERROR(IF(INDEX(Investments!$F$6:$F$1005,MATCH($A88,Investments!$V$6:$V$1005,0))="","",INDEX(Investments!$F$6:$F$1005,MATCH($A88,Investments!$V$6:$V$1005,0))),""))</f>
        <v/>
      </c>
      <c r="F88" s="33" t="str">
        <f aca="false">IF($A88="","",IFERROR(IF(INDEX(Investments!$P$6:$P$1005,MATCH($A88,Investments!$V$6:$V$1005,0))="","",INDEX(Investments!$P$6:$P$1005,MATCH($A88,Investments!$V$6:$V$1005,0))),""))</f>
        <v/>
      </c>
      <c r="G88" s="33" t="str">
        <f aca="false">IF($A88="","",IFERROR(IF(INDEX(Investments!$Q$6:$Q$1005,MATCH($A88,Investments!$V$6:$V$1005,0))="","",INDEX(Investments!$Q$6:$Q$1005,MATCH($A88,Investments!$V$6:$V$1005,0))),""))</f>
        <v/>
      </c>
      <c r="H88" s="33" t="str">
        <f aca="false">IF($A88="","",IFERROR(IF(INDEX(Investments!$M$6:$M$1005,MATCH($A88,Investments!$V$6:$V$1005,0))="","",INDEX(Investments!$M$6:$M$1005,MATCH($A88,Investments!$V$6:$V$1005,0))),""))</f>
        <v/>
      </c>
      <c r="I88" s="33" t="str">
        <f aca="false">IF($A88="","",IFERROR(IF(INDEX(Investments!$R$6:$R$1005,MATCH($A88,Investments!$V$6:$V$1005,0))="","",INDEX(Investments!$R$6:$R$1005,MATCH($A88,Investments!$V$6:$V$1005,0))),""))</f>
        <v/>
      </c>
      <c r="J88" s="34" t="str">
        <f aca="false">IF($A88="","",IFERROR(IF(INDEX(Investments!$S$6:$S$1005,MATCH($A88,Investments!$V$6:$V$1005,0))="","",INDEX(Investments!$S$6:$S$1005,MATCH($A88,Investments!$V$6:$V$1005,0))),""))</f>
        <v/>
      </c>
      <c r="K88" s="34" t="str">
        <f aca="false">IF($A88="","",IFERROR(IF(INDEX(Investments!$T$6:$T$1005,MATCH($A88,Investments!$V$6:$V$1005,0))="","",INDEX(Investments!$T$6:$T$1005,MATCH($A88,Investments!$V$6:$V$1005,0))),""))</f>
        <v/>
      </c>
    </row>
    <row r="89" customFormat="false" ht="15" hidden="false" customHeight="false" outlineLevel="0" collapsed="false">
      <c r="A89" s="47" t="str">
        <f aca="false">IF($C$4="","",IF(68&gt;COUNTIFS(Investments!$A$6:$A$1005,$C$4),"",68))</f>
        <v/>
      </c>
      <c r="B89" s="14" t="str">
        <f aca="false">IF($A89="","",IFERROR(IF(INDEX(Investments!$B$6:$B$1005,MATCH($A89,Investments!$V$6:$V$1005,0))="","",INDEX(Investments!$B$6:$B$1005,MATCH($A89,Investments!$V$6:$V$1005,0))),""))</f>
        <v/>
      </c>
      <c r="C89" s="14" t="str">
        <f aca="false">IF($A89="","",IFERROR(IF(INDEX(Investments!$D$6:$D$1005,MATCH($A89,Investments!$V$6:$V$1005,0))="","",INDEX(Investments!$D$6:$D$1005,MATCH($A89,Investments!$V$6:$V$1005,0))),""))</f>
        <v/>
      </c>
      <c r="D89" s="14" t="str">
        <f aca="false">IF($A89="","",IFERROR(IF(INDEX(Investments!$E$6:$E$1005,MATCH($A89,Investments!$V$6:$V$1005,0))="","",INDEX(Investments!$E$6:$E$1005,MATCH($A89,Investments!$V$6:$V$1005,0))),""))</f>
        <v/>
      </c>
      <c r="E89" s="48" t="str">
        <f aca="false">IF($A89="","",IFERROR(IF(INDEX(Investments!$F$6:$F$1005,MATCH($A89,Investments!$V$6:$V$1005,0))="","",INDEX(Investments!$F$6:$F$1005,MATCH($A89,Investments!$V$6:$V$1005,0))),""))</f>
        <v/>
      </c>
      <c r="F89" s="17" t="str">
        <f aca="false">IF($A89="","",IFERROR(IF(INDEX(Investments!$P$6:$P$1005,MATCH($A89,Investments!$V$6:$V$1005,0))="","",INDEX(Investments!$P$6:$P$1005,MATCH($A89,Investments!$V$6:$V$1005,0))),""))</f>
        <v/>
      </c>
      <c r="G89" s="17" t="str">
        <f aca="false">IF($A89="","",IFERROR(IF(INDEX(Investments!$Q$6:$Q$1005,MATCH($A89,Investments!$V$6:$V$1005,0))="","",INDEX(Investments!$Q$6:$Q$1005,MATCH($A89,Investments!$V$6:$V$1005,0))),""))</f>
        <v/>
      </c>
      <c r="H89" s="17" t="str">
        <f aca="false">IF($A89="","",IFERROR(IF(INDEX(Investments!$M$6:$M$1005,MATCH($A89,Investments!$V$6:$V$1005,0))="","",INDEX(Investments!$M$6:$M$1005,MATCH($A89,Investments!$V$6:$V$1005,0))),""))</f>
        <v/>
      </c>
      <c r="I89" s="17" t="str">
        <f aca="false">IF($A89="","",IFERROR(IF(INDEX(Investments!$R$6:$R$1005,MATCH($A89,Investments!$V$6:$V$1005,0))="","",INDEX(Investments!$R$6:$R$1005,MATCH($A89,Investments!$V$6:$V$1005,0))),""))</f>
        <v/>
      </c>
      <c r="J89" s="18" t="str">
        <f aca="false">IF($A89="","",IFERROR(IF(INDEX(Investments!$S$6:$S$1005,MATCH($A89,Investments!$V$6:$V$1005,0))="","",INDEX(Investments!$S$6:$S$1005,MATCH($A89,Investments!$V$6:$V$1005,0))),""))</f>
        <v/>
      </c>
      <c r="K89" s="18" t="str">
        <f aca="false">IF($A89="","",IFERROR(IF(INDEX(Investments!$T$6:$T$1005,MATCH($A89,Investments!$V$6:$V$1005,0))="","",INDEX(Investments!$T$6:$T$1005,MATCH($A89,Investments!$V$6:$V$1005,0))),""))</f>
        <v/>
      </c>
    </row>
    <row r="90" customFormat="false" ht="15" hidden="false" customHeight="false" outlineLevel="0" collapsed="false">
      <c r="A90" s="45" t="str">
        <f aca="false">IF($C$4="","",IF(69&gt;COUNTIFS(Investments!$A$6:$A$1005,$C$4),"",69))</f>
        <v/>
      </c>
      <c r="B90" s="31" t="str">
        <f aca="false">IF($A90="","",IFERROR(IF(INDEX(Investments!$B$6:$B$1005,MATCH($A90,Investments!$V$6:$V$1005,0))="","",INDEX(Investments!$B$6:$B$1005,MATCH($A90,Investments!$V$6:$V$1005,0))),""))</f>
        <v/>
      </c>
      <c r="C90" s="31" t="str">
        <f aca="false">IF($A90="","",IFERROR(IF(INDEX(Investments!$D$6:$D$1005,MATCH($A90,Investments!$V$6:$V$1005,0))="","",INDEX(Investments!$D$6:$D$1005,MATCH($A90,Investments!$V$6:$V$1005,0))),""))</f>
        <v/>
      </c>
      <c r="D90" s="31" t="str">
        <f aca="false">IF($A90="","",IFERROR(IF(INDEX(Investments!$E$6:$E$1005,MATCH($A90,Investments!$V$6:$V$1005,0))="","",INDEX(Investments!$E$6:$E$1005,MATCH($A90,Investments!$V$6:$V$1005,0))),""))</f>
        <v/>
      </c>
      <c r="E90" s="46" t="str">
        <f aca="false">IF($A90="","",IFERROR(IF(INDEX(Investments!$F$6:$F$1005,MATCH($A90,Investments!$V$6:$V$1005,0))="","",INDEX(Investments!$F$6:$F$1005,MATCH($A90,Investments!$V$6:$V$1005,0))),""))</f>
        <v/>
      </c>
      <c r="F90" s="33" t="str">
        <f aca="false">IF($A90="","",IFERROR(IF(INDEX(Investments!$P$6:$P$1005,MATCH($A90,Investments!$V$6:$V$1005,0))="","",INDEX(Investments!$P$6:$P$1005,MATCH($A90,Investments!$V$6:$V$1005,0))),""))</f>
        <v/>
      </c>
      <c r="G90" s="33" t="str">
        <f aca="false">IF($A90="","",IFERROR(IF(INDEX(Investments!$Q$6:$Q$1005,MATCH($A90,Investments!$V$6:$V$1005,0))="","",INDEX(Investments!$Q$6:$Q$1005,MATCH($A90,Investments!$V$6:$V$1005,0))),""))</f>
        <v/>
      </c>
      <c r="H90" s="33" t="str">
        <f aca="false">IF($A90="","",IFERROR(IF(INDEX(Investments!$M$6:$M$1005,MATCH($A90,Investments!$V$6:$V$1005,0))="","",INDEX(Investments!$M$6:$M$1005,MATCH($A90,Investments!$V$6:$V$1005,0))),""))</f>
        <v/>
      </c>
      <c r="I90" s="33" t="str">
        <f aca="false">IF($A90="","",IFERROR(IF(INDEX(Investments!$R$6:$R$1005,MATCH($A90,Investments!$V$6:$V$1005,0))="","",INDEX(Investments!$R$6:$R$1005,MATCH($A90,Investments!$V$6:$V$1005,0))),""))</f>
        <v/>
      </c>
      <c r="J90" s="34" t="str">
        <f aca="false">IF($A90="","",IFERROR(IF(INDEX(Investments!$S$6:$S$1005,MATCH($A90,Investments!$V$6:$V$1005,0))="","",INDEX(Investments!$S$6:$S$1005,MATCH($A90,Investments!$V$6:$V$1005,0))),""))</f>
        <v/>
      </c>
      <c r="K90" s="34" t="str">
        <f aca="false">IF($A90="","",IFERROR(IF(INDEX(Investments!$T$6:$T$1005,MATCH($A90,Investments!$V$6:$V$1005,0))="","",INDEX(Investments!$T$6:$T$1005,MATCH($A90,Investments!$V$6:$V$1005,0))),""))</f>
        <v/>
      </c>
    </row>
    <row r="91" customFormat="false" ht="15" hidden="false" customHeight="false" outlineLevel="0" collapsed="false">
      <c r="A91" s="47" t="str">
        <f aca="false">IF($C$4="","",IF(70&gt;COUNTIFS(Investments!$A$6:$A$1005,$C$4),"",70))</f>
        <v/>
      </c>
      <c r="B91" s="14" t="str">
        <f aca="false">IF($A91="","",IFERROR(IF(INDEX(Investments!$B$6:$B$1005,MATCH($A91,Investments!$V$6:$V$1005,0))="","",INDEX(Investments!$B$6:$B$1005,MATCH($A91,Investments!$V$6:$V$1005,0))),""))</f>
        <v/>
      </c>
      <c r="C91" s="14" t="str">
        <f aca="false">IF($A91="","",IFERROR(IF(INDEX(Investments!$D$6:$D$1005,MATCH($A91,Investments!$V$6:$V$1005,0))="","",INDEX(Investments!$D$6:$D$1005,MATCH($A91,Investments!$V$6:$V$1005,0))),""))</f>
        <v/>
      </c>
      <c r="D91" s="14" t="str">
        <f aca="false">IF($A91="","",IFERROR(IF(INDEX(Investments!$E$6:$E$1005,MATCH($A91,Investments!$V$6:$V$1005,0))="","",INDEX(Investments!$E$6:$E$1005,MATCH($A91,Investments!$V$6:$V$1005,0))),""))</f>
        <v/>
      </c>
      <c r="E91" s="48" t="str">
        <f aca="false">IF($A91="","",IFERROR(IF(INDEX(Investments!$F$6:$F$1005,MATCH($A91,Investments!$V$6:$V$1005,0))="","",INDEX(Investments!$F$6:$F$1005,MATCH($A91,Investments!$V$6:$V$1005,0))),""))</f>
        <v/>
      </c>
      <c r="F91" s="17" t="str">
        <f aca="false">IF($A91="","",IFERROR(IF(INDEX(Investments!$P$6:$P$1005,MATCH($A91,Investments!$V$6:$V$1005,0))="","",INDEX(Investments!$P$6:$P$1005,MATCH($A91,Investments!$V$6:$V$1005,0))),""))</f>
        <v/>
      </c>
      <c r="G91" s="17" t="str">
        <f aca="false">IF($A91="","",IFERROR(IF(INDEX(Investments!$Q$6:$Q$1005,MATCH($A91,Investments!$V$6:$V$1005,0))="","",INDEX(Investments!$Q$6:$Q$1005,MATCH($A91,Investments!$V$6:$V$1005,0))),""))</f>
        <v/>
      </c>
      <c r="H91" s="17" t="str">
        <f aca="false">IF($A91="","",IFERROR(IF(INDEX(Investments!$M$6:$M$1005,MATCH($A91,Investments!$V$6:$V$1005,0))="","",INDEX(Investments!$M$6:$M$1005,MATCH($A91,Investments!$V$6:$V$1005,0))),""))</f>
        <v/>
      </c>
      <c r="I91" s="17" t="str">
        <f aca="false">IF($A91="","",IFERROR(IF(INDEX(Investments!$R$6:$R$1005,MATCH($A91,Investments!$V$6:$V$1005,0))="","",INDEX(Investments!$R$6:$R$1005,MATCH($A91,Investments!$V$6:$V$1005,0))),""))</f>
        <v/>
      </c>
      <c r="J91" s="18" t="str">
        <f aca="false">IF($A91="","",IFERROR(IF(INDEX(Investments!$S$6:$S$1005,MATCH($A91,Investments!$V$6:$V$1005,0))="","",INDEX(Investments!$S$6:$S$1005,MATCH($A91,Investments!$V$6:$V$1005,0))),""))</f>
        <v/>
      </c>
      <c r="K91" s="18" t="str">
        <f aca="false">IF($A91="","",IFERROR(IF(INDEX(Investments!$T$6:$T$1005,MATCH($A91,Investments!$V$6:$V$1005,0))="","",INDEX(Investments!$T$6:$T$1005,MATCH($A91,Investments!$V$6:$V$1005,0))),""))</f>
        <v/>
      </c>
    </row>
    <row r="92" customFormat="false" ht="15" hidden="false" customHeight="false" outlineLevel="0" collapsed="false">
      <c r="A92" s="45" t="str">
        <f aca="false">IF($C$4="","",IF(71&gt;COUNTIFS(Investments!$A$6:$A$1005,$C$4),"",71))</f>
        <v/>
      </c>
      <c r="B92" s="31" t="str">
        <f aca="false">IF($A92="","",IFERROR(IF(INDEX(Investments!$B$6:$B$1005,MATCH($A92,Investments!$V$6:$V$1005,0))="","",INDEX(Investments!$B$6:$B$1005,MATCH($A92,Investments!$V$6:$V$1005,0))),""))</f>
        <v/>
      </c>
      <c r="C92" s="31" t="str">
        <f aca="false">IF($A92="","",IFERROR(IF(INDEX(Investments!$D$6:$D$1005,MATCH($A92,Investments!$V$6:$V$1005,0))="","",INDEX(Investments!$D$6:$D$1005,MATCH($A92,Investments!$V$6:$V$1005,0))),""))</f>
        <v/>
      </c>
      <c r="D92" s="31" t="str">
        <f aca="false">IF($A92="","",IFERROR(IF(INDEX(Investments!$E$6:$E$1005,MATCH($A92,Investments!$V$6:$V$1005,0))="","",INDEX(Investments!$E$6:$E$1005,MATCH($A92,Investments!$V$6:$V$1005,0))),""))</f>
        <v/>
      </c>
      <c r="E92" s="46" t="str">
        <f aca="false">IF($A92="","",IFERROR(IF(INDEX(Investments!$F$6:$F$1005,MATCH($A92,Investments!$V$6:$V$1005,0))="","",INDEX(Investments!$F$6:$F$1005,MATCH($A92,Investments!$V$6:$V$1005,0))),""))</f>
        <v/>
      </c>
      <c r="F92" s="33" t="str">
        <f aca="false">IF($A92="","",IFERROR(IF(INDEX(Investments!$P$6:$P$1005,MATCH($A92,Investments!$V$6:$V$1005,0))="","",INDEX(Investments!$P$6:$P$1005,MATCH($A92,Investments!$V$6:$V$1005,0))),""))</f>
        <v/>
      </c>
      <c r="G92" s="33" t="str">
        <f aca="false">IF($A92="","",IFERROR(IF(INDEX(Investments!$Q$6:$Q$1005,MATCH($A92,Investments!$V$6:$V$1005,0))="","",INDEX(Investments!$Q$6:$Q$1005,MATCH($A92,Investments!$V$6:$V$1005,0))),""))</f>
        <v/>
      </c>
      <c r="H92" s="33" t="str">
        <f aca="false">IF($A92="","",IFERROR(IF(INDEX(Investments!$M$6:$M$1005,MATCH($A92,Investments!$V$6:$V$1005,0))="","",INDEX(Investments!$M$6:$M$1005,MATCH($A92,Investments!$V$6:$V$1005,0))),""))</f>
        <v/>
      </c>
      <c r="I92" s="33" t="str">
        <f aca="false">IF($A92="","",IFERROR(IF(INDEX(Investments!$R$6:$R$1005,MATCH($A92,Investments!$V$6:$V$1005,0))="","",INDEX(Investments!$R$6:$R$1005,MATCH($A92,Investments!$V$6:$V$1005,0))),""))</f>
        <v/>
      </c>
      <c r="J92" s="34" t="str">
        <f aca="false">IF($A92="","",IFERROR(IF(INDEX(Investments!$S$6:$S$1005,MATCH($A92,Investments!$V$6:$V$1005,0))="","",INDEX(Investments!$S$6:$S$1005,MATCH($A92,Investments!$V$6:$V$1005,0))),""))</f>
        <v/>
      </c>
      <c r="K92" s="34" t="str">
        <f aca="false">IF($A92="","",IFERROR(IF(INDEX(Investments!$T$6:$T$1005,MATCH($A92,Investments!$V$6:$V$1005,0))="","",INDEX(Investments!$T$6:$T$1005,MATCH($A92,Investments!$V$6:$V$1005,0))),""))</f>
        <v/>
      </c>
    </row>
    <row r="93" customFormat="false" ht="15" hidden="false" customHeight="false" outlineLevel="0" collapsed="false">
      <c r="A93" s="47" t="str">
        <f aca="false">IF($C$4="","",IF(72&gt;COUNTIFS(Investments!$A$6:$A$1005,$C$4),"",72))</f>
        <v/>
      </c>
      <c r="B93" s="14" t="str">
        <f aca="false">IF($A93="","",IFERROR(IF(INDEX(Investments!$B$6:$B$1005,MATCH($A93,Investments!$V$6:$V$1005,0))="","",INDEX(Investments!$B$6:$B$1005,MATCH($A93,Investments!$V$6:$V$1005,0))),""))</f>
        <v/>
      </c>
      <c r="C93" s="14" t="str">
        <f aca="false">IF($A93="","",IFERROR(IF(INDEX(Investments!$D$6:$D$1005,MATCH($A93,Investments!$V$6:$V$1005,0))="","",INDEX(Investments!$D$6:$D$1005,MATCH($A93,Investments!$V$6:$V$1005,0))),""))</f>
        <v/>
      </c>
      <c r="D93" s="14" t="str">
        <f aca="false">IF($A93="","",IFERROR(IF(INDEX(Investments!$E$6:$E$1005,MATCH($A93,Investments!$V$6:$V$1005,0))="","",INDEX(Investments!$E$6:$E$1005,MATCH($A93,Investments!$V$6:$V$1005,0))),""))</f>
        <v/>
      </c>
      <c r="E93" s="48" t="str">
        <f aca="false">IF($A93="","",IFERROR(IF(INDEX(Investments!$F$6:$F$1005,MATCH($A93,Investments!$V$6:$V$1005,0))="","",INDEX(Investments!$F$6:$F$1005,MATCH($A93,Investments!$V$6:$V$1005,0))),""))</f>
        <v/>
      </c>
      <c r="F93" s="17" t="str">
        <f aca="false">IF($A93="","",IFERROR(IF(INDEX(Investments!$P$6:$P$1005,MATCH($A93,Investments!$V$6:$V$1005,0))="","",INDEX(Investments!$P$6:$P$1005,MATCH($A93,Investments!$V$6:$V$1005,0))),""))</f>
        <v/>
      </c>
      <c r="G93" s="17" t="str">
        <f aca="false">IF($A93="","",IFERROR(IF(INDEX(Investments!$Q$6:$Q$1005,MATCH($A93,Investments!$V$6:$V$1005,0))="","",INDEX(Investments!$Q$6:$Q$1005,MATCH($A93,Investments!$V$6:$V$1005,0))),""))</f>
        <v/>
      </c>
      <c r="H93" s="17" t="str">
        <f aca="false">IF($A93="","",IFERROR(IF(INDEX(Investments!$M$6:$M$1005,MATCH($A93,Investments!$V$6:$V$1005,0))="","",INDEX(Investments!$M$6:$M$1005,MATCH($A93,Investments!$V$6:$V$1005,0))),""))</f>
        <v/>
      </c>
      <c r="I93" s="17" t="str">
        <f aca="false">IF($A93="","",IFERROR(IF(INDEX(Investments!$R$6:$R$1005,MATCH($A93,Investments!$V$6:$V$1005,0))="","",INDEX(Investments!$R$6:$R$1005,MATCH($A93,Investments!$V$6:$V$1005,0))),""))</f>
        <v/>
      </c>
      <c r="J93" s="18" t="str">
        <f aca="false">IF($A93="","",IFERROR(IF(INDEX(Investments!$S$6:$S$1005,MATCH($A93,Investments!$V$6:$V$1005,0))="","",INDEX(Investments!$S$6:$S$1005,MATCH($A93,Investments!$V$6:$V$1005,0))),""))</f>
        <v/>
      </c>
      <c r="K93" s="18" t="str">
        <f aca="false">IF($A93="","",IFERROR(IF(INDEX(Investments!$T$6:$T$1005,MATCH($A93,Investments!$V$6:$V$1005,0))="","",INDEX(Investments!$T$6:$T$1005,MATCH($A93,Investments!$V$6:$V$1005,0))),""))</f>
        <v/>
      </c>
    </row>
    <row r="94" customFormat="false" ht="15" hidden="false" customHeight="false" outlineLevel="0" collapsed="false">
      <c r="A94" s="45" t="str">
        <f aca="false">IF($C$4="","",IF(73&gt;COUNTIFS(Investments!$A$6:$A$1005,$C$4),"",73))</f>
        <v/>
      </c>
      <c r="B94" s="31" t="str">
        <f aca="false">IF($A94="","",IFERROR(IF(INDEX(Investments!$B$6:$B$1005,MATCH($A94,Investments!$V$6:$V$1005,0))="","",INDEX(Investments!$B$6:$B$1005,MATCH($A94,Investments!$V$6:$V$1005,0))),""))</f>
        <v/>
      </c>
      <c r="C94" s="31" t="str">
        <f aca="false">IF($A94="","",IFERROR(IF(INDEX(Investments!$D$6:$D$1005,MATCH($A94,Investments!$V$6:$V$1005,0))="","",INDEX(Investments!$D$6:$D$1005,MATCH($A94,Investments!$V$6:$V$1005,0))),""))</f>
        <v/>
      </c>
      <c r="D94" s="31" t="str">
        <f aca="false">IF($A94="","",IFERROR(IF(INDEX(Investments!$E$6:$E$1005,MATCH($A94,Investments!$V$6:$V$1005,0))="","",INDEX(Investments!$E$6:$E$1005,MATCH($A94,Investments!$V$6:$V$1005,0))),""))</f>
        <v/>
      </c>
      <c r="E94" s="46" t="str">
        <f aca="false">IF($A94="","",IFERROR(IF(INDEX(Investments!$F$6:$F$1005,MATCH($A94,Investments!$V$6:$V$1005,0))="","",INDEX(Investments!$F$6:$F$1005,MATCH($A94,Investments!$V$6:$V$1005,0))),""))</f>
        <v/>
      </c>
      <c r="F94" s="33" t="str">
        <f aca="false">IF($A94="","",IFERROR(IF(INDEX(Investments!$P$6:$P$1005,MATCH($A94,Investments!$V$6:$V$1005,0))="","",INDEX(Investments!$P$6:$P$1005,MATCH($A94,Investments!$V$6:$V$1005,0))),""))</f>
        <v/>
      </c>
      <c r="G94" s="33" t="str">
        <f aca="false">IF($A94="","",IFERROR(IF(INDEX(Investments!$Q$6:$Q$1005,MATCH($A94,Investments!$V$6:$V$1005,0))="","",INDEX(Investments!$Q$6:$Q$1005,MATCH($A94,Investments!$V$6:$V$1005,0))),""))</f>
        <v/>
      </c>
      <c r="H94" s="33" t="str">
        <f aca="false">IF($A94="","",IFERROR(IF(INDEX(Investments!$M$6:$M$1005,MATCH($A94,Investments!$V$6:$V$1005,0))="","",INDEX(Investments!$M$6:$M$1005,MATCH($A94,Investments!$V$6:$V$1005,0))),""))</f>
        <v/>
      </c>
      <c r="I94" s="33" t="str">
        <f aca="false">IF($A94="","",IFERROR(IF(INDEX(Investments!$R$6:$R$1005,MATCH($A94,Investments!$V$6:$V$1005,0))="","",INDEX(Investments!$R$6:$R$1005,MATCH($A94,Investments!$V$6:$V$1005,0))),""))</f>
        <v/>
      </c>
      <c r="J94" s="34" t="str">
        <f aca="false">IF($A94="","",IFERROR(IF(INDEX(Investments!$S$6:$S$1005,MATCH($A94,Investments!$V$6:$V$1005,0))="","",INDEX(Investments!$S$6:$S$1005,MATCH($A94,Investments!$V$6:$V$1005,0))),""))</f>
        <v/>
      </c>
      <c r="K94" s="34" t="str">
        <f aca="false">IF($A94="","",IFERROR(IF(INDEX(Investments!$T$6:$T$1005,MATCH($A94,Investments!$V$6:$V$1005,0))="","",INDEX(Investments!$T$6:$T$1005,MATCH($A94,Investments!$V$6:$V$1005,0))),""))</f>
        <v/>
      </c>
    </row>
    <row r="95" customFormat="false" ht="15" hidden="false" customHeight="false" outlineLevel="0" collapsed="false">
      <c r="A95" s="47" t="str">
        <f aca="false">IF($C$4="","",IF(74&gt;COUNTIFS(Investments!$A$6:$A$1005,$C$4),"",74))</f>
        <v/>
      </c>
      <c r="B95" s="14" t="str">
        <f aca="false">IF($A95="","",IFERROR(IF(INDEX(Investments!$B$6:$B$1005,MATCH($A95,Investments!$V$6:$V$1005,0))="","",INDEX(Investments!$B$6:$B$1005,MATCH($A95,Investments!$V$6:$V$1005,0))),""))</f>
        <v/>
      </c>
      <c r="C95" s="14" t="str">
        <f aca="false">IF($A95="","",IFERROR(IF(INDEX(Investments!$D$6:$D$1005,MATCH($A95,Investments!$V$6:$V$1005,0))="","",INDEX(Investments!$D$6:$D$1005,MATCH($A95,Investments!$V$6:$V$1005,0))),""))</f>
        <v/>
      </c>
      <c r="D95" s="14" t="str">
        <f aca="false">IF($A95="","",IFERROR(IF(INDEX(Investments!$E$6:$E$1005,MATCH($A95,Investments!$V$6:$V$1005,0))="","",INDEX(Investments!$E$6:$E$1005,MATCH($A95,Investments!$V$6:$V$1005,0))),""))</f>
        <v/>
      </c>
      <c r="E95" s="48" t="str">
        <f aca="false">IF($A95="","",IFERROR(IF(INDEX(Investments!$F$6:$F$1005,MATCH($A95,Investments!$V$6:$V$1005,0))="","",INDEX(Investments!$F$6:$F$1005,MATCH($A95,Investments!$V$6:$V$1005,0))),""))</f>
        <v/>
      </c>
      <c r="F95" s="17" t="str">
        <f aca="false">IF($A95="","",IFERROR(IF(INDEX(Investments!$P$6:$P$1005,MATCH($A95,Investments!$V$6:$V$1005,0))="","",INDEX(Investments!$P$6:$P$1005,MATCH($A95,Investments!$V$6:$V$1005,0))),""))</f>
        <v/>
      </c>
      <c r="G95" s="17" t="str">
        <f aca="false">IF($A95="","",IFERROR(IF(INDEX(Investments!$Q$6:$Q$1005,MATCH($A95,Investments!$V$6:$V$1005,0))="","",INDEX(Investments!$Q$6:$Q$1005,MATCH($A95,Investments!$V$6:$V$1005,0))),""))</f>
        <v/>
      </c>
      <c r="H95" s="17" t="str">
        <f aca="false">IF($A95="","",IFERROR(IF(INDEX(Investments!$M$6:$M$1005,MATCH($A95,Investments!$V$6:$V$1005,0))="","",INDEX(Investments!$M$6:$M$1005,MATCH($A95,Investments!$V$6:$V$1005,0))),""))</f>
        <v/>
      </c>
      <c r="I95" s="17" t="str">
        <f aca="false">IF($A95="","",IFERROR(IF(INDEX(Investments!$R$6:$R$1005,MATCH($A95,Investments!$V$6:$V$1005,0))="","",INDEX(Investments!$R$6:$R$1005,MATCH($A95,Investments!$V$6:$V$1005,0))),""))</f>
        <v/>
      </c>
      <c r="J95" s="18" t="str">
        <f aca="false">IF($A95="","",IFERROR(IF(INDEX(Investments!$S$6:$S$1005,MATCH($A95,Investments!$V$6:$V$1005,0))="","",INDEX(Investments!$S$6:$S$1005,MATCH($A95,Investments!$V$6:$V$1005,0))),""))</f>
        <v/>
      </c>
      <c r="K95" s="18" t="str">
        <f aca="false">IF($A95="","",IFERROR(IF(INDEX(Investments!$T$6:$T$1005,MATCH($A95,Investments!$V$6:$V$1005,0))="","",INDEX(Investments!$T$6:$T$1005,MATCH($A95,Investments!$V$6:$V$1005,0))),""))</f>
        <v/>
      </c>
    </row>
    <row r="96" customFormat="false" ht="15" hidden="false" customHeight="false" outlineLevel="0" collapsed="false">
      <c r="A96" s="45" t="str">
        <f aca="false">IF($C$4="","",IF(75&gt;COUNTIFS(Investments!$A$6:$A$1005,$C$4),"",75))</f>
        <v/>
      </c>
      <c r="B96" s="31" t="str">
        <f aca="false">IF($A96="","",IFERROR(IF(INDEX(Investments!$B$6:$B$1005,MATCH($A96,Investments!$V$6:$V$1005,0))="","",INDEX(Investments!$B$6:$B$1005,MATCH($A96,Investments!$V$6:$V$1005,0))),""))</f>
        <v/>
      </c>
      <c r="C96" s="31" t="str">
        <f aca="false">IF($A96="","",IFERROR(IF(INDEX(Investments!$D$6:$D$1005,MATCH($A96,Investments!$V$6:$V$1005,0))="","",INDEX(Investments!$D$6:$D$1005,MATCH($A96,Investments!$V$6:$V$1005,0))),""))</f>
        <v/>
      </c>
      <c r="D96" s="31" t="str">
        <f aca="false">IF($A96="","",IFERROR(IF(INDEX(Investments!$E$6:$E$1005,MATCH($A96,Investments!$V$6:$V$1005,0))="","",INDEX(Investments!$E$6:$E$1005,MATCH($A96,Investments!$V$6:$V$1005,0))),""))</f>
        <v/>
      </c>
      <c r="E96" s="46" t="str">
        <f aca="false">IF($A96="","",IFERROR(IF(INDEX(Investments!$F$6:$F$1005,MATCH($A96,Investments!$V$6:$V$1005,0))="","",INDEX(Investments!$F$6:$F$1005,MATCH($A96,Investments!$V$6:$V$1005,0))),""))</f>
        <v/>
      </c>
      <c r="F96" s="33" t="str">
        <f aca="false">IF($A96="","",IFERROR(IF(INDEX(Investments!$P$6:$P$1005,MATCH($A96,Investments!$V$6:$V$1005,0))="","",INDEX(Investments!$P$6:$P$1005,MATCH($A96,Investments!$V$6:$V$1005,0))),""))</f>
        <v/>
      </c>
      <c r="G96" s="33" t="str">
        <f aca="false">IF($A96="","",IFERROR(IF(INDEX(Investments!$Q$6:$Q$1005,MATCH($A96,Investments!$V$6:$V$1005,0))="","",INDEX(Investments!$Q$6:$Q$1005,MATCH($A96,Investments!$V$6:$V$1005,0))),""))</f>
        <v/>
      </c>
      <c r="H96" s="33" t="str">
        <f aca="false">IF($A96="","",IFERROR(IF(INDEX(Investments!$M$6:$M$1005,MATCH($A96,Investments!$V$6:$V$1005,0))="","",INDEX(Investments!$M$6:$M$1005,MATCH($A96,Investments!$V$6:$V$1005,0))),""))</f>
        <v/>
      </c>
      <c r="I96" s="33" t="str">
        <f aca="false">IF($A96="","",IFERROR(IF(INDEX(Investments!$R$6:$R$1005,MATCH($A96,Investments!$V$6:$V$1005,0))="","",INDEX(Investments!$R$6:$R$1005,MATCH($A96,Investments!$V$6:$V$1005,0))),""))</f>
        <v/>
      </c>
      <c r="J96" s="34" t="str">
        <f aca="false">IF($A96="","",IFERROR(IF(INDEX(Investments!$S$6:$S$1005,MATCH($A96,Investments!$V$6:$V$1005,0))="","",INDEX(Investments!$S$6:$S$1005,MATCH($A96,Investments!$V$6:$V$1005,0))),""))</f>
        <v/>
      </c>
      <c r="K96" s="34" t="str">
        <f aca="false">IF($A96="","",IFERROR(IF(INDEX(Investments!$T$6:$T$1005,MATCH($A96,Investments!$V$6:$V$1005,0))="","",INDEX(Investments!$T$6:$T$1005,MATCH($A96,Investments!$V$6:$V$1005,0))),""))</f>
        <v/>
      </c>
    </row>
    <row r="97" customFormat="false" ht="15" hidden="false" customHeight="false" outlineLevel="0" collapsed="false">
      <c r="A97" s="47" t="str">
        <f aca="false">IF($C$4="","",IF(76&gt;COUNTIFS(Investments!$A$6:$A$1005,$C$4),"",76))</f>
        <v/>
      </c>
      <c r="B97" s="14" t="str">
        <f aca="false">IF($A97="","",IFERROR(IF(INDEX(Investments!$B$6:$B$1005,MATCH($A97,Investments!$V$6:$V$1005,0))="","",INDEX(Investments!$B$6:$B$1005,MATCH($A97,Investments!$V$6:$V$1005,0))),""))</f>
        <v/>
      </c>
      <c r="C97" s="14" t="str">
        <f aca="false">IF($A97="","",IFERROR(IF(INDEX(Investments!$D$6:$D$1005,MATCH($A97,Investments!$V$6:$V$1005,0))="","",INDEX(Investments!$D$6:$D$1005,MATCH($A97,Investments!$V$6:$V$1005,0))),""))</f>
        <v/>
      </c>
      <c r="D97" s="14" t="str">
        <f aca="false">IF($A97="","",IFERROR(IF(INDEX(Investments!$E$6:$E$1005,MATCH($A97,Investments!$V$6:$V$1005,0))="","",INDEX(Investments!$E$6:$E$1005,MATCH($A97,Investments!$V$6:$V$1005,0))),""))</f>
        <v/>
      </c>
      <c r="E97" s="48" t="str">
        <f aca="false">IF($A97="","",IFERROR(IF(INDEX(Investments!$F$6:$F$1005,MATCH($A97,Investments!$V$6:$V$1005,0))="","",INDEX(Investments!$F$6:$F$1005,MATCH($A97,Investments!$V$6:$V$1005,0))),""))</f>
        <v/>
      </c>
      <c r="F97" s="17" t="str">
        <f aca="false">IF($A97="","",IFERROR(IF(INDEX(Investments!$P$6:$P$1005,MATCH($A97,Investments!$V$6:$V$1005,0))="","",INDEX(Investments!$P$6:$P$1005,MATCH($A97,Investments!$V$6:$V$1005,0))),""))</f>
        <v/>
      </c>
      <c r="G97" s="17" t="str">
        <f aca="false">IF($A97="","",IFERROR(IF(INDEX(Investments!$Q$6:$Q$1005,MATCH($A97,Investments!$V$6:$V$1005,0))="","",INDEX(Investments!$Q$6:$Q$1005,MATCH($A97,Investments!$V$6:$V$1005,0))),""))</f>
        <v/>
      </c>
      <c r="H97" s="17" t="str">
        <f aca="false">IF($A97="","",IFERROR(IF(INDEX(Investments!$M$6:$M$1005,MATCH($A97,Investments!$V$6:$V$1005,0))="","",INDEX(Investments!$M$6:$M$1005,MATCH($A97,Investments!$V$6:$V$1005,0))),""))</f>
        <v/>
      </c>
      <c r="I97" s="17" t="str">
        <f aca="false">IF($A97="","",IFERROR(IF(INDEX(Investments!$R$6:$R$1005,MATCH($A97,Investments!$V$6:$V$1005,0))="","",INDEX(Investments!$R$6:$R$1005,MATCH($A97,Investments!$V$6:$V$1005,0))),""))</f>
        <v/>
      </c>
      <c r="J97" s="18" t="str">
        <f aca="false">IF($A97="","",IFERROR(IF(INDEX(Investments!$S$6:$S$1005,MATCH($A97,Investments!$V$6:$V$1005,0))="","",INDEX(Investments!$S$6:$S$1005,MATCH($A97,Investments!$V$6:$V$1005,0))),""))</f>
        <v/>
      </c>
      <c r="K97" s="18" t="str">
        <f aca="false">IF($A97="","",IFERROR(IF(INDEX(Investments!$T$6:$T$1005,MATCH($A97,Investments!$V$6:$V$1005,0))="","",INDEX(Investments!$T$6:$T$1005,MATCH($A97,Investments!$V$6:$V$1005,0))),""))</f>
        <v/>
      </c>
    </row>
    <row r="98" customFormat="false" ht="15" hidden="false" customHeight="false" outlineLevel="0" collapsed="false">
      <c r="A98" s="45" t="str">
        <f aca="false">IF($C$4="","",IF(77&gt;COUNTIFS(Investments!$A$6:$A$1005,$C$4),"",77))</f>
        <v/>
      </c>
      <c r="B98" s="31" t="str">
        <f aca="false">IF($A98="","",IFERROR(IF(INDEX(Investments!$B$6:$B$1005,MATCH($A98,Investments!$V$6:$V$1005,0))="","",INDEX(Investments!$B$6:$B$1005,MATCH($A98,Investments!$V$6:$V$1005,0))),""))</f>
        <v/>
      </c>
      <c r="C98" s="31" t="str">
        <f aca="false">IF($A98="","",IFERROR(IF(INDEX(Investments!$D$6:$D$1005,MATCH($A98,Investments!$V$6:$V$1005,0))="","",INDEX(Investments!$D$6:$D$1005,MATCH($A98,Investments!$V$6:$V$1005,0))),""))</f>
        <v/>
      </c>
      <c r="D98" s="31" t="str">
        <f aca="false">IF($A98="","",IFERROR(IF(INDEX(Investments!$E$6:$E$1005,MATCH($A98,Investments!$V$6:$V$1005,0))="","",INDEX(Investments!$E$6:$E$1005,MATCH($A98,Investments!$V$6:$V$1005,0))),""))</f>
        <v/>
      </c>
      <c r="E98" s="46" t="str">
        <f aca="false">IF($A98="","",IFERROR(IF(INDEX(Investments!$F$6:$F$1005,MATCH($A98,Investments!$V$6:$V$1005,0))="","",INDEX(Investments!$F$6:$F$1005,MATCH($A98,Investments!$V$6:$V$1005,0))),""))</f>
        <v/>
      </c>
      <c r="F98" s="33" t="str">
        <f aca="false">IF($A98="","",IFERROR(IF(INDEX(Investments!$P$6:$P$1005,MATCH($A98,Investments!$V$6:$V$1005,0))="","",INDEX(Investments!$P$6:$P$1005,MATCH($A98,Investments!$V$6:$V$1005,0))),""))</f>
        <v/>
      </c>
      <c r="G98" s="33" t="str">
        <f aca="false">IF($A98="","",IFERROR(IF(INDEX(Investments!$Q$6:$Q$1005,MATCH($A98,Investments!$V$6:$V$1005,0))="","",INDEX(Investments!$Q$6:$Q$1005,MATCH($A98,Investments!$V$6:$V$1005,0))),""))</f>
        <v/>
      </c>
      <c r="H98" s="33" t="str">
        <f aca="false">IF($A98="","",IFERROR(IF(INDEX(Investments!$M$6:$M$1005,MATCH($A98,Investments!$V$6:$V$1005,0))="","",INDEX(Investments!$M$6:$M$1005,MATCH($A98,Investments!$V$6:$V$1005,0))),""))</f>
        <v/>
      </c>
      <c r="I98" s="33" t="str">
        <f aca="false">IF($A98="","",IFERROR(IF(INDEX(Investments!$R$6:$R$1005,MATCH($A98,Investments!$V$6:$V$1005,0))="","",INDEX(Investments!$R$6:$R$1005,MATCH($A98,Investments!$V$6:$V$1005,0))),""))</f>
        <v/>
      </c>
      <c r="J98" s="34" t="str">
        <f aca="false">IF($A98="","",IFERROR(IF(INDEX(Investments!$S$6:$S$1005,MATCH($A98,Investments!$V$6:$V$1005,0))="","",INDEX(Investments!$S$6:$S$1005,MATCH($A98,Investments!$V$6:$V$1005,0))),""))</f>
        <v/>
      </c>
      <c r="K98" s="34" t="str">
        <f aca="false">IF($A98="","",IFERROR(IF(INDEX(Investments!$T$6:$T$1005,MATCH($A98,Investments!$V$6:$V$1005,0))="","",INDEX(Investments!$T$6:$T$1005,MATCH($A98,Investments!$V$6:$V$1005,0))),""))</f>
        <v/>
      </c>
    </row>
    <row r="99" customFormat="false" ht="15" hidden="false" customHeight="false" outlineLevel="0" collapsed="false">
      <c r="A99" s="47" t="str">
        <f aca="false">IF($C$4="","",IF(78&gt;COUNTIFS(Investments!$A$6:$A$1005,$C$4),"",78))</f>
        <v/>
      </c>
      <c r="B99" s="14" t="str">
        <f aca="false">IF($A99="","",IFERROR(IF(INDEX(Investments!$B$6:$B$1005,MATCH($A99,Investments!$V$6:$V$1005,0))="","",INDEX(Investments!$B$6:$B$1005,MATCH($A99,Investments!$V$6:$V$1005,0))),""))</f>
        <v/>
      </c>
      <c r="C99" s="14" t="str">
        <f aca="false">IF($A99="","",IFERROR(IF(INDEX(Investments!$D$6:$D$1005,MATCH($A99,Investments!$V$6:$V$1005,0))="","",INDEX(Investments!$D$6:$D$1005,MATCH($A99,Investments!$V$6:$V$1005,0))),""))</f>
        <v/>
      </c>
      <c r="D99" s="14" t="str">
        <f aca="false">IF($A99="","",IFERROR(IF(INDEX(Investments!$E$6:$E$1005,MATCH($A99,Investments!$V$6:$V$1005,0))="","",INDEX(Investments!$E$6:$E$1005,MATCH($A99,Investments!$V$6:$V$1005,0))),""))</f>
        <v/>
      </c>
      <c r="E99" s="48" t="str">
        <f aca="false">IF($A99="","",IFERROR(IF(INDEX(Investments!$F$6:$F$1005,MATCH($A99,Investments!$V$6:$V$1005,0))="","",INDEX(Investments!$F$6:$F$1005,MATCH($A99,Investments!$V$6:$V$1005,0))),""))</f>
        <v/>
      </c>
      <c r="F99" s="17" t="str">
        <f aca="false">IF($A99="","",IFERROR(IF(INDEX(Investments!$P$6:$P$1005,MATCH($A99,Investments!$V$6:$V$1005,0))="","",INDEX(Investments!$P$6:$P$1005,MATCH($A99,Investments!$V$6:$V$1005,0))),""))</f>
        <v/>
      </c>
      <c r="G99" s="17" t="str">
        <f aca="false">IF($A99="","",IFERROR(IF(INDEX(Investments!$Q$6:$Q$1005,MATCH($A99,Investments!$V$6:$V$1005,0))="","",INDEX(Investments!$Q$6:$Q$1005,MATCH($A99,Investments!$V$6:$V$1005,0))),""))</f>
        <v/>
      </c>
      <c r="H99" s="17" t="str">
        <f aca="false">IF($A99="","",IFERROR(IF(INDEX(Investments!$M$6:$M$1005,MATCH($A99,Investments!$V$6:$V$1005,0))="","",INDEX(Investments!$M$6:$M$1005,MATCH($A99,Investments!$V$6:$V$1005,0))),""))</f>
        <v/>
      </c>
      <c r="I99" s="17" t="str">
        <f aca="false">IF($A99="","",IFERROR(IF(INDEX(Investments!$R$6:$R$1005,MATCH($A99,Investments!$V$6:$V$1005,0))="","",INDEX(Investments!$R$6:$R$1005,MATCH($A99,Investments!$V$6:$V$1005,0))),""))</f>
        <v/>
      </c>
      <c r="J99" s="18" t="str">
        <f aca="false">IF($A99="","",IFERROR(IF(INDEX(Investments!$S$6:$S$1005,MATCH($A99,Investments!$V$6:$V$1005,0))="","",INDEX(Investments!$S$6:$S$1005,MATCH($A99,Investments!$V$6:$V$1005,0))),""))</f>
        <v/>
      </c>
      <c r="K99" s="18" t="str">
        <f aca="false">IF($A99="","",IFERROR(IF(INDEX(Investments!$T$6:$T$1005,MATCH($A99,Investments!$V$6:$V$1005,0))="","",INDEX(Investments!$T$6:$T$1005,MATCH($A99,Investments!$V$6:$V$1005,0))),""))</f>
        <v/>
      </c>
    </row>
    <row r="100" customFormat="false" ht="15" hidden="false" customHeight="false" outlineLevel="0" collapsed="false">
      <c r="A100" s="45" t="str">
        <f aca="false">IF($C$4="","",IF(79&gt;COUNTIFS(Investments!$A$6:$A$1005,$C$4),"",79))</f>
        <v/>
      </c>
      <c r="B100" s="31" t="str">
        <f aca="false">IF($A100="","",IFERROR(IF(INDEX(Investments!$B$6:$B$1005,MATCH($A100,Investments!$V$6:$V$1005,0))="","",INDEX(Investments!$B$6:$B$1005,MATCH($A100,Investments!$V$6:$V$1005,0))),""))</f>
        <v/>
      </c>
      <c r="C100" s="31" t="str">
        <f aca="false">IF($A100="","",IFERROR(IF(INDEX(Investments!$D$6:$D$1005,MATCH($A100,Investments!$V$6:$V$1005,0))="","",INDEX(Investments!$D$6:$D$1005,MATCH($A100,Investments!$V$6:$V$1005,0))),""))</f>
        <v/>
      </c>
      <c r="D100" s="31" t="str">
        <f aca="false">IF($A100="","",IFERROR(IF(INDEX(Investments!$E$6:$E$1005,MATCH($A100,Investments!$V$6:$V$1005,0))="","",INDEX(Investments!$E$6:$E$1005,MATCH($A100,Investments!$V$6:$V$1005,0))),""))</f>
        <v/>
      </c>
      <c r="E100" s="46" t="str">
        <f aca="false">IF($A100="","",IFERROR(IF(INDEX(Investments!$F$6:$F$1005,MATCH($A100,Investments!$V$6:$V$1005,0))="","",INDEX(Investments!$F$6:$F$1005,MATCH($A100,Investments!$V$6:$V$1005,0))),""))</f>
        <v/>
      </c>
      <c r="F100" s="33" t="str">
        <f aca="false">IF($A100="","",IFERROR(IF(INDEX(Investments!$P$6:$P$1005,MATCH($A100,Investments!$V$6:$V$1005,0))="","",INDEX(Investments!$P$6:$P$1005,MATCH($A100,Investments!$V$6:$V$1005,0))),""))</f>
        <v/>
      </c>
      <c r="G100" s="33" t="str">
        <f aca="false">IF($A100="","",IFERROR(IF(INDEX(Investments!$Q$6:$Q$1005,MATCH($A100,Investments!$V$6:$V$1005,0))="","",INDEX(Investments!$Q$6:$Q$1005,MATCH($A100,Investments!$V$6:$V$1005,0))),""))</f>
        <v/>
      </c>
      <c r="H100" s="33" t="str">
        <f aca="false">IF($A100="","",IFERROR(IF(INDEX(Investments!$M$6:$M$1005,MATCH($A100,Investments!$V$6:$V$1005,0))="","",INDEX(Investments!$M$6:$M$1005,MATCH($A100,Investments!$V$6:$V$1005,0))),""))</f>
        <v/>
      </c>
      <c r="I100" s="33" t="str">
        <f aca="false">IF($A100="","",IFERROR(IF(INDEX(Investments!$R$6:$R$1005,MATCH($A100,Investments!$V$6:$V$1005,0))="","",INDEX(Investments!$R$6:$R$1005,MATCH($A100,Investments!$V$6:$V$1005,0))),""))</f>
        <v/>
      </c>
      <c r="J100" s="34" t="str">
        <f aca="false">IF($A100="","",IFERROR(IF(INDEX(Investments!$S$6:$S$1005,MATCH($A100,Investments!$V$6:$V$1005,0))="","",INDEX(Investments!$S$6:$S$1005,MATCH($A100,Investments!$V$6:$V$1005,0))),""))</f>
        <v/>
      </c>
      <c r="K100" s="34" t="str">
        <f aca="false">IF($A100="","",IFERROR(IF(INDEX(Investments!$T$6:$T$1005,MATCH($A100,Investments!$V$6:$V$1005,0))="","",INDEX(Investments!$T$6:$T$1005,MATCH($A100,Investments!$V$6:$V$1005,0))),""))</f>
        <v/>
      </c>
    </row>
    <row r="101" customFormat="false" ht="15" hidden="false" customHeight="false" outlineLevel="0" collapsed="false">
      <c r="A101" s="47" t="str">
        <f aca="false">IF($C$4="","",IF(80&gt;COUNTIFS(Investments!$A$6:$A$1005,$C$4),"",80))</f>
        <v/>
      </c>
      <c r="B101" s="14" t="str">
        <f aca="false">IF($A101="","",IFERROR(IF(INDEX(Investments!$B$6:$B$1005,MATCH($A101,Investments!$V$6:$V$1005,0))="","",INDEX(Investments!$B$6:$B$1005,MATCH($A101,Investments!$V$6:$V$1005,0))),""))</f>
        <v/>
      </c>
      <c r="C101" s="14" t="str">
        <f aca="false">IF($A101="","",IFERROR(IF(INDEX(Investments!$D$6:$D$1005,MATCH($A101,Investments!$V$6:$V$1005,0))="","",INDEX(Investments!$D$6:$D$1005,MATCH($A101,Investments!$V$6:$V$1005,0))),""))</f>
        <v/>
      </c>
      <c r="D101" s="14" t="str">
        <f aca="false">IF($A101="","",IFERROR(IF(INDEX(Investments!$E$6:$E$1005,MATCH($A101,Investments!$V$6:$V$1005,0))="","",INDEX(Investments!$E$6:$E$1005,MATCH($A101,Investments!$V$6:$V$1005,0))),""))</f>
        <v/>
      </c>
      <c r="E101" s="48" t="str">
        <f aca="false">IF($A101="","",IFERROR(IF(INDEX(Investments!$F$6:$F$1005,MATCH($A101,Investments!$V$6:$V$1005,0))="","",INDEX(Investments!$F$6:$F$1005,MATCH($A101,Investments!$V$6:$V$1005,0))),""))</f>
        <v/>
      </c>
      <c r="F101" s="17" t="str">
        <f aca="false">IF($A101="","",IFERROR(IF(INDEX(Investments!$P$6:$P$1005,MATCH($A101,Investments!$V$6:$V$1005,0))="","",INDEX(Investments!$P$6:$P$1005,MATCH($A101,Investments!$V$6:$V$1005,0))),""))</f>
        <v/>
      </c>
      <c r="G101" s="17" t="str">
        <f aca="false">IF($A101="","",IFERROR(IF(INDEX(Investments!$Q$6:$Q$1005,MATCH($A101,Investments!$V$6:$V$1005,0))="","",INDEX(Investments!$Q$6:$Q$1005,MATCH($A101,Investments!$V$6:$V$1005,0))),""))</f>
        <v/>
      </c>
      <c r="H101" s="17" t="str">
        <f aca="false">IF($A101="","",IFERROR(IF(INDEX(Investments!$M$6:$M$1005,MATCH($A101,Investments!$V$6:$V$1005,0))="","",INDEX(Investments!$M$6:$M$1005,MATCH($A101,Investments!$V$6:$V$1005,0))),""))</f>
        <v/>
      </c>
      <c r="I101" s="17" t="str">
        <f aca="false">IF($A101="","",IFERROR(IF(INDEX(Investments!$R$6:$R$1005,MATCH($A101,Investments!$V$6:$V$1005,0))="","",INDEX(Investments!$R$6:$R$1005,MATCH($A101,Investments!$V$6:$V$1005,0))),""))</f>
        <v/>
      </c>
      <c r="J101" s="18" t="str">
        <f aca="false">IF($A101="","",IFERROR(IF(INDEX(Investments!$S$6:$S$1005,MATCH($A101,Investments!$V$6:$V$1005,0))="","",INDEX(Investments!$S$6:$S$1005,MATCH($A101,Investments!$V$6:$V$1005,0))),""))</f>
        <v/>
      </c>
      <c r="K101" s="18" t="str">
        <f aca="false">IF($A101="","",IFERROR(IF(INDEX(Investments!$T$6:$T$1005,MATCH($A101,Investments!$V$6:$V$1005,0))="","",INDEX(Investments!$T$6:$T$1005,MATCH($A101,Investments!$V$6:$V$1005,0))),""))</f>
        <v/>
      </c>
    </row>
    <row r="102" customFormat="false" ht="15" hidden="false" customHeight="false" outlineLevel="0" collapsed="false">
      <c r="A102" s="45" t="str">
        <f aca="false">IF($C$4="","",IF(81&gt;COUNTIFS(Investments!$A$6:$A$1005,$C$4),"",81))</f>
        <v/>
      </c>
      <c r="B102" s="31" t="str">
        <f aca="false">IF($A102="","",IFERROR(IF(INDEX(Investments!$B$6:$B$1005,MATCH($A102,Investments!$V$6:$V$1005,0))="","",INDEX(Investments!$B$6:$B$1005,MATCH($A102,Investments!$V$6:$V$1005,0))),""))</f>
        <v/>
      </c>
      <c r="C102" s="31" t="str">
        <f aca="false">IF($A102="","",IFERROR(IF(INDEX(Investments!$D$6:$D$1005,MATCH($A102,Investments!$V$6:$V$1005,0))="","",INDEX(Investments!$D$6:$D$1005,MATCH($A102,Investments!$V$6:$V$1005,0))),""))</f>
        <v/>
      </c>
      <c r="D102" s="31" t="str">
        <f aca="false">IF($A102="","",IFERROR(IF(INDEX(Investments!$E$6:$E$1005,MATCH($A102,Investments!$V$6:$V$1005,0))="","",INDEX(Investments!$E$6:$E$1005,MATCH($A102,Investments!$V$6:$V$1005,0))),""))</f>
        <v/>
      </c>
      <c r="E102" s="46" t="str">
        <f aca="false">IF($A102="","",IFERROR(IF(INDEX(Investments!$F$6:$F$1005,MATCH($A102,Investments!$V$6:$V$1005,0))="","",INDEX(Investments!$F$6:$F$1005,MATCH($A102,Investments!$V$6:$V$1005,0))),""))</f>
        <v/>
      </c>
      <c r="F102" s="33" t="str">
        <f aca="false">IF($A102="","",IFERROR(IF(INDEX(Investments!$P$6:$P$1005,MATCH($A102,Investments!$V$6:$V$1005,0))="","",INDEX(Investments!$P$6:$P$1005,MATCH($A102,Investments!$V$6:$V$1005,0))),""))</f>
        <v/>
      </c>
      <c r="G102" s="33" t="str">
        <f aca="false">IF($A102="","",IFERROR(IF(INDEX(Investments!$Q$6:$Q$1005,MATCH($A102,Investments!$V$6:$V$1005,0))="","",INDEX(Investments!$Q$6:$Q$1005,MATCH($A102,Investments!$V$6:$V$1005,0))),""))</f>
        <v/>
      </c>
      <c r="H102" s="33" t="str">
        <f aca="false">IF($A102="","",IFERROR(IF(INDEX(Investments!$M$6:$M$1005,MATCH($A102,Investments!$V$6:$V$1005,0))="","",INDEX(Investments!$M$6:$M$1005,MATCH($A102,Investments!$V$6:$V$1005,0))),""))</f>
        <v/>
      </c>
      <c r="I102" s="33" t="str">
        <f aca="false">IF($A102="","",IFERROR(IF(INDEX(Investments!$R$6:$R$1005,MATCH($A102,Investments!$V$6:$V$1005,0))="","",INDEX(Investments!$R$6:$R$1005,MATCH($A102,Investments!$V$6:$V$1005,0))),""))</f>
        <v/>
      </c>
      <c r="J102" s="34" t="str">
        <f aca="false">IF($A102="","",IFERROR(IF(INDEX(Investments!$S$6:$S$1005,MATCH($A102,Investments!$V$6:$V$1005,0))="","",INDEX(Investments!$S$6:$S$1005,MATCH($A102,Investments!$V$6:$V$1005,0))),""))</f>
        <v/>
      </c>
      <c r="K102" s="34" t="str">
        <f aca="false">IF($A102="","",IFERROR(IF(INDEX(Investments!$T$6:$T$1005,MATCH($A102,Investments!$V$6:$V$1005,0))="","",INDEX(Investments!$T$6:$T$1005,MATCH($A102,Investments!$V$6:$V$1005,0))),""))</f>
        <v/>
      </c>
    </row>
    <row r="103" customFormat="false" ht="15" hidden="false" customHeight="false" outlineLevel="0" collapsed="false">
      <c r="A103" s="47" t="str">
        <f aca="false">IF($C$4="","",IF(82&gt;COUNTIFS(Investments!$A$6:$A$1005,$C$4),"",82))</f>
        <v/>
      </c>
      <c r="B103" s="14" t="str">
        <f aca="false">IF($A103="","",IFERROR(IF(INDEX(Investments!$B$6:$B$1005,MATCH($A103,Investments!$V$6:$V$1005,0))="","",INDEX(Investments!$B$6:$B$1005,MATCH($A103,Investments!$V$6:$V$1005,0))),""))</f>
        <v/>
      </c>
      <c r="C103" s="14" t="str">
        <f aca="false">IF($A103="","",IFERROR(IF(INDEX(Investments!$D$6:$D$1005,MATCH($A103,Investments!$V$6:$V$1005,0))="","",INDEX(Investments!$D$6:$D$1005,MATCH($A103,Investments!$V$6:$V$1005,0))),""))</f>
        <v/>
      </c>
      <c r="D103" s="14" t="str">
        <f aca="false">IF($A103="","",IFERROR(IF(INDEX(Investments!$E$6:$E$1005,MATCH($A103,Investments!$V$6:$V$1005,0))="","",INDEX(Investments!$E$6:$E$1005,MATCH($A103,Investments!$V$6:$V$1005,0))),""))</f>
        <v/>
      </c>
      <c r="E103" s="48" t="str">
        <f aca="false">IF($A103="","",IFERROR(IF(INDEX(Investments!$F$6:$F$1005,MATCH($A103,Investments!$V$6:$V$1005,0))="","",INDEX(Investments!$F$6:$F$1005,MATCH($A103,Investments!$V$6:$V$1005,0))),""))</f>
        <v/>
      </c>
      <c r="F103" s="17" t="str">
        <f aca="false">IF($A103="","",IFERROR(IF(INDEX(Investments!$P$6:$P$1005,MATCH($A103,Investments!$V$6:$V$1005,0))="","",INDEX(Investments!$P$6:$P$1005,MATCH($A103,Investments!$V$6:$V$1005,0))),""))</f>
        <v/>
      </c>
      <c r="G103" s="17" t="str">
        <f aca="false">IF($A103="","",IFERROR(IF(INDEX(Investments!$Q$6:$Q$1005,MATCH($A103,Investments!$V$6:$V$1005,0))="","",INDEX(Investments!$Q$6:$Q$1005,MATCH($A103,Investments!$V$6:$V$1005,0))),""))</f>
        <v/>
      </c>
      <c r="H103" s="17" t="str">
        <f aca="false">IF($A103="","",IFERROR(IF(INDEX(Investments!$M$6:$M$1005,MATCH($A103,Investments!$V$6:$V$1005,0))="","",INDEX(Investments!$M$6:$M$1005,MATCH($A103,Investments!$V$6:$V$1005,0))),""))</f>
        <v/>
      </c>
      <c r="I103" s="17" t="str">
        <f aca="false">IF($A103="","",IFERROR(IF(INDEX(Investments!$R$6:$R$1005,MATCH($A103,Investments!$V$6:$V$1005,0))="","",INDEX(Investments!$R$6:$R$1005,MATCH($A103,Investments!$V$6:$V$1005,0))),""))</f>
        <v/>
      </c>
      <c r="J103" s="18" t="str">
        <f aca="false">IF($A103="","",IFERROR(IF(INDEX(Investments!$S$6:$S$1005,MATCH($A103,Investments!$V$6:$V$1005,0))="","",INDEX(Investments!$S$6:$S$1005,MATCH($A103,Investments!$V$6:$V$1005,0))),""))</f>
        <v/>
      </c>
      <c r="K103" s="18" t="str">
        <f aca="false">IF($A103="","",IFERROR(IF(INDEX(Investments!$T$6:$T$1005,MATCH($A103,Investments!$V$6:$V$1005,0))="","",INDEX(Investments!$T$6:$T$1005,MATCH($A103,Investments!$V$6:$V$1005,0))),""))</f>
        <v/>
      </c>
    </row>
    <row r="104" customFormat="false" ht="15" hidden="false" customHeight="false" outlineLevel="0" collapsed="false">
      <c r="A104" s="45" t="str">
        <f aca="false">IF($C$4="","",IF(83&gt;COUNTIFS(Investments!$A$6:$A$1005,$C$4),"",83))</f>
        <v/>
      </c>
      <c r="B104" s="31" t="str">
        <f aca="false">IF($A104="","",IFERROR(IF(INDEX(Investments!$B$6:$B$1005,MATCH($A104,Investments!$V$6:$V$1005,0))="","",INDEX(Investments!$B$6:$B$1005,MATCH($A104,Investments!$V$6:$V$1005,0))),""))</f>
        <v/>
      </c>
      <c r="C104" s="31" t="str">
        <f aca="false">IF($A104="","",IFERROR(IF(INDEX(Investments!$D$6:$D$1005,MATCH($A104,Investments!$V$6:$V$1005,0))="","",INDEX(Investments!$D$6:$D$1005,MATCH($A104,Investments!$V$6:$V$1005,0))),""))</f>
        <v/>
      </c>
      <c r="D104" s="31" t="str">
        <f aca="false">IF($A104="","",IFERROR(IF(INDEX(Investments!$E$6:$E$1005,MATCH($A104,Investments!$V$6:$V$1005,0))="","",INDEX(Investments!$E$6:$E$1005,MATCH($A104,Investments!$V$6:$V$1005,0))),""))</f>
        <v/>
      </c>
      <c r="E104" s="46" t="str">
        <f aca="false">IF($A104="","",IFERROR(IF(INDEX(Investments!$F$6:$F$1005,MATCH($A104,Investments!$V$6:$V$1005,0))="","",INDEX(Investments!$F$6:$F$1005,MATCH($A104,Investments!$V$6:$V$1005,0))),""))</f>
        <v/>
      </c>
      <c r="F104" s="33" t="str">
        <f aca="false">IF($A104="","",IFERROR(IF(INDEX(Investments!$P$6:$P$1005,MATCH($A104,Investments!$V$6:$V$1005,0))="","",INDEX(Investments!$P$6:$P$1005,MATCH($A104,Investments!$V$6:$V$1005,0))),""))</f>
        <v/>
      </c>
      <c r="G104" s="33" t="str">
        <f aca="false">IF($A104="","",IFERROR(IF(INDEX(Investments!$Q$6:$Q$1005,MATCH($A104,Investments!$V$6:$V$1005,0))="","",INDEX(Investments!$Q$6:$Q$1005,MATCH($A104,Investments!$V$6:$V$1005,0))),""))</f>
        <v/>
      </c>
      <c r="H104" s="33" t="str">
        <f aca="false">IF($A104="","",IFERROR(IF(INDEX(Investments!$M$6:$M$1005,MATCH($A104,Investments!$V$6:$V$1005,0))="","",INDEX(Investments!$M$6:$M$1005,MATCH($A104,Investments!$V$6:$V$1005,0))),""))</f>
        <v/>
      </c>
      <c r="I104" s="33" t="str">
        <f aca="false">IF($A104="","",IFERROR(IF(INDEX(Investments!$R$6:$R$1005,MATCH($A104,Investments!$V$6:$V$1005,0))="","",INDEX(Investments!$R$6:$R$1005,MATCH($A104,Investments!$V$6:$V$1005,0))),""))</f>
        <v/>
      </c>
      <c r="J104" s="34" t="str">
        <f aca="false">IF($A104="","",IFERROR(IF(INDEX(Investments!$S$6:$S$1005,MATCH($A104,Investments!$V$6:$V$1005,0))="","",INDEX(Investments!$S$6:$S$1005,MATCH($A104,Investments!$V$6:$V$1005,0))),""))</f>
        <v/>
      </c>
      <c r="K104" s="34" t="str">
        <f aca="false">IF($A104="","",IFERROR(IF(INDEX(Investments!$T$6:$T$1005,MATCH($A104,Investments!$V$6:$V$1005,0))="","",INDEX(Investments!$T$6:$T$1005,MATCH($A104,Investments!$V$6:$V$1005,0))),""))</f>
        <v/>
      </c>
    </row>
    <row r="105" customFormat="false" ht="15" hidden="false" customHeight="false" outlineLevel="0" collapsed="false">
      <c r="A105" s="47" t="str">
        <f aca="false">IF($C$4="","",IF(84&gt;COUNTIFS(Investments!$A$6:$A$1005,$C$4),"",84))</f>
        <v/>
      </c>
      <c r="B105" s="14" t="str">
        <f aca="false">IF($A105="","",IFERROR(IF(INDEX(Investments!$B$6:$B$1005,MATCH($A105,Investments!$V$6:$V$1005,0))="","",INDEX(Investments!$B$6:$B$1005,MATCH($A105,Investments!$V$6:$V$1005,0))),""))</f>
        <v/>
      </c>
      <c r="C105" s="14" t="str">
        <f aca="false">IF($A105="","",IFERROR(IF(INDEX(Investments!$D$6:$D$1005,MATCH($A105,Investments!$V$6:$V$1005,0))="","",INDEX(Investments!$D$6:$D$1005,MATCH($A105,Investments!$V$6:$V$1005,0))),""))</f>
        <v/>
      </c>
      <c r="D105" s="14" t="str">
        <f aca="false">IF($A105="","",IFERROR(IF(INDEX(Investments!$E$6:$E$1005,MATCH($A105,Investments!$V$6:$V$1005,0))="","",INDEX(Investments!$E$6:$E$1005,MATCH($A105,Investments!$V$6:$V$1005,0))),""))</f>
        <v/>
      </c>
      <c r="E105" s="48" t="str">
        <f aca="false">IF($A105="","",IFERROR(IF(INDEX(Investments!$F$6:$F$1005,MATCH($A105,Investments!$V$6:$V$1005,0))="","",INDEX(Investments!$F$6:$F$1005,MATCH($A105,Investments!$V$6:$V$1005,0))),""))</f>
        <v/>
      </c>
      <c r="F105" s="17" t="str">
        <f aca="false">IF($A105="","",IFERROR(IF(INDEX(Investments!$P$6:$P$1005,MATCH($A105,Investments!$V$6:$V$1005,0))="","",INDEX(Investments!$P$6:$P$1005,MATCH($A105,Investments!$V$6:$V$1005,0))),""))</f>
        <v/>
      </c>
      <c r="G105" s="17" t="str">
        <f aca="false">IF($A105="","",IFERROR(IF(INDEX(Investments!$Q$6:$Q$1005,MATCH($A105,Investments!$V$6:$V$1005,0))="","",INDEX(Investments!$Q$6:$Q$1005,MATCH($A105,Investments!$V$6:$V$1005,0))),""))</f>
        <v/>
      </c>
      <c r="H105" s="17" t="str">
        <f aca="false">IF($A105="","",IFERROR(IF(INDEX(Investments!$M$6:$M$1005,MATCH($A105,Investments!$V$6:$V$1005,0))="","",INDEX(Investments!$M$6:$M$1005,MATCH($A105,Investments!$V$6:$V$1005,0))),""))</f>
        <v/>
      </c>
      <c r="I105" s="17" t="str">
        <f aca="false">IF($A105="","",IFERROR(IF(INDEX(Investments!$R$6:$R$1005,MATCH($A105,Investments!$V$6:$V$1005,0))="","",INDEX(Investments!$R$6:$R$1005,MATCH($A105,Investments!$V$6:$V$1005,0))),""))</f>
        <v/>
      </c>
      <c r="J105" s="18" t="str">
        <f aca="false">IF($A105="","",IFERROR(IF(INDEX(Investments!$S$6:$S$1005,MATCH($A105,Investments!$V$6:$V$1005,0))="","",INDEX(Investments!$S$6:$S$1005,MATCH($A105,Investments!$V$6:$V$1005,0))),""))</f>
        <v/>
      </c>
      <c r="K105" s="18" t="str">
        <f aca="false">IF($A105="","",IFERROR(IF(INDEX(Investments!$T$6:$T$1005,MATCH($A105,Investments!$V$6:$V$1005,0))="","",INDEX(Investments!$T$6:$T$1005,MATCH($A105,Investments!$V$6:$V$1005,0))),""))</f>
        <v/>
      </c>
    </row>
    <row r="106" customFormat="false" ht="15" hidden="false" customHeight="false" outlineLevel="0" collapsed="false">
      <c r="A106" s="45" t="str">
        <f aca="false">IF($C$4="","",IF(85&gt;COUNTIFS(Investments!$A$6:$A$1005,$C$4),"",85))</f>
        <v/>
      </c>
      <c r="B106" s="31" t="str">
        <f aca="false">IF($A106="","",IFERROR(IF(INDEX(Investments!$B$6:$B$1005,MATCH($A106,Investments!$V$6:$V$1005,0))="","",INDEX(Investments!$B$6:$B$1005,MATCH($A106,Investments!$V$6:$V$1005,0))),""))</f>
        <v/>
      </c>
      <c r="C106" s="31" t="str">
        <f aca="false">IF($A106="","",IFERROR(IF(INDEX(Investments!$D$6:$D$1005,MATCH($A106,Investments!$V$6:$V$1005,0))="","",INDEX(Investments!$D$6:$D$1005,MATCH($A106,Investments!$V$6:$V$1005,0))),""))</f>
        <v/>
      </c>
      <c r="D106" s="31" t="str">
        <f aca="false">IF($A106="","",IFERROR(IF(INDEX(Investments!$E$6:$E$1005,MATCH($A106,Investments!$V$6:$V$1005,0))="","",INDEX(Investments!$E$6:$E$1005,MATCH($A106,Investments!$V$6:$V$1005,0))),""))</f>
        <v/>
      </c>
      <c r="E106" s="46" t="str">
        <f aca="false">IF($A106="","",IFERROR(IF(INDEX(Investments!$F$6:$F$1005,MATCH($A106,Investments!$V$6:$V$1005,0))="","",INDEX(Investments!$F$6:$F$1005,MATCH($A106,Investments!$V$6:$V$1005,0))),""))</f>
        <v/>
      </c>
      <c r="F106" s="33" t="str">
        <f aca="false">IF($A106="","",IFERROR(IF(INDEX(Investments!$P$6:$P$1005,MATCH($A106,Investments!$V$6:$V$1005,0))="","",INDEX(Investments!$P$6:$P$1005,MATCH($A106,Investments!$V$6:$V$1005,0))),""))</f>
        <v/>
      </c>
      <c r="G106" s="33" t="str">
        <f aca="false">IF($A106="","",IFERROR(IF(INDEX(Investments!$Q$6:$Q$1005,MATCH($A106,Investments!$V$6:$V$1005,0))="","",INDEX(Investments!$Q$6:$Q$1005,MATCH($A106,Investments!$V$6:$V$1005,0))),""))</f>
        <v/>
      </c>
      <c r="H106" s="33" t="str">
        <f aca="false">IF($A106="","",IFERROR(IF(INDEX(Investments!$M$6:$M$1005,MATCH($A106,Investments!$V$6:$V$1005,0))="","",INDEX(Investments!$M$6:$M$1005,MATCH($A106,Investments!$V$6:$V$1005,0))),""))</f>
        <v/>
      </c>
      <c r="I106" s="33" t="str">
        <f aca="false">IF($A106="","",IFERROR(IF(INDEX(Investments!$R$6:$R$1005,MATCH($A106,Investments!$V$6:$V$1005,0))="","",INDEX(Investments!$R$6:$R$1005,MATCH($A106,Investments!$V$6:$V$1005,0))),""))</f>
        <v/>
      </c>
      <c r="J106" s="34" t="str">
        <f aca="false">IF($A106="","",IFERROR(IF(INDEX(Investments!$S$6:$S$1005,MATCH($A106,Investments!$V$6:$V$1005,0))="","",INDEX(Investments!$S$6:$S$1005,MATCH($A106,Investments!$V$6:$V$1005,0))),""))</f>
        <v/>
      </c>
      <c r="K106" s="34" t="str">
        <f aca="false">IF($A106="","",IFERROR(IF(INDEX(Investments!$T$6:$T$1005,MATCH($A106,Investments!$V$6:$V$1005,0))="","",INDEX(Investments!$T$6:$T$1005,MATCH($A106,Investments!$V$6:$V$1005,0))),""))</f>
        <v/>
      </c>
    </row>
    <row r="107" customFormat="false" ht="15" hidden="false" customHeight="false" outlineLevel="0" collapsed="false">
      <c r="A107" s="47" t="str">
        <f aca="false">IF($C$4="","",IF(86&gt;COUNTIFS(Investments!$A$6:$A$1005,$C$4),"",86))</f>
        <v/>
      </c>
      <c r="B107" s="14" t="str">
        <f aca="false">IF($A107="","",IFERROR(IF(INDEX(Investments!$B$6:$B$1005,MATCH($A107,Investments!$V$6:$V$1005,0))="","",INDEX(Investments!$B$6:$B$1005,MATCH($A107,Investments!$V$6:$V$1005,0))),""))</f>
        <v/>
      </c>
      <c r="C107" s="14" t="str">
        <f aca="false">IF($A107="","",IFERROR(IF(INDEX(Investments!$D$6:$D$1005,MATCH($A107,Investments!$V$6:$V$1005,0))="","",INDEX(Investments!$D$6:$D$1005,MATCH($A107,Investments!$V$6:$V$1005,0))),""))</f>
        <v/>
      </c>
      <c r="D107" s="14" t="str">
        <f aca="false">IF($A107="","",IFERROR(IF(INDEX(Investments!$E$6:$E$1005,MATCH($A107,Investments!$V$6:$V$1005,0))="","",INDEX(Investments!$E$6:$E$1005,MATCH($A107,Investments!$V$6:$V$1005,0))),""))</f>
        <v/>
      </c>
      <c r="E107" s="48" t="str">
        <f aca="false">IF($A107="","",IFERROR(IF(INDEX(Investments!$F$6:$F$1005,MATCH($A107,Investments!$V$6:$V$1005,0))="","",INDEX(Investments!$F$6:$F$1005,MATCH($A107,Investments!$V$6:$V$1005,0))),""))</f>
        <v/>
      </c>
      <c r="F107" s="17" t="str">
        <f aca="false">IF($A107="","",IFERROR(IF(INDEX(Investments!$P$6:$P$1005,MATCH($A107,Investments!$V$6:$V$1005,0))="","",INDEX(Investments!$P$6:$P$1005,MATCH($A107,Investments!$V$6:$V$1005,0))),""))</f>
        <v/>
      </c>
      <c r="G107" s="17" t="str">
        <f aca="false">IF($A107="","",IFERROR(IF(INDEX(Investments!$Q$6:$Q$1005,MATCH($A107,Investments!$V$6:$V$1005,0))="","",INDEX(Investments!$Q$6:$Q$1005,MATCH($A107,Investments!$V$6:$V$1005,0))),""))</f>
        <v/>
      </c>
      <c r="H107" s="17" t="str">
        <f aca="false">IF($A107="","",IFERROR(IF(INDEX(Investments!$M$6:$M$1005,MATCH($A107,Investments!$V$6:$V$1005,0))="","",INDEX(Investments!$M$6:$M$1005,MATCH($A107,Investments!$V$6:$V$1005,0))),""))</f>
        <v/>
      </c>
      <c r="I107" s="17" t="str">
        <f aca="false">IF($A107="","",IFERROR(IF(INDEX(Investments!$R$6:$R$1005,MATCH($A107,Investments!$V$6:$V$1005,0))="","",INDEX(Investments!$R$6:$R$1005,MATCH($A107,Investments!$V$6:$V$1005,0))),""))</f>
        <v/>
      </c>
      <c r="J107" s="18" t="str">
        <f aca="false">IF($A107="","",IFERROR(IF(INDEX(Investments!$S$6:$S$1005,MATCH($A107,Investments!$V$6:$V$1005,0))="","",INDEX(Investments!$S$6:$S$1005,MATCH($A107,Investments!$V$6:$V$1005,0))),""))</f>
        <v/>
      </c>
      <c r="K107" s="18" t="str">
        <f aca="false">IF($A107="","",IFERROR(IF(INDEX(Investments!$T$6:$T$1005,MATCH($A107,Investments!$V$6:$V$1005,0))="","",INDEX(Investments!$T$6:$T$1005,MATCH($A107,Investments!$V$6:$V$1005,0))),""))</f>
        <v/>
      </c>
    </row>
    <row r="108" customFormat="false" ht="15" hidden="false" customHeight="false" outlineLevel="0" collapsed="false">
      <c r="A108" s="45" t="str">
        <f aca="false">IF($C$4="","",IF(87&gt;COUNTIFS(Investments!$A$6:$A$1005,$C$4),"",87))</f>
        <v/>
      </c>
      <c r="B108" s="31" t="str">
        <f aca="false">IF($A108="","",IFERROR(IF(INDEX(Investments!$B$6:$B$1005,MATCH($A108,Investments!$V$6:$V$1005,0))="","",INDEX(Investments!$B$6:$B$1005,MATCH($A108,Investments!$V$6:$V$1005,0))),""))</f>
        <v/>
      </c>
      <c r="C108" s="31" t="str">
        <f aca="false">IF($A108="","",IFERROR(IF(INDEX(Investments!$D$6:$D$1005,MATCH($A108,Investments!$V$6:$V$1005,0))="","",INDEX(Investments!$D$6:$D$1005,MATCH($A108,Investments!$V$6:$V$1005,0))),""))</f>
        <v/>
      </c>
      <c r="D108" s="31" t="str">
        <f aca="false">IF($A108="","",IFERROR(IF(INDEX(Investments!$E$6:$E$1005,MATCH($A108,Investments!$V$6:$V$1005,0))="","",INDEX(Investments!$E$6:$E$1005,MATCH($A108,Investments!$V$6:$V$1005,0))),""))</f>
        <v/>
      </c>
      <c r="E108" s="46" t="str">
        <f aca="false">IF($A108="","",IFERROR(IF(INDEX(Investments!$F$6:$F$1005,MATCH($A108,Investments!$V$6:$V$1005,0))="","",INDEX(Investments!$F$6:$F$1005,MATCH($A108,Investments!$V$6:$V$1005,0))),""))</f>
        <v/>
      </c>
      <c r="F108" s="33" t="str">
        <f aca="false">IF($A108="","",IFERROR(IF(INDEX(Investments!$P$6:$P$1005,MATCH($A108,Investments!$V$6:$V$1005,0))="","",INDEX(Investments!$P$6:$P$1005,MATCH($A108,Investments!$V$6:$V$1005,0))),""))</f>
        <v/>
      </c>
      <c r="G108" s="33" t="str">
        <f aca="false">IF($A108="","",IFERROR(IF(INDEX(Investments!$Q$6:$Q$1005,MATCH($A108,Investments!$V$6:$V$1005,0))="","",INDEX(Investments!$Q$6:$Q$1005,MATCH($A108,Investments!$V$6:$V$1005,0))),""))</f>
        <v/>
      </c>
      <c r="H108" s="33" t="str">
        <f aca="false">IF($A108="","",IFERROR(IF(INDEX(Investments!$M$6:$M$1005,MATCH($A108,Investments!$V$6:$V$1005,0))="","",INDEX(Investments!$M$6:$M$1005,MATCH($A108,Investments!$V$6:$V$1005,0))),""))</f>
        <v/>
      </c>
      <c r="I108" s="33" t="str">
        <f aca="false">IF($A108="","",IFERROR(IF(INDEX(Investments!$R$6:$R$1005,MATCH($A108,Investments!$V$6:$V$1005,0))="","",INDEX(Investments!$R$6:$R$1005,MATCH($A108,Investments!$V$6:$V$1005,0))),""))</f>
        <v/>
      </c>
      <c r="J108" s="34" t="str">
        <f aca="false">IF($A108="","",IFERROR(IF(INDEX(Investments!$S$6:$S$1005,MATCH($A108,Investments!$V$6:$V$1005,0))="","",INDEX(Investments!$S$6:$S$1005,MATCH($A108,Investments!$V$6:$V$1005,0))),""))</f>
        <v/>
      </c>
      <c r="K108" s="34" t="str">
        <f aca="false">IF($A108="","",IFERROR(IF(INDEX(Investments!$T$6:$T$1005,MATCH($A108,Investments!$V$6:$V$1005,0))="","",INDEX(Investments!$T$6:$T$1005,MATCH($A108,Investments!$V$6:$V$1005,0))),""))</f>
        <v/>
      </c>
    </row>
    <row r="109" customFormat="false" ht="15" hidden="false" customHeight="false" outlineLevel="0" collapsed="false">
      <c r="A109" s="47" t="str">
        <f aca="false">IF($C$4="","",IF(88&gt;COUNTIFS(Investments!$A$6:$A$1005,$C$4),"",88))</f>
        <v/>
      </c>
      <c r="B109" s="14" t="str">
        <f aca="false">IF($A109="","",IFERROR(IF(INDEX(Investments!$B$6:$B$1005,MATCH($A109,Investments!$V$6:$V$1005,0))="","",INDEX(Investments!$B$6:$B$1005,MATCH($A109,Investments!$V$6:$V$1005,0))),""))</f>
        <v/>
      </c>
      <c r="C109" s="14" t="str">
        <f aca="false">IF($A109="","",IFERROR(IF(INDEX(Investments!$D$6:$D$1005,MATCH($A109,Investments!$V$6:$V$1005,0))="","",INDEX(Investments!$D$6:$D$1005,MATCH($A109,Investments!$V$6:$V$1005,0))),""))</f>
        <v/>
      </c>
      <c r="D109" s="14" t="str">
        <f aca="false">IF($A109="","",IFERROR(IF(INDEX(Investments!$E$6:$E$1005,MATCH($A109,Investments!$V$6:$V$1005,0))="","",INDEX(Investments!$E$6:$E$1005,MATCH($A109,Investments!$V$6:$V$1005,0))),""))</f>
        <v/>
      </c>
      <c r="E109" s="48" t="str">
        <f aca="false">IF($A109="","",IFERROR(IF(INDEX(Investments!$F$6:$F$1005,MATCH($A109,Investments!$V$6:$V$1005,0))="","",INDEX(Investments!$F$6:$F$1005,MATCH($A109,Investments!$V$6:$V$1005,0))),""))</f>
        <v/>
      </c>
      <c r="F109" s="17" t="str">
        <f aca="false">IF($A109="","",IFERROR(IF(INDEX(Investments!$P$6:$P$1005,MATCH($A109,Investments!$V$6:$V$1005,0))="","",INDEX(Investments!$P$6:$P$1005,MATCH($A109,Investments!$V$6:$V$1005,0))),""))</f>
        <v/>
      </c>
      <c r="G109" s="17" t="str">
        <f aca="false">IF($A109="","",IFERROR(IF(INDEX(Investments!$Q$6:$Q$1005,MATCH($A109,Investments!$V$6:$V$1005,0))="","",INDEX(Investments!$Q$6:$Q$1005,MATCH($A109,Investments!$V$6:$V$1005,0))),""))</f>
        <v/>
      </c>
      <c r="H109" s="17" t="str">
        <f aca="false">IF($A109="","",IFERROR(IF(INDEX(Investments!$M$6:$M$1005,MATCH($A109,Investments!$V$6:$V$1005,0))="","",INDEX(Investments!$M$6:$M$1005,MATCH($A109,Investments!$V$6:$V$1005,0))),""))</f>
        <v/>
      </c>
      <c r="I109" s="17" t="str">
        <f aca="false">IF($A109="","",IFERROR(IF(INDEX(Investments!$R$6:$R$1005,MATCH($A109,Investments!$V$6:$V$1005,0))="","",INDEX(Investments!$R$6:$R$1005,MATCH($A109,Investments!$V$6:$V$1005,0))),""))</f>
        <v/>
      </c>
      <c r="J109" s="18" t="str">
        <f aca="false">IF($A109="","",IFERROR(IF(INDEX(Investments!$S$6:$S$1005,MATCH($A109,Investments!$V$6:$V$1005,0))="","",INDEX(Investments!$S$6:$S$1005,MATCH($A109,Investments!$V$6:$V$1005,0))),""))</f>
        <v/>
      </c>
      <c r="K109" s="18" t="str">
        <f aca="false">IF($A109="","",IFERROR(IF(INDEX(Investments!$T$6:$T$1005,MATCH($A109,Investments!$V$6:$V$1005,0))="","",INDEX(Investments!$T$6:$T$1005,MATCH($A109,Investments!$V$6:$V$1005,0))),""))</f>
        <v/>
      </c>
    </row>
    <row r="110" customFormat="false" ht="15" hidden="false" customHeight="false" outlineLevel="0" collapsed="false">
      <c r="A110" s="45" t="str">
        <f aca="false">IF($C$4="","",IF(89&gt;COUNTIFS(Investments!$A$6:$A$1005,$C$4),"",89))</f>
        <v/>
      </c>
      <c r="B110" s="31" t="str">
        <f aca="false">IF($A110="","",IFERROR(IF(INDEX(Investments!$B$6:$B$1005,MATCH($A110,Investments!$V$6:$V$1005,0))="","",INDEX(Investments!$B$6:$B$1005,MATCH($A110,Investments!$V$6:$V$1005,0))),""))</f>
        <v/>
      </c>
      <c r="C110" s="31" t="str">
        <f aca="false">IF($A110="","",IFERROR(IF(INDEX(Investments!$D$6:$D$1005,MATCH($A110,Investments!$V$6:$V$1005,0))="","",INDEX(Investments!$D$6:$D$1005,MATCH($A110,Investments!$V$6:$V$1005,0))),""))</f>
        <v/>
      </c>
      <c r="D110" s="31" t="str">
        <f aca="false">IF($A110="","",IFERROR(IF(INDEX(Investments!$E$6:$E$1005,MATCH($A110,Investments!$V$6:$V$1005,0))="","",INDEX(Investments!$E$6:$E$1005,MATCH($A110,Investments!$V$6:$V$1005,0))),""))</f>
        <v/>
      </c>
      <c r="E110" s="46" t="str">
        <f aca="false">IF($A110="","",IFERROR(IF(INDEX(Investments!$F$6:$F$1005,MATCH($A110,Investments!$V$6:$V$1005,0))="","",INDEX(Investments!$F$6:$F$1005,MATCH($A110,Investments!$V$6:$V$1005,0))),""))</f>
        <v/>
      </c>
      <c r="F110" s="33" t="str">
        <f aca="false">IF($A110="","",IFERROR(IF(INDEX(Investments!$P$6:$P$1005,MATCH($A110,Investments!$V$6:$V$1005,0))="","",INDEX(Investments!$P$6:$P$1005,MATCH($A110,Investments!$V$6:$V$1005,0))),""))</f>
        <v/>
      </c>
      <c r="G110" s="33" t="str">
        <f aca="false">IF($A110="","",IFERROR(IF(INDEX(Investments!$Q$6:$Q$1005,MATCH($A110,Investments!$V$6:$V$1005,0))="","",INDEX(Investments!$Q$6:$Q$1005,MATCH($A110,Investments!$V$6:$V$1005,0))),""))</f>
        <v/>
      </c>
      <c r="H110" s="33" t="str">
        <f aca="false">IF($A110="","",IFERROR(IF(INDEX(Investments!$M$6:$M$1005,MATCH($A110,Investments!$V$6:$V$1005,0))="","",INDEX(Investments!$M$6:$M$1005,MATCH($A110,Investments!$V$6:$V$1005,0))),""))</f>
        <v/>
      </c>
      <c r="I110" s="33" t="str">
        <f aca="false">IF($A110="","",IFERROR(IF(INDEX(Investments!$R$6:$R$1005,MATCH($A110,Investments!$V$6:$V$1005,0))="","",INDEX(Investments!$R$6:$R$1005,MATCH($A110,Investments!$V$6:$V$1005,0))),""))</f>
        <v/>
      </c>
      <c r="J110" s="34" t="str">
        <f aca="false">IF($A110="","",IFERROR(IF(INDEX(Investments!$S$6:$S$1005,MATCH($A110,Investments!$V$6:$V$1005,0))="","",INDEX(Investments!$S$6:$S$1005,MATCH($A110,Investments!$V$6:$V$1005,0))),""))</f>
        <v/>
      </c>
      <c r="K110" s="34" t="str">
        <f aca="false">IF($A110="","",IFERROR(IF(INDEX(Investments!$T$6:$T$1005,MATCH($A110,Investments!$V$6:$V$1005,0))="","",INDEX(Investments!$T$6:$T$1005,MATCH($A110,Investments!$V$6:$V$1005,0))),""))</f>
        <v/>
      </c>
    </row>
    <row r="111" customFormat="false" ht="15" hidden="false" customHeight="false" outlineLevel="0" collapsed="false">
      <c r="A111" s="47" t="str">
        <f aca="false">IF($C$4="","",IF(90&gt;COUNTIFS(Investments!$A$6:$A$1005,$C$4),"",90))</f>
        <v/>
      </c>
      <c r="B111" s="14" t="str">
        <f aca="false">IF($A111="","",IFERROR(IF(INDEX(Investments!$B$6:$B$1005,MATCH($A111,Investments!$V$6:$V$1005,0))="","",INDEX(Investments!$B$6:$B$1005,MATCH($A111,Investments!$V$6:$V$1005,0))),""))</f>
        <v/>
      </c>
      <c r="C111" s="14" t="str">
        <f aca="false">IF($A111="","",IFERROR(IF(INDEX(Investments!$D$6:$D$1005,MATCH($A111,Investments!$V$6:$V$1005,0))="","",INDEX(Investments!$D$6:$D$1005,MATCH($A111,Investments!$V$6:$V$1005,0))),""))</f>
        <v/>
      </c>
      <c r="D111" s="14" t="str">
        <f aca="false">IF($A111="","",IFERROR(IF(INDEX(Investments!$E$6:$E$1005,MATCH($A111,Investments!$V$6:$V$1005,0))="","",INDEX(Investments!$E$6:$E$1005,MATCH($A111,Investments!$V$6:$V$1005,0))),""))</f>
        <v/>
      </c>
      <c r="E111" s="48" t="str">
        <f aca="false">IF($A111="","",IFERROR(IF(INDEX(Investments!$F$6:$F$1005,MATCH($A111,Investments!$V$6:$V$1005,0))="","",INDEX(Investments!$F$6:$F$1005,MATCH($A111,Investments!$V$6:$V$1005,0))),""))</f>
        <v/>
      </c>
      <c r="F111" s="17" t="str">
        <f aca="false">IF($A111="","",IFERROR(IF(INDEX(Investments!$P$6:$P$1005,MATCH($A111,Investments!$V$6:$V$1005,0))="","",INDEX(Investments!$P$6:$P$1005,MATCH($A111,Investments!$V$6:$V$1005,0))),""))</f>
        <v/>
      </c>
      <c r="G111" s="17" t="str">
        <f aca="false">IF($A111="","",IFERROR(IF(INDEX(Investments!$Q$6:$Q$1005,MATCH($A111,Investments!$V$6:$V$1005,0))="","",INDEX(Investments!$Q$6:$Q$1005,MATCH($A111,Investments!$V$6:$V$1005,0))),""))</f>
        <v/>
      </c>
      <c r="H111" s="17" t="str">
        <f aca="false">IF($A111="","",IFERROR(IF(INDEX(Investments!$M$6:$M$1005,MATCH($A111,Investments!$V$6:$V$1005,0))="","",INDEX(Investments!$M$6:$M$1005,MATCH($A111,Investments!$V$6:$V$1005,0))),""))</f>
        <v/>
      </c>
      <c r="I111" s="17" t="str">
        <f aca="false">IF($A111="","",IFERROR(IF(INDEX(Investments!$R$6:$R$1005,MATCH($A111,Investments!$V$6:$V$1005,0))="","",INDEX(Investments!$R$6:$R$1005,MATCH($A111,Investments!$V$6:$V$1005,0))),""))</f>
        <v/>
      </c>
      <c r="J111" s="18" t="str">
        <f aca="false">IF($A111="","",IFERROR(IF(INDEX(Investments!$S$6:$S$1005,MATCH($A111,Investments!$V$6:$V$1005,0))="","",INDEX(Investments!$S$6:$S$1005,MATCH($A111,Investments!$V$6:$V$1005,0))),""))</f>
        <v/>
      </c>
      <c r="K111" s="18" t="str">
        <f aca="false">IF($A111="","",IFERROR(IF(INDEX(Investments!$T$6:$T$1005,MATCH($A111,Investments!$V$6:$V$1005,0))="","",INDEX(Investments!$T$6:$T$1005,MATCH($A111,Investments!$V$6:$V$1005,0))),""))</f>
        <v/>
      </c>
    </row>
    <row r="112" customFormat="false" ht="15" hidden="false" customHeight="false" outlineLevel="0" collapsed="false">
      <c r="A112" s="45" t="str">
        <f aca="false">IF($C$4="","",IF(91&gt;COUNTIFS(Investments!$A$6:$A$1005,$C$4),"",91))</f>
        <v/>
      </c>
      <c r="B112" s="31" t="str">
        <f aca="false">IF($A112="","",IFERROR(IF(INDEX(Investments!$B$6:$B$1005,MATCH($A112,Investments!$V$6:$V$1005,0))="","",INDEX(Investments!$B$6:$B$1005,MATCH($A112,Investments!$V$6:$V$1005,0))),""))</f>
        <v/>
      </c>
      <c r="C112" s="31" t="str">
        <f aca="false">IF($A112="","",IFERROR(IF(INDEX(Investments!$D$6:$D$1005,MATCH($A112,Investments!$V$6:$V$1005,0))="","",INDEX(Investments!$D$6:$D$1005,MATCH($A112,Investments!$V$6:$V$1005,0))),""))</f>
        <v/>
      </c>
      <c r="D112" s="31" t="str">
        <f aca="false">IF($A112="","",IFERROR(IF(INDEX(Investments!$E$6:$E$1005,MATCH($A112,Investments!$V$6:$V$1005,0))="","",INDEX(Investments!$E$6:$E$1005,MATCH($A112,Investments!$V$6:$V$1005,0))),""))</f>
        <v/>
      </c>
      <c r="E112" s="46" t="str">
        <f aca="false">IF($A112="","",IFERROR(IF(INDEX(Investments!$F$6:$F$1005,MATCH($A112,Investments!$V$6:$V$1005,0))="","",INDEX(Investments!$F$6:$F$1005,MATCH($A112,Investments!$V$6:$V$1005,0))),""))</f>
        <v/>
      </c>
      <c r="F112" s="33" t="str">
        <f aca="false">IF($A112="","",IFERROR(IF(INDEX(Investments!$P$6:$P$1005,MATCH($A112,Investments!$V$6:$V$1005,0))="","",INDEX(Investments!$P$6:$P$1005,MATCH($A112,Investments!$V$6:$V$1005,0))),""))</f>
        <v/>
      </c>
      <c r="G112" s="33" t="str">
        <f aca="false">IF($A112="","",IFERROR(IF(INDEX(Investments!$Q$6:$Q$1005,MATCH($A112,Investments!$V$6:$V$1005,0))="","",INDEX(Investments!$Q$6:$Q$1005,MATCH($A112,Investments!$V$6:$V$1005,0))),""))</f>
        <v/>
      </c>
      <c r="H112" s="33" t="str">
        <f aca="false">IF($A112="","",IFERROR(IF(INDEX(Investments!$M$6:$M$1005,MATCH($A112,Investments!$V$6:$V$1005,0))="","",INDEX(Investments!$M$6:$M$1005,MATCH($A112,Investments!$V$6:$V$1005,0))),""))</f>
        <v/>
      </c>
      <c r="I112" s="33" t="str">
        <f aca="false">IF($A112="","",IFERROR(IF(INDEX(Investments!$R$6:$R$1005,MATCH($A112,Investments!$V$6:$V$1005,0))="","",INDEX(Investments!$R$6:$R$1005,MATCH($A112,Investments!$V$6:$V$1005,0))),""))</f>
        <v/>
      </c>
      <c r="J112" s="34" t="str">
        <f aca="false">IF($A112="","",IFERROR(IF(INDEX(Investments!$S$6:$S$1005,MATCH($A112,Investments!$V$6:$V$1005,0))="","",INDEX(Investments!$S$6:$S$1005,MATCH($A112,Investments!$V$6:$V$1005,0))),""))</f>
        <v/>
      </c>
      <c r="K112" s="34" t="str">
        <f aca="false">IF($A112="","",IFERROR(IF(INDEX(Investments!$T$6:$T$1005,MATCH($A112,Investments!$V$6:$V$1005,0))="","",INDEX(Investments!$T$6:$T$1005,MATCH($A112,Investments!$V$6:$V$1005,0))),""))</f>
        <v/>
      </c>
    </row>
    <row r="113" customFormat="false" ht="15" hidden="false" customHeight="false" outlineLevel="0" collapsed="false">
      <c r="A113" s="47" t="str">
        <f aca="false">IF($C$4="","",IF(92&gt;COUNTIFS(Investments!$A$6:$A$1005,$C$4),"",92))</f>
        <v/>
      </c>
      <c r="B113" s="14" t="str">
        <f aca="false">IF($A113="","",IFERROR(IF(INDEX(Investments!$B$6:$B$1005,MATCH($A113,Investments!$V$6:$V$1005,0))="","",INDEX(Investments!$B$6:$B$1005,MATCH($A113,Investments!$V$6:$V$1005,0))),""))</f>
        <v/>
      </c>
      <c r="C113" s="14" t="str">
        <f aca="false">IF($A113="","",IFERROR(IF(INDEX(Investments!$D$6:$D$1005,MATCH($A113,Investments!$V$6:$V$1005,0))="","",INDEX(Investments!$D$6:$D$1005,MATCH($A113,Investments!$V$6:$V$1005,0))),""))</f>
        <v/>
      </c>
      <c r="D113" s="14" t="str">
        <f aca="false">IF($A113="","",IFERROR(IF(INDEX(Investments!$E$6:$E$1005,MATCH($A113,Investments!$V$6:$V$1005,0))="","",INDEX(Investments!$E$6:$E$1005,MATCH($A113,Investments!$V$6:$V$1005,0))),""))</f>
        <v/>
      </c>
      <c r="E113" s="48" t="str">
        <f aca="false">IF($A113="","",IFERROR(IF(INDEX(Investments!$F$6:$F$1005,MATCH($A113,Investments!$V$6:$V$1005,0))="","",INDEX(Investments!$F$6:$F$1005,MATCH($A113,Investments!$V$6:$V$1005,0))),""))</f>
        <v/>
      </c>
      <c r="F113" s="17" t="str">
        <f aca="false">IF($A113="","",IFERROR(IF(INDEX(Investments!$P$6:$P$1005,MATCH($A113,Investments!$V$6:$V$1005,0))="","",INDEX(Investments!$P$6:$P$1005,MATCH($A113,Investments!$V$6:$V$1005,0))),""))</f>
        <v/>
      </c>
      <c r="G113" s="17" t="str">
        <f aca="false">IF($A113="","",IFERROR(IF(INDEX(Investments!$Q$6:$Q$1005,MATCH($A113,Investments!$V$6:$V$1005,0))="","",INDEX(Investments!$Q$6:$Q$1005,MATCH($A113,Investments!$V$6:$V$1005,0))),""))</f>
        <v/>
      </c>
      <c r="H113" s="17" t="str">
        <f aca="false">IF($A113="","",IFERROR(IF(INDEX(Investments!$M$6:$M$1005,MATCH($A113,Investments!$V$6:$V$1005,0))="","",INDEX(Investments!$M$6:$M$1005,MATCH($A113,Investments!$V$6:$V$1005,0))),""))</f>
        <v/>
      </c>
      <c r="I113" s="17" t="str">
        <f aca="false">IF($A113="","",IFERROR(IF(INDEX(Investments!$R$6:$R$1005,MATCH($A113,Investments!$V$6:$V$1005,0))="","",INDEX(Investments!$R$6:$R$1005,MATCH($A113,Investments!$V$6:$V$1005,0))),""))</f>
        <v/>
      </c>
      <c r="J113" s="18" t="str">
        <f aca="false">IF($A113="","",IFERROR(IF(INDEX(Investments!$S$6:$S$1005,MATCH($A113,Investments!$V$6:$V$1005,0))="","",INDEX(Investments!$S$6:$S$1005,MATCH($A113,Investments!$V$6:$V$1005,0))),""))</f>
        <v/>
      </c>
      <c r="K113" s="18" t="str">
        <f aca="false">IF($A113="","",IFERROR(IF(INDEX(Investments!$T$6:$T$1005,MATCH($A113,Investments!$V$6:$V$1005,0))="","",INDEX(Investments!$T$6:$T$1005,MATCH($A113,Investments!$V$6:$V$1005,0))),""))</f>
        <v/>
      </c>
    </row>
    <row r="114" customFormat="false" ht="15" hidden="false" customHeight="false" outlineLevel="0" collapsed="false">
      <c r="A114" s="45" t="str">
        <f aca="false">IF($C$4="","",IF(93&gt;COUNTIFS(Investments!$A$6:$A$1005,$C$4),"",93))</f>
        <v/>
      </c>
      <c r="B114" s="31" t="str">
        <f aca="false">IF($A114="","",IFERROR(IF(INDEX(Investments!$B$6:$B$1005,MATCH($A114,Investments!$V$6:$V$1005,0))="","",INDEX(Investments!$B$6:$B$1005,MATCH($A114,Investments!$V$6:$V$1005,0))),""))</f>
        <v/>
      </c>
      <c r="C114" s="31" t="str">
        <f aca="false">IF($A114="","",IFERROR(IF(INDEX(Investments!$D$6:$D$1005,MATCH($A114,Investments!$V$6:$V$1005,0))="","",INDEX(Investments!$D$6:$D$1005,MATCH($A114,Investments!$V$6:$V$1005,0))),""))</f>
        <v/>
      </c>
      <c r="D114" s="31" t="str">
        <f aca="false">IF($A114="","",IFERROR(IF(INDEX(Investments!$E$6:$E$1005,MATCH($A114,Investments!$V$6:$V$1005,0))="","",INDEX(Investments!$E$6:$E$1005,MATCH($A114,Investments!$V$6:$V$1005,0))),""))</f>
        <v/>
      </c>
      <c r="E114" s="46" t="str">
        <f aca="false">IF($A114="","",IFERROR(IF(INDEX(Investments!$F$6:$F$1005,MATCH($A114,Investments!$V$6:$V$1005,0))="","",INDEX(Investments!$F$6:$F$1005,MATCH($A114,Investments!$V$6:$V$1005,0))),""))</f>
        <v/>
      </c>
      <c r="F114" s="33" t="str">
        <f aca="false">IF($A114="","",IFERROR(IF(INDEX(Investments!$P$6:$P$1005,MATCH($A114,Investments!$V$6:$V$1005,0))="","",INDEX(Investments!$P$6:$P$1005,MATCH($A114,Investments!$V$6:$V$1005,0))),""))</f>
        <v/>
      </c>
      <c r="G114" s="33" t="str">
        <f aca="false">IF($A114="","",IFERROR(IF(INDEX(Investments!$Q$6:$Q$1005,MATCH($A114,Investments!$V$6:$V$1005,0))="","",INDEX(Investments!$Q$6:$Q$1005,MATCH($A114,Investments!$V$6:$V$1005,0))),""))</f>
        <v/>
      </c>
      <c r="H114" s="33" t="str">
        <f aca="false">IF($A114="","",IFERROR(IF(INDEX(Investments!$M$6:$M$1005,MATCH($A114,Investments!$V$6:$V$1005,0))="","",INDEX(Investments!$M$6:$M$1005,MATCH($A114,Investments!$V$6:$V$1005,0))),""))</f>
        <v/>
      </c>
      <c r="I114" s="33" t="str">
        <f aca="false">IF($A114="","",IFERROR(IF(INDEX(Investments!$R$6:$R$1005,MATCH($A114,Investments!$V$6:$V$1005,0))="","",INDEX(Investments!$R$6:$R$1005,MATCH($A114,Investments!$V$6:$V$1005,0))),""))</f>
        <v/>
      </c>
      <c r="J114" s="34" t="str">
        <f aca="false">IF($A114="","",IFERROR(IF(INDEX(Investments!$S$6:$S$1005,MATCH($A114,Investments!$V$6:$V$1005,0))="","",INDEX(Investments!$S$6:$S$1005,MATCH($A114,Investments!$V$6:$V$1005,0))),""))</f>
        <v/>
      </c>
      <c r="K114" s="34" t="str">
        <f aca="false">IF($A114="","",IFERROR(IF(INDEX(Investments!$T$6:$T$1005,MATCH($A114,Investments!$V$6:$V$1005,0))="","",INDEX(Investments!$T$6:$T$1005,MATCH($A114,Investments!$V$6:$V$1005,0))),""))</f>
        <v/>
      </c>
    </row>
    <row r="115" customFormat="false" ht="15" hidden="false" customHeight="false" outlineLevel="0" collapsed="false">
      <c r="A115" s="47" t="str">
        <f aca="false">IF($C$4="","",IF(94&gt;COUNTIFS(Investments!$A$6:$A$1005,$C$4),"",94))</f>
        <v/>
      </c>
      <c r="B115" s="14" t="str">
        <f aca="false">IF($A115="","",IFERROR(IF(INDEX(Investments!$B$6:$B$1005,MATCH($A115,Investments!$V$6:$V$1005,0))="","",INDEX(Investments!$B$6:$B$1005,MATCH($A115,Investments!$V$6:$V$1005,0))),""))</f>
        <v/>
      </c>
      <c r="C115" s="14" t="str">
        <f aca="false">IF($A115="","",IFERROR(IF(INDEX(Investments!$D$6:$D$1005,MATCH($A115,Investments!$V$6:$V$1005,0))="","",INDEX(Investments!$D$6:$D$1005,MATCH($A115,Investments!$V$6:$V$1005,0))),""))</f>
        <v/>
      </c>
      <c r="D115" s="14" t="str">
        <f aca="false">IF($A115="","",IFERROR(IF(INDEX(Investments!$E$6:$E$1005,MATCH($A115,Investments!$V$6:$V$1005,0))="","",INDEX(Investments!$E$6:$E$1005,MATCH($A115,Investments!$V$6:$V$1005,0))),""))</f>
        <v/>
      </c>
      <c r="E115" s="48" t="str">
        <f aca="false">IF($A115="","",IFERROR(IF(INDEX(Investments!$F$6:$F$1005,MATCH($A115,Investments!$V$6:$V$1005,0))="","",INDEX(Investments!$F$6:$F$1005,MATCH($A115,Investments!$V$6:$V$1005,0))),""))</f>
        <v/>
      </c>
      <c r="F115" s="17" t="str">
        <f aca="false">IF($A115="","",IFERROR(IF(INDEX(Investments!$P$6:$P$1005,MATCH($A115,Investments!$V$6:$V$1005,0))="","",INDEX(Investments!$P$6:$P$1005,MATCH($A115,Investments!$V$6:$V$1005,0))),""))</f>
        <v/>
      </c>
      <c r="G115" s="17" t="str">
        <f aca="false">IF($A115="","",IFERROR(IF(INDEX(Investments!$Q$6:$Q$1005,MATCH($A115,Investments!$V$6:$V$1005,0))="","",INDEX(Investments!$Q$6:$Q$1005,MATCH($A115,Investments!$V$6:$V$1005,0))),""))</f>
        <v/>
      </c>
      <c r="H115" s="17" t="str">
        <f aca="false">IF($A115="","",IFERROR(IF(INDEX(Investments!$M$6:$M$1005,MATCH($A115,Investments!$V$6:$V$1005,0))="","",INDEX(Investments!$M$6:$M$1005,MATCH($A115,Investments!$V$6:$V$1005,0))),""))</f>
        <v/>
      </c>
      <c r="I115" s="17" t="str">
        <f aca="false">IF($A115="","",IFERROR(IF(INDEX(Investments!$R$6:$R$1005,MATCH($A115,Investments!$V$6:$V$1005,0))="","",INDEX(Investments!$R$6:$R$1005,MATCH($A115,Investments!$V$6:$V$1005,0))),""))</f>
        <v/>
      </c>
      <c r="J115" s="18" t="str">
        <f aca="false">IF($A115="","",IFERROR(IF(INDEX(Investments!$S$6:$S$1005,MATCH($A115,Investments!$V$6:$V$1005,0))="","",INDEX(Investments!$S$6:$S$1005,MATCH($A115,Investments!$V$6:$V$1005,0))),""))</f>
        <v/>
      </c>
      <c r="K115" s="18" t="str">
        <f aca="false">IF($A115="","",IFERROR(IF(INDEX(Investments!$T$6:$T$1005,MATCH($A115,Investments!$V$6:$V$1005,0))="","",INDEX(Investments!$T$6:$T$1005,MATCH($A115,Investments!$V$6:$V$1005,0))),""))</f>
        <v/>
      </c>
    </row>
    <row r="116" customFormat="false" ht="15" hidden="false" customHeight="false" outlineLevel="0" collapsed="false">
      <c r="A116" s="45" t="str">
        <f aca="false">IF($C$4="","",IF(95&gt;COUNTIFS(Investments!$A$6:$A$1005,$C$4),"",95))</f>
        <v/>
      </c>
      <c r="B116" s="31" t="str">
        <f aca="false">IF($A116="","",IFERROR(IF(INDEX(Investments!$B$6:$B$1005,MATCH($A116,Investments!$V$6:$V$1005,0))="","",INDEX(Investments!$B$6:$B$1005,MATCH($A116,Investments!$V$6:$V$1005,0))),""))</f>
        <v/>
      </c>
      <c r="C116" s="31" t="str">
        <f aca="false">IF($A116="","",IFERROR(IF(INDEX(Investments!$D$6:$D$1005,MATCH($A116,Investments!$V$6:$V$1005,0))="","",INDEX(Investments!$D$6:$D$1005,MATCH($A116,Investments!$V$6:$V$1005,0))),""))</f>
        <v/>
      </c>
      <c r="D116" s="31" t="str">
        <f aca="false">IF($A116="","",IFERROR(IF(INDEX(Investments!$E$6:$E$1005,MATCH($A116,Investments!$V$6:$V$1005,0))="","",INDEX(Investments!$E$6:$E$1005,MATCH($A116,Investments!$V$6:$V$1005,0))),""))</f>
        <v/>
      </c>
      <c r="E116" s="46" t="str">
        <f aca="false">IF($A116="","",IFERROR(IF(INDEX(Investments!$F$6:$F$1005,MATCH($A116,Investments!$V$6:$V$1005,0))="","",INDEX(Investments!$F$6:$F$1005,MATCH($A116,Investments!$V$6:$V$1005,0))),""))</f>
        <v/>
      </c>
      <c r="F116" s="33" t="str">
        <f aca="false">IF($A116="","",IFERROR(IF(INDEX(Investments!$P$6:$P$1005,MATCH($A116,Investments!$V$6:$V$1005,0))="","",INDEX(Investments!$P$6:$P$1005,MATCH($A116,Investments!$V$6:$V$1005,0))),""))</f>
        <v/>
      </c>
      <c r="G116" s="33" t="str">
        <f aca="false">IF($A116="","",IFERROR(IF(INDEX(Investments!$Q$6:$Q$1005,MATCH($A116,Investments!$V$6:$V$1005,0))="","",INDEX(Investments!$Q$6:$Q$1005,MATCH($A116,Investments!$V$6:$V$1005,0))),""))</f>
        <v/>
      </c>
      <c r="H116" s="33" t="str">
        <f aca="false">IF($A116="","",IFERROR(IF(INDEX(Investments!$M$6:$M$1005,MATCH($A116,Investments!$V$6:$V$1005,0))="","",INDEX(Investments!$M$6:$M$1005,MATCH($A116,Investments!$V$6:$V$1005,0))),""))</f>
        <v/>
      </c>
      <c r="I116" s="33" t="str">
        <f aca="false">IF($A116="","",IFERROR(IF(INDEX(Investments!$R$6:$R$1005,MATCH($A116,Investments!$V$6:$V$1005,0))="","",INDEX(Investments!$R$6:$R$1005,MATCH($A116,Investments!$V$6:$V$1005,0))),""))</f>
        <v/>
      </c>
      <c r="J116" s="34" t="str">
        <f aca="false">IF($A116="","",IFERROR(IF(INDEX(Investments!$S$6:$S$1005,MATCH($A116,Investments!$V$6:$V$1005,0))="","",INDEX(Investments!$S$6:$S$1005,MATCH($A116,Investments!$V$6:$V$1005,0))),""))</f>
        <v/>
      </c>
      <c r="K116" s="34" t="str">
        <f aca="false">IF($A116="","",IFERROR(IF(INDEX(Investments!$T$6:$T$1005,MATCH($A116,Investments!$V$6:$V$1005,0))="","",INDEX(Investments!$T$6:$T$1005,MATCH($A116,Investments!$V$6:$V$1005,0))),""))</f>
        <v/>
      </c>
    </row>
    <row r="117" customFormat="false" ht="15" hidden="false" customHeight="false" outlineLevel="0" collapsed="false">
      <c r="A117" s="47" t="str">
        <f aca="false">IF($C$4="","",IF(96&gt;COUNTIFS(Investments!$A$6:$A$1005,$C$4),"",96))</f>
        <v/>
      </c>
      <c r="B117" s="14" t="str">
        <f aca="false">IF($A117="","",IFERROR(IF(INDEX(Investments!$B$6:$B$1005,MATCH($A117,Investments!$V$6:$V$1005,0))="","",INDEX(Investments!$B$6:$B$1005,MATCH($A117,Investments!$V$6:$V$1005,0))),""))</f>
        <v/>
      </c>
      <c r="C117" s="14" t="str">
        <f aca="false">IF($A117="","",IFERROR(IF(INDEX(Investments!$D$6:$D$1005,MATCH($A117,Investments!$V$6:$V$1005,0))="","",INDEX(Investments!$D$6:$D$1005,MATCH($A117,Investments!$V$6:$V$1005,0))),""))</f>
        <v/>
      </c>
      <c r="D117" s="14" t="str">
        <f aca="false">IF($A117="","",IFERROR(IF(INDEX(Investments!$E$6:$E$1005,MATCH($A117,Investments!$V$6:$V$1005,0))="","",INDEX(Investments!$E$6:$E$1005,MATCH($A117,Investments!$V$6:$V$1005,0))),""))</f>
        <v/>
      </c>
      <c r="E117" s="48" t="str">
        <f aca="false">IF($A117="","",IFERROR(IF(INDEX(Investments!$F$6:$F$1005,MATCH($A117,Investments!$V$6:$V$1005,0))="","",INDEX(Investments!$F$6:$F$1005,MATCH($A117,Investments!$V$6:$V$1005,0))),""))</f>
        <v/>
      </c>
      <c r="F117" s="17" t="str">
        <f aca="false">IF($A117="","",IFERROR(IF(INDEX(Investments!$P$6:$P$1005,MATCH($A117,Investments!$V$6:$V$1005,0))="","",INDEX(Investments!$P$6:$P$1005,MATCH($A117,Investments!$V$6:$V$1005,0))),""))</f>
        <v/>
      </c>
      <c r="G117" s="17" t="str">
        <f aca="false">IF($A117="","",IFERROR(IF(INDEX(Investments!$Q$6:$Q$1005,MATCH($A117,Investments!$V$6:$V$1005,0))="","",INDEX(Investments!$Q$6:$Q$1005,MATCH($A117,Investments!$V$6:$V$1005,0))),""))</f>
        <v/>
      </c>
      <c r="H117" s="17" t="str">
        <f aca="false">IF($A117="","",IFERROR(IF(INDEX(Investments!$M$6:$M$1005,MATCH($A117,Investments!$V$6:$V$1005,0))="","",INDEX(Investments!$M$6:$M$1005,MATCH($A117,Investments!$V$6:$V$1005,0))),""))</f>
        <v/>
      </c>
      <c r="I117" s="17" t="str">
        <f aca="false">IF($A117="","",IFERROR(IF(INDEX(Investments!$R$6:$R$1005,MATCH($A117,Investments!$V$6:$V$1005,0))="","",INDEX(Investments!$R$6:$R$1005,MATCH($A117,Investments!$V$6:$V$1005,0))),""))</f>
        <v/>
      </c>
      <c r="J117" s="18" t="str">
        <f aca="false">IF($A117="","",IFERROR(IF(INDEX(Investments!$S$6:$S$1005,MATCH($A117,Investments!$V$6:$V$1005,0))="","",INDEX(Investments!$S$6:$S$1005,MATCH($A117,Investments!$V$6:$V$1005,0))),""))</f>
        <v/>
      </c>
      <c r="K117" s="18" t="str">
        <f aca="false">IF($A117="","",IFERROR(IF(INDEX(Investments!$T$6:$T$1005,MATCH($A117,Investments!$V$6:$V$1005,0))="","",INDEX(Investments!$T$6:$T$1005,MATCH($A117,Investments!$V$6:$V$1005,0))),""))</f>
        <v/>
      </c>
    </row>
    <row r="118" customFormat="false" ht="15" hidden="false" customHeight="false" outlineLevel="0" collapsed="false">
      <c r="A118" s="45" t="str">
        <f aca="false">IF($C$4="","",IF(97&gt;COUNTIFS(Investments!$A$6:$A$1005,$C$4),"",97))</f>
        <v/>
      </c>
      <c r="B118" s="31" t="str">
        <f aca="false">IF($A118="","",IFERROR(IF(INDEX(Investments!$B$6:$B$1005,MATCH($A118,Investments!$V$6:$V$1005,0))="","",INDEX(Investments!$B$6:$B$1005,MATCH($A118,Investments!$V$6:$V$1005,0))),""))</f>
        <v/>
      </c>
      <c r="C118" s="31" t="str">
        <f aca="false">IF($A118="","",IFERROR(IF(INDEX(Investments!$D$6:$D$1005,MATCH($A118,Investments!$V$6:$V$1005,0))="","",INDEX(Investments!$D$6:$D$1005,MATCH($A118,Investments!$V$6:$V$1005,0))),""))</f>
        <v/>
      </c>
      <c r="D118" s="31" t="str">
        <f aca="false">IF($A118="","",IFERROR(IF(INDEX(Investments!$E$6:$E$1005,MATCH($A118,Investments!$V$6:$V$1005,0))="","",INDEX(Investments!$E$6:$E$1005,MATCH($A118,Investments!$V$6:$V$1005,0))),""))</f>
        <v/>
      </c>
      <c r="E118" s="46" t="str">
        <f aca="false">IF($A118="","",IFERROR(IF(INDEX(Investments!$F$6:$F$1005,MATCH($A118,Investments!$V$6:$V$1005,0))="","",INDEX(Investments!$F$6:$F$1005,MATCH($A118,Investments!$V$6:$V$1005,0))),""))</f>
        <v/>
      </c>
      <c r="F118" s="33" t="str">
        <f aca="false">IF($A118="","",IFERROR(IF(INDEX(Investments!$P$6:$P$1005,MATCH($A118,Investments!$V$6:$V$1005,0))="","",INDEX(Investments!$P$6:$P$1005,MATCH($A118,Investments!$V$6:$V$1005,0))),""))</f>
        <v/>
      </c>
      <c r="G118" s="33" t="str">
        <f aca="false">IF($A118="","",IFERROR(IF(INDEX(Investments!$Q$6:$Q$1005,MATCH($A118,Investments!$V$6:$V$1005,0))="","",INDEX(Investments!$Q$6:$Q$1005,MATCH($A118,Investments!$V$6:$V$1005,0))),""))</f>
        <v/>
      </c>
      <c r="H118" s="33" t="str">
        <f aca="false">IF($A118="","",IFERROR(IF(INDEX(Investments!$M$6:$M$1005,MATCH($A118,Investments!$V$6:$V$1005,0))="","",INDEX(Investments!$M$6:$M$1005,MATCH($A118,Investments!$V$6:$V$1005,0))),""))</f>
        <v/>
      </c>
      <c r="I118" s="33" t="str">
        <f aca="false">IF($A118="","",IFERROR(IF(INDEX(Investments!$R$6:$R$1005,MATCH($A118,Investments!$V$6:$V$1005,0))="","",INDEX(Investments!$R$6:$R$1005,MATCH($A118,Investments!$V$6:$V$1005,0))),""))</f>
        <v/>
      </c>
      <c r="J118" s="34" t="str">
        <f aca="false">IF($A118="","",IFERROR(IF(INDEX(Investments!$S$6:$S$1005,MATCH($A118,Investments!$V$6:$V$1005,0))="","",INDEX(Investments!$S$6:$S$1005,MATCH($A118,Investments!$V$6:$V$1005,0))),""))</f>
        <v/>
      </c>
      <c r="K118" s="34" t="str">
        <f aca="false">IF($A118="","",IFERROR(IF(INDEX(Investments!$T$6:$T$1005,MATCH($A118,Investments!$V$6:$V$1005,0))="","",INDEX(Investments!$T$6:$T$1005,MATCH($A118,Investments!$V$6:$V$1005,0))),""))</f>
        <v/>
      </c>
    </row>
    <row r="119" customFormat="false" ht="15" hidden="false" customHeight="false" outlineLevel="0" collapsed="false">
      <c r="A119" s="47" t="str">
        <f aca="false">IF($C$4="","",IF(98&gt;COUNTIFS(Investments!$A$6:$A$1005,$C$4),"",98))</f>
        <v/>
      </c>
      <c r="B119" s="14" t="str">
        <f aca="false">IF($A119="","",IFERROR(IF(INDEX(Investments!$B$6:$B$1005,MATCH($A119,Investments!$V$6:$V$1005,0))="","",INDEX(Investments!$B$6:$B$1005,MATCH($A119,Investments!$V$6:$V$1005,0))),""))</f>
        <v/>
      </c>
      <c r="C119" s="14" t="str">
        <f aca="false">IF($A119="","",IFERROR(IF(INDEX(Investments!$D$6:$D$1005,MATCH($A119,Investments!$V$6:$V$1005,0))="","",INDEX(Investments!$D$6:$D$1005,MATCH($A119,Investments!$V$6:$V$1005,0))),""))</f>
        <v/>
      </c>
      <c r="D119" s="14" t="str">
        <f aca="false">IF($A119="","",IFERROR(IF(INDEX(Investments!$E$6:$E$1005,MATCH($A119,Investments!$V$6:$V$1005,0))="","",INDEX(Investments!$E$6:$E$1005,MATCH($A119,Investments!$V$6:$V$1005,0))),""))</f>
        <v/>
      </c>
      <c r="E119" s="48" t="str">
        <f aca="false">IF($A119="","",IFERROR(IF(INDEX(Investments!$F$6:$F$1005,MATCH($A119,Investments!$V$6:$V$1005,0))="","",INDEX(Investments!$F$6:$F$1005,MATCH($A119,Investments!$V$6:$V$1005,0))),""))</f>
        <v/>
      </c>
      <c r="F119" s="17" t="str">
        <f aca="false">IF($A119="","",IFERROR(IF(INDEX(Investments!$P$6:$P$1005,MATCH($A119,Investments!$V$6:$V$1005,0))="","",INDEX(Investments!$P$6:$P$1005,MATCH($A119,Investments!$V$6:$V$1005,0))),""))</f>
        <v/>
      </c>
      <c r="G119" s="17" t="str">
        <f aca="false">IF($A119="","",IFERROR(IF(INDEX(Investments!$Q$6:$Q$1005,MATCH($A119,Investments!$V$6:$V$1005,0))="","",INDEX(Investments!$Q$6:$Q$1005,MATCH($A119,Investments!$V$6:$V$1005,0))),""))</f>
        <v/>
      </c>
      <c r="H119" s="17" t="str">
        <f aca="false">IF($A119="","",IFERROR(IF(INDEX(Investments!$M$6:$M$1005,MATCH($A119,Investments!$V$6:$V$1005,0))="","",INDEX(Investments!$M$6:$M$1005,MATCH($A119,Investments!$V$6:$V$1005,0))),""))</f>
        <v/>
      </c>
      <c r="I119" s="17" t="str">
        <f aca="false">IF($A119="","",IFERROR(IF(INDEX(Investments!$R$6:$R$1005,MATCH($A119,Investments!$V$6:$V$1005,0))="","",INDEX(Investments!$R$6:$R$1005,MATCH($A119,Investments!$V$6:$V$1005,0))),""))</f>
        <v/>
      </c>
      <c r="J119" s="18" t="str">
        <f aca="false">IF($A119="","",IFERROR(IF(INDEX(Investments!$S$6:$S$1005,MATCH($A119,Investments!$V$6:$V$1005,0))="","",INDEX(Investments!$S$6:$S$1005,MATCH($A119,Investments!$V$6:$V$1005,0))),""))</f>
        <v/>
      </c>
      <c r="K119" s="18" t="str">
        <f aca="false">IF($A119="","",IFERROR(IF(INDEX(Investments!$T$6:$T$1005,MATCH($A119,Investments!$V$6:$V$1005,0))="","",INDEX(Investments!$T$6:$T$1005,MATCH($A119,Investments!$V$6:$V$1005,0))),""))</f>
        <v/>
      </c>
    </row>
    <row r="120" customFormat="false" ht="15" hidden="false" customHeight="false" outlineLevel="0" collapsed="false">
      <c r="A120" s="45" t="str">
        <f aca="false">IF($C$4="","",IF(99&gt;COUNTIFS(Investments!$A$6:$A$1005,$C$4),"",99))</f>
        <v/>
      </c>
      <c r="B120" s="31" t="str">
        <f aca="false">IF($A120="","",IFERROR(IF(INDEX(Investments!$B$6:$B$1005,MATCH($A120,Investments!$V$6:$V$1005,0))="","",INDEX(Investments!$B$6:$B$1005,MATCH($A120,Investments!$V$6:$V$1005,0))),""))</f>
        <v/>
      </c>
      <c r="C120" s="31" t="str">
        <f aca="false">IF($A120="","",IFERROR(IF(INDEX(Investments!$D$6:$D$1005,MATCH($A120,Investments!$V$6:$V$1005,0))="","",INDEX(Investments!$D$6:$D$1005,MATCH($A120,Investments!$V$6:$V$1005,0))),""))</f>
        <v/>
      </c>
      <c r="D120" s="31" t="str">
        <f aca="false">IF($A120="","",IFERROR(IF(INDEX(Investments!$E$6:$E$1005,MATCH($A120,Investments!$V$6:$V$1005,0))="","",INDEX(Investments!$E$6:$E$1005,MATCH($A120,Investments!$V$6:$V$1005,0))),""))</f>
        <v/>
      </c>
      <c r="E120" s="46" t="str">
        <f aca="false">IF($A120="","",IFERROR(IF(INDEX(Investments!$F$6:$F$1005,MATCH($A120,Investments!$V$6:$V$1005,0))="","",INDEX(Investments!$F$6:$F$1005,MATCH($A120,Investments!$V$6:$V$1005,0))),""))</f>
        <v/>
      </c>
      <c r="F120" s="33" t="str">
        <f aca="false">IF($A120="","",IFERROR(IF(INDEX(Investments!$P$6:$P$1005,MATCH($A120,Investments!$V$6:$V$1005,0))="","",INDEX(Investments!$P$6:$P$1005,MATCH($A120,Investments!$V$6:$V$1005,0))),""))</f>
        <v/>
      </c>
      <c r="G120" s="33" t="str">
        <f aca="false">IF($A120="","",IFERROR(IF(INDEX(Investments!$Q$6:$Q$1005,MATCH($A120,Investments!$V$6:$V$1005,0))="","",INDEX(Investments!$Q$6:$Q$1005,MATCH($A120,Investments!$V$6:$V$1005,0))),""))</f>
        <v/>
      </c>
      <c r="H120" s="33" t="str">
        <f aca="false">IF($A120="","",IFERROR(IF(INDEX(Investments!$M$6:$M$1005,MATCH($A120,Investments!$V$6:$V$1005,0))="","",INDEX(Investments!$M$6:$M$1005,MATCH($A120,Investments!$V$6:$V$1005,0))),""))</f>
        <v/>
      </c>
      <c r="I120" s="33" t="str">
        <f aca="false">IF($A120="","",IFERROR(IF(INDEX(Investments!$R$6:$R$1005,MATCH($A120,Investments!$V$6:$V$1005,0))="","",INDEX(Investments!$R$6:$R$1005,MATCH($A120,Investments!$V$6:$V$1005,0))),""))</f>
        <v/>
      </c>
      <c r="J120" s="34" t="str">
        <f aca="false">IF($A120="","",IFERROR(IF(INDEX(Investments!$S$6:$S$1005,MATCH($A120,Investments!$V$6:$V$1005,0))="","",INDEX(Investments!$S$6:$S$1005,MATCH($A120,Investments!$V$6:$V$1005,0))),""))</f>
        <v/>
      </c>
      <c r="K120" s="34" t="str">
        <f aca="false">IF($A120="","",IFERROR(IF(INDEX(Investments!$T$6:$T$1005,MATCH($A120,Investments!$V$6:$V$1005,0))="","",INDEX(Investments!$T$6:$T$1005,MATCH($A120,Investments!$V$6:$V$1005,0))),""))</f>
        <v/>
      </c>
    </row>
    <row r="121" customFormat="false" ht="15" hidden="false" customHeight="false" outlineLevel="0" collapsed="false">
      <c r="A121" s="47" t="str">
        <f aca="false">IF($C$4="","",IF(100&gt;COUNTIFS(Investments!$A$6:$A$1005,$C$4),"",100))</f>
        <v/>
      </c>
      <c r="B121" s="14" t="str">
        <f aca="false">IF($A121="","",IFERROR(IF(INDEX(Investments!$B$6:$B$1005,MATCH($A121,Investments!$V$6:$V$1005,0))="","",INDEX(Investments!$B$6:$B$1005,MATCH($A121,Investments!$V$6:$V$1005,0))),""))</f>
        <v/>
      </c>
      <c r="C121" s="14" t="str">
        <f aca="false">IF($A121="","",IFERROR(IF(INDEX(Investments!$D$6:$D$1005,MATCH($A121,Investments!$V$6:$V$1005,0))="","",INDEX(Investments!$D$6:$D$1005,MATCH($A121,Investments!$V$6:$V$1005,0))),""))</f>
        <v/>
      </c>
      <c r="D121" s="14" t="str">
        <f aca="false">IF($A121="","",IFERROR(IF(INDEX(Investments!$E$6:$E$1005,MATCH($A121,Investments!$V$6:$V$1005,0))="","",INDEX(Investments!$E$6:$E$1005,MATCH($A121,Investments!$V$6:$V$1005,0))),""))</f>
        <v/>
      </c>
      <c r="E121" s="48" t="str">
        <f aca="false">IF($A121="","",IFERROR(IF(INDEX(Investments!$F$6:$F$1005,MATCH($A121,Investments!$V$6:$V$1005,0))="","",INDEX(Investments!$F$6:$F$1005,MATCH($A121,Investments!$V$6:$V$1005,0))),""))</f>
        <v/>
      </c>
      <c r="F121" s="17" t="str">
        <f aca="false">IF($A121="","",IFERROR(IF(INDEX(Investments!$P$6:$P$1005,MATCH($A121,Investments!$V$6:$V$1005,0))="","",INDEX(Investments!$P$6:$P$1005,MATCH($A121,Investments!$V$6:$V$1005,0))),""))</f>
        <v/>
      </c>
      <c r="G121" s="17" t="str">
        <f aca="false">IF($A121="","",IFERROR(IF(INDEX(Investments!$Q$6:$Q$1005,MATCH($A121,Investments!$V$6:$V$1005,0))="","",INDEX(Investments!$Q$6:$Q$1005,MATCH($A121,Investments!$V$6:$V$1005,0))),""))</f>
        <v/>
      </c>
      <c r="H121" s="17" t="str">
        <f aca="false">IF($A121="","",IFERROR(IF(INDEX(Investments!$M$6:$M$1005,MATCH($A121,Investments!$V$6:$V$1005,0))="","",INDEX(Investments!$M$6:$M$1005,MATCH($A121,Investments!$V$6:$V$1005,0))),""))</f>
        <v/>
      </c>
      <c r="I121" s="17" t="str">
        <f aca="false">IF($A121="","",IFERROR(IF(INDEX(Investments!$R$6:$R$1005,MATCH($A121,Investments!$V$6:$V$1005,0))="","",INDEX(Investments!$R$6:$R$1005,MATCH($A121,Investments!$V$6:$V$1005,0))),""))</f>
        <v/>
      </c>
      <c r="J121" s="18" t="str">
        <f aca="false">IF($A121="","",IFERROR(IF(INDEX(Investments!$S$6:$S$1005,MATCH($A121,Investments!$V$6:$V$1005,0))="","",INDEX(Investments!$S$6:$S$1005,MATCH($A121,Investments!$V$6:$V$1005,0))),""))</f>
        <v/>
      </c>
      <c r="K121" s="18" t="str">
        <f aca="false">IF($A121="","",IFERROR(IF(INDEX(Investments!$T$6:$T$1005,MATCH($A121,Investments!$V$6:$V$1005,0))="","",INDEX(Investments!$T$6:$T$1005,MATCH($A121,Investments!$V$6:$V$1005,0))),""))</f>
        <v/>
      </c>
    </row>
    <row r="122" customFormat="false" ht="15" hidden="false" customHeight="false" outlineLevel="0" collapsed="false">
      <c r="A122" s="36"/>
      <c r="B122" s="36" t="s">
        <v>115</v>
      </c>
      <c r="C122" s="36"/>
      <c r="D122" s="36"/>
      <c r="E122" s="36"/>
      <c r="F122" s="38" t="n">
        <f aca="false">SUM($F$22:$F$121)</f>
        <v>190000</v>
      </c>
      <c r="G122" s="38" t="n">
        <f aca="false">SUM($G$22:$G$121)</f>
        <v>195243.79</v>
      </c>
      <c r="H122" s="38" t="n">
        <f aca="false">SUM($H$22:$H$121)</f>
        <v>0</v>
      </c>
      <c r="I122" s="38" t="n">
        <f aca="false">($H$122+$G$122)-$F$122</f>
        <v>5243.79000000001</v>
      </c>
      <c r="J122" s="39" t="n">
        <f aca="false">IF($F$122=0,"",$I$122/$F$122)</f>
        <v>0.0275988947368422</v>
      </c>
      <c r="K122" s="39" t="str">
        <f aca="false">$J$17</f>
        <v/>
      </c>
    </row>
    <row r="124" customFormat="false" ht="15" hidden="false" customHeight="false" outlineLevel="0" collapsed="false">
      <c r="A124" s="24" t="s">
        <v>134</v>
      </c>
    </row>
  </sheetData>
  <mergeCells count="10">
    <mergeCell ref="A1:K1"/>
    <mergeCell ref="A2:K2"/>
    <mergeCell ref="F6:K6"/>
    <mergeCell ref="F7:K7"/>
    <mergeCell ref="F8:K8"/>
    <mergeCell ref="F9:K9"/>
    <mergeCell ref="F10:K10"/>
    <mergeCell ref="F11:K11"/>
    <mergeCell ref="A15:K15"/>
    <mergeCell ref="A19:K19"/>
  </mergeCells>
  <conditionalFormatting sqref="I22:I12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22:J12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22:K121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1">
    <dataValidation allowBlank="true" errorStyle="stop" operator="between" showDropDown="false" showErrorMessage="false" showInputMessage="false" sqref="C4" type="list">
      <formula1>Clients!$B$4:$B$203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8" t="s">
        <v>135</v>
      </c>
      <c r="B1" s="8" t="s">
        <v>36</v>
      </c>
      <c r="C1" s="8" t="s">
        <v>22</v>
      </c>
      <c r="D1" s="8" t="s">
        <v>136</v>
      </c>
    </row>
    <row r="2" customFormat="false" ht="15" hidden="false" customHeight="false" outlineLevel="0" collapsed="false">
      <c r="A2" s="49" t="s">
        <v>137</v>
      </c>
      <c r="B2" s="49" t="s">
        <v>138</v>
      </c>
      <c r="C2" s="49" t="s">
        <v>139</v>
      </c>
      <c r="D2" s="49" t="s">
        <v>140</v>
      </c>
    </row>
    <row r="3" customFormat="false" ht="15" hidden="false" customHeight="false" outlineLevel="0" collapsed="false">
      <c r="A3" s="49" t="s">
        <v>141</v>
      </c>
      <c r="B3" s="49" t="s">
        <v>142</v>
      </c>
      <c r="C3" s="49" t="s">
        <v>143</v>
      </c>
      <c r="D3" s="49" t="s">
        <v>62</v>
      </c>
    </row>
    <row r="4" customFormat="false" ht="15" hidden="false" customHeight="false" outlineLevel="0" collapsed="false">
      <c r="A4" s="49" t="s">
        <v>144</v>
      </c>
      <c r="B4" s="49" t="s">
        <v>145</v>
      </c>
      <c r="D4" s="49" t="s">
        <v>146</v>
      </c>
    </row>
    <row r="5" customFormat="false" ht="15" hidden="false" customHeight="false" outlineLevel="0" collapsed="false">
      <c r="A5" s="49" t="s">
        <v>147</v>
      </c>
      <c r="B5" s="49" t="s">
        <v>148</v>
      </c>
      <c r="D5" s="49" t="s">
        <v>149</v>
      </c>
    </row>
    <row r="6" customFormat="false" ht="15" hidden="false" customHeight="false" outlineLevel="0" collapsed="false">
      <c r="A6" s="49" t="s">
        <v>150</v>
      </c>
      <c r="D6" s="49" t="s">
        <v>151</v>
      </c>
    </row>
    <row r="7" customFormat="false" ht="15" hidden="false" customHeight="false" outlineLevel="0" collapsed="false">
      <c r="A7" s="49" t="s">
        <v>152</v>
      </c>
    </row>
    <row r="8" customFormat="false" ht="15" hidden="false" customHeight="false" outlineLevel="0" collapsed="false">
      <c r="A8" s="49" t="s">
        <v>153</v>
      </c>
    </row>
    <row r="9" customFormat="false" ht="15" hidden="false" customHeight="false" outlineLevel="0" collapsed="false">
      <c r="A9" s="49" t="s">
        <v>154</v>
      </c>
    </row>
    <row r="10" customFormat="false" ht="15" hidden="false" customHeight="false" outlineLevel="0" collapsed="false">
      <c r="A10" s="49" t="s">
        <v>155</v>
      </c>
    </row>
    <row r="11" customFormat="false" ht="15" hidden="false" customHeight="false" outlineLevel="0" collapsed="false">
      <c r="A11" s="49" t="s">
        <v>156</v>
      </c>
    </row>
    <row r="12" customFormat="false" ht="15" hidden="false" customHeight="false" outlineLevel="0" collapsed="false">
      <c r="A12" s="49" t="s">
        <v>157</v>
      </c>
    </row>
    <row r="13" customFormat="false" ht="15" hidden="false" customHeight="false" outlineLevel="0" collapsed="false">
      <c r="A13" s="49" t="s">
        <v>158</v>
      </c>
    </row>
    <row r="14" customFormat="false" ht="15" hidden="false" customHeight="false" outlineLevel="0" collapsed="false">
      <c r="A14" s="49" t="s">
        <v>159</v>
      </c>
    </row>
    <row r="15" customFormat="false" ht="15" hidden="false" customHeight="false" outlineLevel="0" collapsed="false">
      <c r="A15" s="49" t="s">
        <v>160</v>
      </c>
    </row>
    <row r="16" customFormat="false" ht="15" hidden="false" customHeight="false" outlineLevel="0" collapsed="false">
      <c r="A16" s="49" t="s">
        <v>161</v>
      </c>
    </row>
    <row r="17" customFormat="false" ht="15" hidden="false" customHeight="false" outlineLevel="0" collapsed="false">
      <c r="A17" s="49" t="s">
        <v>89</v>
      </c>
    </row>
    <row r="18" customFormat="false" ht="15" hidden="false" customHeight="false" outlineLevel="0" collapsed="false">
      <c r="A18" s="49" t="s">
        <v>162</v>
      </c>
    </row>
    <row r="19" customFormat="false" ht="15" hidden="false" customHeight="false" outlineLevel="0" collapsed="false">
      <c r="A19" s="49" t="s">
        <v>163</v>
      </c>
    </row>
    <row r="20" customFormat="false" ht="15" hidden="false" customHeight="false" outlineLevel="0" collapsed="false">
      <c r="A20" s="49" t="s">
        <v>164</v>
      </c>
    </row>
    <row r="21" customFormat="false" ht="15" hidden="false" customHeight="false" outlineLevel="0" collapsed="false">
      <c r="A21" s="49" t="s">
        <v>165</v>
      </c>
    </row>
    <row r="22" customFormat="false" ht="15" hidden="false" customHeight="false" outlineLevel="0" collapsed="false">
      <c r="A22" s="49" t="s">
        <v>166</v>
      </c>
    </row>
    <row r="23" customFormat="false" ht="15" hidden="false" customHeight="false" outlineLevel="0" collapsed="false">
      <c r="A23" s="49" t="s">
        <v>167</v>
      </c>
    </row>
    <row r="24" customFormat="false" ht="15" hidden="false" customHeight="false" outlineLevel="0" collapsed="false">
      <c r="A24" s="49" t="s">
        <v>168</v>
      </c>
    </row>
    <row r="25" customFormat="false" ht="15" hidden="false" customHeight="false" outlineLevel="0" collapsed="false">
      <c r="A25" s="49" t="s">
        <v>169</v>
      </c>
    </row>
    <row r="26" customFormat="false" ht="15" hidden="false" customHeight="false" outlineLevel="0" collapsed="false">
      <c r="A26" s="49" t="s">
        <v>170</v>
      </c>
    </row>
    <row r="27" customFormat="false" ht="15" hidden="false" customHeight="false" outlineLevel="0" collapsed="false">
      <c r="A27" s="49" t="s">
        <v>171</v>
      </c>
    </row>
    <row r="28" customFormat="false" ht="15" hidden="false" customHeight="false" outlineLevel="0" collapsed="false">
      <c r="A28" s="49" t="s">
        <v>172</v>
      </c>
    </row>
    <row r="29" customFormat="false" ht="15" hidden="false" customHeight="false" outlineLevel="0" collapsed="false">
      <c r="A29" s="49" t="s">
        <v>173</v>
      </c>
    </row>
    <row r="30" customFormat="false" ht="15" hidden="false" customHeight="false" outlineLevel="0" collapsed="false">
      <c r="A30" s="49" t="s">
        <v>174</v>
      </c>
    </row>
    <row r="31" customFormat="false" ht="15" hidden="false" customHeight="false" outlineLevel="0" collapsed="false">
      <c r="A31" s="49" t="s">
        <v>175</v>
      </c>
    </row>
    <row r="32" customFormat="false" ht="15" hidden="false" customHeight="false" outlineLevel="0" collapsed="false">
      <c r="A32" s="49" t="s">
        <v>176</v>
      </c>
    </row>
    <row r="33" customFormat="false" ht="15" hidden="false" customHeight="false" outlineLevel="0" collapsed="false">
      <c r="A33" s="49" t="s">
        <v>177</v>
      </c>
    </row>
    <row r="34" customFormat="false" ht="15" hidden="false" customHeight="false" outlineLevel="0" collapsed="false">
      <c r="A34" s="49" t="s">
        <v>178</v>
      </c>
    </row>
    <row r="35" customFormat="false" ht="15" hidden="false" customHeight="false" outlineLevel="0" collapsed="false">
      <c r="A35" s="49" t="s">
        <v>179</v>
      </c>
    </row>
    <row r="36" customFormat="false" ht="15" hidden="false" customHeight="false" outlineLevel="0" collapsed="false">
      <c r="A36" s="49" t="s">
        <v>180</v>
      </c>
    </row>
    <row r="38" customFormat="false" ht="15" hidden="false" customHeight="false" outlineLevel="0" collapsed="false">
      <c r="A38" s="24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2026-08-27T09:07:57Z</dcterms:created>
  <dc:creator>openpyxl</dc:creator>
  <dc:description/>
  <dc:language>en-US</dc:language>
  <cp:lastModifiedBy/>
  <dcterms:modified xsi:type="dcterms:W3CDTF">2026-08-27T09:08:00Z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